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comments11.xml" ContentType="application/vnd.openxmlformats-officedocument.spreadsheetml.comments+xml"/>
  <Override PartName="/xl/workbook.xml" ContentType="application/vnd.ms-excel.sheet.macroEnabled.main+xml"/>
  <Override PartName="/xl/drawings/drawing16.xml" ContentType="application/vnd.openxmlformats-officedocument.drawing+xml"/>
  <Override PartName="/xl/drawings/drawing15.xml" ContentType="application/vnd.openxmlformats-officedocument.drawing+xml"/>
  <Override PartName="/xl/drawings/drawing14.xml" ContentType="application/vnd.openxmlformats-officedocument.drawing+xml"/>
  <Override PartName="/xl/drawings/drawing13.xml" ContentType="application/vnd.openxmlformats-officedocument.drawing+xml"/>
  <Override PartName="/xl/drawings/drawing12.xml" ContentType="application/vnd.openxmlformats-officedocument.drawing+xml"/>
  <Override PartName="/xl/drawings/drawing11.xml" ContentType="application/vnd.openxmlformats-officedocument.drawing+xml"/>
  <Override PartName="/xl/drawings/drawing10.xml" ContentType="application/vnd.openxmlformats-officedocument.drawing+xml"/>
  <Override PartName="/xl/drawings/drawing9.xml" ContentType="application/vnd.openxmlformats-officedocument.drawing+xml"/>
  <Override PartName="/xl/drawings/drawing4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vmlDrawing3.vml" ContentType="application/vnd.openxmlformats-officedocument.vmlDrawing"/>
  <Override PartName="/xl/drawings/drawing1.xml" ContentType="application/vnd.openxmlformats-officedocument.drawing+xml"/>
  <Override PartName="/xl/drawings/drawing5.xml" ContentType="application/vnd.openxmlformats-officedocument.drawing+xml"/>
  <Override PartName="/xl/drawings/vmlDrawing2.vml" ContentType="application/vnd.openxmlformats-officedocument.vmlDrawing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worksheets/_rels/sheet27.xml.rels" ContentType="application/vnd.openxmlformats-package.relationships+xml"/>
  <Override PartName="/xl/worksheets/_rels/sheet25.xml.rels" ContentType="application/vnd.openxmlformats-package.relationships+xml"/>
  <Override PartName="/xl/worksheets/_rels/sheet24.xml.rels" ContentType="application/vnd.openxmlformats-package.relationships+xml"/>
  <Override PartName="/xl/worksheets/_rels/sheet21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5.xml.rels" ContentType="application/vnd.openxmlformats-package.relationships+xml"/>
  <Override PartName="/xl/worksheets/_rels/sheet7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26.xml.rels" ContentType="application/vnd.openxmlformats-package.relationships+xml"/>
  <Override PartName="/xl/worksheets/_rels/sheet18.xml.rels" ContentType="application/vnd.openxmlformats-package.relationships+xml"/>
  <Override PartName="/xl/worksheets/_rels/sheet11.xml.rels" ContentType="application/vnd.openxmlformats-package.relationships+xml"/>
  <Override PartName="/xl/worksheets/_rels/sheet14.xml.rels" ContentType="application/vnd.openxmlformats-package.relationships+xml"/>
  <Override PartName="/xl/worksheets/_rels/sheet15.xml.rels" ContentType="application/vnd.openxmlformats-package.relationships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18.xml" ContentType="application/vnd.openxmlformats-officedocument.spreadsheetml.worksheet+xml"/>
  <Override PartName="/xl/worksheets/sheet3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xl/comments5.xml" ContentType="application/vnd.openxmlformats-officedocument.spreadsheetml.comments+xml"/>
  <Override PartName="/xl/styles.xml" ContentType="application/vnd.openxmlformats-officedocument.spreadsheetml.styles+xml"/>
  <Override PartName="/xl/comments27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4"/>
  </bookViews>
  <sheets>
    <sheet name="Information" sheetId="1" state="visible" r:id="rId3"/>
    <sheet name="Demand_Fresh" sheetId="2" state="visible" r:id="rId4"/>
    <sheet name="Demand_Frozen" sheetId="3" state="visible" r:id="rId5"/>
    <sheet name="Initial_Inventory" sheetId="4" state="visible" r:id="rId6"/>
    <sheet name="Selling_Price_Fresh" sheetId="5" state="visible" r:id="rId7"/>
    <sheet name="Selling_Price_Frozen" sheetId="6" state="visible" r:id="rId8"/>
    <sheet name="Penalty_Fresh" sheetId="7" state="visible" r:id="rId9"/>
    <sheet name="Penalty_Frozen" sheetId="8" state="visible" r:id="rId10"/>
    <sheet name="Holding_Cost_Fresh" sheetId="9" state="visible" r:id="rId11"/>
    <sheet name="Holding_Cost_Frozen" sheetId="10" state="visible" r:id="rId12"/>
    <sheet name="Operational_Cost" sheetId="11" state="visible" r:id="rId13"/>
    <sheet name="Operation_Time" sheetId="12" state="visible" r:id="rId14"/>
    <sheet name="Operational_Cost_Overtime" sheetId="13" state="visible" r:id="rId15"/>
    <sheet name="Cutting_Pattern" sheetId="14" state="visible" r:id="rId16"/>
    <sheet name="Item_Product_Group_Map" sheetId="15" state="visible" r:id="rId17"/>
    <sheet name="Available_Hour_Regular" sheetId="16" state="visible" r:id="rId18"/>
    <sheet name="Bird_Type_Ratio" sheetId="17" state="visible" r:id="rId19"/>
    <sheet name="Common_Data" sheetId="18" state="visible" r:id="rId20"/>
    <sheet name="Availability" sheetId="19" state="visible" r:id="rId21"/>
    <sheet name="Available_Hour_Overtime" sheetId="20" state="visible" r:id="rId22"/>
    <sheet name="SKU Conversion" sheetId="21" state="visible" r:id="rId23"/>
    <sheet name="Product_Group_Yield" sheetId="22" state="hidden" r:id="rId24"/>
    <sheet name="Raw_Material" sheetId="23" state="visible" r:id="rId25"/>
    <sheet name="Fresh_Frozen_Relation" sheetId="24" state="visible" r:id="rId26"/>
    <sheet name="Yield_Originals" sheetId="25" state="visible" r:id="rId27"/>
    <sheet name="Shelf_Life" sheetId="26" state="visible" r:id="rId28"/>
    <sheet name="Yield" sheetId="27" state="visible" r:id="rId29"/>
  </sheets>
  <externalReferences>
    <externalReference r:id="rId30"/>
  </externalReferences>
  <definedNames>
    <definedName function="false" hidden="true" localSheetId="17" name="_xlnm._FilterDatabase" vbProcedure="false">Common_Data!$A$13:$D$381</definedName>
    <definedName function="false" hidden="true" localSheetId="13" name="_xlnm._FilterDatabase" vbProcedure="false">Cutting_Pattern!$A$1:$G$2</definedName>
    <definedName function="false" hidden="true" localSheetId="1" name="_xlnm._FilterDatabase" vbProcedure="false">Demand_Fresh!$A$1:$F$169</definedName>
    <definedName function="false" hidden="true" localSheetId="2" name="_xlnm._FilterDatabase" vbProcedure="false">Demand_Frozen!$A$1:$E$120</definedName>
    <definedName function="false" hidden="true" localSheetId="23" name="_xlnm._FilterDatabase" vbProcedure="false">Fresh_Frozen_Relation!$A$1:$B$137</definedName>
    <definedName function="false" hidden="true" localSheetId="8" name="_xlnm._FilterDatabase" vbProcedure="false">Holding_Cost_Fresh!$A$1:$N$169</definedName>
    <definedName function="false" hidden="true" localSheetId="0" name="_xlnm._FilterDatabase" vbProcedure="false">Information!$A$1:$C$29</definedName>
    <definedName function="false" hidden="true" localSheetId="3" name="_xlnm._FilterDatabase" vbProcedure="false">Initial_Inventory!$A$1:$B$336</definedName>
    <definedName function="false" hidden="true" localSheetId="14" name="_xlnm._FilterDatabase" vbProcedure="false">Item_Product_Group_Map!$B$1:$H$221</definedName>
    <definedName function="false" hidden="true" localSheetId="10" name="_xlnm._FilterDatabase" vbProcedure="false">Operational_Cost!$A$1:$C$216</definedName>
    <definedName function="false" hidden="true" localSheetId="6" name="_xlnm._FilterDatabase" vbProcedure="false">Penalty_Fresh!$A$1:$O$169</definedName>
    <definedName function="false" hidden="true" localSheetId="4" name="_xlnm._FilterDatabase" vbProcedure="false">Selling_Price_Fresh!$A$1:$N$97</definedName>
    <definedName function="false" hidden="true" localSheetId="25" name="_xlnm._FilterDatabase" vbProcedure="false">Shelf_Life!$A$1:$C$369</definedName>
    <definedName function="false" hidden="true" localSheetId="26" name="_xlnm._FilterDatabase" vbProcedure="false">Yield!$A$1:$S$392</definedName>
    <definedName function="false" hidden="true" localSheetId="24" name="_xlnm._FilterDatabase" vbProcedure="false">Yield_Originals!$A$2:$AD$393</definedName>
    <definedName function="false" hidden="false" localSheetId="0" name="_FilterDatabase_0" vbProcedure="false">Information!$A$1:$C$29</definedName>
    <definedName function="false" hidden="false" localSheetId="0" name="_xlnm._FilterDatabase" vbProcedure="false">Information!$A$1:$C$29</definedName>
    <definedName function="false" hidden="false" localSheetId="0" name="_xlnm._FilterDatabase_0" vbProcedure="false">Information!$A$1:$C$29</definedName>
    <definedName function="false" hidden="false" localSheetId="0" name="_xlnm._FilterDatabase_0_0" vbProcedure="false">Information!$A$1:$C$29</definedName>
    <definedName function="false" hidden="false" localSheetId="0" name="_xlnm._FilterDatabase_0_0_0" vbProcedure="false">Information!$A$1:$C$29</definedName>
    <definedName function="false" hidden="false" localSheetId="0" name="_xlnm._FilterDatabase_0_0_0_0" vbProcedure="false">Information!$A$1:$C$29</definedName>
    <definedName function="false" hidden="false" localSheetId="0" name="_xlnm._FilterDatabase_0_0_0_0_0" vbProcedure="false">Information!$A$1:$C$29</definedName>
    <definedName function="false" hidden="false" localSheetId="0" name="_xlnm._FilterDatabase_0_0_0_0_0_0" vbProcedure="false">Information!$A$1:$C$29</definedName>
    <definedName function="false" hidden="false" localSheetId="0" name="_xlnm._FilterDatabase_0_0_0_0_0_0_0" vbProcedure="false">Information!$A$1:$C$29</definedName>
    <definedName function="false" hidden="false" localSheetId="0" name="_xlnm._FilterDatabase_0_0_0_0_0_0_0_0" vbProcedure="false">Information!$A$1:$C$29</definedName>
    <definedName function="false" hidden="false" localSheetId="0" name="_xlnm._FilterDatabase_0_0_0_0_0_0_0_0_0" vbProcedure="false">Information!$A$1:$C$29</definedName>
    <definedName function="false" hidden="false" localSheetId="0" name="_xlnm._FilterDatabase_0_0_0_0_0_0_0_0_0_0" vbProcedure="false">Information!$A$1:$C$29</definedName>
    <definedName function="false" hidden="false" localSheetId="0" name="_xlnm._FilterDatabase_0_0_0_0_0_0_0_0_0_0_0" vbProcedure="false">Information!$A$1:$C$29</definedName>
    <definedName function="false" hidden="false" localSheetId="0" name="_xlnm._FilterDatabase_0_0_0_0_0_0_0_0_0_0_0_0" vbProcedure="false">Information!$A$1:$C$29</definedName>
    <definedName function="false" hidden="false" localSheetId="0" name="_xlnm._FilterDatabase_0_0_0_0_0_0_0_0_0_0_0_0_0" vbProcedure="false">Information!$A$1:$C$29</definedName>
    <definedName function="false" hidden="false" localSheetId="0" name="_xlnm._FilterDatabase_0_0_0_0_0_0_0_0_0_0_0_0_0_0" vbProcedure="false">Information!$A$1:$C$29</definedName>
    <definedName function="false" hidden="false" localSheetId="0" name="_xlnm._FilterDatabase_0_0_0_0_0_0_0_0_0_0_0_0_0_0_0" vbProcedure="false">Information!$A$1:$C$29</definedName>
    <definedName function="false" hidden="false" localSheetId="0" name="_xlnm._FilterDatabase_0_0_0_0_0_0_0_0_0_0_0_0_0_0_0_0" vbProcedure="false">Information!$A$1:$C$29</definedName>
    <definedName function="false" hidden="false" localSheetId="0" name="_xlnm._FilterDatabase_0_0_0_0_0_0_0_0_0_0_0_0_0_0_0_0_0" vbProcedure="false">Information!$A$1:$C$29</definedName>
    <definedName function="false" hidden="false" localSheetId="0" name="_xlnm._FilterDatabase_0_0_0_0_0_0_0_0_0_0_0_0_0_0_0_0_0_0" vbProcedure="false">Information!$A$1:$C$29</definedName>
    <definedName function="false" hidden="false" localSheetId="0" name="_xlnm._FilterDatabase_0_0_0_0_0_0_0_0_0_0_0_0_0_0_0_0_0_0_0" vbProcedure="false">Information!$A$1:$C$29</definedName>
    <definedName function="false" hidden="false" localSheetId="0" name="_xlnm._FilterDatabase_0_0_0_0_0_0_0_0_0_0_0_0_0_0_0_0_0_0_0_0" vbProcedure="false">Information!$A$1:$C$29</definedName>
    <definedName function="false" hidden="false" localSheetId="0" name="_xlnm._FilterDatabase_0_0_0_0_0_0_0_0_0_0_0_0_0_0_0_0_0_0_0_0_0" vbProcedure="false">Information!$A$1:$C$29</definedName>
    <definedName function="false" hidden="false" localSheetId="0" name="_xlnm._FilterDatabase_0_0_0_0_0_0_0_0_0_0_0_0_0_0_0_0_0_0_0_0_0_0" vbProcedure="false">Information!$A$1:$C$29</definedName>
    <definedName function="false" hidden="false" localSheetId="0" name="_xlnm._FilterDatabase_0_0_0_0_0_0_0_0_0_0_0_0_0_0_0_0_0_0_0_0_0_0_0" vbProcedure="false">Information!$A$1:$C$29</definedName>
    <definedName function="false" hidden="false" localSheetId="0" name="_xlnm._FilterDatabase_0_0_0_0_0_0_0_0_0_0_0_0_0_0_0_0_0_0_0_0_0_0_0_0" vbProcedure="false">Information!$A$1:$C$29</definedName>
    <definedName function="false" hidden="false" localSheetId="0" name="_xlnm._FilterDatabase_0_0_0_0_0_0_0_0_0_0_0_0_0_0_0_0_0_0_0_0_0_0_0_0_0" vbProcedure="false">Information!$A$1:$C$29</definedName>
    <definedName function="false" hidden="false" localSheetId="0" name="_xlnm._FilterDatabase_0_0_0_0_0_0_0_0_0_0_0_0_0_0_0_0_0_0_0_0_0_0_0_0_0_0" vbProcedure="false">Information!$A$1:$C$29</definedName>
    <definedName function="false" hidden="false" localSheetId="0" name="_xlnm._FilterDatabase_0_0_0_0_0_0_0_0_0_0_0_0_0_0_0_0_0_0_0_0_0_0_0_0_0_0_0" vbProcedure="false">Information!$A$1:$C$29</definedName>
    <definedName function="false" hidden="false" localSheetId="0" name="_xlnm._FilterDatabase_0_0_0_0_0_0_0_0_0_0_0_0_0_0_0_0_0_0_0_0_0_0_0_0_0_0_0_0" vbProcedure="false">Information!$A$1:$C$29</definedName>
    <definedName function="false" hidden="false" localSheetId="1" name="_FilterDatabase_0" vbProcedure="false">Demand_Fresh!$A$1:$F$169</definedName>
    <definedName function="false" hidden="false" localSheetId="1" name="_xlnm._FilterDatabase" vbProcedure="false">Demand_Fresh!$A$1:$F$97</definedName>
    <definedName function="false" hidden="false" localSheetId="1" name="_xlnm._FilterDatabase_0" vbProcedure="false">Demand_Fresh!$A$1:$F$169</definedName>
    <definedName function="false" hidden="false" localSheetId="1" name="_xlnm._FilterDatabase_0_0" vbProcedure="false">Demand_Fresh!$A$1:$F$97</definedName>
    <definedName function="false" hidden="false" localSheetId="1" name="_xlnm._FilterDatabase_0_0_0" vbProcedure="false">Demand_Fresh!$A$1:$F$169</definedName>
    <definedName function="false" hidden="false" localSheetId="1" name="_xlnm._FilterDatabase_0_0_0_0" vbProcedure="false">Demand_Fresh!$A$1:$F$97</definedName>
    <definedName function="false" hidden="false" localSheetId="1" name="_xlnm._FilterDatabase_0_0_0_0_0" vbProcedure="false">Demand_Fresh!$A$1:$F$169</definedName>
    <definedName function="false" hidden="false" localSheetId="1" name="_xlnm._FilterDatabase_0_0_0_0_0_0" vbProcedure="false">Demand_Fresh!$A$1:$F$97</definedName>
    <definedName function="false" hidden="false" localSheetId="1" name="_xlnm._FilterDatabase_0_0_0_0_0_0_0" vbProcedure="false">Demand_Fresh!$A$1:$F$169</definedName>
    <definedName function="false" hidden="false" localSheetId="1" name="_xlnm._FilterDatabase_0_0_0_0_0_0_0_0" vbProcedure="false">Demand_Fresh!$A$1:$F$97</definedName>
    <definedName function="false" hidden="false" localSheetId="1" name="_xlnm._FilterDatabase_0_0_0_0_0_0_0_0_0" vbProcedure="false">Demand_Fresh!$A$1:$F$169</definedName>
    <definedName function="false" hidden="false" localSheetId="1" name="_xlnm._FilterDatabase_0_0_0_0_0_0_0_0_0_0" vbProcedure="false">Demand_Fresh!$A$1:$F$97</definedName>
    <definedName function="false" hidden="false" localSheetId="1" name="_xlnm._FilterDatabase_0_0_0_0_0_0_0_0_0_0_0" vbProcedure="false">Demand_Fresh!$A$1:$F$169</definedName>
    <definedName function="false" hidden="false" localSheetId="1" name="_xlnm._FilterDatabase_0_0_0_0_0_0_0_0_0_0_0_0" vbProcedure="false">Demand_Fresh!$A$1:$F$97</definedName>
    <definedName function="false" hidden="false" localSheetId="1" name="_xlnm._FilterDatabase_0_0_0_0_0_0_0_0_0_0_0_0_0" vbProcedure="false">Demand_Fresh!$A$1:$F$169</definedName>
    <definedName function="false" hidden="false" localSheetId="1" name="_xlnm._FilterDatabase_0_0_0_0_0_0_0_0_0_0_0_0_0_0" vbProcedure="false">Demand_Fresh!$A$1:$F$97</definedName>
    <definedName function="false" hidden="false" localSheetId="1" name="_xlnm._FilterDatabase_0_0_0_0_0_0_0_0_0_0_0_0_0_0_0" vbProcedure="false">Demand_Fresh!$A$1:$F$169</definedName>
    <definedName function="false" hidden="false" localSheetId="1" name="_xlnm._FilterDatabase_0_0_0_0_0_0_0_0_0_0_0_0_0_0_0_0" vbProcedure="false">Demand_Fresh!$A$1:$F$97</definedName>
    <definedName function="false" hidden="false" localSheetId="1" name="_xlnm._FilterDatabase_0_0_0_0_0_0_0_0_0_0_0_0_0_0_0_0_0" vbProcedure="false">Demand_Fresh!$A$1:$F$169</definedName>
    <definedName function="false" hidden="false" localSheetId="1" name="_xlnm._FilterDatabase_0_0_0_0_0_0_0_0_0_0_0_0_0_0_0_0_0_0" vbProcedure="false">Demand_Fresh!$A$1:$F$97</definedName>
    <definedName function="false" hidden="false" localSheetId="1" name="_xlnm._FilterDatabase_0_0_0_0_0_0_0_0_0_0_0_0_0_0_0_0_0_0_0" vbProcedure="false">Demand_Fresh!$A$1:$F$169</definedName>
    <definedName function="false" hidden="false" localSheetId="1" name="_xlnm._FilterDatabase_0_0_0_0_0_0_0_0_0_0_0_0_0_0_0_0_0_0_0_0" vbProcedure="false">Demand_Fresh!$A$1:$F$97</definedName>
    <definedName function="false" hidden="false" localSheetId="1" name="_xlnm._FilterDatabase_0_0_0_0_0_0_0_0_0_0_0_0_0_0_0_0_0_0_0_0_0" vbProcedure="false">Demand_Fresh!$A$1:$F$169</definedName>
    <definedName function="false" hidden="false" localSheetId="1" name="_xlnm._FilterDatabase_0_0_0_0_0_0_0_0_0_0_0_0_0_0_0_0_0_0_0_0_0_0" vbProcedure="false">Demand_Fresh!$A$1:$F$97</definedName>
    <definedName function="false" hidden="false" localSheetId="1" name="_xlnm._FilterDatabase_0_0_0_0_0_0_0_0_0_0_0_0_0_0_0_0_0_0_0_0_0_0_0" vbProcedure="false">Demand_Fresh!$A$1:$F$169</definedName>
    <definedName function="false" hidden="false" localSheetId="1" name="_xlnm._FilterDatabase_0_0_0_0_0_0_0_0_0_0_0_0_0_0_0_0_0_0_0_0_0_0_0_0" vbProcedure="false">Demand_Fresh!$A$1:$F$169</definedName>
    <definedName function="false" hidden="false" localSheetId="1" name="_xlnm._FilterDatabase_0_0_0_0_0_0_0_0_0_0_0_0_0_0_0_0_0_0_0_0_0_0_0_0_0" vbProcedure="false">Demand_Fresh!$A$1:$F$169</definedName>
    <definedName function="false" hidden="false" localSheetId="1" name="_xlnm._FilterDatabase_0_0_0_0_0_0_0_0_0_0_0_0_0_0_0_0_0_0_0_0_0_0_0_0_0_0" vbProcedure="false">Demand_Fresh!$A$1:$F$169</definedName>
    <definedName function="false" hidden="false" localSheetId="1" name="_xlnm._FilterDatabase_0_0_0_0_0_0_0_0_0_0_0_0_0_0_0_0_0_0_0_0_0_0_0_0_0_0_0" vbProcedure="false">Demand_Fresh!$A$1:$F$169</definedName>
    <definedName function="false" hidden="false" localSheetId="1" name="_xlnm._FilterDatabase_0_0_0_0_0_0_0_0_0_0_0_0_0_0_0_0_0_0_0_0_0_0_0_0_0_0_0_0" vbProcedure="false">Demand_Fresh!$A$1:$F$169</definedName>
    <definedName function="false" hidden="false" localSheetId="2" name="_xlnm._FilterDatabase" vbProcedure="false">Demand_Frozen!$A$1:$E$120</definedName>
    <definedName function="false" hidden="false" localSheetId="2" name="_xlnm._FilterDatabase_0" vbProcedure="false">Demand_Frozen!$A$1:$E$120</definedName>
    <definedName function="false" hidden="false" localSheetId="2" name="_xlnm._FilterDatabase_0_0" vbProcedure="false">Demand_Frozen!$A$1:$E$120</definedName>
    <definedName function="false" hidden="false" localSheetId="2" name="_xlnm._FilterDatabase_0_0_0" vbProcedure="false">Demand_Frozen!$A$1:$E$120</definedName>
    <definedName function="false" hidden="false" localSheetId="2" name="_xlnm._FilterDatabase_0_0_0_0" vbProcedure="false">Demand_Frozen!$A$1:$E$120</definedName>
    <definedName function="false" hidden="false" localSheetId="2" name="_xlnm._FilterDatabase_0_0_0_0_0" vbProcedure="false">Demand_Frozen!$A$1:$E$120</definedName>
    <definedName function="false" hidden="false" localSheetId="2" name="_xlnm._FilterDatabase_0_0_0_0_0_0" vbProcedure="false">Demand_Frozen!$A$1:$E$120</definedName>
    <definedName function="false" hidden="false" localSheetId="2" name="_xlnm._FilterDatabase_0_0_0_0_0_0_0" vbProcedure="false">Demand_Frozen!$A$1:$E$120</definedName>
    <definedName function="false" hidden="false" localSheetId="2" name="_xlnm._FilterDatabase_0_0_0_0_0_0_0_0" vbProcedure="false">Demand_Frozen!$A$1:$E$120</definedName>
    <definedName function="false" hidden="false" localSheetId="2" name="_xlnm._FilterDatabase_0_0_0_0_0_0_0_0_0" vbProcedure="false">Demand_Frozen!$A$1:$E$120</definedName>
    <definedName function="false" hidden="false" localSheetId="2" name="_xlnm._FilterDatabase_0_0_0_0_0_0_0_0_0_0" vbProcedure="false">Demand_Frozen!$A$1:$E$120</definedName>
    <definedName function="false" hidden="false" localSheetId="2" name="_xlnm._FilterDatabase_0_0_0_0_0_0_0_0_0_0_0" vbProcedure="false">Demand_Frozen!$A$1:$E$120</definedName>
    <definedName function="false" hidden="false" localSheetId="2" name="_xlnm._FilterDatabase_0_0_0_0_0_0_0_0_0_0_0_0" vbProcedure="false">Demand_Frozen!$A$1:$E$120</definedName>
    <definedName function="false" hidden="false" localSheetId="2" name="_xlnm._FilterDatabase_0_0_0_0_0_0_0_0_0_0_0_0_0" vbProcedure="false">Demand_Frozen!$A$1:$E$120</definedName>
    <definedName function="false" hidden="false" localSheetId="2" name="_xlnm._FilterDatabase_0_0_0_0_0_0_0_0_0_0_0_0_0_0" vbProcedure="false">Demand_Frozen!$A$1:$E$120</definedName>
    <definedName function="false" hidden="false" localSheetId="2" name="_xlnm._FilterDatabase_0_0_0_0_0_0_0_0_0_0_0_0_0_0_0" vbProcedure="false">Demand_Frozen!$A$1:$E$120</definedName>
    <definedName function="false" hidden="false" localSheetId="2" name="_xlnm._FilterDatabase_0_0_0_0_0_0_0_0_0_0_0_0_0_0_0_0" vbProcedure="false">Demand_Frozen!$A$1:$E$120</definedName>
    <definedName function="false" hidden="false" localSheetId="2" name="_xlnm._FilterDatabase_0_0_0_0_0_0_0_0_0_0_0_0_0_0_0_0_0" vbProcedure="false">Demand_Frozen!$A$1:$E$120</definedName>
    <definedName function="false" hidden="false" localSheetId="2" name="_xlnm._FilterDatabase_0_0_0_0_0_0_0_0_0_0_0_0_0_0_0_0_0_0" vbProcedure="false">Demand_Frozen!$A$1:$E$120</definedName>
    <definedName function="false" hidden="false" localSheetId="3" name="_FilterDatabase_0" vbProcedure="false">Initial_Inventory!$A$1:$B$336</definedName>
    <definedName function="false" hidden="false" localSheetId="3" name="_xlnm._FilterDatabase" vbProcedure="false">Initial_Inventory!$A$1:$B$239</definedName>
    <definedName function="false" hidden="false" localSheetId="3" name="_xlnm._FilterDatabase_0" vbProcedure="false">Initial_Inventory!$A$1:$B$336</definedName>
    <definedName function="false" hidden="false" localSheetId="3" name="_xlnm._FilterDatabase_0_0" vbProcedure="false">Initial_Inventory!$A$1:$B$239</definedName>
    <definedName function="false" hidden="false" localSheetId="3" name="_xlnm._FilterDatabase_0_0_0" vbProcedure="false">Initial_Inventory!$A$1:$B$336</definedName>
    <definedName function="false" hidden="false" localSheetId="3" name="_xlnm._FilterDatabase_0_0_0_0" vbProcedure="false">Initial_Inventory!$A$1:$B$239</definedName>
    <definedName function="false" hidden="false" localSheetId="3" name="_xlnm._FilterDatabase_0_0_0_0_0" vbProcedure="false">Initial_Inventory!$A$1:$B$336</definedName>
    <definedName function="false" hidden="false" localSheetId="3" name="_xlnm._FilterDatabase_0_0_0_0_0_0" vbProcedure="false">Initial_Inventory!$A$1:$B$239</definedName>
    <definedName function="false" hidden="false" localSheetId="3" name="_xlnm._FilterDatabase_0_0_0_0_0_0_0" vbProcedure="false">Initial_Inventory!$A$1:$B$336</definedName>
    <definedName function="false" hidden="false" localSheetId="3" name="_xlnm._FilterDatabase_0_0_0_0_0_0_0_0" vbProcedure="false">Initial_Inventory!$A$1:$B$239</definedName>
    <definedName function="false" hidden="false" localSheetId="3" name="_xlnm._FilterDatabase_0_0_0_0_0_0_0_0_0" vbProcedure="false">Initial_Inventory!$A$1:$B$336</definedName>
    <definedName function="false" hidden="false" localSheetId="3" name="_xlnm._FilterDatabase_0_0_0_0_0_0_0_0_0_0" vbProcedure="false">Initial_Inventory!$A$1:$B$336</definedName>
    <definedName function="false" hidden="false" localSheetId="3" name="_xlnm._FilterDatabase_0_0_0_0_0_0_0_0_0_0_0" vbProcedure="false">Initial_Inventory!$A$1:$B$336</definedName>
    <definedName function="false" hidden="false" localSheetId="3" name="_xlnm._FilterDatabase_0_0_0_0_0_0_0_0_0_0_0_0" vbProcedure="false">Initial_Inventory!$A$1:$B$336</definedName>
    <definedName function="false" hidden="false" localSheetId="3" name="_xlnm._FilterDatabase_0_0_0_0_0_0_0_0_0_0_0_0_0" vbProcedure="false">Initial_Inventory!$A$1:$B$336</definedName>
    <definedName function="false" hidden="false" localSheetId="3" name="_xlnm._FilterDatabase_0_0_0_0_0_0_0_0_0_0_0_0_0_0" vbProcedure="false">Initial_Inventory!$A$1:$B$336</definedName>
    <definedName function="false" hidden="false" localSheetId="3" name="_xlnm._FilterDatabase_0_0_0_0_0_0_0_0_0_0_0_0_0_0_0" vbProcedure="false">Initial_Inventory!$A$1:$B$336</definedName>
    <definedName function="false" hidden="false" localSheetId="3" name="_xlnm._FilterDatabase_0_0_0_0_0_0_0_0_0_0_0_0_0_0_0_0" vbProcedure="false">Initial_Inventory!$A$1:$B$336</definedName>
    <definedName function="false" hidden="false" localSheetId="3" name="_xlnm._FilterDatabase_0_0_0_0_0_0_0_0_0_0_0_0_0_0_0_0_0" vbProcedure="false">Initial_Inventory!$A$1:$B$336</definedName>
    <definedName function="false" hidden="false" localSheetId="3" name="_xlnm._FilterDatabase_0_0_0_0_0_0_0_0_0_0_0_0_0_0_0_0_0_0" vbProcedure="false">Initial_Inventory!$A$1:$B$336</definedName>
    <definedName function="false" hidden="false" localSheetId="3" name="_xlnm._FilterDatabase_0_0_0_0_0_0_0_0_0_0_0_0_0_0_0_0_0_0_0" vbProcedure="false">Initial_Inventory!$A$1:$B$336</definedName>
    <definedName function="false" hidden="false" localSheetId="3" name="_xlnm._FilterDatabase_0_0_0_0_0_0_0_0_0_0_0_0_0_0_0_0_0_0_0_0" vbProcedure="false">Initial_Inventory!$A$1:$B$336</definedName>
    <definedName function="false" hidden="false" localSheetId="3" name="_xlnm._FilterDatabase_0_0_0_0_0_0_0_0_0_0_0_0_0_0_0_0_0_0_0_0_0" vbProcedure="false">Initial_Inventory!$A$1:$B$336</definedName>
    <definedName function="false" hidden="false" localSheetId="3" name="_xlnm._FilterDatabase_0_0_0_0_0_0_0_0_0_0_0_0_0_0_0_0_0_0_0_0_0_0" vbProcedure="false">Initial_Inventory!$A$1:$B$336</definedName>
    <definedName function="false" hidden="false" localSheetId="3" name="_xlnm._FilterDatabase_0_0_0_0_0_0_0_0_0_0_0_0_0_0_0_0_0_0_0_0_0_0_0" vbProcedure="false">Initial_Inventory!$A$1:$B$336</definedName>
    <definedName function="false" hidden="false" localSheetId="3" name="_xlnm._FilterDatabase_0_0_0_0_0_0_0_0_0_0_0_0_0_0_0_0_0_0_0_0_0_0_0_0" vbProcedure="false">Initial_Inventory!$A$1:$B$336</definedName>
    <definedName function="false" hidden="false" localSheetId="3" name="_xlnm._FilterDatabase_0_0_0_0_0_0_0_0_0_0_0_0_0_0_0_0_0_0_0_0_0_0_0_0_0" vbProcedure="false">Initial_Inventory!$A$1:$B$336</definedName>
    <definedName function="false" hidden="false" localSheetId="3" name="_xlnm._FilterDatabase_0_0_0_0_0_0_0_0_0_0_0_0_0_0_0_0_0_0_0_0_0_0_0_0_0_0" vbProcedure="false">Initial_Inventory!$A$1:$B$336</definedName>
    <definedName function="false" hidden="false" localSheetId="3" name="_xlnm._FilterDatabase_0_0_0_0_0_0_0_0_0_0_0_0_0_0_0_0_0_0_0_0_0_0_0_0_0_0_0" vbProcedure="false">Initial_Inventory!$A$1:$B$336</definedName>
    <definedName function="false" hidden="false" localSheetId="3" name="_xlnm._FilterDatabase_0_0_0_0_0_0_0_0_0_0_0_0_0_0_0_0_0_0_0_0_0_0_0_0_0_0_0_0" vbProcedure="false">Initial_Inventory!$A$1:$B$336</definedName>
    <definedName function="false" hidden="false" localSheetId="4" name="_xlnm._FilterDatabase" vbProcedure="false">Selling_Price_Fresh!$A$1:$N$97</definedName>
    <definedName function="false" hidden="false" localSheetId="4" name="_xlnm._FilterDatabase_0" vbProcedure="false">Selling_Price_Fresh!$A$1:$N$97</definedName>
    <definedName function="false" hidden="false" localSheetId="4" name="_xlnm._FilterDatabase_0_0" vbProcedure="false">Selling_Price_Fresh!$A$1:$N$97</definedName>
    <definedName function="false" hidden="false" localSheetId="4" name="_xlnm._FilterDatabase_0_0_0" vbProcedure="false">Selling_Price_Fresh!$A$1:$N$97</definedName>
    <definedName function="false" hidden="false" localSheetId="4" name="_xlnm._FilterDatabase_0_0_0_0" vbProcedure="false">Selling_Price_Fresh!$A$1:$N$97</definedName>
    <definedName function="false" hidden="false" localSheetId="4" name="_xlnm._FilterDatabase_0_0_0_0_0" vbProcedure="false">Selling_Price_Fresh!$A$1:$N$97</definedName>
    <definedName function="false" hidden="false" localSheetId="4" name="_xlnm._FilterDatabase_0_0_0_0_0_0" vbProcedure="false">Selling_Price_Fresh!$A$1:$N$97</definedName>
    <definedName function="false" hidden="false" localSheetId="4" name="_xlnm._FilterDatabase_0_0_0_0_0_0_0" vbProcedure="false">Selling_Price_Fresh!$A$1:$N$97</definedName>
    <definedName function="false" hidden="false" localSheetId="4" name="_xlnm._FilterDatabase_0_0_0_0_0_0_0_0" vbProcedure="false">Selling_Price_Fresh!$A$1:$N$97</definedName>
    <definedName function="false" hidden="false" localSheetId="4" name="_xlnm._FilterDatabase_0_0_0_0_0_0_0_0_0" vbProcedure="false">Selling_Price_Fresh!$A$1:$N$97</definedName>
    <definedName function="false" hidden="false" localSheetId="4" name="_xlnm._FilterDatabase_0_0_0_0_0_0_0_0_0_0" vbProcedure="false">Selling_Price_Fresh!$A$1:$N$97</definedName>
    <definedName function="false" hidden="false" localSheetId="4" name="_xlnm._FilterDatabase_0_0_0_0_0_0_0_0_0_0_0" vbProcedure="false">Selling_Price_Fresh!$A$1:$N$97</definedName>
    <definedName function="false" hidden="false" localSheetId="4" name="_xlnm._FilterDatabase_0_0_0_0_0_0_0_0_0_0_0_0" vbProcedure="false">Selling_Price_Fresh!$A$1:$N$97</definedName>
    <definedName function="false" hidden="false" localSheetId="4" name="_xlnm._FilterDatabase_0_0_0_0_0_0_0_0_0_0_0_0_0" vbProcedure="false">Selling_Price_Fresh!$A$1:$N$97</definedName>
    <definedName function="false" hidden="false" localSheetId="4" name="_xlnm._FilterDatabase_0_0_0_0_0_0_0_0_0_0_0_0_0_0" vbProcedure="false">Selling_Price_Fresh!$A$1:$N$97</definedName>
    <definedName function="false" hidden="false" localSheetId="4" name="_xlnm._FilterDatabase_0_0_0_0_0_0_0_0_0_0_0_0_0_0_0" vbProcedure="false">Selling_Price_Fresh!$A$1:$N$97</definedName>
    <definedName function="false" hidden="false" localSheetId="4" name="_xlnm._FilterDatabase_0_0_0_0_0_0_0_0_0_0_0_0_0_0_0_0" vbProcedure="false">Selling_Price_Fresh!$A$1:$N$97</definedName>
    <definedName function="false" hidden="false" localSheetId="4" name="_xlnm._FilterDatabase_0_0_0_0_0_0_0_0_0_0_0_0_0_0_0_0_0" vbProcedure="false">Selling_Price_Fresh!$A$1:$N$97</definedName>
    <definedName function="false" hidden="false" localSheetId="4" name="_xlnm._FilterDatabase_0_0_0_0_0_0_0_0_0_0_0_0_0_0_0_0_0_0" vbProcedure="false">Selling_Price_Fresh!$A$1:$N$97</definedName>
    <definedName function="false" hidden="false" localSheetId="4" name="_xlnm._FilterDatabase_0_0_0_0_0_0_0_0_0_0_0_0_0_0_0_0_0_0_0" vbProcedure="false">Selling_Price_Fresh!$A$1:$N$97</definedName>
    <definedName function="false" hidden="false" localSheetId="4" name="_xlnm._FilterDatabase_0_0_0_0_0_0_0_0_0_0_0_0_0_0_0_0_0_0_0_0" vbProcedure="false">Selling_Price_Fresh!$A$1:$N$97</definedName>
    <definedName function="false" hidden="false" localSheetId="4" name="_xlnm._FilterDatabase_0_0_0_0_0_0_0_0_0_0_0_0_0_0_0_0_0_0_0_0_0" vbProcedure="false">Selling_Price_Fresh!$A$1:$N$97</definedName>
    <definedName function="false" hidden="false" localSheetId="4" name="_xlnm._FilterDatabase_0_0_0_0_0_0_0_0_0_0_0_0_0_0_0_0_0_0_0_0_0_0" vbProcedure="false">Selling_Price_Fresh!$A$1:$N$97</definedName>
    <definedName function="false" hidden="false" localSheetId="4" name="_xlnm._FilterDatabase_0_0_0_0_0_0_0_0_0_0_0_0_0_0_0_0_0_0_0_0_0_0_0" vbProcedure="false">Selling_Price_Fresh!$A$1:$N$97</definedName>
    <definedName function="false" hidden="false" localSheetId="4" name="_xlnm._FilterDatabase_0_0_0_0_0_0_0_0_0_0_0_0_0_0_0_0_0_0_0_0_0_0_0_0" vbProcedure="false">Selling_Price_Fresh!$A$1:$N$97</definedName>
    <definedName function="false" hidden="false" localSheetId="4" name="_xlnm._FilterDatabase_0_0_0_0_0_0_0_0_0_0_0_0_0_0_0_0_0_0_0_0_0_0_0_0_0" vbProcedure="false">Selling_Price_Fresh!$A$1:$N$97</definedName>
    <definedName function="false" hidden="false" localSheetId="4" name="_xlnm._FilterDatabase_0_0_0_0_0_0_0_0_0_0_0_0_0_0_0_0_0_0_0_0_0_0_0_0_0_0" vbProcedure="false">Selling_Price_Fresh!$A$1:$N$97</definedName>
    <definedName function="false" hidden="false" localSheetId="4" name="_xlnm._FilterDatabase_0_0_0_0_0_0_0_0_0_0_0_0_0_0_0_0_0_0_0_0_0_0_0_0_0_0_0" vbProcedure="false">Selling_Price_Fresh!$A$1:$N$97</definedName>
    <definedName function="false" hidden="false" localSheetId="4" name="_xlnm._FilterDatabase_0_0_0_0_0_0_0_0_0_0_0_0_0_0_0_0_0_0_0_0_0_0_0_0_0_0_0_0" vbProcedure="false">Selling_Price_Fresh!$A$1:$N$97</definedName>
    <definedName function="false" hidden="false" localSheetId="6" name="_xlnm._FilterDatabase" vbProcedure="false">Penalty_Fresh!$A$1:$O$169</definedName>
    <definedName function="false" hidden="false" localSheetId="6" name="_xlnm._FilterDatabase_0" vbProcedure="false">Penalty_Fresh!$A$1:$O$169</definedName>
    <definedName function="false" hidden="false" localSheetId="6" name="_xlnm._FilterDatabase_0_0" vbProcedure="false">Penalty_Fresh!$A$1:$O$169</definedName>
    <definedName function="false" hidden="false" localSheetId="6" name="_xlnm._FilterDatabase_0_0_0" vbProcedure="false">Penalty_Fresh!$A$1:$O$169</definedName>
    <definedName function="false" hidden="false" localSheetId="6" name="_xlnm._FilterDatabase_0_0_0_0" vbProcedure="false">Penalty_Fresh!$A$1:$O$169</definedName>
    <definedName function="false" hidden="false" localSheetId="6" name="_xlnm._FilterDatabase_0_0_0_0_0" vbProcedure="false">Penalty_Fresh!$A$1:$O$169</definedName>
    <definedName function="false" hidden="false" localSheetId="6" name="_xlnm._FilterDatabase_0_0_0_0_0_0" vbProcedure="false">Penalty_Fresh!$A$1:$O$169</definedName>
    <definedName function="false" hidden="false" localSheetId="6" name="_xlnm._FilterDatabase_0_0_0_0_0_0_0" vbProcedure="false">Penalty_Fresh!$A$1:$O$169</definedName>
    <definedName function="false" hidden="false" localSheetId="6" name="_xlnm._FilterDatabase_0_0_0_0_0_0_0_0" vbProcedure="false">Penalty_Fresh!$A$1:$O$169</definedName>
    <definedName function="false" hidden="false" localSheetId="6" name="_xlnm._FilterDatabase_0_0_0_0_0_0_0_0_0" vbProcedure="false">Penalty_Fresh!$A$1:$O$169</definedName>
    <definedName function="false" hidden="false" localSheetId="6" name="_xlnm._FilterDatabase_0_0_0_0_0_0_0_0_0_0" vbProcedure="false">Penalty_Fresh!$A$1:$O$169</definedName>
    <definedName function="false" hidden="false" localSheetId="6" name="_xlnm._FilterDatabase_0_0_0_0_0_0_0_0_0_0_0" vbProcedure="false">Penalty_Fresh!$A$1:$O$169</definedName>
    <definedName function="false" hidden="false" localSheetId="6" name="_xlnm._FilterDatabase_0_0_0_0_0_0_0_0_0_0_0_0" vbProcedure="false">Penalty_Fresh!$A$1:$O$169</definedName>
    <definedName function="false" hidden="false" localSheetId="6" name="_xlnm._FilterDatabase_0_0_0_0_0_0_0_0_0_0_0_0_0" vbProcedure="false">Penalty_Fresh!$A$1:$O$169</definedName>
    <definedName function="false" hidden="false" localSheetId="6" name="_xlnm._FilterDatabase_0_0_0_0_0_0_0_0_0_0_0_0_0_0" vbProcedure="false">Penalty_Fresh!$A$1:$O$169</definedName>
    <definedName function="false" hidden="false" localSheetId="6" name="_xlnm._FilterDatabase_0_0_0_0_0_0_0_0_0_0_0_0_0_0_0" vbProcedure="false">Penalty_Fresh!$A$1:$O$169</definedName>
    <definedName function="false" hidden="false" localSheetId="6" name="_xlnm._FilterDatabase_0_0_0_0_0_0_0_0_0_0_0_0_0_0_0_0" vbProcedure="false">Penalty_Fresh!$A$1:$O$169</definedName>
    <definedName function="false" hidden="false" localSheetId="6" name="_xlnm._FilterDatabase_0_0_0_0_0_0_0_0_0_0_0_0_0_0_0_0_0" vbProcedure="false">Penalty_Fresh!$A$1:$O$169</definedName>
    <definedName function="false" hidden="false" localSheetId="6" name="_xlnm._FilterDatabase_0_0_0_0_0_0_0_0_0_0_0_0_0_0_0_0_0_0" vbProcedure="false">Penalty_Fresh!$A$1:$O$169</definedName>
    <definedName function="false" hidden="false" localSheetId="6" name="_xlnm._FilterDatabase_0_0_0_0_0_0_0_0_0_0_0_0_0_0_0_0_0_0_0" vbProcedure="false">Penalty_Fresh!$A$1:$O$169</definedName>
    <definedName function="false" hidden="false" localSheetId="6" name="_xlnm._FilterDatabase_0_0_0_0_0_0_0_0_0_0_0_0_0_0_0_0_0_0_0_0" vbProcedure="false">Penalty_Fresh!$A$1:$O$169</definedName>
    <definedName function="false" hidden="false" localSheetId="6" name="_xlnm._FilterDatabase_0_0_0_0_0_0_0_0_0_0_0_0_0_0_0_0_0_0_0_0_0" vbProcedure="false">Penalty_Fresh!$A$1:$O$169</definedName>
    <definedName function="false" hidden="false" localSheetId="6" name="_xlnm._FilterDatabase_0_0_0_0_0_0_0_0_0_0_0_0_0_0_0_0_0_0_0_0_0_0" vbProcedure="false">Penalty_Fresh!$A$1:$O$169</definedName>
    <definedName function="false" hidden="false" localSheetId="6" name="_xlnm._FilterDatabase_0_0_0_0_0_0_0_0_0_0_0_0_0_0_0_0_0_0_0_0_0_0_0" vbProcedure="false">Penalty_Fresh!$A$1:$O$169</definedName>
    <definedName function="false" hidden="false" localSheetId="6" name="_xlnm._FilterDatabase_0_0_0_0_0_0_0_0_0_0_0_0_0_0_0_0_0_0_0_0_0_0_0_0" vbProcedure="false">Penalty_Fresh!$A$1:$O$169</definedName>
    <definedName function="false" hidden="false" localSheetId="6" name="_xlnm._FilterDatabase_0_0_0_0_0_0_0_0_0_0_0_0_0_0_0_0_0_0_0_0_0_0_0_0_0" vbProcedure="false">Penalty_Fresh!$A$1:$O$169</definedName>
    <definedName function="false" hidden="false" localSheetId="6" name="_xlnm._FilterDatabase_0_0_0_0_0_0_0_0_0_0_0_0_0_0_0_0_0_0_0_0_0_0_0_0_0_0" vbProcedure="false">Penalty_Fresh!$A$1:$O$169</definedName>
    <definedName function="false" hidden="false" localSheetId="6" name="_xlnm._FilterDatabase_0_0_0_0_0_0_0_0_0_0_0_0_0_0_0_0_0_0_0_0_0_0_0_0_0_0_0" vbProcedure="false">Penalty_Fresh!$A$1:$O$169</definedName>
    <definedName function="false" hidden="false" localSheetId="6" name="_xlnm._FilterDatabase_0_0_0_0_0_0_0_0_0_0_0_0_0_0_0_0_0_0_0_0_0_0_0_0_0_0_0_0" vbProcedure="false">Penalty_Fresh!$A$1:$O$169</definedName>
    <definedName function="false" hidden="false" localSheetId="8" name="_xlnm._FilterDatabase" vbProcedure="false">Holding_Cost_Fresh!$A$1:$N$169</definedName>
    <definedName function="false" hidden="false" localSheetId="8" name="_xlnm._FilterDatabase_0" vbProcedure="false">Holding_Cost_Fresh!$A$1:$N$169</definedName>
    <definedName function="false" hidden="false" localSheetId="8" name="_xlnm._FilterDatabase_0_0" vbProcedure="false">Holding_Cost_Fresh!$A$1:$N$169</definedName>
    <definedName function="false" hidden="false" localSheetId="8" name="_xlnm._FilterDatabase_0_0_0" vbProcedure="false">Holding_Cost_Fresh!$A$1:$N$169</definedName>
    <definedName function="false" hidden="false" localSheetId="8" name="_xlnm._FilterDatabase_0_0_0_0" vbProcedure="false">Holding_Cost_Fresh!$A$1:$N$169</definedName>
    <definedName function="false" hidden="false" localSheetId="8" name="_xlnm._FilterDatabase_0_0_0_0_0" vbProcedure="false">Holding_Cost_Fresh!$A$1:$N$169</definedName>
    <definedName function="false" hidden="false" localSheetId="8" name="_xlnm._FilterDatabase_0_0_0_0_0_0" vbProcedure="false">Holding_Cost_Fresh!$A$1:$N$169</definedName>
    <definedName function="false" hidden="false" localSheetId="8" name="_xlnm._FilterDatabase_0_0_0_0_0_0_0" vbProcedure="false">Holding_Cost_Fresh!$A$1:$N$169</definedName>
    <definedName function="false" hidden="false" localSheetId="8" name="_xlnm._FilterDatabase_0_0_0_0_0_0_0_0" vbProcedure="false">Holding_Cost_Fresh!$A$1:$N$169</definedName>
    <definedName function="false" hidden="false" localSheetId="8" name="_xlnm._FilterDatabase_0_0_0_0_0_0_0_0_0" vbProcedure="false">Holding_Cost_Fresh!$A$1:$N$169</definedName>
    <definedName function="false" hidden="false" localSheetId="8" name="_xlnm._FilterDatabase_0_0_0_0_0_0_0_0_0_0" vbProcedure="false">Holding_Cost_Fresh!$A$1:$N$169</definedName>
    <definedName function="false" hidden="false" localSheetId="8" name="_xlnm._FilterDatabase_0_0_0_0_0_0_0_0_0_0_0" vbProcedure="false">Holding_Cost_Fresh!$A$1:$N$169</definedName>
    <definedName function="false" hidden="false" localSheetId="8" name="_xlnm._FilterDatabase_0_0_0_0_0_0_0_0_0_0_0_0" vbProcedure="false">Holding_Cost_Fresh!$A$1:$N$169</definedName>
    <definedName function="false" hidden="false" localSheetId="8" name="_xlnm._FilterDatabase_0_0_0_0_0_0_0_0_0_0_0_0_0" vbProcedure="false">Holding_Cost_Fresh!$A$1:$N$169</definedName>
    <definedName function="false" hidden="false" localSheetId="8" name="_xlnm._FilterDatabase_0_0_0_0_0_0_0_0_0_0_0_0_0_0" vbProcedure="false">Holding_Cost_Fresh!$A$1:$N$169</definedName>
    <definedName function="false" hidden="false" localSheetId="8" name="_xlnm._FilterDatabase_0_0_0_0_0_0_0_0_0_0_0_0_0_0_0" vbProcedure="false">Holding_Cost_Fresh!$A$1:$N$169</definedName>
    <definedName function="false" hidden="false" localSheetId="8" name="_xlnm._FilterDatabase_0_0_0_0_0_0_0_0_0_0_0_0_0_0_0_0" vbProcedure="false">Holding_Cost_Fresh!$A$1:$N$169</definedName>
    <definedName function="false" hidden="false" localSheetId="8" name="_xlnm._FilterDatabase_0_0_0_0_0_0_0_0_0_0_0_0_0_0_0_0_0" vbProcedure="false">Holding_Cost_Fresh!$A$1:$N$169</definedName>
    <definedName function="false" hidden="false" localSheetId="8" name="_xlnm._FilterDatabase_0_0_0_0_0_0_0_0_0_0_0_0_0_0_0_0_0_0" vbProcedure="false">Holding_Cost_Fresh!$A$1:$N$169</definedName>
    <definedName function="false" hidden="false" localSheetId="8" name="_xlnm._FilterDatabase_0_0_0_0_0_0_0_0_0_0_0_0_0_0_0_0_0_0_0" vbProcedure="false">Holding_Cost_Fresh!$A$1:$N$169</definedName>
    <definedName function="false" hidden="false" localSheetId="8" name="_xlnm._FilterDatabase_0_0_0_0_0_0_0_0_0_0_0_0_0_0_0_0_0_0_0_0" vbProcedure="false">Holding_Cost_Fresh!$A$1:$N$169</definedName>
    <definedName function="false" hidden="false" localSheetId="8" name="_xlnm._FilterDatabase_0_0_0_0_0_0_0_0_0_0_0_0_0_0_0_0_0_0_0_0_0" vbProcedure="false">Holding_Cost_Fresh!$A$1:$N$169</definedName>
    <definedName function="false" hidden="false" localSheetId="8" name="_xlnm._FilterDatabase_0_0_0_0_0_0_0_0_0_0_0_0_0_0_0_0_0_0_0_0_0_0" vbProcedure="false">Holding_Cost_Fresh!$A$1:$N$169</definedName>
    <definedName function="false" hidden="false" localSheetId="8" name="_xlnm._FilterDatabase_0_0_0_0_0_0_0_0_0_0_0_0_0_0_0_0_0_0_0_0_0_0_0" vbProcedure="false">Holding_Cost_Fresh!$A$1:$N$169</definedName>
    <definedName function="false" hidden="false" localSheetId="8" name="_xlnm._FilterDatabase_0_0_0_0_0_0_0_0_0_0_0_0_0_0_0_0_0_0_0_0_0_0_0_0" vbProcedure="false">Holding_Cost_Fresh!$A$1:$N$169</definedName>
    <definedName function="false" hidden="false" localSheetId="8" name="_xlnm._FilterDatabase_0_0_0_0_0_0_0_0_0_0_0_0_0_0_0_0_0_0_0_0_0_0_0_0_0" vbProcedure="false">Holding_Cost_Fresh!$A$1:$N$169</definedName>
    <definedName function="false" hidden="false" localSheetId="8" name="_xlnm._FilterDatabase_0_0_0_0_0_0_0_0_0_0_0_0_0_0_0_0_0_0_0_0_0_0_0_0_0_0" vbProcedure="false">Holding_Cost_Fresh!$A$1:$N$169</definedName>
    <definedName function="false" hidden="false" localSheetId="8" name="_xlnm._FilterDatabase_0_0_0_0_0_0_0_0_0_0_0_0_0_0_0_0_0_0_0_0_0_0_0_0_0_0_0" vbProcedure="false">Holding_Cost_Fresh!$A$1:$N$169</definedName>
    <definedName function="false" hidden="false" localSheetId="8" name="_xlnm._FilterDatabase_0_0_0_0_0_0_0_0_0_0_0_0_0_0_0_0_0_0_0_0_0_0_0_0_0_0_0_0" vbProcedure="false">Holding_Cost_Fresh!$A$1:$N$169</definedName>
    <definedName function="false" hidden="false" localSheetId="10" name="_xlnm._FilterDatabase" vbProcedure="false">Operational_Cost!$A$1:$C$216</definedName>
    <definedName function="false" hidden="false" localSheetId="10" name="_xlnm._FilterDatabase_0" vbProcedure="false">Operational_Cost!$A$1:$C$216</definedName>
    <definedName function="false" hidden="false" localSheetId="10" name="_xlnm._FilterDatabase_0_0" vbProcedure="false">Operational_Cost!$A$1:$C$216</definedName>
    <definedName function="false" hidden="false" localSheetId="10" name="_xlnm._FilterDatabase_0_0_0" vbProcedure="false">Operational_Cost!$A$1:$C$216</definedName>
    <definedName function="false" hidden="false" localSheetId="10" name="_xlnm._FilterDatabase_0_0_0_0" vbProcedure="false">Operational_Cost!$A$1:$C$216</definedName>
    <definedName function="false" hidden="false" localSheetId="10" name="_xlnm._FilterDatabase_0_0_0_0_0" vbProcedure="false">Operational_Cost!$A$1:$C$216</definedName>
    <definedName function="false" hidden="false" localSheetId="10" name="_xlnm._FilterDatabase_0_0_0_0_0_0" vbProcedure="false">Operational_Cost!$A$1:$C$216</definedName>
    <definedName function="false" hidden="false" localSheetId="10" name="_xlnm._FilterDatabase_0_0_0_0_0_0_0" vbProcedure="false">Operational_Cost!$A$1:$C$216</definedName>
    <definedName function="false" hidden="false" localSheetId="10" name="_xlnm._FilterDatabase_0_0_0_0_0_0_0_0" vbProcedure="false">Operational_Cost!$A$1:$C$216</definedName>
    <definedName function="false" hidden="false" localSheetId="10" name="_xlnm._FilterDatabase_0_0_0_0_0_0_0_0_0" vbProcedure="false">Operational_Cost!$A$1:$C$216</definedName>
    <definedName function="false" hidden="false" localSheetId="10" name="_xlnm._FilterDatabase_0_0_0_0_0_0_0_0_0_0" vbProcedure="false">Operational_Cost!$A$1:$C$216</definedName>
    <definedName function="false" hidden="false" localSheetId="10" name="_xlnm._FilterDatabase_0_0_0_0_0_0_0_0_0_0_0" vbProcedure="false">Operational_Cost!$A$1:$C$216</definedName>
    <definedName function="false" hidden="false" localSheetId="10" name="_xlnm._FilterDatabase_0_0_0_0_0_0_0_0_0_0_0_0" vbProcedure="false">Operational_Cost!$A$1:$C$216</definedName>
    <definedName function="false" hidden="false" localSheetId="10" name="_xlnm._FilterDatabase_0_0_0_0_0_0_0_0_0_0_0_0_0" vbProcedure="false">Operational_Cost!$A$1:$C$216</definedName>
    <definedName function="false" hidden="false" localSheetId="10" name="_xlnm._FilterDatabase_0_0_0_0_0_0_0_0_0_0_0_0_0_0" vbProcedure="false">Operational_Cost!$A$1:$C$216</definedName>
    <definedName function="false" hidden="false" localSheetId="10" name="_xlnm._FilterDatabase_0_0_0_0_0_0_0_0_0_0_0_0_0_0_0" vbProcedure="false">Operational_Cost!$A$1:$C$216</definedName>
    <definedName function="false" hidden="false" localSheetId="10" name="_xlnm._FilterDatabase_0_0_0_0_0_0_0_0_0_0_0_0_0_0_0_0" vbProcedure="false">Operational_Cost!$A$1:$C$216</definedName>
    <definedName function="false" hidden="false" localSheetId="10" name="_xlnm._FilterDatabase_0_0_0_0_0_0_0_0_0_0_0_0_0_0_0_0_0" vbProcedure="false">Operational_Cost!$A$1:$C$216</definedName>
    <definedName function="false" hidden="false" localSheetId="10" name="_xlnm._FilterDatabase_0_0_0_0_0_0_0_0_0_0_0_0_0_0_0_0_0_0" vbProcedure="false">Operational_Cost!$A$1:$C$216</definedName>
    <definedName function="false" hidden="false" localSheetId="10" name="_xlnm._FilterDatabase_0_0_0_0_0_0_0_0_0_0_0_0_0_0_0_0_0_0_0" vbProcedure="false">Operational_Cost!$A$1:$C$216</definedName>
    <definedName function="false" hidden="false" localSheetId="10" name="_xlnm._FilterDatabase_0_0_0_0_0_0_0_0_0_0_0_0_0_0_0_0_0_0_0_0" vbProcedure="false">Operational_Cost!$A$1:$C$216</definedName>
    <definedName function="false" hidden="false" localSheetId="10" name="_xlnm._FilterDatabase_0_0_0_0_0_0_0_0_0_0_0_0_0_0_0_0_0_0_0_0_0" vbProcedure="false">Operational_Cost!$A$1:$C$216</definedName>
    <definedName function="false" hidden="false" localSheetId="10" name="_xlnm._FilterDatabase_0_0_0_0_0_0_0_0_0_0_0_0_0_0_0_0_0_0_0_0_0_0" vbProcedure="false">Operational_Cost!$A$1:$C$216</definedName>
    <definedName function="false" hidden="false" localSheetId="10" name="_xlnm._FilterDatabase_0_0_0_0_0_0_0_0_0_0_0_0_0_0_0_0_0_0_0_0_0_0_0" vbProcedure="false">Operational_Cost!$A$1:$C$216</definedName>
    <definedName function="false" hidden="false" localSheetId="10" name="_xlnm._FilterDatabase_0_0_0_0_0_0_0_0_0_0_0_0_0_0_0_0_0_0_0_0_0_0_0_0" vbProcedure="false">Operational_Cost!$A$1:$C$216</definedName>
    <definedName function="false" hidden="false" localSheetId="10" name="_xlnm._FilterDatabase_0_0_0_0_0_0_0_0_0_0_0_0_0_0_0_0_0_0_0_0_0_0_0_0_0" vbProcedure="false">Operational_Cost!$A$1:$C$216</definedName>
    <definedName function="false" hidden="false" localSheetId="10" name="_xlnm._FilterDatabase_0_0_0_0_0_0_0_0_0_0_0_0_0_0_0_0_0_0_0_0_0_0_0_0_0_0" vbProcedure="false">Operational_Cost!$A$1:$C$216</definedName>
    <definedName function="false" hidden="false" localSheetId="10" name="_xlnm._FilterDatabase_0_0_0_0_0_0_0_0_0_0_0_0_0_0_0_0_0_0_0_0_0_0_0_0_0_0_0" vbProcedure="false">Operational_Cost!$A$1:$C$216</definedName>
    <definedName function="false" hidden="false" localSheetId="10" name="_xlnm._FilterDatabase_0_0_0_0_0_0_0_0_0_0_0_0_0_0_0_0_0_0_0_0_0_0_0_0_0_0_0_0" vbProcedure="false">Operational_Cost!$A$1:$C$216</definedName>
    <definedName function="false" hidden="false" localSheetId="13" name="_xlnm._FilterDatabase" vbProcedure="false">Cutting_Pattern!$A$1:$G$2</definedName>
    <definedName function="false" hidden="false" localSheetId="13" name="_xlnm._FilterDatabase_0" vbProcedure="false">Cutting_Pattern!$A$1:$G$2</definedName>
    <definedName function="false" hidden="false" localSheetId="13" name="_xlnm._FilterDatabase_0_0" vbProcedure="false">Cutting_Pattern!$A$1:$G$2</definedName>
    <definedName function="false" hidden="false" localSheetId="13" name="_xlnm._FilterDatabase_0_0_0" vbProcedure="false">Cutting_Pattern!$A$1:$G$2</definedName>
    <definedName function="false" hidden="false" localSheetId="13" name="_xlnm._FilterDatabase_0_0_0_0" vbProcedure="false">Cutting_Pattern!$A$1:$G$2</definedName>
    <definedName function="false" hidden="false" localSheetId="13" name="_xlnm._FilterDatabase_0_0_0_0_0" vbProcedure="false">Cutting_Pattern!$A$1:$G$2</definedName>
    <definedName function="false" hidden="false" localSheetId="13" name="_xlnm._FilterDatabase_0_0_0_0_0_0" vbProcedure="false">Cutting_Pattern!$A$1:$G$2</definedName>
    <definedName function="false" hidden="false" localSheetId="13" name="_xlnm._FilterDatabase_0_0_0_0_0_0_0" vbProcedure="false">Cutting_Pattern!$A$1:$G$2</definedName>
    <definedName function="false" hidden="false" localSheetId="13" name="_xlnm._FilterDatabase_0_0_0_0_0_0_0_0" vbProcedure="false">Cutting_Pattern!$A$1:$G$2</definedName>
    <definedName function="false" hidden="false" localSheetId="13" name="_xlnm._FilterDatabase_0_0_0_0_0_0_0_0_0" vbProcedure="false">Cutting_Pattern!$A$1:$G$2</definedName>
    <definedName function="false" hidden="false" localSheetId="13" name="_xlnm._FilterDatabase_0_0_0_0_0_0_0_0_0_0" vbProcedure="false">Cutting_Pattern!$A$1:$G$2</definedName>
    <definedName function="false" hidden="false" localSheetId="13" name="_xlnm._FilterDatabase_0_0_0_0_0_0_0_0_0_0_0" vbProcedure="false">Cutting_Pattern!$A$1:$G$2</definedName>
    <definedName function="false" hidden="false" localSheetId="13" name="_xlnm._FilterDatabase_0_0_0_0_0_0_0_0_0_0_0_0" vbProcedure="false">Cutting_Pattern!$A$1:$G$2</definedName>
    <definedName function="false" hidden="false" localSheetId="13" name="_xlnm._FilterDatabase_0_0_0_0_0_0_0_0_0_0_0_0_0" vbProcedure="false">Cutting_Pattern!$A$1:$G$2</definedName>
    <definedName function="false" hidden="false" localSheetId="13" name="_xlnm._FilterDatabase_0_0_0_0_0_0_0_0_0_0_0_0_0_0" vbProcedure="false">Cutting_Pattern!$A$1:$G$2</definedName>
    <definedName function="false" hidden="false" localSheetId="13" name="_xlnm._FilterDatabase_0_0_0_0_0_0_0_0_0_0_0_0_0_0_0" vbProcedure="false">Cutting_Pattern!$A$1:$G$2</definedName>
    <definedName function="false" hidden="false" localSheetId="13" name="_xlnm._FilterDatabase_0_0_0_0_0_0_0_0_0_0_0_0_0_0_0_0" vbProcedure="false">Cutting_Pattern!$A$1:$G$2</definedName>
    <definedName function="false" hidden="false" localSheetId="13" name="_xlnm._FilterDatabase_0_0_0_0_0_0_0_0_0_0_0_0_0_0_0_0_0" vbProcedure="false">Cutting_Pattern!$A$1:$G$2</definedName>
    <definedName function="false" hidden="false" localSheetId="13" name="_xlnm._FilterDatabase_0_0_0_0_0_0_0_0_0_0_0_0_0_0_0_0_0_0" vbProcedure="false">Cutting_Pattern!$A$1:$G$2</definedName>
    <definedName function="false" hidden="false" localSheetId="13" name="_xlnm._FilterDatabase_0_0_0_0_0_0_0_0_0_0_0_0_0_0_0_0_0_0_0" vbProcedure="false">Cutting_Pattern!$A$1:$G$2</definedName>
    <definedName function="false" hidden="false" localSheetId="13" name="_xlnm._FilterDatabase_0_0_0_0_0_0_0_0_0_0_0_0_0_0_0_0_0_0_0_0" vbProcedure="false">Cutting_Pattern!$A$1:$G$2</definedName>
    <definedName function="false" hidden="false" localSheetId="13" name="_xlnm._FilterDatabase_0_0_0_0_0_0_0_0_0_0_0_0_0_0_0_0_0_0_0_0_0" vbProcedure="false">Cutting_Pattern!$A$1:$G$2</definedName>
    <definedName function="false" hidden="false" localSheetId="13" name="_xlnm._FilterDatabase_0_0_0_0_0_0_0_0_0_0_0_0_0_0_0_0_0_0_0_0_0_0" vbProcedure="false">Cutting_Pattern!$A$1:$G$2</definedName>
    <definedName function="false" hidden="false" localSheetId="13" name="_xlnm._FilterDatabase_0_0_0_0_0_0_0_0_0_0_0_0_0_0_0_0_0_0_0_0_0_0_0" vbProcedure="false">Cutting_Pattern!$A$1:$G$2</definedName>
    <definedName function="false" hidden="false" localSheetId="13" name="_xlnm._FilterDatabase_0_0_0_0_0_0_0_0_0_0_0_0_0_0_0_0_0_0_0_0_0_0_0_0" vbProcedure="false">Cutting_Pattern!$A$1:$G$2</definedName>
    <definedName function="false" hidden="false" localSheetId="13" name="_xlnm._FilterDatabase_0_0_0_0_0_0_0_0_0_0_0_0_0_0_0_0_0_0_0_0_0_0_0_0_0" vbProcedure="false">Cutting_Pattern!$A$1:$G$2</definedName>
    <definedName function="false" hidden="false" localSheetId="13" name="_xlnm._FilterDatabase_0_0_0_0_0_0_0_0_0_0_0_0_0_0_0_0_0_0_0_0_0_0_0_0_0_0" vbProcedure="false">Cutting_Pattern!$A$1:$G$2</definedName>
    <definedName function="false" hidden="false" localSheetId="13" name="_xlnm._FilterDatabase_0_0_0_0_0_0_0_0_0_0_0_0_0_0_0_0_0_0_0_0_0_0_0_0_0_0_0" vbProcedure="false">Cutting_Pattern!$A$1:$G$2</definedName>
    <definedName function="false" hidden="false" localSheetId="13" name="_xlnm._FilterDatabase_0_0_0_0_0_0_0_0_0_0_0_0_0_0_0_0_0_0_0_0_0_0_0_0_0_0_0_0" vbProcedure="false">Cutting_Pattern!$A$1:$G$2</definedName>
    <definedName function="false" hidden="false" localSheetId="14" name="_xlnm._FilterDatabase" vbProcedure="false">Item_Product_Group_Map!$B$1:$H$221</definedName>
    <definedName function="false" hidden="false" localSheetId="14" name="_xlnm._FilterDatabase_0" vbProcedure="false">Item_Product_Group_Map!$B$1:$H$221</definedName>
    <definedName function="false" hidden="false" localSheetId="14" name="_xlnm._FilterDatabase_0_0" vbProcedure="false">Item_Product_Group_Map!$B$1:$H$221</definedName>
    <definedName function="false" hidden="false" localSheetId="14" name="_xlnm._FilterDatabase_0_0_0" vbProcedure="false">Item_Product_Group_Map!$B$1:$H$221</definedName>
    <definedName function="false" hidden="false" localSheetId="14" name="_xlnm._FilterDatabase_0_0_0_0" vbProcedure="false">Item_Product_Group_Map!$B$1:$H$221</definedName>
    <definedName function="false" hidden="false" localSheetId="14" name="_xlnm._FilterDatabase_0_0_0_0_0" vbProcedure="false">Item_Product_Group_Map!$B$1:$H$221</definedName>
    <definedName function="false" hidden="false" localSheetId="14" name="_xlnm._FilterDatabase_0_0_0_0_0_0" vbProcedure="false">Item_Product_Group_Map!$B$1:$H$221</definedName>
    <definedName function="false" hidden="false" localSheetId="14" name="_xlnm._FilterDatabase_0_0_0_0_0_0_0" vbProcedure="false">Item_Product_Group_Map!$B$1:$H$221</definedName>
    <definedName function="false" hidden="false" localSheetId="14" name="_xlnm._FilterDatabase_0_0_0_0_0_0_0_0" vbProcedure="false">Item_Product_Group_Map!$B$1:$H$221</definedName>
    <definedName function="false" hidden="false" localSheetId="14" name="_xlnm._FilterDatabase_0_0_0_0_0_0_0_0_0" vbProcedure="false">Item_Product_Group_Map!$B$1:$H$221</definedName>
    <definedName function="false" hidden="false" localSheetId="14" name="_xlnm._FilterDatabase_0_0_0_0_0_0_0_0_0_0" vbProcedure="false">Item_Product_Group_Map!$B$1:$H$221</definedName>
    <definedName function="false" hidden="false" localSheetId="14" name="_xlnm._FilterDatabase_0_0_0_0_0_0_0_0_0_0_0" vbProcedure="false">Item_Product_Group_Map!$B$1:$H$221</definedName>
    <definedName function="false" hidden="false" localSheetId="14" name="_xlnm._FilterDatabase_0_0_0_0_0_0_0_0_0_0_0_0" vbProcedure="false">Item_Product_Group_Map!$B$1:$H$221</definedName>
    <definedName function="false" hidden="false" localSheetId="14" name="_xlnm._FilterDatabase_0_0_0_0_0_0_0_0_0_0_0_0_0" vbProcedure="false">Item_Product_Group_Map!$B$1:$H$221</definedName>
    <definedName function="false" hidden="false" localSheetId="14" name="_xlnm._FilterDatabase_0_0_0_0_0_0_0_0_0_0_0_0_0_0" vbProcedure="false">Item_Product_Group_Map!$B$1:$H$221</definedName>
    <definedName function="false" hidden="false" localSheetId="14" name="_xlnm._FilterDatabase_0_0_0_0_0_0_0_0_0_0_0_0_0_0_0" vbProcedure="false">Item_Product_Group_Map!$B$1:$H$221</definedName>
    <definedName function="false" hidden="false" localSheetId="14" name="_xlnm._FilterDatabase_0_0_0_0_0_0_0_0_0_0_0_0_0_0_0_0" vbProcedure="false">Item_Product_Group_Map!$B$1:$H$221</definedName>
    <definedName function="false" hidden="false" localSheetId="14" name="_xlnm._FilterDatabase_0_0_0_0_0_0_0_0_0_0_0_0_0_0_0_0_0" vbProcedure="false">Item_Product_Group_Map!$B$1:$H$221</definedName>
    <definedName function="false" hidden="false" localSheetId="14" name="_xlnm._FilterDatabase_0_0_0_0_0_0_0_0_0_0_0_0_0_0_0_0_0_0" vbProcedure="false">Item_Product_Group_Map!$B$1:$H$221</definedName>
    <definedName function="false" hidden="false" localSheetId="14" name="_xlnm._FilterDatabase_0_0_0_0_0_0_0_0_0_0_0_0_0_0_0_0_0_0_0" vbProcedure="false">Item_Product_Group_Map!$B$1:$H$221</definedName>
    <definedName function="false" hidden="false" localSheetId="14" name="_xlnm._FilterDatabase_0_0_0_0_0_0_0_0_0_0_0_0_0_0_0_0_0_0_0_0" vbProcedure="false">Item_Product_Group_Map!$B$1:$H$221</definedName>
    <definedName function="false" hidden="false" localSheetId="14" name="_xlnm._FilterDatabase_0_0_0_0_0_0_0_0_0_0_0_0_0_0_0_0_0_0_0_0_0" vbProcedure="false">Item_Product_Group_Map!$B$1:$H$221</definedName>
    <definedName function="false" hidden="false" localSheetId="14" name="_xlnm._FilterDatabase_0_0_0_0_0_0_0_0_0_0_0_0_0_0_0_0_0_0_0_0_0_0" vbProcedure="false">Item_Product_Group_Map!$B$1:$H$221</definedName>
    <definedName function="false" hidden="false" localSheetId="14" name="_xlnm._FilterDatabase_0_0_0_0_0_0_0_0_0_0_0_0_0_0_0_0_0_0_0_0_0_0_0" vbProcedure="false">Item_Product_Group_Map!$B$1:$H$221</definedName>
    <definedName function="false" hidden="false" localSheetId="14" name="_xlnm._FilterDatabase_0_0_0_0_0_0_0_0_0_0_0_0_0_0_0_0_0_0_0_0_0_0_0_0" vbProcedure="false">Item_Product_Group_Map!$B$1:$H$221</definedName>
    <definedName function="false" hidden="false" localSheetId="14" name="_xlnm._FilterDatabase_0_0_0_0_0_0_0_0_0_0_0_0_0_0_0_0_0_0_0_0_0_0_0_0_0" vbProcedure="false">Item_Product_Group_Map!$B$1:$H$221</definedName>
    <definedName function="false" hidden="false" localSheetId="14" name="_xlnm._FilterDatabase_0_0_0_0_0_0_0_0_0_0_0_0_0_0_0_0_0_0_0_0_0_0_0_0_0_0" vbProcedure="false">Item_Product_Group_Map!$B$1:$H$221</definedName>
    <definedName function="false" hidden="false" localSheetId="14" name="_xlnm._FilterDatabase_0_0_0_0_0_0_0_0_0_0_0_0_0_0_0_0_0_0_0_0_0_0_0_0_0_0_0" vbProcedure="false">Item_Product_Group_Map!$B$1:$H$221</definedName>
    <definedName function="false" hidden="false" localSheetId="14" name="_xlnm._FilterDatabase_0_0_0_0_0_0_0_0_0_0_0_0_0_0_0_0_0_0_0_0_0_0_0_0_0_0_0_0" vbProcedure="false">Item_Product_Group_Map!$B$1:$H$221</definedName>
    <definedName function="false" hidden="false" localSheetId="17" name="_xlnm._FilterDatabase" vbProcedure="false">Common_Data!$A$13:$D$381</definedName>
    <definedName function="false" hidden="false" localSheetId="17" name="_xlnm._FilterDatabase_0" vbProcedure="false">Common_Data!$A$13:$D$381</definedName>
    <definedName function="false" hidden="false" localSheetId="17" name="_xlnm._FilterDatabase_0_0" vbProcedure="false">Common_Data!$A$13:$D$381</definedName>
    <definedName function="false" hidden="false" localSheetId="17" name="_xlnm._FilterDatabase_0_0_0" vbProcedure="false">Common_Data!$A$13:$D$381</definedName>
    <definedName function="false" hidden="false" localSheetId="17" name="_xlnm._FilterDatabase_0_0_0_0" vbProcedure="false">Common_Data!$A$13:$D$381</definedName>
    <definedName function="false" hidden="false" localSheetId="17" name="_xlnm._FilterDatabase_0_0_0_0_0" vbProcedure="false">Common_Data!$A$13:$D$381</definedName>
    <definedName function="false" hidden="false" localSheetId="17" name="_xlnm._FilterDatabase_0_0_0_0_0_0" vbProcedure="false">Common_Data!$A$13:$D$381</definedName>
    <definedName function="false" hidden="false" localSheetId="17" name="_xlnm._FilterDatabase_0_0_0_0_0_0_0" vbProcedure="false">Common_Data!$A$13:$D$381</definedName>
    <definedName function="false" hidden="false" localSheetId="17" name="_xlnm._FilterDatabase_0_0_0_0_0_0_0_0" vbProcedure="false">Common_Data!$A$13:$D$381</definedName>
    <definedName function="false" hidden="false" localSheetId="17" name="_xlnm._FilterDatabase_0_0_0_0_0_0_0_0_0" vbProcedure="false">Common_Data!$A$13:$D$381</definedName>
    <definedName function="false" hidden="false" localSheetId="17" name="_xlnm._FilterDatabase_0_0_0_0_0_0_0_0_0_0" vbProcedure="false">Common_Data!$A$13:$D$381</definedName>
    <definedName function="false" hidden="false" localSheetId="17" name="_xlnm._FilterDatabase_0_0_0_0_0_0_0_0_0_0_0" vbProcedure="false">Common_Data!$A$13:$D$381</definedName>
    <definedName function="false" hidden="false" localSheetId="17" name="_xlnm._FilterDatabase_0_0_0_0_0_0_0_0_0_0_0_0" vbProcedure="false">Common_Data!$A$13:$D$381</definedName>
    <definedName function="false" hidden="false" localSheetId="17" name="_xlnm._FilterDatabase_0_0_0_0_0_0_0_0_0_0_0_0_0" vbProcedure="false">Common_Data!$A$13:$D$381</definedName>
    <definedName function="false" hidden="false" localSheetId="17" name="_xlnm._FilterDatabase_0_0_0_0_0_0_0_0_0_0_0_0_0_0" vbProcedure="false">Common_Data!$A$13:$D$381</definedName>
    <definedName function="false" hidden="false" localSheetId="17" name="_xlnm._FilterDatabase_0_0_0_0_0_0_0_0_0_0_0_0_0_0_0" vbProcedure="false">Common_Data!$A$13:$D$381</definedName>
    <definedName function="false" hidden="false" localSheetId="17" name="_xlnm._FilterDatabase_0_0_0_0_0_0_0_0_0_0_0_0_0_0_0_0" vbProcedure="false">Common_Data!$A$13:$D$381</definedName>
    <definedName function="false" hidden="false" localSheetId="17" name="_xlnm._FilterDatabase_0_0_0_0_0_0_0_0_0_0_0_0_0_0_0_0_0" vbProcedure="false">Common_Data!$A$13:$D$381</definedName>
    <definedName function="false" hidden="false" localSheetId="17" name="_xlnm._FilterDatabase_0_0_0_0_0_0_0_0_0_0_0_0_0_0_0_0_0_0" vbProcedure="false">Common_Data!$A$13:$D$381</definedName>
    <definedName function="false" hidden="false" localSheetId="17" name="_xlnm._FilterDatabase_0_0_0_0_0_0_0_0_0_0_0_0_0_0_0_0_0_0_0" vbProcedure="false">Common_Data!$A$13:$D$381</definedName>
    <definedName function="false" hidden="false" localSheetId="17" name="_xlnm._FilterDatabase_0_0_0_0_0_0_0_0_0_0_0_0_0_0_0_0_0_0_0_0" vbProcedure="false">Common_Data!$A$13:$D$381</definedName>
    <definedName function="false" hidden="false" localSheetId="17" name="_xlnm._FilterDatabase_0_0_0_0_0_0_0_0_0_0_0_0_0_0_0_0_0_0_0_0_0" vbProcedure="false">Common_Data!$A$13:$D$381</definedName>
    <definedName function="false" hidden="false" localSheetId="17" name="_xlnm._FilterDatabase_0_0_0_0_0_0_0_0_0_0_0_0_0_0_0_0_0_0_0_0_0_0" vbProcedure="false">Common_Data!$A$13:$D$381</definedName>
    <definedName function="false" hidden="false" localSheetId="17" name="_xlnm._FilterDatabase_0_0_0_0_0_0_0_0_0_0_0_0_0_0_0_0_0_0_0_0_0_0_0" vbProcedure="false">Common_Data!$A$13:$D$381</definedName>
    <definedName function="false" hidden="false" localSheetId="17" name="_xlnm._FilterDatabase_0_0_0_0_0_0_0_0_0_0_0_0_0_0_0_0_0_0_0_0_0_0_0_0" vbProcedure="false">Common_Data!$A$13:$D$381</definedName>
    <definedName function="false" hidden="false" localSheetId="17" name="_xlnm._FilterDatabase_0_0_0_0_0_0_0_0_0_0_0_0_0_0_0_0_0_0_0_0_0_0_0_0_0" vbProcedure="false">Common_Data!$A$13:$D$381</definedName>
    <definedName function="false" hidden="false" localSheetId="17" name="_xlnm._FilterDatabase_0_0_0_0_0_0_0_0_0_0_0_0_0_0_0_0_0_0_0_0_0_0_0_0_0_0" vbProcedure="false">Common_Data!$A$13:$D$381</definedName>
    <definedName function="false" hidden="false" localSheetId="17" name="_xlnm._FilterDatabase_0_0_0_0_0_0_0_0_0_0_0_0_0_0_0_0_0_0_0_0_0_0_0_0_0_0_0" vbProcedure="false">Common_Data!$A$13:$D$381</definedName>
    <definedName function="false" hidden="false" localSheetId="17" name="_xlnm._FilterDatabase_0_0_0_0_0_0_0_0_0_0_0_0_0_0_0_0_0_0_0_0_0_0_0_0_0_0_0_0" vbProcedure="false">Common_Data!$A$13:$D$381</definedName>
    <definedName function="false" hidden="false" localSheetId="23" name="_xlnm._FilterDatabase" vbProcedure="false">Fresh_Frozen_Relation!$A$1:$B$52</definedName>
    <definedName function="false" hidden="false" localSheetId="23" name="_xlnm._FilterDatabase_0" vbProcedure="false">Fresh_Frozen_Relation!$A$1:$B$137</definedName>
    <definedName function="false" hidden="false" localSheetId="23" name="_xlnm._FilterDatabase_0_0" vbProcedure="false">Fresh_Frozen_Relation!$A$1:$B$52</definedName>
    <definedName function="false" hidden="false" localSheetId="23" name="_xlnm._FilterDatabase_0_0_0" vbProcedure="false">Fresh_Frozen_Relation!$A$1:$B$137</definedName>
    <definedName function="false" hidden="false" localSheetId="23" name="_xlnm._FilterDatabase_0_0_0_0" vbProcedure="false">Fresh_Frozen_Relation!$A$1:$B$52</definedName>
    <definedName function="false" hidden="false" localSheetId="23" name="_xlnm._FilterDatabase_0_0_0_0_0" vbProcedure="false">Fresh_Frozen_Relation!$A$1:$B$137</definedName>
    <definedName function="false" hidden="false" localSheetId="23" name="_xlnm._FilterDatabase_0_0_0_0_0_0" vbProcedure="false">Fresh_Frozen_Relation!$A$1:$B$52</definedName>
    <definedName function="false" hidden="false" localSheetId="23" name="_xlnm._FilterDatabase_0_0_0_0_0_0_0" vbProcedure="false">Fresh_Frozen_Relation!$A$1:$B$137</definedName>
    <definedName function="false" hidden="false" localSheetId="23" name="_xlnm._FilterDatabase_0_0_0_0_0_0_0_0" vbProcedure="false">Fresh_Frozen_Relation!$A$1:$B$52</definedName>
    <definedName function="false" hidden="false" localSheetId="23" name="_xlnm._FilterDatabase_0_0_0_0_0_0_0_0_0" vbProcedure="false">Fresh_Frozen_Relation!$A$1:$B$137</definedName>
    <definedName function="false" hidden="false" localSheetId="23" name="_xlnm._FilterDatabase_0_0_0_0_0_0_0_0_0_0" vbProcedure="false">Fresh_Frozen_Relation!$A$1:$B$52</definedName>
    <definedName function="false" hidden="false" localSheetId="23" name="_xlnm._FilterDatabase_0_0_0_0_0_0_0_0_0_0_0" vbProcedure="false">Fresh_Frozen_Relation!$A$1:$B$137</definedName>
    <definedName function="false" hidden="false" localSheetId="23" name="_xlnm._FilterDatabase_0_0_0_0_0_0_0_0_0_0_0_0" vbProcedure="false">Fresh_Frozen_Relation!$A$1:$B$52</definedName>
    <definedName function="false" hidden="false" localSheetId="23" name="_xlnm._FilterDatabase_0_0_0_0_0_0_0_0_0_0_0_0_0" vbProcedure="false">Fresh_Frozen_Relation!$A$1:$B$137</definedName>
    <definedName function="false" hidden="false" localSheetId="23" name="_xlnm._FilterDatabase_0_0_0_0_0_0_0_0_0_0_0_0_0_0" vbProcedure="false">Fresh_Frozen_Relation!$A$1:$B$52</definedName>
    <definedName function="false" hidden="false" localSheetId="23" name="_xlnm._FilterDatabase_0_0_0_0_0_0_0_0_0_0_0_0_0_0_0" vbProcedure="false">Fresh_Frozen_Relation!$A$1:$B$137</definedName>
    <definedName function="false" hidden="false" localSheetId="23" name="_xlnm._FilterDatabase_0_0_0_0_0_0_0_0_0_0_0_0_0_0_0_0" vbProcedure="false">Fresh_Frozen_Relation!$A$1:$B$52</definedName>
    <definedName function="false" hidden="false" localSheetId="23" name="_xlnm._FilterDatabase_0_0_0_0_0_0_0_0_0_0_0_0_0_0_0_0_0" vbProcedure="false">Fresh_Frozen_Relation!$A$1:$B$137</definedName>
    <definedName function="false" hidden="false" localSheetId="23" name="_xlnm._FilterDatabase_0_0_0_0_0_0_0_0_0_0_0_0_0_0_0_0_0_0" vbProcedure="false">Fresh_Frozen_Relation!$A$1:$B$52</definedName>
    <definedName function="false" hidden="false" localSheetId="23" name="_xlnm._FilterDatabase_0_0_0_0_0_0_0_0_0_0_0_0_0_0_0_0_0_0_0" vbProcedure="false">Fresh_Frozen_Relation!$A$1:$B$137</definedName>
    <definedName function="false" hidden="false" localSheetId="23" name="_xlnm._FilterDatabase_0_0_0_0_0_0_0_0_0_0_0_0_0_0_0_0_0_0_0_0" vbProcedure="false">Fresh_Frozen_Relation!$A$1:$B$137</definedName>
    <definedName function="false" hidden="false" localSheetId="23" name="_xlnm._FilterDatabase_0_0_0_0_0_0_0_0_0_0_0_0_0_0_0_0_0_0_0_0_0" vbProcedure="false">Fresh_Frozen_Relation!$A$1:$B$137</definedName>
    <definedName function="false" hidden="false" localSheetId="23" name="_xlnm._FilterDatabase_0_0_0_0_0_0_0_0_0_0_0_0_0_0_0_0_0_0_0_0_0_0" vbProcedure="false">Fresh_Frozen_Relation!$A$1:$B$137</definedName>
    <definedName function="false" hidden="false" localSheetId="23" name="_xlnm._FilterDatabase_0_0_0_0_0_0_0_0_0_0_0_0_0_0_0_0_0_0_0_0_0_0_0" vbProcedure="false">Fresh_Frozen_Relation!$A$1:$B$137</definedName>
    <definedName function="false" hidden="false" localSheetId="23" name="_xlnm._FilterDatabase_0_0_0_0_0_0_0_0_0_0_0_0_0_0_0_0_0_0_0_0_0_0_0_0" vbProcedure="false">Fresh_Frozen_Relation!$A$1:$B$137</definedName>
    <definedName function="false" hidden="false" localSheetId="23" name="_xlnm._FilterDatabase_0_0_0_0_0_0_0_0_0_0_0_0_0_0_0_0_0_0_0_0_0_0_0_0_0" vbProcedure="false">Fresh_Frozen_Relation!$A$1:$B$137</definedName>
    <definedName function="false" hidden="false" localSheetId="23" name="_xlnm._FilterDatabase_0_0_0_0_0_0_0_0_0_0_0_0_0_0_0_0_0_0_0_0_0_0_0_0_0_0" vbProcedure="false">Fresh_Frozen_Relation!$A$1:$B$137</definedName>
    <definedName function="false" hidden="false" localSheetId="23" name="_xlnm._FilterDatabase_0_0_0_0_0_0_0_0_0_0_0_0_0_0_0_0_0_0_0_0_0_0_0_0_0_0_0" vbProcedure="false">Fresh_Frozen_Relation!$A$1:$B$137</definedName>
    <definedName function="false" hidden="false" localSheetId="23" name="_xlnm._FilterDatabase_0_0_0_0_0_0_0_0_0_0_0_0_0_0_0_0_0_0_0_0_0_0_0_0_0_0_0_0" vbProcedure="false">Fresh_Frozen_Relation!$A$1:$B$137</definedName>
    <definedName function="false" hidden="false" localSheetId="24" name="_xlnm._FilterDatabase" vbProcedure="false">Yield_Originals!$A$2:$AD$393</definedName>
    <definedName function="false" hidden="false" localSheetId="24" name="_xlnm._FilterDatabase_0" vbProcedure="false">Yield_Originals!$A$2:$AD$393</definedName>
    <definedName function="false" hidden="false" localSheetId="24" name="_xlnm._FilterDatabase_0_0" vbProcedure="false">Yield_Originals!$A$2:$AD$393</definedName>
    <definedName function="false" hidden="false" localSheetId="24" name="_xlnm._FilterDatabase_0_0_0" vbProcedure="false">Yield_Originals!$A$2:$AD$393</definedName>
    <definedName function="false" hidden="false" localSheetId="24" name="_xlnm._FilterDatabase_0_0_0_0" vbProcedure="false">Yield_Originals!$A$2:$AD$393</definedName>
    <definedName function="false" hidden="false" localSheetId="24" name="_xlnm._FilterDatabase_0_0_0_0_0" vbProcedure="false">Yield_Originals!$A$2:$AD$393</definedName>
    <definedName function="false" hidden="false" localSheetId="24" name="_xlnm._FilterDatabase_0_0_0_0_0_0" vbProcedure="false">Yield_Originals!$A$2:$AD$393</definedName>
    <definedName function="false" hidden="false" localSheetId="24" name="_xlnm._FilterDatabase_0_0_0_0_0_0_0" vbProcedure="false">Yield_Originals!$A$2:$AD$393</definedName>
    <definedName function="false" hidden="false" localSheetId="24" name="_xlnm._FilterDatabase_0_0_0_0_0_0_0_0" vbProcedure="false">Yield_Originals!$A$2:$AD$393</definedName>
    <definedName function="false" hidden="false" localSheetId="24" name="_xlnm._FilterDatabase_0_0_0_0_0_0_0_0_0" vbProcedure="false">Yield_Originals!$A$2:$AD$393</definedName>
    <definedName function="false" hidden="false" localSheetId="24" name="_xlnm._FilterDatabase_0_0_0_0_0_0_0_0_0_0" vbProcedure="false">Yield_Originals!$A$2:$AD$393</definedName>
    <definedName function="false" hidden="false" localSheetId="24" name="_xlnm._FilterDatabase_0_0_0_0_0_0_0_0_0_0_0" vbProcedure="false">Yield_Originals!$A$2:$AD$393</definedName>
    <definedName function="false" hidden="false" localSheetId="24" name="_xlnm._FilterDatabase_0_0_0_0_0_0_0_0_0_0_0_0" vbProcedure="false">Yield_Originals!$A$2:$AD$393</definedName>
    <definedName function="false" hidden="false" localSheetId="24" name="_xlnm._FilterDatabase_0_0_0_0_0_0_0_0_0_0_0_0_0" vbProcedure="false">Yield_Originals!$A$2:$AD$393</definedName>
    <definedName function="false" hidden="false" localSheetId="24" name="_xlnm._FilterDatabase_0_0_0_0_0_0_0_0_0_0_0_0_0_0" vbProcedure="false">Yield_Originals!$A$2:$AD$393</definedName>
    <definedName function="false" hidden="false" localSheetId="24" name="_xlnm._FilterDatabase_0_0_0_0_0_0_0_0_0_0_0_0_0_0_0" vbProcedure="false">Yield_Originals!$A$2:$AD$393</definedName>
    <definedName function="false" hidden="false" localSheetId="24" name="_xlnm._FilterDatabase_0_0_0_0_0_0_0_0_0_0_0_0_0_0_0_0" vbProcedure="false">Yield_Originals!$A$2:$AD$393</definedName>
    <definedName function="false" hidden="false" localSheetId="24" name="_xlnm._FilterDatabase_0_0_0_0_0_0_0_0_0_0_0_0_0_0_0_0_0" vbProcedure="false">Yield_Originals!$A$2:$AD$393</definedName>
    <definedName function="false" hidden="false" localSheetId="24" name="_xlnm._FilterDatabase_0_0_0_0_0_0_0_0_0_0_0_0_0_0_0_0_0_0" vbProcedure="false">Yield_Originals!$A$2:$AD$393</definedName>
    <definedName function="false" hidden="false" localSheetId="24" name="_xlnm._FilterDatabase_0_0_0_0_0_0_0_0_0_0_0_0_0_0_0_0_0_0_0" vbProcedure="false">Yield_Originals!$A$2:$AD$393</definedName>
    <definedName function="false" hidden="false" localSheetId="24" name="_xlnm._FilterDatabase_0_0_0_0_0_0_0_0_0_0_0_0_0_0_0_0_0_0_0_0" vbProcedure="false">Yield_Originals!$A$2:$AD$393</definedName>
    <definedName function="false" hidden="false" localSheetId="24" name="_xlnm._FilterDatabase_0_0_0_0_0_0_0_0_0_0_0_0_0_0_0_0_0_0_0_0_0" vbProcedure="false">Yield_Originals!$A$2:$AD$393</definedName>
    <definedName function="false" hidden="false" localSheetId="24" name="_xlnm._FilterDatabase_0_0_0_0_0_0_0_0_0_0_0_0_0_0_0_0_0_0_0_0_0_0" vbProcedure="false">Yield_Originals!$A$2:$AD$393</definedName>
    <definedName function="false" hidden="false" localSheetId="24" name="_xlnm._FilterDatabase_0_0_0_0_0_0_0_0_0_0_0_0_0_0_0_0_0_0_0_0_0_0_0" vbProcedure="false">Yield_Originals!$A$2:$AD$393</definedName>
    <definedName function="false" hidden="false" localSheetId="24" name="_xlnm._FilterDatabase_0_0_0_0_0_0_0_0_0_0_0_0_0_0_0_0_0_0_0_0_0_0_0_0" vbProcedure="false">Yield_Originals!$A$2:$AD$393</definedName>
    <definedName function="false" hidden="false" localSheetId="24" name="_xlnm._FilterDatabase_0_0_0_0_0_0_0_0_0_0_0_0_0_0_0_0_0_0_0_0_0_0_0_0_0" vbProcedure="false">Yield_Originals!$A$2:$AD$393</definedName>
    <definedName function="false" hidden="false" localSheetId="24" name="_xlnm._FilterDatabase_0_0_0_0_0_0_0_0_0_0_0_0_0_0_0_0_0_0_0_0_0_0_0_0_0_0" vbProcedure="false">Yield_Originals!$A$2:$AD$393</definedName>
    <definedName function="false" hidden="false" localSheetId="24" name="_xlnm._FilterDatabase_0_0_0_0_0_0_0_0_0_0_0_0_0_0_0_0_0_0_0_0_0_0_0_0_0_0_0" vbProcedure="false">Yield_Originals!$A$2:$AD$393</definedName>
    <definedName function="false" hidden="false" localSheetId="24" name="_xlnm._FilterDatabase_0_0_0_0_0_0_0_0_0_0_0_0_0_0_0_0_0_0_0_0_0_0_0_0_0_0_0_0" vbProcedure="false">Yield_Originals!$A$2:$AD$393</definedName>
    <definedName function="false" hidden="false" localSheetId="25" name="_xlnm._FilterDatabase" vbProcedure="false">Shelf_Life!$A$1:$C$369</definedName>
    <definedName function="false" hidden="false" localSheetId="25" name="_xlnm._FilterDatabase_0" vbProcedure="false">Shelf_Life!$A$1:$C$369</definedName>
    <definedName function="false" hidden="false" localSheetId="25" name="_xlnm._FilterDatabase_0_0" vbProcedure="false">Shelf_Life!$A$1:$C$369</definedName>
    <definedName function="false" hidden="false" localSheetId="25" name="_xlnm._FilterDatabase_0_0_0" vbProcedure="false">Shelf_Life!$A$1:$C$369</definedName>
    <definedName function="false" hidden="false" localSheetId="25" name="_xlnm._FilterDatabase_0_0_0_0" vbProcedure="false">Shelf_Life!$A$1:$C$369</definedName>
    <definedName function="false" hidden="false" localSheetId="25" name="_xlnm._FilterDatabase_0_0_0_0_0" vbProcedure="false">Shelf_Life!$A$1:$C$369</definedName>
    <definedName function="false" hidden="false" localSheetId="25" name="_xlnm._FilterDatabase_0_0_0_0_0_0" vbProcedure="false">Shelf_Life!$A$1:$C$369</definedName>
    <definedName function="false" hidden="false" localSheetId="25" name="_xlnm._FilterDatabase_0_0_0_0_0_0_0" vbProcedure="false">Shelf_Life!$A$1:$C$369</definedName>
    <definedName function="false" hidden="false" localSheetId="25" name="_xlnm._FilterDatabase_0_0_0_0_0_0_0_0" vbProcedure="false">Shelf_Life!$A$1:$C$369</definedName>
    <definedName function="false" hidden="false" localSheetId="25" name="_xlnm._FilterDatabase_0_0_0_0_0_0_0_0_0" vbProcedure="false">Shelf_Life!$A$1:$C$369</definedName>
    <definedName function="false" hidden="false" localSheetId="25" name="_xlnm._FilterDatabase_0_0_0_0_0_0_0_0_0_0" vbProcedure="false">Shelf_Life!$A$1:$C$369</definedName>
    <definedName function="false" hidden="false" localSheetId="25" name="_xlnm._FilterDatabase_0_0_0_0_0_0_0_0_0_0_0" vbProcedure="false">Shelf_Life!$A$1:$C$369</definedName>
    <definedName function="false" hidden="false" localSheetId="25" name="_xlnm._FilterDatabase_0_0_0_0_0_0_0_0_0_0_0_0" vbProcedure="false">Shelf_Life!$A$1:$C$369</definedName>
    <definedName function="false" hidden="false" localSheetId="25" name="_xlnm._FilterDatabase_0_0_0_0_0_0_0_0_0_0_0_0_0" vbProcedure="false">Shelf_Life!$A$1:$C$369</definedName>
    <definedName function="false" hidden="false" localSheetId="25" name="_xlnm._FilterDatabase_0_0_0_0_0_0_0_0_0_0_0_0_0_0" vbProcedure="false">Shelf_Life!$A$1:$C$369</definedName>
    <definedName function="false" hidden="false" localSheetId="25" name="_xlnm._FilterDatabase_0_0_0_0_0_0_0_0_0_0_0_0_0_0_0" vbProcedure="false">Shelf_Life!$A$1:$C$369</definedName>
    <definedName function="false" hidden="false" localSheetId="25" name="_xlnm._FilterDatabase_0_0_0_0_0_0_0_0_0_0_0_0_0_0_0_0" vbProcedure="false">Shelf_Life!$A$1:$C$369</definedName>
    <definedName function="false" hidden="false" localSheetId="25" name="_xlnm._FilterDatabase_0_0_0_0_0_0_0_0_0_0_0_0_0_0_0_0_0" vbProcedure="false">Shelf_Life!$A$1:$C$369</definedName>
    <definedName function="false" hidden="false" localSheetId="25" name="_xlnm._FilterDatabase_0_0_0_0_0_0_0_0_0_0_0_0_0_0_0_0_0_0" vbProcedure="false">Shelf_Life!$A$1:$C$369</definedName>
    <definedName function="false" hidden="false" localSheetId="26" name="_xlnm._FilterDatabase" vbProcedure="false">Yield!$A$1:$AD$448</definedName>
    <definedName function="false" hidden="false" localSheetId="26" name="_xlnm._FilterDatabase_0" vbProcedure="false">Yield!$A$1:$S$392</definedName>
    <definedName function="false" hidden="false" localSheetId="26" name="_xlnm._FilterDatabase_0_0" vbProcedure="false">Yield!$A$1:$S$392</definedName>
    <definedName function="false" hidden="false" localSheetId="26" name="_xlnm._FilterDatabase_0_0_0" vbProcedure="false">Yield!$A$1:$S$392</definedName>
    <definedName function="false" hidden="false" localSheetId="26" name="_xlnm._FilterDatabase_0_0_0_0" vbProcedure="false">Yield!$A$1:$S$392</definedName>
    <definedName function="false" hidden="false" localSheetId="26" name="_xlnm._FilterDatabase_0_0_0_0_0" vbProcedure="false">Yield!$A$1:$S$392</definedName>
    <definedName function="false" hidden="false" localSheetId="26" name="_xlnm._FilterDatabase_0_0_0_0_0_0" vbProcedure="false">Yield!$A$1:$S$392</definedName>
    <definedName function="false" hidden="false" localSheetId="26" name="_xlnm._FilterDatabase_0_0_0_0_0_0_0" vbProcedure="false">Yield!$A$1:$S$392</definedName>
    <definedName function="false" hidden="false" localSheetId="26" name="_xlnm._FilterDatabase_0_0_0_0_0_0_0_0" vbProcedure="false">Yield!$A$1:$S$392</definedName>
    <definedName function="false" hidden="false" localSheetId="26" name="_xlnm._FilterDatabase_0_0_0_0_0_0_0_0_0" vbProcedure="false">Yield!$A$1:$S$392</definedName>
    <definedName function="false" hidden="false" localSheetId="26" name="_xlnm._FilterDatabase_0_0_0_0_0_0_0_0_0_0" vbProcedure="false">Yield!$A$1:$S$392</definedName>
    <definedName function="false" hidden="false" localSheetId="26" name="_xlnm._FilterDatabase_0_0_0_0_0_0_0_0_0_0_0" vbProcedure="false">Yield!$A$1:$S$392</definedName>
    <definedName function="false" hidden="false" localSheetId="26" name="_xlnm._FilterDatabase_0_0_0_0_0_0_0_0_0_0_0_0" vbProcedure="false">Yield!$A$1:$S$392</definedName>
    <definedName function="false" hidden="false" localSheetId="26" name="_xlnm._FilterDatabase_0_0_0_0_0_0_0_0_0_0_0_0_0" vbProcedure="false">Yield!$A$1:$S$392</definedName>
    <definedName function="false" hidden="false" localSheetId="26" name="_xlnm._FilterDatabase_0_0_0_0_0_0_0_0_0_0_0_0_0_0" vbProcedure="false">Yield!$A$1:$S$392</definedName>
    <definedName function="false" hidden="false" localSheetId="26" name="_xlnm._FilterDatabase_0_0_0_0_0_0_0_0_0_0_0_0_0_0_0" vbProcedure="false">Yield!$A$1:$S$392</definedName>
    <definedName function="false" hidden="false" localSheetId="26" name="_xlnm._FilterDatabase_0_0_0_0_0_0_0_0_0_0_0_0_0_0_0_0" vbProcedure="false">Yield!$A$1:$S$392</definedName>
    <definedName function="false" hidden="false" localSheetId="26" name="_xlnm._FilterDatabase_0_0_0_0_0_0_0_0_0_0_0_0_0_0_0_0_0" vbProcedure="false">Yield!$A$1:$S$392</definedName>
    <definedName function="false" hidden="false" localSheetId="26" name="_xlnm._FilterDatabase_0_0_0_0_0_0_0_0_0_0_0_0_0_0_0_0_0_0" vbProcedure="false">Yield!$A$1:$S$392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is not available, using nearest sku price for the purpose of testing</t>
        </r>
      </text>
    </comment>
  </commentList>
</comments>
</file>

<file path=xl/comments11.xml><?xml version="1.0" encoding="utf-8"?>
<comments xmlns="http://schemas.openxmlformats.org/spreadsheetml/2006/main" xmlns:xdr="http://schemas.openxmlformats.org/drawingml/2006/spreadsheetDrawing">
  <authors>
    <author/>
  </authors>
  <commentList>
    <comment ref="B1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27.xml><?xml version="1.0" encoding="utf-8"?>
<comments xmlns="http://schemas.openxmlformats.org/spreadsheetml/2006/main" xmlns:xdr="http://schemas.openxmlformats.org/drawingml/2006/spreadsheetDrawing">
  <authors>
    <author/>
  </authors>
  <commentList>
    <comment ref="AD2" authorId="0">
      <text>
        <r>
          <rPr>
            <b val="true"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obselete code</t>
        </r>
      </text>
    </comment>
  </commentList>
</comments>
</file>

<file path=xl/sharedStrings.xml><?xml version="1.0" encoding="utf-8"?>
<sst xmlns="http://schemas.openxmlformats.org/spreadsheetml/2006/main" count="4975" uniqueCount="1493">
  <si>
    <t xml:space="preserve">NO</t>
  </si>
  <si>
    <t xml:space="preserve">Sheet Name </t>
  </si>
  <si>
    <t xml:space="preserve">Information</t>
  </si>
  <si>
    <t xml:space="preserve">Provided by</t>
  </si>
  <si>
    <t xml:space="preserve">Questions (From Ms Su)</t>
  </si>
  <si>
    <t xml:space="preserve">Answers (AVIOTA)</t>
  </si>
  <si>
    <t xml:space="preserve">Remarks (Clarification with AVIOTA on 21/9)</t>
  </si>
  <si>
    <t xml:space="preserve">PIC</t>
  </si>
  <si>
    <t xml:space="preserve">Phase 2</t>
  </si>
  <si>
    <t xml:space="preserve">Demand_Fresh</t>
  </si>
  <si>
    <t xml:space="preserve">Demand for each SKUs, over the planning horizon fresh (in Kg)</t>
  </si>
  <si>
    <t xml:space="preserve">Sales</t>
  </si>
  <si>
    <t xml:space="preserve">by product grouping or by sku, by day or by month?</t>
  </si>
  <si>
    <t xml:space="preserve">Demand at SKU level; Rolling it up to Product Group Level (or another level); Time/Date - As per planning horizon( Eg- Weekly Planning - Daily demand</t>
  </si>
  <si>
    <t xml:space="preserve">*Demand by Chill SKUs (IN KG)
*Weekly Demand (Mon-Sun, may suggest to monthly if required)
*Product Grouping will use file previous provided 
{File name: SKU_Bird Size Details Final as attached}</t>
  </si>
  <si>
    <t xml:space="preserve">Mark and Phoebe Heng</t>
  </si>
  <si>
    <t xml:space="preserve">Forecasting Model</t>
  </si>
  <si>
    <t xml:space="preserve">Demand_Frozen</t>
  </si>
  <si>
    <t xml:space="preserve">Demand for each SKUs, over the planning horizon frozen (in Kg)</t>
  </si>
  <si>
    <t xml:space="preserve">*Demand by Frozen SKUs (IN KG)
*Weekly Demand (Mon-Sun, may suggest to monthly if required)
*Product Grouping will use file previous provided 
{File name: SKU_Bird Size Details Final as attached}</t>
  </si>
  <si>
    <t xml:space="preserve">Selling_Price_Fresh</t>
  </si>
  <si>
    <t xml:space="preserve">Selling price of Fresh Products (per Kg) (in RM)</t>
  </si>
  <si>
    <t xml:space="preserve">each customer grouping has different tier in price for the same skus, how to input the data?</t>
  </si>
  <si>
    <t xml:space="preserve">Average Selling Price at the level defined above (Point 1)</t>
  </si>
  <si>
    <t xml:space="preserve">*Average selling price (RM/KG) by Chill SKU level.</t>
  </si>
  <si>
    <t xml:space="preserve">JDE: Sales Table to calculate average selling price (we defined period involved)</t>
  </si>
  <si>
    <t xml:space="preserve">Selling_Price_Frozen</t>
  </si>
  <si>
    <t xml:space="preserve">Selling price of Frozen Products (per Kg) (in RM)</t>
  </si>
  <si>
    <t xml:space="preserve">Average Selling Price at the level defined above (Point  2)</t>
  </si>
  <si>
    <t xml:space="preserve">*Average selling price (RM/KG) by Frozen SKU level.</t>
  </si>
  <si>
    <t xml:space="preserve">Holding_Cost_Fresh</t>
  </si>
  <si>
    <t xml:space="preserve">Holding cost of fresh products (per Kg per day) (in RM)</t>
  </si>
  <si>
    <t xml:space="preserve">Finance</t>
  </si>
  <si>
    <t xml:space="preserve">what is the duration of the holding cost based on?</t>
  </si>
  <si>
    <t xml:space="preserve">Need to be discussed</t>
  </si>
  <si>
    <t xml:space="preserve">*Holding Cost is refer to daily basis. (Would like to know the holding cost is fixed cost or by sku)</t>
  </si>
  <si>
    <t xml:space="preserve">Ms Ho HP /  Wong SM </t>
  </si>
  <si>
    <t xml:space="preserve">Mtech costing?</t>
  </si>
  <si>
    <t xml:space="preserve">Holding_Cost_Frozen</t>
  </si>
  <si>
    <t xml:space="preserve">Holding cost of frozen products (per Kg) (in RM)</t>
  </si>
  <si>
    <t xml:space="preserve">;</t>
  </si>
  <si>
    <t xml:space="preserve">Penalty_Fresh</t>
  </si>
  <si>
    <t xml:space="preserve">Penalization cost for unsatisfied demand fresh products (per Kg) (in RM)</t>
  </si>
  <si>
    <t xml:space="preserve">Penalty_Frozen</t>
  </si>
  <si>
    <t xml:space="preserve">Penalization cost for unsatisfied demand of fresh products (per Kg) (in RM)</t>
  </si>
  <si>
    <t xml:space="preserve">Cutting_Pattern</t>
  </si>
  <si>
    <t xml:space="preserve">Cutting Pattern with section wise and cut pattern (Refer Cutting Pattern diagram)</t>
  </si>
  <si>
    <t xml:space="preserve">Production</t>
  </si>
  <si>
    <t xml:space="preserve">Ahmad Zaki</t>
  </si>
  <si>
    <t xml:space="preserve">Operational_Cost</t>
  </si>
  <si>
    <t xml:space="preserve">Operational Cost of Pattern in regular time (per Pattern) (in RM) </t>
  </si>
  <si>
    <t xml:space="preserve">operational cost is based on per bird basis / per kg basis</t>
  </si>
  <si>
    <t xml:space="preserve">At what level cost is available (Need to be discussed)</t>
  </si>
  <si>
    <t xml:space="preserve">Ms Ho HP /  Wong SM (variable cost per kg)</t>
  </si>
  <si>
    <t xml:space="preserve">Operational_Cost_Overtime</t>
  </si>
  <si>
    <t xml:space="preserve">Operational Cost of Pattern in overtime (per Pattern) (in RM)</t>
  </si>
  <si>
    <t xml:space="preserve">operative cost x 1.5 ( inclusive Sunday, ph)</t>
  </si>
  <si>
    <t xml:space="preserve">Operation_Time</t>
  </si>
  <si>
    <t xml:space="preserve">Operation time (per pattern) Time require to perform different cutting pattern (in Hours)</t>
  </si>
  <si>
    <t xml:space="preserve">operational time is based on per bird basis / per kg basis</t>
  </si>
  <si>
    <t xml:space="preserve">Available_Hour_Regular</t>
  </si>
  <si>
    <t xml:space="preserve">Available working hours in regular time over the horizon (Hrs)</t>
  </si>
  <si>
    <t xml:space="preserve">*Weekly normal working hours by Day.</t>
  </si>
  <si>
    <t xml:space="preserve">Bird_Type_Ratio</t>
  </si>
  <si>
    <t xml:space="preserve">Availability ratio of S, M and L Different Size of Bird</t>
  </si>
  <si>
    <t xml:space="preserve">Planning</t>
  </si>
  <si>
    <t xml:space="preserve">Common_Data</t>
  </si>
  <si>
    <t xml:space="preserve">Warehouse Capacity Fresh (in Kg)</t>
  </si>
  <si>
    <t xml:space="preserve">CRM</t>
  </si>
  <si>
    <t xml:space="preserve">Warehouse Capacity Frozen (in Kg)</t>
  </si>
  <si>
    <t xml:space="preserve">Available Hour In Regular Time (Hours)</t>
  </si>
  <si>
    <t xml:space="preserve">Total over planning horizon (eg. If weekly plan- 7*daily working hrs)</t>
  </si>
  <si>
    <t xml:space="preserve">*Ignore this, as this is for total weekly normal working hour. (System will summarize from information on Sheet 13)</t>
  </si>
  <si>
    <t xml:space="preserve">Available Hour In Overtime (Hours)</t>
  </si>
  <si>
    <t xml:space="preserve">*Ignore this, as this is for total weekly normal working hour. (System will summarize from information on Sheet 18)</t>
  </si>
  <si>
    <t xml:space="preserve">Freezing Process Cost (per Kg)</t>
  </si>
  <si>
    <t xml:space="preserve">Freezing Process Capacity (in Kg)</t>
  </si>
  <si>
    <t xml:space="preserve">Freezing Process Duration (in Days)</t>
  </si>
  <si>
    <t xml:space="preserve">Minimum Availablity Ratio of number of birds over the horizon</t>
  </si>
  <si>
    <t xml:space="preserve">??</t>
  </si>
  <si>
    <t xml:space="preserve">kindly share what does this means.</t>
  </si>
  <si>
    <t xml:space="preserve">Minimum number of birds available on daily basis (Eg. 0.1*Number of Birds arriving at DPP; this is to get lower limit)</t>
  </si>
  <si>
    <t xml:space="preserve">*Ignore this.</t>
  </si>
  <si>
    <t xml:space="preserve">Shelf Life in Days</t>
  </si>
  <si>
    <t xml:space="preserve">shelf life is by sku, kindly share how to input?</t>
  </si>
  <si>
    <t xml:space="preserve">NDB (Can we use a common shelf life;minimum shelf life)</t>
  </si>
  <si>
    <t xml:space="preserve">*Please provide the Shelf life by SKUs first, will further discuss detail later with AVIOTA.</t>
  </si>
  <si>
    <t xml:space="preserve">Availability</t>
  </si>
  <si>
    <t xml:space="preserve">Availability of birds over the horizon ( Number of Birds )</t>
  </si>
  <si>
    <t xml:space="preserve">may I know day refer to date of the year or day of the week?</t>
  </si>
  <si>
    <t xml:space="preserve">This the estimated number of birds over the planning horizon</t>
  </si>
  <si>
    <t xml:space="preserve">*Weekly bird availability (By day)
*Same planning horizon with Demand input.</t>
  </si>
  <si>
    <t xml:space="preserve">Interface ??</t>
  </si>
  <si>
    <t xml:space="preserve">Yield</t>
  </si>
  <si>
    <t xml:space="preserve">Yield of each products from each pattern from each bird type (Kg)</t>
  </si>
  <si>
    <t xml:space="preserve">Product is based on product grouping or sku?</t>
  </si>
  <si>
    <t xml:space="preserve">Yield by each product level( defined in 1 &amp; 2) by pattern by bird size</t>
  </si>
  <si>
    <t xml:space="preserve">*Yield by Cutting Pattern by Bird Size. </t>
  </si>
  <si>
    <t xml:space="preserve">Available_Hour_Overtime</t>
  </si>
  <si>
    <t xml:space="preserve">Available working hours in overtime over the horizon (Hrs)</t>
  </si>
  <si>
    <t xml:space="preserve">is it the same as highlighted above?</t>
  </si>
  <si>
    <t xml:space="preserve">This is on daily basis</t>
  </si>
  <si>
    <t xml:space="preserve">*Weekly overtime working hours by Day.</t>
  </si>
  <si>
    <t xml:space="preserve">Initial_Inventory</t>
  </si>
  <si>
    <t xml:space="preserve">By product initial inventory of finished product ( in Kg)</t>
  </si>
  <si>
    <t xml:space="preserve">Why by product not not our finished product?</t>
  </si>
  <si>
    <t xml:space="preserve">Yes by finished product</t>
  </si>
  <si>
    <t xml:space="preserve">*Inventory by finished Product (IN KG)</t>
  </si>
  <si>
    <t xml:space="preserve">Interface from Mtech</t>
  </si>
  <si>
    <t xml:space="preserve">SKU Conversion </t>
  </si>
  <si>
    <t xml:space="preserve">Cost of converting from SKU1 to SKU2 (in RM)</t>
  </si>
  <si>
    <t xml:space="preserve">Planning &amp; Finance</t>
  </si>
  <si>
    <t xml:space="preserve">is the cost based on kg or bird?</t>
  </si>
  <si>
    <t xml:space="preserve">By KG</t>
  </si>
  <si>
    <t xml:space="preserve">*SKU conversion based on RM/KG</t>
  </si>
  <si>
    <t xml:space="preserve">Info Request By AVIOTA</t>
  </si>
  <si>
    <t xml:space="preserve">**Information for product mapping (Info like: By Section or processing line, By cutting pattern, By Product Group)</t>
  </si>
  <si>
    <t xml:space="preserve">(1) By Cutting Pattern</t>
  </si>
  <si>
    <t xml:space="preserve">(2) And, those products with its specification (which have contraint with certain bird size)</t>
  </si>
  <si>
    <t xml:space="preserve">item code</t>
  </si>
  <si>
    <t xml:space="preserve">BBR0F0000K02DC</t>
  </si>
  <si>
    <t xml:space="preserve">BBRSF0000K02DC</t>
  </si>
  <si>
    <t xml:space="preserve">BBRSMF000K04DC</t>
  </si>
  <si>
    <t xml:space="preserve">BFL0F0000K02DC</t>
  </si>
  <si>
    <t xml:space="preserve">BLG0F0000K02DC</t>
  </si>
  <si>
    <t xml:space="preserve">BLGSF0000K02DC</t>
  </si>
  <si>
    <t xml:space="preserve">BTH007585K04DC</t>
  </si>
  <si>
    <t xml:space="preserve">BTHSF0000K02DC</t>
  </si>
  <si>
    <t xml:space="preserve">BTHSMF000K04DC</t>
  </si>
  <si>
    <t xml:space="preserve">BTHSMF0FFK04DC</t>
  </si>
  <si>
    <t xml:space="preserve">C3JW07100K02DC</t>
  </si>
  <si>
    <t xml:space="preserve">C3JW09130K02DC</t>
  </si>
  <si>
    <t xml:space="preserve">C4PC00000P08DC</t>
  </si>
  <si>
    <t xml:space="preserve">C9PC00000P18DC</t>
  </si>
  <si>
    <t xml:space="preserve">C9PCWBM20P18DC</t>
  </si>
  <si>
    <t xml:space="preserve">CBRSH2332P10DC</t>
  </si>
  <si>
    <t xml:space="preserve">CCHICU000K02DC</t>
  </si>
  <si>
    <t xml:space="preserve">CCHICU000K06DC</t>
  </si>
  <si>
    <t xml:space="preserve">CDS008110K02DC</t>
  </si>
  <si>
    <t xml:space="preserve">CDS010140K02DC</t>
  </si>
  <si>
    <t xml:space="preserve">CDS010140P20DC</t>
  </si>
  <si>
    <t xml:space="preserve">CDS0CU000K02DC</t>
  </si>
  <si>
    <t xml:space="preserve">CKE0F0000K02DC</t>
  </si>
  <si>
    <t xml:space="preserve">CLG022270K06DC</t>
  </si>
  <si>
    <t xml:space="preserve">CLG022270P10DC</t>
  </si>
  <si>
    <t xml:space="preserve">CLG026340K06DC</t>
  </si>
  <si>
    <t xml:space="preserve">CRB015190K02DC</t>
  </si>
  <si>
    <t xml:space="preserve">CRB015190K06DC</t>
  </si>
  <si>
    <t xml:space="preserve">CRB019240K02DC</t>
  </si>
  <si>
    <t xml:space="preserve">CRB019240K06DC</t>
  </si>
  <si>
    <t xml:space="preserve">CTH013160K02DC</t>
  </si>
  <si>
    <t xml:space="preserve">CTH016210K02DC</t>
  </si>
  <si>
    <t xml:space="preserve">GCARF0000K10DC</t>
  </si>
  <si>
    <t xml:space="preserve">GFT0FBK00K06DC</t>
  </si>
  <si>
    <t xml:space="preserve">GFT0J0000K06DC</t>
  </si>
  <si>
    <t xml:space="preserve">GFT0RG000K06DC</t>
  </si>
  <si>
    <t xml:space="preserve">GGIZF0000K02DC</t>
  </si>
  <si>
    <t xml:space="preserve">GHD0F0000K05DC</t>
  </si>
  <si>
    <t xml:space="preserve">GLGBF0000K06DC</t>
  </si>
  <si>
    <t xml:space="preserve">GLH0F0000K02DC</t>
  </si>
  <si>
    <t xml:space="preserve">GLH0FBK00K02DC</t>
  </si>
  <si>
    <t xml:space="preserve">GLV002426K13DC</t>
  </si>
  <si>
    <t xml:space="preserve">GNKSF0000K06DC</t>
  </si>
  <si>
    <t xml:space="preserve">GSK0MF000K04DC</t>
  </si>
  <si>
    <t xml:space="preserve">GTL0F0000K06DC</t>
  </si>
  <si>
    <t xml:space="preserve">MPORBBSNDP05DC</t>
  </si>
  <si>
    <t xml:space="preserve">MPORBLBNDP04DC</t>
  </si>
  <si>
    <t xml:space="preserve">MPORBSTNDP10DC</t>
  </si>
  <si>
    <t xml:space="preserve">MPORC4TEXP08DC</t>
  </si>
  <si>
    <t xml:space="preserve">MPORC8TEXP16DC</t>
  </si>
  <si>
    <t xml:space="preserve">MPORC9MD0P18DC</t>
  </si>
  <si>
    <t xml:space="preserve">MPORC9MDSP18DC</t>
  </si>
  <si>
    <t xml:space="preserve">MPORC9WD0P18DC</t>
  </si>
  <si>
    <t xml:space="preserve">MPORFILNDP20DC</t>
  </si>
  <si>
    <t xml:space="preserve">MPORPWLNDP09DC</t>
  </si>
  <si>
    <t xml:space="preserve">MPORPWLNDP20DC</t>
  </si>
  <si>
    <t xml:space="preserve">MPORQLEKKP10DC</t>
  </si>
  <si>
    <t xml:space="preserve">MPORQTLBPP10DC</t>
  </si>
  <si>
    <t xml:space="preserve">MPORQTLHSP10DC</t>
  </si>
  <si>
    <t xml:space="preserve">MPORQTLHYP10DC</t>
  </si>
  <si>
    <t xml:space="preserve">MPORTHEKKP12DC</t>
  </si>
  <si>
    <t xml:space="preserve">MPORWBPM1P02DC</t>
  </si>
  <si>
    <t xml:space="preserve">MPORWHYM1P02DC</t>
  </si>
  <si>
    <t xml:space="preserve">MPORWKR00P10DC</t>
  </si>
  <si>
    <t xml:space="preserve">MPORWKRBPP10DC</t>
  </si>
  <si>
    <t xml:space="preserve">MPORWKRMXP10DC</t>
  </si>
  <si>
    <t xml:space="preserve">MPORWM1BPP02DC</t>
  </si>
  <si>
    <t xml:space="preserve">MPORWM1HSP02DC</t>
  </si>
  <si>
    <t xml:space="preserve">MPORWM1HSRETDC</t>
  </si>
  <si>
    <t xml:space="preserve">MPORWM1HYP02DC</t>
  </si>
  <si>
    <t xml:space="preserve">MPORWM1HYRETDC</t>
  </si>
  <si>
    <t xml:space="preserve">MPORWM1PKP02DC</t>
  </si>
  <si>
    <t xml:space="preserve">MPORWM1PKRETDC</t>
  </si>
  <si>
    <t xml:space="preserve">MPORWM4BPRETDC</t>
  </si>
  <si>
    <t xml:space="preserve">MPORWMHM1P02DC</t>
  </si>
  <si>
    <t xml:space="preserve">MPORWNDORP02DC</t>
  </si>
  <si>
    <t xml:space="preserve">MPORWNDORP04DC</t>
  </si>
  <si>
    <t xml:space="preserve">P3JW07090K02DC</t>
  </si>
  <si>
    <t xml:space="preserve">P3JW08100K02DC</t>
  </si>
  <si>
    <t xml:space="preserve">PDMTF0000K02DC</t>
  </si>
  <si>
    <t xml:space="preserve">PDMTMF000150DC</t>
  </si>
  <si>
    <t xml:space="preserve">PMJWF0000K02DC</t>
  </si>
  <si>
    <t xml:space="preserve">PMJWMF000150DC</t>
  </si>
  <si>
    <t xml:space="preserve">WBL1BP000P10DC</t>
  </si>
  <si>
    <t xml:space="preserve">WBL1SPG41P01DC</t>
  </si>
  <si>
    <t xml:space="preserve">WBL1SPHFGP01DC</t>
  </si>
  <si>
    <t xml:space="preserve">WBM1BP000P10DC</t>
  </si>
  <si>
    <t xml:space="preserve">WBM1SP000P01DC</t>
  </si>
  <si>
    <t xml:space="preserve">WBM2BP000P10DC</t>
  </si>
  <si>
    <t xml:space="preserve">WBM2SP000P01DC</t>
  </si>
  <si>
    <t xml:space="preserve">WBM2SPGCHP01DC</t>
  </si>
  <si>
    <t xml:space="preserve">WBS2BP000P10DC</t>
  </si>
  <si>
    <t xml:space="preserve">WNC03P000P03DC</t>
  </si>
  <si>
    <t xml:space="preserve">WNC03P0S2P03DC</t>
  </si>
  <si>
    <t xml:space="preserve">BBRSMF000K05DC</t>
  </si>
  <si>
    <t xml:space="preserve">BBRS16180K05DC</t>
  </si>
  <si>
    <t xml:space="preserve">GFATF0000K05DC</t>
  </si>
  <si>
    <t xml:space="preserve">P2JWF0000K02DC</t>
  </si>
  <si>
    <t xml:space="preserve">BLGSMF000K05DC</t>
  </si>
  <si>
    <t xml:space="preserve">BTH0F0000K02DC</t>
  </si>
  <si>
    <t xml:space="preserve">MCONBS000K02DC</t>
  </si>
  <si>
    <t xml:space="preserve">MCONCS000K02DC</t>
  </si>
  <si>
    <t xml:space="preserve">MPORCHKROP10DC</t>
  </si>
  <si>
    <t xml:space="preserve">MPORWHSM1P02DC</t>
  </si>
  <si>
    <t xml:space="preserve">Go Back To Information Tab</t>
  </si>
  <si>
    <t xml:space="preserve">BBR0F0000K02DF</t>
  </si>
  <si>
    <t xml:space="preserve">BBRS07595P24DF</t>
  </si>
  <si>
    <t xml:space="preserve">BBRS16180K05DF</t>
  </si>
  <si>
    <t xml:space="preserve">BBRS1821FK02DF</t>
  </si>
  <si>
    <t xml:space="preserve">BBRS1823FK02DF</t>
  </si>
  <si>
    <t xml:space="preserve">BBRS2325FK06DF</t>
  </si>
  <si>
    <t xml:space="preserve">BBRSF0000K02DF</t>
  </si>
  <si>
    <t xml:space="preserve">BBRSF3540K02DF</t>
  </si>
  <si>
    <t xml:space="preserve">BCH019220K02DF</t>
  </si>
  <si>
    <t xml:space="preserve">BFL003540K02DF</t>
  </si>
  <si>
    <t xml:space="preserve">BFL0F0000K02DF</t>
  </si>
  <si>
    <t xml:space="preserve">BLG018230K02DF</t>
  </si>
  <si>
    <t xml:space="preserve">BLG0F0000K02DF</t>
  </si>
  <si>
    <t xml:space="preserve">BLGS07595P24DF</t>
  </si>
  <si>
    <t xml:space="preserve">BLGSF0000K02DF</t>
  </si>
  <si>
    <t xml:space="preserve">BTH005565K06DF</t>
  </si>
  <si>
    <t xml:space="preserve">BTH009100K06DF</t>
  </si>
  <si>
    <t xml:space="preserve">BTH0CU020K02DF</t>
  </si>
  <si>
    <t xml:space="preserve">BTH0F0000K02DF</t>
  </si>
  <si>
    <t xml:space="preserve">BTHS07595P24DF</t>
  </si>
  <si>
    <t xml:space="preserve">BTHSF0000K02DF</t>
  </si>
  <si>
    <t xml:space="preserve">BTHSMF000K04DF</t>
  </si>
  <si>
    <t xml:space="preserve">BTHSMF02CK02DF</t>
  </si>
  <si>
    <t xml:space="preserve">C3JW00BRUK02DF</t>
  </si>
  <si>
    <t xml:space="preserve">C3JW07100K02DF</t>
  </si>
  <si>
    <t xml:space="preserve">C3JW09120K04DF</t>
  </si>
  <si>
    <t xml:space="preserve">C3JW09130K02DF</t>
  </si>
  <si>
    <t xml:space="preserve">C3JW0913VP06DF</t>
  </si>
  <si>
    <t xml:space="preserve">C3JWL0000K02DF</t>
  </si>
  <si>
    <t xml:space="preserve">C9PC00000P18DF</t>
  </si>
  <si>
    <t xml:space="preserve">C9PCGCH00P18DF</t>
  </si>
  <si>
    <t xml:space="preserve">C9PCWBM20P18DF</t>
  </si>
  <si>
    <t xml:space="preserve">CBRSH2332P10DF</t>
  </si>
  <si>
    <t xml:space="preserve">CCHICU000K06DF</t>
  </si>
  <si>
    <t xml:space="preserve">CDS008110K02DF</t>
  </si>
  <si>
    <t xml:space="preserve">CDS010140K02DF</t>
  </si>
  <si>
    <t xml:space="preserve">CDS010140P20DF</t>
  </si>
  <si>
    <t xml:space="preserve">CDS01014VP06DF</t>
  </si>
  <si>
    <t xml:space="preserve">CDS0CU000K02DF</t>
  </si>
  <si>
    <t xml:space="preserve">CDS0J0000K02DF</t>
  </si>
  <si>
    <t xml:space="preserve">CDS0S0000K02DF</t>
  </si>
  <si>
    <t xml:space="preserve">CKE01218VP04DF</t>
  </si>
  <si>
    <t xml:space="preserve">CKE0F0000K02DF</t>
  </si>
  <si>
    <t xml:space="preserve">CLG022270K06DF</t>
  </si>
  <si>
    <t xml:space="preserve">CLG022270P10DF</t>
  </si>
  <si>
    <t xml:space="preserve">CLG026340K06DF</t>
  </si>
  <si>
    <t xml:space="preserve">CRB015190K02DF</t>
  </si>
  <si>
    <t xml:space="preserve">CRB019240K02DF</t>
  </si>
  <si>
    <t xml:space="preserve">CRB01924VP04DF</t>
  </si>
  <si>
    <t xml:space="preserve">CTH013160K02DF</t>
  </si>
  <si>
    <t xml:space="preserve">CTH015180P12DF</t>
  </si>
  <si>
    <t xml:space="preserve">CTH016190K02DF</t>
  </si>
  <si>
    <t xml:space="preserve">CTH016210K02DF</t>
  </si>
  <si>
    <t xml:space="preserve">CTH01621VP04DF</t>
  </si>
  <si>
    <t xml:space="preserve">GCARF0000K10DF</t>
  </si>
  <si>
    <t xml:space="preserve">GFAT000SKK01DF</t>
  </si>
  <si>
    <t xml:space="preserve">GFATF0000K05DF</t>
  </si>
  <si>
    <t xml:space="preserve">GFT0FBK00K06DF</t>
  </si>
  <si>
    <t xml:space="preserve">GFT0J0000K06DF</t>
  </si>
  <si>
    <t xml:space="preserve">GFT0RG000K06DF</t>
  </si>
  <si>
    <t xml:space="preserve">GGB0F0000K10DF</t>
  </si>
  <si>
    <t xml:space="preserve">GGIZF0000K02DF</t>
  </si>
  <si>
    <t xml:space="preserve">GGRDMMTPRK01DF</t>
  </si>
  <si>
    <t xml:space="preserve">GGRDMMTSKK02DF</t>
  </si>
  <si>
    <t xml:space="preserve">GLGBF0000K06DF</t>
  </si>
  <si>
    <t xml:space="preserve">GLH0F0000K02DF</t>
  </si>
  <si>
    <t xml:space="preserve">GNK0F0000K10DF</t>
  </si>
  <si>
    <t xml:space="preserve">GNKSF0000K06DF</t>
  </si>
  <si>
    <t xml:space="preserve">GSKNF0000K05DF</t>
  </si>
  <si>
    <t xml:space="preserve">GTL0F0000K06DF</t>
  </si>
  <si>
    <t xml:space="preserve">GTL0F0BRUK06DF</t>
  </si>
  <si>
    <t xml:space="preserve">MPORBBSAWP10DF</t>
  </si>
  <si>
    <t xml:space="preserve">MPORBFTEXK02DF</t>
  </si>
  <si>
    <t xml:space="preserve">MPORBSTEKP12DF</t>
  </si>
  <si>
    <t xml:space="preserve">MPORBTSTXK02DF</t>
  </si>
  <si>
    <t xml:space="preserve">MPORBTSWDP20DF</t>
  </si>
  <si>
    <t xml:space="preserve">MPORC9AW0P09DF</t>
  </si>
  <si>
    <t xml:space="preserve">MPORC9AWSP09DF</t>
  </si>
  <si>
    <t xml:space="preserve">MPORC9MD0P09DF</t>
  </si>
  <si>
    <t xml:space="preserve">MPORC9MDSP09DF</t>
  </si>
  <si>
    <t xml:space="preserve">MPORC9WD0P18DF</t>
  </si>
  <si>
    <t xml:space="preserve">MPORCH0BPP02DF</t>
  </si>
  <si>
    <t xml:space="preserve">MPORCHBBQP02DF</t>
  </si>
  <si>
    <t xml:space="preserve">MPORCHKROP10DF</t>
  </si>
  <si>
    <t xml:space="preserve">MPORCHORIP10DF</t>
  </si>
  <si>
    <t xml:space="preserve">MPORCHOWDP10DF</t>
  </si>
  <si>
    <t xml:space="preserve">MPORCKRBPP10DF</t>
  </si>
  <si>
    <t xml:space="preserve">MPORDMKRSP20DF</t>
  </si>
  <si>
    <t xml:space="preserve">MPORFLTEXK02DF</t>
  </si>
  <si>
    <t xml:space="preserve">MPORPDMT0K02CF</t>
  </si>
  <si>
    <t xml:space="preserve">MPORPMJW0K02CF</t>
  </si>
  <si>
    <t xml:space="preserve">MPORQLSORP10DF</t>
  </si>
  <si>
    <t xml:space="preserve">MPORTHDNYP20DF</t>
  </si>
  <si>
    <t xml:space="preserve">MPORWBPM1P01DF</t>
  </si>
  <si>
    <t xml:space="preserve">MPORWHSM1P01DF</t>
  </si>
  <si>
    <t xml:space="preserve">MPORWHYM1P01DF</t>
  </si>
  <si>
    <t xml:space="preserve">MPORWKR00P02DF</t>
  </si>
  <si>
    <t xml:space="preserve">MPORWKRBPP02DF</t>
  </si>
  <si>
    <t xml:space="preserve">MPORWKRMXP10DF</t>
  </si>
  <si>
    <t xml:space="preserve">MPORWMHM1P01DF</t>
  </si>
  <si>
    <t xml:space="preserve">MPORWNDORP01DF</t>
  </si>
  <si>
    <t xml:space="preserve">P3JW00BRUK02DF</t>
  </si>
  <si>
    <t xml:space="preserve">P3JW07090K02DF</t>
  </si>
  <si>
    <t xml:space="preserve">P3JW08100K02DF</t>
  </si>
  <si>
    <t xml:space="preserve">PDMT04050K02DF</t>
  </si>
  <si>
    <t xml:space="preserve">PDMTF0000K02DF</t>
  </si>
  <si>
    <t xml:space="preserve">PMJWF0000K02DF</t>
  </si>
  <si>
    <t xml:space="preserve">WBL1BP000P10DF</t>
  </si>
  <si>
    <t xml:space="preserve">WBL1SPHFGP01DF</t>
  </si>
  <si>
    <t xml:space="preserve">WBM1BP000P10DF</t>
  </si>
  <si>
    <t xml:space="preserve">WBM1SP000P01DF</t>
  </si>
  <si>
    <t xml:space="preserve">WBM1SP0JDP01DF</t>
  </si>
  <si>
    <t xml:space="preserve">WBM2BP000P10DF</t>
  </si>
  <si>
    <t xml:space="preserve">WBM2SP000P01DF</t>
  </si>
  <si>
    <t xml:space="preserve">WBS2BP000P10DF</t>
  </si>
  <si>
    <t xml:space="preserve">WNC03P000P03DF</t>
  </si>
  <si>
    <t xml:space="preserve">WNC03P0S2P03DF</t>
  </si>
  <si>
    <t xml:space="preserve">CCHICU000RETDC</t>
  </si>
  <si>
    <t xml:space="preserve">CBR0F0000K06DF</t>
  </si>
  <si>
    <t xml:space="preserve">BBR0FTRIMK05DF</t>
  </si>
  <si>
    <t xml:space="preserve">P3JWS0000K02DF</t>
  </si>
  <si>
    <t xml:space="preserve">P2JWF0000K02DF</t>
  </si>
  <si>
    <t xml:space="preserve">PMJWF0000K01DF</t>
  </si>
  <si>
    <t xml:space="preserve">BFL004047K02DF</t>
  </si>
  <si>
    <t xml:space="preserve">FFNSNFGCH2X1FF</t>
  </si>
  <si>
    <t xml:space="preserve">FFNSNUGSF2X1FF</t>
  </si>
  <si>
    <t xml:space="preserve">FFNSNUGSF2X1HF</t>
  </si>
  <si>
    <t xml:space="preserve">FFNSNUGSF2X1JF</t>
  </si>
  <si>
    <t xml:space="preserve">FFOMBAL00400DF</t>
  </si>
  <si>
    <t xml:space="preserve">FFOMBAL00800DF</t>
  </si>
  <si>
    <t xml:space="preserve">FFOMBAL00850FF</t>
  </si>
  <si>
    <t xml:space="preserve">FFOMBALL0850FF</t>
  </si>
  <si>
    <t xml:space="preserve">FFOMBUR00600DF</t>
  </si>
  <si>
    <t xml:space="preserve">FFOMBUR00800HF</t>
  </si>
  <si>
    <t xml:space="preserve">FFOMML000200FF</t>
  </si>
  <si>
    <t xml:space="preserve">FFOMML000500DF</t>
  </si>
  <si>
    <t xml:space="preserve">FFOMML000K01DF</t>
  </si>
  <si>
    <t xml:space="preserve">FFOMML000P32DF</t>
  </si>
  <si>
    <t xml:space="preserve">FFOMML0HR500DF</t>
  </si>
  <si>
    <t xml:space="preserve">FFOMNGCTEP12CF</t>
  </si>
  <si>
    <t xml:space="preserve">FFOMNUG00105JF</t>
  </si>
  <si>
    <t xml:space="preserve">FFOMNUG00400FF</t>
  </si>
  <si>
    <t xml:space="preserve">FFOMNUG00800DF</t>
  </si>
  <si>
    <t xml:space="preserve">FFOMNUG00800HF</t>
  </si>
  <si>
    <t xml:space="preserve">FFOMNUG00K01JF</t>
  </si>
  <si>
    <t xml:space="preserve">FFOMNUG00K02FF</t>
  </si>
  <si>
    <t xml:space="preserve">FFOMNUG12850FF</t>
  </si>
  <si>
    <t xml:space="preserve">FFOMNUGAJK01CF</t>
  </si>
  <si>
    <t xml:space="preserve">FFOMNUGBM850CF</t>
  </si>
  <si>
    <t xml:space="preserve">FFOMNUGCZ800DF</t>
  </si>
  <si>
    <t xml:space="preserve">FFOMNUGGCP12CF</t>
  </si>
  <si>
    <t xml:space="preserve">FFOMNUGLZ850CF</t>
  </si>
  <si>
    <t xml:space="preserve">FFOMNUGST800HF</t>
  </si>
  <si>
    <t xml:space="preserve">FFOMNUGSTK01JF</t>
  </si>
  <si>
    <t xml:space="preserve">FFOMNUGTE800DF</t>
  </si>
  <si>
    <t xml:space="preserve">FFOMNUGTE850FF</t>
  </si>
  <si>
    <t xml:space="preserve">FFOMNUGTEK01JF</t>
  </si>
  <si>
    <t xml:space="preserve">FPORBDSCBK02DF</t>
  </si>
  <si>
    <t xml:space="preserve">FPORBUR00700FF</t>
  </si>
  <si>
    <t xml:space="preserve">FPORCH0EKP10DF</t>
  </si>
  <si>
    <t xml:space="preserve">FPORCH0ORP05DF</t>
  </si>
  <si>
    <t xml:space="preserve">FPORCHI00800DF</t>
  </si>
  <si>
    <t xml:space="preserve">FPORCHI00850FF</t>
  </si>
  <si>
    <t xml:space="preserve">FPORCHIHT800DF</t>
  </si>
  <si>
    <t xml:space="preserve">FPORDLITEK01DF</t>
  </si>
  <si>
    <t xml:space="preserve">FPORDLITEP04DF</t>
  </si>
  <si>
    <t xml:space="preserve">FPORDT000800DF</t>
  </si>
  <si>
    <t xml:space="preserve">FPORDT0HS800DF</t>
  </si>
  <si>
    <t xml:space="preserve">FPORFILCBK02DF</t>
  </si>
  <si>
    <t xml:space="preserve">FPORFIN00400DF</t>
  </si>
  <si>
    <t xml:space="preserve">FPORKATSUP06DF</t>
  </si>
  <si>
    <t xml:space="preserve">FPORKATSUP10DF</t>
  </si>
  <si>
    <t xml:space="preserve">FPORPCORN400FF</t>
  </si>
  <si>
    <t xml:space="preserve">FPORSATAYP10DF</t>
  </si>
  <si>
    <t xml:space="preserve">FPORSATAYP12DF</t>
  </si>
  <si>
    <t xml:space="preserve">FPORTBSHRK01DF</t>
  </si>
  <si>
    <t xml:space="preserve">FPORTL000400FF</t>
  </si>
  <si>
    <t xml:space="preserve">FPORWG0HS850FF</t>
  </si>
  <si>
    <t xml:space="preserve">FSGECKT00800DF</t>
  </si>
  <si>
    <t xml:space="preserve">FSGECKT00850FF</t>
  </si>
  <si>
    <t xml:space="preserve">FSGESFR00270HF</t>
  </si>
  <si>
    <t xml:space="preserve">FSGESFR00270JF</t>
  </si>
  <si>
    <t xml:space="preserve">FSGESFR00300DF</t>
  </si>
  <si>
    <t xml:space="preserve">FSGESFR00300JF</t>
  </si>
  <si>
    <t xml:space="preserve">FSGESFR00800DF</t>
  </si>
  <si>
    <t xml:space="preserve">FSGESFR00P05FF</t>
  </si>
  <si>
    <t xml:space="preserve">FSGESFR00P11FF</t>
  </si>
  <si>
    <t xml:space="preserve">FSGESFR00P12DF</t>
  </si>
  <si>
    <t xml:space="preserve">FSGESFR00P22FF</t>
  </si>
  <si>
    <t xml:space="preserve">FSGESFR00P30JF</t>
  </si>
  <si>
    <t xml:space="preserve">FSGESFRBM300CF</t>
  </si>
  <si>
    <t xml:space="preserve">FSGESFRCZ300FF</t>
  </si>
  <si>
    <t xml:space="preserve">FSGESFRCZ300JF</t>
  </si>
  <si>
    <t xml:space="preserve">FSGESFRCZ800DF</t>
  </si>
  <si>
    <t xml:space="preserve">FSGESFRCZP06DF</t>
  </si>
  <si>
    <t xml:space="preserve">FSGESFRCZP12DF</t>
  </si>
  <si>
    <t xml:space="preserve">FSGESFRCZP20FF</t>
  </si>
  <si>
    <t xml:space="preserve">FSGESFRGCP32CF</t>
  </si>
  <si>
    <t xml:space="preserve">FSGESFRHLP11CF</t>
  </si>
  <si>
    <t xml:space="preserve">FSGESFRHY270HF</t>
  </si>
  <si>
    <t xml:space="preserve">FSGESFRHY300FF</t>
  </si>
  <si>
    <t xml:space="preserve">FSGESFRHYP20FF</t>
  </si>
  <si>
    <t xml:space="preserve">FSGESGCCZP32CF</t>
  </si>
  <si>
    <t xml:space="preserve">FSGESGCHYP32CF</t>
  </si>
  <si>
    <t xml:space="preserve">BBBRF0000K02PF</t>
  </si>
  <si>
    <t xml:space="preserve">GSK0F0000K05DF</t>
  </si>
  <si>
    <t xml:space="preserve">GSKTF0000K05DF</t>
  </si>
  <si>
    <t xml:space="preserve">Initial Inventory</t>
  </si>
  <si>
    <t xml:space="preserve">BBR0F0000K02D</t>
  </si>
  <si>
    <t xml:space="preserve">BBR0FTRIMK05DC</t>
  </si>
  <si>
    <t xml:space="preserve">BBR0FTRIMK05D</t>
  </si>
  <si>
    <t xml:space="preserve">BBR0FTRWZK15DC</t>
  </si>
  <si>
    <t xml:space="preserve">BBR0FTRWZK15D</t>
  </si>
  <si>
    <t xml:space="preserve">BBRS07595P24DC</t>
  </si>
  <si>
    <t xml:space="preserve">BBRS07595P24D</t>
  </si>
  <si>
    <t xml:space="preserve">BBRS16180K05D</t>
  </si>
  <si>
    <t xml:space="preserve">BBRS1821FK02DC</t>
  </si>
  <si>
    <t xml:space="preserve">BBRS1821FK02D</t>
  </si>
  <si>
    <t xml:space="preserve">BBRS1823FK02DC</t>
  </si>
  <si>
    <t xml:space="preserve">BBRS1823FK02D</t>
  </si>
  <si>
    <t xml:space="preserve">BBRS2325FK06DC</t>
  </si>
  <si>
    <t xml:space="preserve">BBRS2325FK06D</t>
  </si>
  <si>
    <t xml:space="preserve">BBRSF0000K02D</t>
  </si>
  <si>
    <t xml:space="preserve">BBRSF3540K02DC</t>
  </si>
  <si>
    <t xml:space="preserve">BBRSF3540K02D</t>
  </si>
  <si>
    <t xml:space="preserve">BBRSMF000K04D</t>
  </si>
  <si>
    <t xml:space="preserve">BCH019220K02DC</t>
  </si>
  <si>
    <t xml:space="preserve">BCH019220K02D</t>
  </si>
  <si>
    <t xml:space="preserve">BCH0192JZK06DC</t>
  </si>
  <si>
    <t xml:space="preserve">BCH0192JZK06D</t>
  </si>
  <si>
    <t xml:space="preserve">BFL003540K02DC</t>
  </si>
  <si>
    <t xml:space="preserve">BFL003540K02D</t>
  </si>
  <si>
    <t xml:space="preserve">BFL004047K02DC</t>
  </si>
  <si>
    <t xml:space="preserve">BFL004047K02D</t>
  </si>
  <si>
    <t xml:space="preserve">BFL0F0000K02D</t>
  </si>
  <si>
    <t xml:space="preserve">BFL0FWOTZK12DC</t>
  </si>
  <si>
    <t xml:space="preserve">BFL0FWOTZK12D</t>
  </si>
  <si>
    <t xml:space="preserve">BFL0MEATZK02DC</t>
  </si>
  <si>
    <t xml:space="preserve">BFL0MEATZK02D</t>
  </si>
  <si>
    <t xml:space="preserve">BLG018230K02DC</t>
  </si>
  <si>
    <t xml:space="preserve">BLG018230K02D</t>
  </si>
  <si>
    <t xml:space="preserve">BLG0F0000K02D</t>
  </si>
  <si>
    <t xml:space="preserve">BLG0FTRIMK05DC</t>
  </si>
  <si>
    <t xml:space="preserve">BLG0FTRIMK05D</t>
  </si>
  <si>
    <t xml:space="preserve">BLGS07595P24DC</t>
  </si>
  <si>
    <t xml:space="preserve">BLGS07595P24D</t>
  </si>
  <si>
    <t xml:space="preserve">BLGSFBSDZK12DC</t>
  </si>
  <si>
    <t xml:space="preserve">BLGSFBSDZK12D</t>
  </si>
  <si>
    <t xml:space="preserve">BLGSMF000K05D</t>
  </si>
  <si>
    <t xml:space="preserve">BTH005565K06DC</t>
  </si>
  <si>
    <t xml:space="preserve">BTH005565K06D</t>
  </si>
  <si>
    <t xml:space="preserve">BTH007585K04D</t>
  </si>
  <si>
    <t xml:space="preserve">BTH007585P12DC</t>
  </si>
  <si>
    <t xml:space="preserve">BTH007585P12D</t>
  </si>
  <si>
    <t xml:space="preserve">BTH009100K06DC</t>
  </si>
  <si>
    <t xml:space="preserve">BTH009100K06D</t>
  </si>
  <si>
    <t xml:space="preserve">BTH0CU020K02DC</t>
  </si>
  <si>
    <t xml:space="preserve">BTH0CU020K02D</t>
  </si>
  <si>
    <t xml:space="preserve">BTH0F0000K02D</t>
  </si>
  <si>
    <t xml:space="preserve">BTHS07595P24DC</t>
  </si>
  <si>
    <t xml:space="preserve">BTHS07595P24D</t>
  </si>
  <si>
    <t xml:space="preserve">BTHSF0000K02D</t>
  </si>
  <si>
    <t xml:space="preserve">BTHSMF000K04D</t>
  </si>
  <si>
    <t xml:space="preserve">BTHSMF02CK02DC</t>
  </si>
  <si>
    <t xml:space="preserve">BTHSMF02CK02D</t>
  </si>
  <si>
    <t xml:space="preserve">C3JW00BRUK02DC</t>
  </si>
  <si>
    <t xml:space="preserve">C3JW00BRUK02D</t>
  </si>
  <si>
    <t xml:space="preserve">C3JW07100K02D</t>
  </si>
  <si>
    <t xml:space="preserve">C3JW09120K04DC</t>
  </si>
  <si>
    <t xml:space="preserve">C3JW09120K04D</t>
  </si>
  <si>
    <t xml:space="preserve">C3JW09130K02D</t>
  </si>
  <si>
    <t xml:space="preserve">C3JW0913VP06DC</t>
  </si>
  <si>
    <t xml:space="preserve">C3JW0913VP06D</t>
  </si>
  <si>
    <t xml:space="preserve">C3JWL0000K02DC</t>
  </si>
  <si>
    <t xml:space="preserve">C3JWL0000K02D</t>
  </si>
  <si>
    <t xml:space="preserve">C3JWNSBRUK02DC</t>
  </si>
  <si>
    <t xml:space="preserve">C3JWNSBRUK02D</t>
  </si>
  <si>
    <t xml:space="preserve">C9PC00KFCP18DC</t>
  </si>
  <si>
    <t xml:space="preserve">C9PC00KFCP18D</t>
  </si>
  <si>
    <t xml:space="preserve">C9PCAW000P18DC</t>
  </si>
  <si>
    <t xml:space="preserve">C9PCAW000P18D</t>
  </si>
  <si>
    <t xml:space="preserve">C9PCGCH00P18DC</t>
  </si>
  <si>
    <t xml:space="preserve">C9PCGCH00P18D</t>
  </si>
  <si>
    <t xml:space="preserve">C9PCKFC00P14DC</t>
  </si>
  <si>
    <t xml:space="preserve">C9PCKFC00P14D</t>
  </si>
  <si>
    <t xml:space="preserve">C9PCMD000P18DC</t>
  </si>
  <si>
    <t xml:space="preserve">C9PCMD000P18D</t>
  </si>
  <si>
    <t xml:space="preserve">C9PCMD00ZP18DC</t>
  </si>
  <si>
    <t xml:space="preserve">C9PCMD00ZP18D</t>
  </si>
  <si>
    <t xml:space="preserve">C9PCWBM20P18D</t>
  </si>
  <si>
    <t xml:space="preserve">CBR0F0000K06DC</t>
  </si>
  <si>
    <t xml:space="preserve">CBR0F0000K06D</t>
  </si>
  <si>
    <t xml:space="preserve">CBRSH2332P10D</t>
  </si>
  <si>
    <t xml:space="preserve">CCHICU000K02D</t>
  </si>
  <si>
    <t xml:space="preserve">CCHICU000K06D</t>
  </si>
  <si>
    <t xml:space="preserve">CDS008110K02D</t>
  </si>
  <si>
    <t xml:space="preserve">CDS0081BZK12DC</t>
  </si>
  <si>
    <t xml:space="preserve">CDS0081BZK12D</t>
  </si>
  <si>
    <t xml:space="preserve">CDS010140K02D</t>
  </si>
  <si>
    <t xml:space="preserve">CDS010140P20D</t>
  </si>
  <si>
    <t xml:space="preserve">CDS01014VP06DC</t>
  </si>
  <si>
    <t xml:space="preserve">CDS01014VP06D</t>
  </si>
  <si>
    <t xml:space="preserve">CDS0CU000K02D</t>
  </si>
  <si>
    <t xml:space="preserve">CDS0J0000K02DC</t>
  </si>
  <si>
    <t xml:space="preserve">CDS0J0000K02D</t>
  </si>
  <si>
    <t xml:space="preserve">CDS0S0000K02DC</t>
  </si>
  <si>
    <t xml:space="preserve">CDS0S0000K02D</t>
  </si>
  <si>
    <t xml:space="preserve">CKE01218VP04DC</t>
  </si>
  <si>
    <t xml:space="preserve">CKE01218VP04D</t>
  </si>
  <si>
    <t xml:space="preserve">CKE0F0000K02D</t>
  </si>
  <si>
    <t xml:space="preserve">CLG022270K06D</t>
  </si>
  <si>
    <t xml:space="preserve">CLG022270P10D</t>
  </si>
  <si>
    <t xml:space="preserve">CLG026340K06D</t>
  </si>
  <si>
    <t xml:space="preserve">CRB015190K02D</t>
  </si>
  <si>
    <t xml:space="preserve">CRB015190K06D</t>
  </si>
  <si>
    <t xml:space="preserve">CRB019240K02D</t>
  </si>
  <si>
    <t xml:space="preserve">CRB019240K06D</t>
  </si>
  <si>
    <t xml:space="preserve">CRB01924VP04DC</t>
  </si>
  <si>
    <t xml:space="preserve">CRB01924VP04D</t>
  </si>
  <si>
    <t xml:space="preserve">CTH013160K02D</t>
  </si>
  <si>
    <t xml:space="preserve">CTH015180P12DC</t>
  </si>
  <si>
    <t xml:space="preserve">CTH015180P12D</t>
  </si>
  <si>
    <t xml:space="preserve">CTH016190K02DC</t>
  </si>
  <si>
    <t xml:space="preserve">CTH016190K02D</t>
  </si>
  <si>
    <t xml:space="preserve">CTH016210K02D</t>
  </si>
  <si>
    <t xml:space="preserve">CTH01621VP04DC</t>
  </si>
  <si>
    <t xml:space="preserve">CTH01621VP04D</t>
  </si>
  <si>
    <t xml:space="preserve">FFNSNFGCH2X1FC</t>
  </si>
  <si>
    <t xml:space="preserve">FFNSNFGCH2X1F</t>
  </si>
  <si>
    <t xml:space="preserve">FFNSNUGSF2X1FC</t>
  </si>
  <si>
    <t xml:space="preserve">FFNSNUGSF2X1F</t>
  </si>
  <si>
    <t xml:space="preserve">FFNSNUGSF2X1HC</t>
  </si>
  <si>
    <t xml:space="preserve">FFNSNUGSF2X1H</t>
  </si>
  <si>
    <t xml:space="preserve">FFNSNUGSF2X1JC</t>
  </si>
  <si>
    <t xml:space="preserve">FFNSNUGSF2X1J</t>
  </si>
  <si>
    <t xml:space="preserve">FFOMBAL00400DC</t>
  </si>
  <si>
    <t xml:space="preserve">FFOMBAL00400D</t>
  </si>
  <si>
    <t xml:space="preserve">FFOMBAL00800DC</t>
  </si>
  <si>
    <t xml:space="preserve">FFOMBAL00800D</t>
  </si>
  <si>
    <t xml:space="preserve">FFOMBAL00850FC</t>
  </si>
  <si>
    <t xml:space="preserve">FFOMBAL00850F</t>
  </si>
  <si>
    <t xml:space="preserve">FFOMBALL0850FC</t>
  </si>
  <si>
    <t xml:space="preserve">FFOMBALL0850F</t>
  </si>
  <si>
    <t xml:space="preserve">FFOMBUR00600DC</t>
  </si>
  <si>
    <t xml:space="preserve">FFOMBUR00600D</t>
  </si>
  <si>
    <t xml:space="preserve">FFOMBUR00K01JC</t>
  </si>
  <si>
    <t xml:space="preserve">FFOMBUR00K01J</t>
  </si>
  <si>
    <t xml:space="preserve">FFOMML000200FC</t>
  </si>
  <si>
    <t xml:space="preserve">FFOMML000200F</t>
  </si>
  <si>
    <t xml:space="preserve">FFOMML000500DC</t>
  </si>
  <si>
    <t xml:space="preserve">FFOMML000500D</t>
  </si>
  <si>
    <t xml:space="preserve">FFOMML000P32DC</t>
  </si>
  <si>
    <t xml:space="preserve">FFOMML000P32D</t>
  </si>
  <si>
    <t xml:space="preserve">FFOMML0HR500DC</t>
  </si>
  <si>
    <t xml:space="preserve">FFOMML0HR500D</t>
  </si>
  <si>
    <t xml:space="preserve">FFOMNUG00400FC</t>
  </si>
  <si>
    <t xml:space="preserve">FFOMNUG00400F</t>
  </si>
  <si>
    <t xml:space="preserve">FFOMNUG00800DC</t>
  </si>
  <si>
    <t xml:space="preserve">FFOMNUG00800D</t>
  </si>
  <si>
    <t xml:space="preserve">FFOMNUG00800HC</t>
  </si>
  <si>
    <t xml:space="preserve">FFOMNUG00800H</t>
  </si>
  <si>
    <t xml:space="preserve">FFOMNUG00K01JC</t>
  </si>
  <si>
    <t xml:space="preserve">FFOMNUG00K01J</t>
  </si>
  <si>
    <t xml:space="preserve">FFOMNUG00K02FC</t>
  </si>
  <si>
    <t xml:space="preserve">FFOMNUG00K02F</t>
  </si>
  <si>
    <t xml:space="preserve">FFOMNUG12850FC</t>
  </si>
  <si>
    <t xml:space="preserve">FFOMNUG12850F</t>
  </si>
  <si>
    <t xml:space="preserve">FFOMNUGCZ800DC</t>
  </si>
  <si>
    <t xml:space="preserve">FFOMNUGCZ800D</t>
  </si>
  <si>
    <t xml:space="preserve">FFOMNUGGCP12CC</t>
  </si>
  <si>
    <t xml:space="preserve">FFOMNUGGCP12C</t>
  </si>
  <si>
    <t xml:space="preserve">FFOMNUGST800HC</t>
  </si>
  <si>
    <t xml:space="preserve">FFOMNUGST800H</t>
  </si>
  <si>
    <t xml:space="preserve">FFOMNUGSTK01JC</t>
  </si>
  <si>
    <t xml:space="preserve">FFOMNUGSTK01J</t>
  </si>
  <si>
    <t xml:space="preserve">FFOMNUGTE800DC</t>
  </si>
  <si>
    <t xml:space="preserve">FFOMNUGTE800D</t>
  </si>
  <si>
    <t xml:space="preserve">FFOMNUGTE850FC</t>
  </si>
  <si>
    <t xml:space="preserve">FFOMNUGTE850F</t>
  </si>
  <si>
    <t xml:space="preserve">FFOMNUGTEK01JC</t>
  </si>
  <si>
    <t xml:space="preserve">FFOMNUGTEK01J</t>
  </si>
  <si>
    <t xml:space="preserve">FGRBBC00K05DFC</t>
  </si>
  <si>
    <t xml:space="preserve">FGRBBC00K05DF</t>
  </si>
  <si>
    <t xml:space="preserve">FGRDCTG00K05DC</t>
  </si>
  <si>
    <t xml:space="preserve">FGRDCTG00K05D</t>
  </si>
  <si>
    <t xml:space="preserve">FGRDMDM00K05DC</t>
  </si>
  <si>
    <t xml:space="preserve">FGRDMDM00K05D</t>
  </si>
  <si>
    <t xml:space="preserve">FGRDMDMIMK06PC</t>
  </si>
  <si>
    <t xml:space="preserve">FGRDMDMIMK06P</t>
  </si>
  <si>
    <t xml:space="preserve">FGRDMGM00K05DC</t>
  </si>
  <si>
    <t xml:space="preserve">FGRDMGM00K05D</t>
  </si>
  <si>
    <t xml:space="preserve">FGRDMGWPPK05DC</t>
  </si>
  <si>
    <t xml:space="preserve">FGRDMGWPPK05D</t>
  </si>
  <si>
    <t xml:space="preserve">FPORBDSCBK02DC</t>
  </si>
  <si>
    <t xml:space="preserve">FPORBDSCBK02D</t>
  </si>
  <si>
    <t xml:space="preserve">FPORBUR00700FC</t>
  </si>
  <si>
    <t xml:space="preserve">FPORBUR00700F</t>
  </si>
  <si>
    <t xml:space="preserve">FPORCH0EKP10DC</t>
  </si>
  <si>
    <t xml:space="preserve">FPORCH0EKP10D</t>
  </si>
  <si>
    <t xml:space="preserve">FPORCH0ORP05DC</t>
  </si>
  <si>
    <t xml:space="preserve">FPORCH0ORP05D</t>
  </si>
  <si>
    <t xml:space="preserve">FPORCHI00800DC</t>
  </si>
  <si>
    <t xml:space="preserve">FPORCHI00800D</t>
  </si>
  <si>
    <t xml:space="preserve">FPORCHI00850FC</t>
  </si>
  <si>
    <t xml:space="preserve">FPORCHI00850F</t>
  </si>
  <si>
    <t xml:space="preserve">FPORCHIHT800DC</t>
  </si>
  <si>
    <t xml:space="preserve">FPORCHIHT800D</t>
  </si>
  <si>
    <t xml:space="preserve">FPORDLITEK01DC</t>
  </si>
  <si>
    <t xml:space="preserve">FPORDLITEK01D</t>
  </si>
  <si>
    <t xml:space="preserve">FPORDLITEP04DC</t>
  </si>
  <si>
    <t xml:space="preserve">FPORDLITEP04D</t>
  </si>
  <si>
    <t xml:space="preserve">FPORDT000800DC</t>
  </si>
  <si>
    <t xml:space="preserve">FPORDT000800D</t>
  </si>
  <si>
    <t xml:space="preserve">FPORDT0HS800DC</t>
  </si>
  <si>
    <t xml:space="preserve">FPORDT0HS800D</t>
  </si>
  <si>
    <t xml:space="preserve">FPORFILCBK02DC</t>
  </si>
  <si>
    <t xml:space="preserve">FPORFILCBK02D</t>
  </si>
  <si>
    <t xml:space="preserve">FPORFIN00400DC</t>
  </si>
  <si>
    <t xml:space="preserve">FPORFIN00400D</t>
  </si>
  <si>
    <t xml:space="preserve">FPORPCORN400FC</t>
  </si>
  <si>
    <t xml:space="preserve">FPORPCORN400F</t>
  </si>
  <si>
    <t xml:space="preserve">FPORSATAYP10DC</t>
  </si>
  <si>
    <t xml:space="preserve">FPORSATAYP10D</t>
  </si>
  <si>
    <t xml:space="preserve">FPORSATAYP12DC</t>
  </si>
  <si>
    <t xml:space="preserve">FPORSATAYP12D</t>
  </si>
  <si>
    <t xml:space="preserve">FPORTBSHRK01DC</t>
  </si>
  <si>
    <t xml:space="preserve">FPORTBSHRK01D</t>
  </si>
  <si>
    <t xml:space="preserve">FPORTL000400FC</t>
  </si>
  <si>
    <t xml:space="preserve">FPORTL000400F</t>
  </si>
  <si>
    <t xml:space="preserve">FPORWG0HS850FC</t>
  </si>
  <si>
    <t xml:space="preserve">FPORWG0HS850F</t>
  </si>
  <si>
    <t xml:space="preserve">FSGECKT00800DC</t>
  </si>
  <si>
    <t xml:space="preserve">FSGECKT00800D</t>
  </si>
  <si>
    <t xml:space="preserve">FSGECKT00850FC</t>
  </si>
  <si>
    <t xml:space="preserve">FSGECKT00850F</t>
  </si>
  <si>
    <t xml:space="preserve">FSGESFR00270HC</t>
  </si>
  <si>
    <t xml:space="preserve">FSGESFR00270H</t>
  </si>
  <si>
    <t xml:space="preserve">FSGESFR00270JC</t>
  </si>
  <si>
    <t xml:space="preserve">FSGESFR00270J</t>
  </si>
  <si>
    <t xml:space="preserve">FSGESFR00300DC</t>
  </si>
  <si>
    <t xml:space="preserve">FSGESFR00300D</t>
  </si>
  <si>
    <t xml:space="preserve">FSGESFR00300JC</t>
  </si>
  <si>
    <t xml:space="preserve">FSGESFR00300J</t>
  </si>
  <si>
    <t xml:space="preserve">FSGESFR00800DC</t>
  </si>
  <si>
    <t xml:space="preserve">FSGESFR00800D</t>
  </si>
  <si>
    <t xml:space="preserve">FSGESFR00P11FC</t>
  </si>
  <si>
    <t xml:space="preserve">FSGESFR00P11F</t>
  </si>
  <si>
    <t xml:space="preserve">FSGESFR00P12DC</t>
  </si>
  <si>
    <t xml:space="preserve">FSGESFR00P12D</t>
  </si>
  <si>
    <t xml:space="preserve">FSGESFR00P22FC</t>
  </si>
  <si>
    <t xml:space="preserve">FSGESFR00P22F</t>
  </si>
  <si>
    <t xml:space="preserve">FSGESFR00P30JC</t>
  </si>
  <si>
    <t xml:space="preserve">FSGESFR00P30J</t>
  </si>
  <si>
    <t xml:space="preserve">FSGESFRCZ300FC</t>
  </si>
  <si>
    <t xml:space="preserve">FSGESFRCZ300F</t>
  </si>
  <si>
    <t xml:space="preserve">FSGESFRCZ300JC</t>
  </si>
  <si>
    <t xml:space="preserve">FSGESFRCZ300J</t>
  </si>
  <si>
    <t xml:space="preserve">FSGESFRCZ800DC</t>
  </si>
  <si>
    <t xml:space="preserve">FSGESFRCZ800D</t>
  </si>
  <si>
    <t xml:space="preserve">FSGESFRCZP06DC</t>
  </si>
  <si>
    <t xml:space="preserve">FSGESFRCZP06D</t>
  </si>
  <si>
    <t xml:space="preserve">FSGESFRCZP12DC</t>
  </si>
  <si>
    <t xml:space="preserve">FSGESFRCZP12D</t>
  </si>
  <si>
    <t xml:space="preserve">FSGESFRCZP20FC</t>
  </si>
  <si>
    <t xml:space="preserve">FSGESFRCZP20F</t>
  </si>
  <si>
    <t xml:space="preserve">FSGESFRGCP32CC</t>
  </si>
  <si>
    <t xml:space="preserve">FSGESFRGCP32C</t>
  </si>
  <si>
    <t xml:space="preserve">FSGESFRHLP11CC</t>
  </si>
  <si>
    <t xml:space="preserve">FSGESFRHLP11C</t>
  </si>
  <si>
    <t xml:space="preserve">FSGESFRHY270HC</t>
  </si>
  <si>
    <t xml:space="preserve">FSGESFRHY270H</t>
  </si>
  <si>
    <t xml:space="preserve">FSGESFRHY300FC</t>
  </si>
  <si>
    <t xml:space="preserve">FSGESFRHY300F</t>
  </si>
  <si>
    <t xml:space="preserve">FSGESFRHYP20FC</t>
  </si>
  <si>
    <t xml:space="preserve">FSGESFRHYP20F</t>
  </si>
  <si>
    <t xml:space="preserve">GCARF0000K10D</t>
  </si>
  <si>
    <t xml:space="preserve">GCTGF0000K12DC</t>
  </si>
  <si>
    <t xml:space="preserve">GCTGF0000K12D</t>
  </si>
  <si>
    <t xml:space="preserve">GCTGFFILZK12DC</t>
  </si>
  <si>
    <t xml:space="preserve">GCTGFFILZK12D</t>
  </si>
  <si>
    <t xml:space="preserve">GFAT000SKK01DC</t>
  </si>
  <si>
    <t xml:space="preserve">GFAT000SKK01D</t>
  </si>
  <si>
    <t xml:space="preserve">GFATF0000K05D</t>
  </si>
  <si>
    <t xml:space="preserve">GFT0FBK00K06D</t>
  </si>
  <si>
    <t xml:space="preserve">GFT0J0000K06D</t>
  </si>
  <si>
    <t xml:space="preserve">GFT0RG000K06D</t>
  </si>
  <si>
    <t xml:space="preserve">GGB0F0000K10DC</t>
  </si>
  <si>
    <t xml:space="preserve">GGB0F0000K10D</t>
  </si>
  <si>
    <t xml:space="preserve">GGIZF0000K02D</t>
  </si>
  <si>
    <t xml:space="preserve">GGRDMMTPRK01DC</t>
  </si>
  <si>
    <t xml:space="preserve">GGRDMMTPRK01D</t>
  </si>
  <si>
    <t xml:space="preserve">GGRDMMTSKK02DC</t>
  </si>
  <si>
    <t xml:space="preserve">GGRDMMTSKK02D</t>
  </si>
  <si>
    <t xml:space="preserve">GHD0F0000K05D</t>
  </si>
  <si>
    <t xml:space="preserve">GLGBF0000K06D</t>
  </si>
  <si>
    <t xml:space="preserve">GLH0F0000K02D</t>
  </si>
  <si>
    <t xml:space="preserve">GNKSF0000K06D</t>
  </si>
  <si>
    <t xml:space="preserve">GSK0F0000K05DC</t>
  </si>
  <si>
    <t xml:space="preserve">GSK0F0000K05D</t>
  </si>
  <si>
    <t xml:space="preserve">GSK0MF000K04D</t>
  </si>
  <si>
    <t xml:space="preserve">GSKNF0000K05DC</t>
  </si>
  <si>
    <t xml:space="preserve">GSKNF0000K05D</t>
  </si>
  <si>
    <t xml:space="preserve">GSKTF0000K05DC</t>
  </si>
  <si>
    <t xml:space="preserve">GSKTF0000K05D</t>
  </si>
  <si>
    <t xml:space="preserve">GTL0F0000K06D</t>
  </si>
  <si>
    <t xml:space="preserve">GTL0F0BRUK06DC</t>
  </si>
  <si>
    <t xml:space="preserve">GTL0F0BRUK06D</t>
  </si>
  <si>
    <t xml:space="preserve">MCONBS000K02D</t>
  </si>
  <si>
    <t xml:space="preserve">MCONCS000K02D</t>
  </si>
  <si>
    <t xml:space="preserve">MPORBBSAWP10DC</t>
  </si>
  <si>
    <t xml:space="preserve">MPORBBSAWP10D</t>
  </si>
  <si>
    <t xml:space="preserve">MPORBBSNDP05D</t>
  </si>
  <si>
    <t xml:space="preserve">MPORBFTEXK02DC</t>
  </si>
  <si>
    <t xml:space="preserve">MPORBFTEXK02D</t>
  </si>
  <si>
    <t xml:space="preserve">MPORBSTEKP12DC</t>
  </si>
  <si>
    <t xml:space="preserve">MPORBSTEKP12D</t>
  </si>
  <si>
    <t xml:space="preserve">MPORBSTNDP10D</t>
  </si>
  <si>
    <t xml:space="preserve">MPORBTSTXK02DC</t>
  </si>
  <si>
    <t xml:space="preserve">MPORBTSTXK02D</t>
  </si>
  <si>
    <t xml:space="preserve">MPORBTSWDP20DC</t>
  </si>
  <si>
    <t xml:space="preserve">MPORBTSWDP20D</t>
  </si>
  <si>
    <t xml:space="preserve">MPORC9AW0P09DC</t>
  </si>
  <si>
    <t xml:space="preserve">MPORC9AW0P09D</t>
  </si>
  <si>
    <t xml:space="preserve">MPORC9AWSP09DC</t>
  </si>
  <si>
    <t xml:space="preserve">MPORC9AWSP09D</t>
  </si>
  <si>
    <t xml:space="preserve">MPORC9MD0P09DC</t>
  </si>
  <si>
    <t xml:space="preserve">MPORC9MD0P09D</t>
  </si>
  <si>
    <t xml:space="preserve">MPORC9MD0P18D</t>
  </si>
  <si>
    <t xml:space="preserve">MPORC9MDSP09DC</t>
  </si>
  <si>
    <t xml:space="preserve">MPORC9MDSP09D</t>
  </si>
  <si>
    <t xml:space="preserve">MPORC9MDSP18D</t>
  </si>
  <si>
    <t xml:space="preserve">MPORC9WD0P18D</t>
  </si>
  <si>
    <t xml:space="preserve">MPORCH0BPP02DC</t>
  </si>
  <si>
    <t xml:space="preserve">MPORCH0BPP02D</t>
  </si>
  <si>
    <t xml:space="preserve">MPORCHBBQP02DC</t>
  </si>
  <si>
    <t xml:space="preserve">MPORCHBBQP02D</t>
  </si>
  <si>
    <t xml:space="preserve">MPORCHKROP10D</t>
  </si>
  <si>
    <t xml:space="preserve">MPORCHORIP10DC</t>
  </si>
  <si>
    <t xml:space="preserve">MPORCHORIP10D</t>
  </si>
  <si>
    <t xml:space="preserve">MPORCHOWDP10DC</t>
  </si>
  <si>
    <t xml:space="preserve">MPORCHOWDP10D</t>
  </si>
  <si>
    <t xml:space="preserve">MPORCKRBPP10DC</t>
  </si>
  <si>
    <t xml:space="preserve">MPORCKRBPP10D</t>
  </si>
  <si>
    <t xml:space="preserve">MPORFILNDP20D</t>
  </si>
  <si>
    <t xml:space="preserve">MPORFLTEXK02DC</t>
  </si>
  <si>
    <t xml:space="preserve">MPORFLTEXK02D</t>
  </si>
  <si>
    <t xml:space="preserve">MPORPDMT0K02CC</t>
  </si>
  <si>
    <t xml:space="preserve">MPORPDMT0K02C</t>
  </si>
  <si>
    <t xml:space="preserve">MPORPMJW0K02CC</t>
  </si>
  <si>
    <t xml:space="preserve">MPORPMJW0K02C</t>
  </si>
  <si>
    <t xml:space="preserve">MPORQTLHSP10D</t>
  </si>
  <si>
    <t xml:space="preserve">MPORTHDNYP20DC</t>
  </si>
  <si>
    <t xml:space="preserve">MPORTHDNYP20D</t>
  </si>
  <si>
    <t xml:space="preserve">MPORTHEKKP12D</t>
  </si>
  <si>
    <t xml:space="preserve">MPORWKR00P10D</t>
  </si>
  <si>
    <t xml:space="preserve">MPORWKRBPP10D</t>
  </si>
  <si>
    <t xml:space="preserve">MPORWM1BPP02D</t>
  </si>
  <si>
    <t xml:space="preserve">MPORWM1HYP02D</t>
  </si>
  <si>
    <t xml:space="preserve">MPORWMHM1P02D</t>
  </si>
  <si>
    <t xml:space="preserve">MPORWNDORP04D</t>
  </si>
  <si>
    <t xml:space="preserve">MPORWNDORZ01DC</t>
  </si>
  <si>
    <t xml:space="preserve">MPORWNDORZ01D</t>
  </si>
  <si>
    <t xml:space="preserve">P2JWF0000K02D</t>
  </si>
  <si>
    <t xml:space="preserve">P3JW00BRUK02DC</t>
  </si>
  <si>
    <t xml:space="preserve">P3JW00BRUK02D</t>
  </si>
  <si>
    <t xml:space="preserve">P3JW07090K02D</t>
  </si>
  <si>
    <t xml:space="preserve">P3JW08100K02D</t>
  </si>
  <si>
    <t xml:space="preserve">P3JWLTGIFK02DC</t>
  </si>
  <si>
    <t xml:space="preserve">P3JWLTGIFK02D</t>
  </si>
  <si>
    <t xml:space="preserve">P3JWS0000K02DC</t>
  </si>
  <si>
    <t xml:space="preserve">P3JWS0000K02D</t>
  </si>
  <si>
    <t xml:space="preserve">P3JWSFPDZK12DC</t>
  </si>
  <si>
    <t xml:space="preserve">P3JWSFPDZK12D</t>
  </si>
  <si>
    <t xml:space="preserve">PDMT04050K02DC</t>
  </si>
  <si>
    <t xml:space="preserve">PDMT04050K02D</t>
  </si>
  <si>
    <t xml:space="preserve">PDMTF0000K02D</t>
  </si>
  <si>
    <t xml:space="preserve">PDMTFBRDZK12DC</t>
  </si>
  <si>
    <t xml:space="preserve">PDMTFBRDZK12D</t>
  </si>
  <si>
    <t xml:space="preserve">PDMTFFPDZK12DC</t>
  </si>
  <si>
    <t xml:space="preserve">PDMTFFPDZK12D</t>
  </si>
  <si>
    <t xml:space="preserve">PDMTMF000150D</t>
  </si>
  <si>
    <t xml:space="preserve">PMJWF0000K01DC</t>
  </si>
  <si>
    <t xml:space="preserve">PMJWF0000K01D</t>
  </si>
  <si>
    <t xml:space="preserve">PMJWF0000K02D</t>
  </si>
  <si>
    <t xml:space="preserve">PMJWF00FZK12DC</t>
  </si>
  <si>
    <t xml:space="preserve">PMJWF00FZK12D</t>
  </si>
  <si>
    <t xml:space="preserve">SBH0F000HP05DC</t>
  </si>
  <si>
    <t xml:space="preserve">SBH0F000HP05D</t>
  </si>
  <si>
    <t xml:space="preserve">WBL1BP000P10D</t>
  </si>
  <si>
    <t xml:space="preserve">WBL1SPG41P01D</t>
  </si>
  <si>
    <t xml:space="preserve">WBL1SPHFGP01D</t>
  </si>
  <si>
    <t xml:space="preserve">WBM1BP000P10D</t>
  </si>
  <si>
    <t xml:space="preserve">WBM1SP000P01D</t>
  </si>
  <si>
    <t xml:space="preserve">WBM1SP0JDP01DC</t>
  </si>
  <si>
    <t xml:space="preserve">WBM1SP0JDP01D</t>
  </si>
  <si>
    <t xml:space="preserve">WBM2BP000P10D</t>
  </si>
  <si>
    <t xml:space="preserve">WBM2DE00ZP10DC</t>
  </si>
  <si>
    <t xml:space="preserve">WBM2DE00ZP10D</t>
  </si>
  <si>
    <t xml:space="preserve">WBM2SP000P01D</t>
  </si>
  <si>
    <t xml:space="preserve">WBM2SPGCHP01D</t>
  </si>
  <si>
    <t xml:space="preserve">WBS2BP000P10D</t>
  </si>
  <si>
    <t xml:space="preserve">WBSM1214ZP10DC</t>
  </si>
  <si>
    <t xml:space="preserve">WBSM1214ZP10D</t>
  </si>
  <si>
    <t xml:space="preserve">WNC03P000P03D</t>
  </si>
  <si>
    <t xml:space="preserve">WNC03P0S2P03D</t>
  </si>
  <si>
    <t xml:space="preserve">WNCB0FP0ZP12DC</t>
  </si>
  <si>
    <t xml:space="preserve">WNCB0FP0ZP12D</t>
  </si>
  <si>
    <t xml:space="preserve">Selling Price Fresh (in RM/kg)</t>
  </si>
  <si>
    <t xml:space="preserve">Priority</t>
  </si>
  <si>
    <t xml:space="preserve">C9PCKFC00P18DC</t>
  </si>
  <si>
    <t xml:space="preserve">Selling Price Frozen (in RM/kg)</t>
  </si>
  <si>
    <t xml:space="preserve">C9PC00KFCP18DF</t>
  </si>
  <si>
    <t xml:space="preserve">C9PCKFC00P14DF</t>
  </si>
  <si>
    <t xml:space="preserve">Penalty_Cost_Fresh(in RM/kg)</t>
  </si>
  <si>
    <t xml:space="preserve">Penalty_Cost_Frozen(in RM/kg)</t>
  </si>
  <si>
    <t xml:space="preserve">Holding_Cost_Fresh (in RM/kg)</t>
  </si>
  <si>
    <t xml:space="preserve">Holding_Cost_Frozen(In RM/kg)</t>
  </si>
  <si>
    <t xml:space="preserve">Operational_Cost(In RM/kg)</t>
  </si>
  <si>
    <t xml:space="preserve">exclusive of freezing cost, holding cost, birds cost,</t>
  </si>
  <si>
    <t xml:space="preserve">packaging, consumable, labour, VOH?</t>
  </si>
  <si>
    <t xml:space="preserve">COGS</t>
  </si>
  <si>
    <t xml:space="preserve">Operational time (hr/kg)</t>
  </si>
  <si>
    <t xml:space="preserve">Line</t>
  </si>
  <si>
    <t xml:space="preserve">Section</t>
  </si>
  <si>
    <t xml:space="preserve">Sales Code</t>
  </si>
  <si>
    <t xml:space="preserve">Item</t>
  </si>
  <si>
    <t xml:space="preserve">Description</t>
  </si>
  <si>
    <t xml:space="preserve">Product group</t>
  </si>
  <si>
    <t xml:space="preserve">Suitable </t>
  </si>
  <si>
    <t xml:space="preserve">Lower Limit Dressed Bird Weight</t>
  </si>
  <si>
    <t xml:space="preserve">Upper Limit Dressed Bird Weight</t>
  </si>
  <si>
    <t xml:space="preserve">2202</t>
  </si>
  <si>
    <t xml:space="preserve">BBR02325ZK12DC</t>
  </si>
  <si>
    <t xml:space="preserve">BLBRSAC</t>
  </si>
  <si>
    <t xml:space="preserve">BL BREAST</t>
  </si>
  <si>
    <t xml:space="preserve">2.01_2.30_B</t>
  </si>
  <si>
    <t xml:space="preserve">2203</t>
  </si>
  <si>
    <t xml:space="preserve">BLBRSAF</t>
  </si>
  <si>
    <t xml:space="preserve">2206</t>
  </si>
  <si>
    <t xml:space="preserve">W-BLBRS</t>
  </si>
  <si>
    <t xml:space="preserve">2248</t>
  </si>
  <si>
    <t xml:space="preserve">BBR0F000ZK25DC</t>
  </si>
  <si>
    <t xml:space="preserve">M-BLBRS2325NDC</t>
  </si>
  <si>
    <t xml:space="preserve">BL BFLY BREAST</t>
  </si>
  <si>
    <t xml:space="preserve">1.60_1.80_B</t>
  </si>
  <si>
    <t xml:space="preserve">2200</t>
  </si>
  <si>
    <t xml:space="preserve">BBR0FTRFZK15DC</t>
  </si>
  <si>
    <t xml:space="preserve">FP-BSLBRSA</t>
  </si>
  <si>
    <t xml:space="preserve">BSL BREAST</t>
  </si>
  <si>
    <t xml:space="preserve">2216</t>
  </si>
  <si>
    <t xml:space="preserve">BSLBRSAC</t>
  </si>
  <si>
    <t xml:space="preserve">2217</t>
  </si>
  <si>
    <t xml:space="preserve">BSLBRSAF</t>
  </si>
  <si>
    <t xml:space="preserve">2218</t>
  </si>
  <si>
    <t xml:space="preserve">BSLBRSMFC</t>
  </si>
  <si>
    <t xml:space="preserve">2219</t>
  </si>
  <si>
    <t xml:space="preserve">BSLBRSMFF</t>
  </si>
  <si>
    <t xml:space="preserve">2220</t>
  </si>
  <si>
    <t xml:space="preserve">BBRS12150K02DC</t>
  </si>
  <si>
    <t xml:space="preserve">BSLBRSMFK04C</t>
  </si>
  <si>
    <t xml:space="preserve">2221</t>
  </si>
  <si>
    <t xml:space="preserve">BBRS12150K02DF</t>
  </si>
  <si>
    <t xml:space="preserve">BSLBRSMFK04F</t>
  </si>
  <si>
    <t xml:space="preserve">2223</t>
  </si>
  <si>
    <t xml:space="preserve">BSLBRSMF2PF</t>
  </si>
  <si>
    <t xml:space="preserve">2225</t>
  </si>
  <si>
    <t xml:space="preserve">BSLBRSAPF</t>
  </si>
  <si>
    <t xml:space="preserve">2228</t>
  </si>
  <si>
    <t xml:space="preserve">BSB12150C</t>
  </si>
  <si>
    <t xml:space="preserve">2229</t>
  </si>
  <si>
    <t xml:space="preserve">BSB12150F</t>
  </si>
  <si>
    <t xml:space="preserve">2240</t>
  </si>
  <si>
    <t xml:space="preserve">W-BSLBRS</t>
  </si>
  <si>
    <t xml:space="preserve">2204</t>
  </si>
  <si>
    <t xml:space="preserve">M-BSB7585AWC</t>
  </si>
  <si>
    <t xml:space="preserve">2245</t>
  </si>
  <si>
    <t xml:space="preserve">BSB7595X24F</t>
  </si>
  <si>
    <t xml:space="preserve">2208</t>
  </si>
  <si>
    <t xml:space="preserve">BBRS7585ZP20DC</t>
  </si>
  <si>
    <t xml:space="preserve">FP-BRSTRIM</t>
  </si>
  <si>
    <t xml:space="preserve">2210</t>
  </si>
  <si>
    <t xml:space="preserve">FP-BRSTRIMWG</t>
  </si>
  <si>
    <t xml:space="preserve">2212</t>
  </si>
  <si>
    <t xml:space="preserve">BRSTRIMC</t>
  </si>
  <si>
    <t xml:space="preserve">2213</t>
  </si>
  <si>
    <t xml:space="preserve">BBRSF0000K03PF</t>
  </si>
  <si>
    <t xml:space="preserve">BRSTRIMF</t>
  </si>
  <si>
    <t xml:space="preserve">2232</t>
  </si>
  <si>
    <t xml:space="preserve">BBRSF000ZK25DC</t>
  </si>
  <si>
    <t xml:space="preserve">BSB1821C</t>
  </si>
  <si>
    <t xml:space="preserve">BSL BFLY BREAST</t>
  </si>
  <si>
    <t xml:space="preserve">2233</t>
  </si>
  <si>
    <t xml:space="preserve">BBRSF00FZK12DC</t>
  </si>
  <si>
    <t xml:space="preserve">BSB1821F</t>
  </si>
  <si>
    <t xml:space="preserve">2234</t>
  </si>
  <si>
    <t xml:space="preserve">BBRSF0NDZK12DC</t>
  </si>
  <si>
    <t xml:space="preserve">BSB2325FLYC</t>
  </si>
  <si>
    <t xml:space="preserve">2235</t>
  </si>
  <si>
    <t xml:space="preserve">BBRSF0PCZK12DC</t>
  </si>
  <si>
    <t xml:space="preserve">BSB2325FLYF</t>
  </si>
  <si>
    <t xml:space="preserve">2247</t>
  </si>
  <si>
    <t xml:space="preserve">BSB1823F</t>
  </si>
  <si>
    <t xml:space="preserve">2242</t>
  </si>
  <si>
    <t xml:space="preserve">BBRSF354ZK12DC</t>
  </si>
  <si>
    <t xml:space="preserve">BSB1618C</t>
  </si>
  <si>
    <t xml:space="preserve">BSL OPEN CUT BRS</t>
  </si>
  <si>
    <t xml:space="preserve">1.81_2.00_B</t>
  </si>
  <si>
    <t xml:space="preserve">2243</t>
  </si>
  <si>
    <t xml:space="preserve">BBRSFCHRZK12DC</t>
  </si>
  <si>
    <t xml:space="preserve">BSB1618F</t>
  </si>
  <si>
    <t xml:space="preserve">2252</t>
  </si>
  <si>
    <t xml:space="preserve">M-BSB1213NDC</t>
  </si>
  <si>
    <t xml:space="preserve">2215</t>
  </si>
  <si>
    <t xml:space="preserve">BBRSMF000K04DF</t>
  </si>
  <si>
    <t xml:space="preserve">SBBFIL3540F</t>
  </si>
  <si>
    <t xml:space="preserve">BRS STRIP</t>
  </si>
  <si>
    <t xml:space="preserve">2256</t>
  </si>
  <si>
    <t xml:space="preserve">M-SBBFIL3554TEXC</t>
  </si>
  <si>
    <t xml:space="preserve">2236</t>
  </si>
  <si>
    <t xml:space="preserve">BBRSMF000K05DF</t>
  </si>
  <si>
    <t xml:space="preserve">FP-BSLBRSCUBEHR</t>
  </si>
  <si>
    <t xml:space="preserve">BRS CUBE</t>
  </si>
  <si>
    <t xml:space="preserve">2238</t>
  </si>
  <si>
    <t xml:space="preserve">BBRSMF02CK02DF</t>
  </si>
  <si>
    <t xml:space="preserve">FP-BSLBRSPCORN</t>
  </si>
  <si>
    <t xml:space="preserve">2006</t>
  </si>
  <si>
    <t xml:space="preserve">M-3JWJ0911NDC</t>
  </si>
  <si>
    <t xml:space="preserve">3JW JC</t>
  </si>
  <si>
    <t xml:space="preserve">2007</t>
  </si>
  <si>
    <t xml:space="preserve">BCH01922ZK12DC</t>
  </si>
  <si>
    <t xml:space="preserve">3JWPF</t>
  </si>
  <si>
    <t xml:space="preserve">2008</t>
  </si>
  <si>
    <t xml:space="preserve">BCH0192JZK06DF</t>
  </si>
  <si>
    <t xml:space="preserve">3JWJ0709C</t>
  </si>
  <si>
    <t xml:space="preserve">2009</t>
  </si>
  <si>
    <t xml:space="preserve">BCH02123ZK12DC</t>
  </si>
  <si>
    <t xml:space="preserve">3JWJ0709F</t>
  </si>
  <si>
    <t xml:space="preserve">2010</t>
  </si>
  <si>
    <t xml:space="preserve">3JWJ0810C</t>
  </si>
  <si>
    <t xml:space="preserve">2011</t>
  </si>
  <si>
    <t xml:space="preserve">3JWJ0810F</t>
  </si>
  <si>
    <t xml:space="preserve">2012</t>
  </si>
  <si>
    <t xml:space="preserve">BFL02035ZK12DC</t>
  </si>
  <si>
    <t xml:space="preserve">3JWJCSC</t>
  </si>
  <si>
    <t xml:space="preserve">2013</t>
  </si>
  <si>
    <t xml:space="preserve">BFL03554ZK12DC</t>
  </si>
  <si>
    <t xml:space="preserve">3JWJCSF</t>
  </si>
  <si>
    <t xml:space="preserve">2017</t>
  </si>
  <si>
    <t xml:space="preserve">3JWJCLTGIF</t>
  </si>
  <si>
    <t xml:space="preserve">2014</t>
  </si>
  <si>
    <t xml:space="preserve">FP-3JWJCB</t>
  </si>
  <si>
    <t xml:space="preserve">2033</t>
  </si>
  <si>
    <t xml:space="preserve">BFL0F0000K02PF</t>
  </si>
  <si>
    <t xml:space="preserve">3JWJBRUNEIF</t>
  </si>
  <si>
    <t xml:space="preserve">2050</t>
  </si>
  <si>
    <t xml:space="preserve">BFL0F000ZK25DC</t>
  </si>
  <si>
    <t xml:space="preserve">W-WINGJC</t>
  </si>
  <si>
    <t xml:space="preserve">2000</t>
  </si>
  <si>
    <t xml:space="preserve">BFL0FFINZK12DC</t>
  </si>
  <si>
    <t xml:space="preserve">2JWAC</t>
  </si>
  <si>
    <t xml:space="preserve">2JW</t>
  </si>
  <si>
    <t xml:space="preserve">2001</t>
  </si>
  <si>
    <t xml:space="preserve">BFL0FTAYZK12DC</t>
  </si>
  <si>
    <t xml:space="preserve">2JWAF</t>
  </si>
  <si>
    <t xml:space="preserve">2004</t>
  </si>
  <si>
    <t xml:space="preserve">FP-2JWAHS</t>
  </si>
  <si>
    <t xml:space="preserve">2018</t>
  </si>
  <si>
    <t xml:space="preserve">DMETAC</t>
  </si>
  <si>
    <t xml:space="preserve">DMT</t>
  </si>
  <si>
    <t xml:space="preserve">2019</t>
  </si>
  <si>
    <t xml:space="preserve">DMETAF</t>
  </si>
  <si>
    <t xml:space="preserve">2020</t>
  </si>
  <si>
    <t xml:space="preserve">DMET3446C</t>
  </si>
  <si>
    <t xml:space="preserve">2023</t>
  </si>
  <si>
    <t xml:space="preserve">DMET4050F</t>
  </si>
  <si>
    <t xml:space="preserve">2026</t>
  </si>
  <si>
    <t xml:space="preserve">BLG0F000ZK25DC</t>
  </si>
  <si>
    <t xml:space="preserve">FP-DMETBRD</t>
  </si>
  <si>
    <t xml:space="preserve">2027</t>
  </si>
  <si>
    <t xml:space="preserve">FP-DMETBRDF</t>
  </si>
  <si>
    <t xml:space="preserve">2028</t>
  </si>
  <si>
    <t xml:space="preserve">FP-DMETA</t>
  </si>
  <si>
    <t xml:space="preserve">2029</t>
  </si>
  <si>
    <t xml:space="preserve">FP-DMETAF</t>
  </si>
  <si>
    <t xml:space="preserve">2030</t>
  </si>
  <si>
    <t xml:space="preserve">BLGSF000ZK25DC</t>
  </si>
  <si>
    <t xml:space="preserve">DMETMFC</t>
  </si>
  <si>
    <t xml:space="preserve">2031</t>
  </si>
  <si>
    <t xml:space="preserve">BLGSF00FZK12DC</t>
  </si>
  <si>
    <t xml:space="preserve">DMETMFF</t>
  </si>
  <si>
    <t xml:space="preserve">2046</t>
  </si>
  <si>
    <t xml:space="preserve">W-DRUMMET</t>
  </si>
  <si>
    <t xml:space="preserve">2034</t>
  </si>
  <si>
    <t xml:space="preserve">BLGSFBSDZK12DF</t>
  </si>
  <si>
    <t xml:space="preserve">MIDJWC</t>
  </si>
  <si>
    <t xml:space="preserve">MJW</t>
  </si>
  <si>
    <t xml:space="preserve">2035</t>
  </si>
  <si>
    <t xml:space="preserve">BLGSFTAYZK12DC</t>
  </si>
  <si>
    <t xml:space="preserve">MIDJWF</t>
  </si>
  <si>
    <t xml:space="preserve">2036</t>
  </si>
  <si>
    <t xml:space="preserve">MIDJW2636C</t>
  </si>
  <si>
    <t xml:space="preserve">2038</t>
  </si>
  <si>
    <t xml:space="preserve">MIDJW1KGC</t>
  </si>
  <si>
    <t xml:space="preserve">2039</t>
  </si>
  <si>
    <t xml:space="preserve">MIDJW1KGF</t>
  </si>
  <si>
    <t xml:space="preserve">2040</t>
  </si>
  <si>
    <t xml:space="preserve">BTH007585P12DF</t>
  </si>
  <si>
    <t xml:space="preserve">FP-MIDJW</t>
  </si>
  <si>
    <t xml:space="preserve">2041</t>
  </si>
  <si>
    <t xml:space="preserve">FP-MIDJWF</t>
  </si>
  <si>
    <t xml:space="preserve">2042</t>
  </si>
  <si>
    <t xml:space="preserve">BTH009100P10DC</t>
  </si>
  <si>
    <t xml:space="preserve">MIDJWMFC</t>
  </si>
  <si>
    <t xml:space="preserve">2043</t>
  </si>
  <si>
    <t xml:space="preserve">MIDJWMFF</t>
  </si>
  <si>
    <t xml:space="preserve">2048</t>
  </si>
  <si>
    <t xml:space="preserve">W-MJWA</t>
  </si>
  <si>
    <t xml:space="preserve">2249</t>
  </si>
  <si>
    <t xml:space="preserve">FILAPF</t>
  </si>
  <si>
    <t xml:space="preserve">FIL</t>
  </si>
  <si>
    <t xml:space="preserve">2250</t>
  </si>
  <si>
    <t xml:space="preserve">BTH0F000ZK25DC</t>
  </si>
  <si>
    <t xml:space="preserve">FILAC</t>
  </si>
  <si>
    <t xml:space="preserve">2251</t>
  </si>
  <si>
    <t xml:space="preserve">BTH0F00DZK12DC</t>
  </si>
  <si>
    <t xml:space="preserve">FILAF</t>
  </si>
  <si>
    <t xml:space="preserve">2260</t>
  </si>
  <si>
    <t xml:space="preserve">FP-FILFINGER</t>
  </si>
  <si>
    <t xml:space="preserve">2264</t>
  </si>
  <si>
    <t xml:space="preserve">BTHS5070ZK12DC</t>
  </si>
  <si>
    <t xml:space="preserve">W-FIL</t>
  </si>
  <si>
    <t xml:space="preserve">2266</t>
  </si>
  <si>
    <t xml:space="preserve">BTHS7090ZK12DC</t>
  </si>
  <si>
    <t xml:space="preserve">FP-FILAWOT</t>
  </si>
  <si>
    <t xml:space="preserve">FIL WOT</t>
  </si>
  <si>
    <t xml:space="preserve">2254</t>
  </si>
  <si>
    <t xml:space="preserve">BTHS8090ZK12DC</t>
  </si>
  <si>
    <t xml:space="preserve">FILACC</t>
  </si>
  <si>
    <t xml:space="preserve">2255</t>
  </si>
  <si>
    <t xml:space="preserve">BTHS8499ZK12DC</t>
  </si>
  <si>
    <t xml:space="preserve">FIL3540F</t>
  </si>
  <si>
    <t xml:space="preserve">2268</t>
  </si>
  <si>
    <t xml:space="preserve">M-FIL2035NDC</t>
  </si>
  <si>
    <t xml:space="preserve">2270</t>
  </si>
  <si>
    <t xml:space="preserve">M-FIL3554TEXC</t>
  </si>
  <si>
    <t xml:space="preserve">2253</t>
  </si>
  <si>
    <t xml:space="preserve">BTHSF000ZK25DC</t>
  </si>
  <si>
    <t xml:space="preserve">FP-FILMEAT</t>
  </si>
  <si>
    <t xml:space="preserve">2262</t>
  </si>
  <si>
    <t xml:space="preserve">BTHSF00FZK12DC</t>
  </si>
  <si>
    <t xml:space="preserve">FP-FILSATAY</t>
  </si>
  <si>
    <t xml:space="preserve">FIL CUBE</t>
  </si>
  <si>
    <t xml:space="preserve">2407</t>
  </si>
  <si>
    <t xml:space="preserve">CHOP1922F</t>
  </si>
  <si>
    <t xml:space="preserve">CHOP</t>
  </si>
  <si>
    <t xml:space="preserve">2423</t>
  </si>
  <si>
    <t xml:space="preserve">FP-CHOPJ</t>
  </si>
  <si>
    <t xml:space="preserve">2486</t>
  </si>
  <si>
    <t xml:space="preserve">M-CHOP1922C</t>
  </si>
  <si>
    <t xml:space="preserve">2488</t>
  </si>
  <si>
    <t xml:space="preserve">M-CHOP2123KRRC</t>
  </si>
  <si>
    <t xml:space="preserve">2400</t>
  </si>
  <si>
    <t xml:space="preserve">C10PCKP0ZP10DC</t>
  </si>
  <si>
    <t xml:space="preserve">BLLEGAC</t>
  </si>
  <si>
    <t xml:space="preserve">BL LEG</t>
  </si>
  <si>
    <t xml:space="preserve">2401</t>
  </si>
  <si>
    <t xml:space="preserve">BLLEGAF</t>
  </si>
  <si>
    <t xml:space="preserve">2403</t>
  </si>
  <si>
    <t xml:space="preserve">BLLEG1823F</t>
  </si>
  <si>
    <t xml:space="preserve">2404</t>
  </si>
  <si>
    <t xml:space="preserve">W-BLLEG</t>
  </si>
  <si>
    <t xml:space="preserve">2409</t>
  </si>
  <si>
    <t xml:space="preserve">C3JW0710ZK12DC</t>
  </si>
  <si>
    <t xml:space="preserve">BSL7595X24F</t>
  </si>
  <si>
    <t xml:space="preserve">BSL LEG</t>
  </si>
  <si>
    <t xml:space="preserve">2432</t>
  </si>
  <si>
    <t xml:space="preserve">BSLLEGAC</t>
  </si>
  <si>
    <t xml:space="preserve">2433</t>
  </si>
  <si>
    <t xml:space="preserve">BSLLEGAF</t>
  </si>
  <si>
    <t xml:space="preserve">2434</t>
  </si>
  <si>
    <t xml:space="preserve">BSLLEGMFC</t>
  </si>
  <si>
    <t xml:space="preserve">2436</t>
  </si>
  <si>
    <t xml:space="preserve">FP-BSLLEGA</t>
  </si>
  <si>
    <t xml:space="preserve">2440</t>
  </si>
  <si>
    <t xml:space="preserve">W-BSLLEG</t>
  </si>
  <si>
    <t xml:space="preserve">2002</t>
  </si>
  <si>
    <t xml:space="preserve">C3JW0WIPZK12DC</t>
  </si>
  <si>
    <t xml:space="preserve">FP-DSB</t>
  </si>
  <si>
    <t xml:space="preserve">DS</t>
  </si>
  <si>
    <t xml:space="preserve">2442</t>
  </si>
  <si>
    <t xml:space="preserve">BLTHIAC</t>
  </si>
  <si>
    <t xml:space="preserve">BL THI</t>
  </si>
  <si>
    <t xml:space="preserve">2443</t>
  </si>
  <si>
    <t xml:space="preserve">C3JWNSBRUK02DF</t>
  </si>
  <si>
    <t xml:space="preserve">BLTHIAF</t>
  </si>
  <si>
    <t xml:space="preserve">2444</t>
  </si>
  <si>
    <t xml:space="preserve">BT7585MFC</t>
  </si>
  <si>
    <t xml:space="preserve">2445</t>
  </si>
  <si>
    <t xml:space="preserve">C8PC0TEXZP08DC</t>
  </si>
  <si>
    <t xml:space="preserve">SBT758512F</t>
  </si>
  <si>
    <t xml:space="preserve">2446</t>
  </si>
  <si>
    <t xml:space="preserve">C8PC0TEXZP16DC</t>
  </si>
  <si>
    <t xml:space="preserve">SBT0910C</t>
  </si>
  <si>
    <t xml:space="preserve">2447</t>
  </si>
  <si>
    <t xml:space="preserve">BT0910MFK06F</t>
  </si>
  <si>
    <t xml:space="preserve">2449</t>
  </si>
  <si>
    <t xml:space="preserve">BLTHICU20F</t>
  </si>
  <si>
    <t xml:space="preserve">2450</t>
  </si>
  <si>
    <t xml:space="preserve">C9PC00WDZP18DC</t>
  </si>
  <si>
    <t xml:space="preserve">FP-BLTHIADLITE</t>
  </si>
  <si>
    <t xml:space="preserve">2453</t>
  </si>
  <si>
    <t xml:space="preserve">C9PC0WIPZP18DC</t>
  </si>
  <si>
    <t xml:space="preserve">BT5565MFK06F</t>
  </si>
  <si>
    <t xml:space="preserve">2454</t>
  </si>
  <si>
    <t xml:space="preserve">W-BLTHI</t>
  </si>
  <si>
    <t xml:space="preserve">2456</t>
  </si>
  <si>
    <t xml:space="preserve">C9PCAW000P18DF</t>
  </si>
  <si>
    <t xml:space="preserve">BSLTHIAC</t>
  </si>
  <si>
    <t xml:space="preserve">BSL THI</t>
  </si>
  <si>
    <t xml:space="preserve">2457</t>
  </si>
  <si>
    <t xml:space="preserve">C9PCAW00ZP18DC</t>
  </si>
  <si>
    <t xml:space="preserve">BSLTHIAF</t>
  </si>
  <si>
    <t xml:space="preserve">2458</t>
  </si>
  <si>
    <t xml:space="preserve">BSLTHIMFK04C</t>
  </si>
  <si>
    <t xml:space="preserve">2459</t>
  </si>
  <si>
    <t xml:space="preserve">BSLTHIMFK04F</t>
  </si>
  <si>
    <t xml:space="preserve">2462</t>
  </si>
  <si>
    <t xml:space="preserve">C9PCMD000P18DF</t>
  </si>
  <si>
    <t xml:space="preserve">BSLTHIFFMFK04C</t>
  </si>
  <si>
    <t xml:space="preserve">2470</t>
  </si>
  <si>
    <t xml:space="preserve">FP-BSLTHIA</t>
  </si>
  <si>
    <t xml:space="preserve">2474</t>
  </si>
  <si>
    <t xml:space="preserve">C9PCMDSTZP18DC</t>
  </si>
  <si>
    <t xml:space="preserve">W-BSLTHI</t>
  </si>
  <si>
    <t xml:space="preserve">2477</t>
  </si>
  <si>
    <t xml:space="preserve">BST7595X24F</t>
  </si>
  <si>
    <t xml:space="preserve">2478</t>
  </si>
  <si>
    <t xml:space="preserve">M-BSLTHI5070NDC</t>
  </si>
  <si>
    <t xml:space="preserve">2480</t>
  </si>
  <si>
    <t xml:space="preserve">M-BSLTHI7090WDC</t>
  </si>
  <si>
    <t xml:space="preserve">2482</t>
  </si>
  <si>
    <t xml:space="preserve">M-BSLTHI8499TEXC</t>
  </si>
  <si>
    <t xml:space="preserve">2484</t>
  </si>
  <si>
    <t xml:space="preserve">M-BSLTHI8090EKC</t>
  </si>
  <si>
    <t xml:space="preserve">2430</t>
  </si>
  <si>
    <t xml:space="preserve">FP-BSDS</t>
  </si>
  <si>
    <t xml:space="preserve">BS DS</t>
  </si>
  <si>
    <t xml:space="preserve">2431</t>
  </si>
  <si>
    <t xml:space="preserve">CBRSHWIPZK12DC</t>
  </si>
  <si>
    <t xml:space="preserve">2461</t>
  </si>
  <si>
    <t xml:space="preserve">CCHI6080ZK06DC</t>
  </si>
  <si>
    <t xml:space="preserve">BSLTHIMF2PF</t>
  </si>
  <si>
    <t xml:space="preserve">BSL LEG (2 CUT)</t>
  </si>
  <si>
    <t xml:space="preserve">2438</t>
  </si>
  <si>
    <t xml:space="preserve">FP-BSLLEGSATAY</t>
  </si>
  <si>
    <t xml:space="preserve">BSL LEG CUBE</t>
  </si>
  <si>
    <t xml:space="preserve">1000</t>
  </si>
  <si>
    <t xml:space="preserve">3 JOINT WING MC (70-100G)</t>
  </si>
  <si>
    <t xml:space="preserve">3JW MC</t>
  </si>
  <si>
    <t xml:space="preserve">1001</t>
  </si>
  <si>
    <t xml:space="preserve">1002</t>
  </si>
  <si>
    <t xml:space="preserve">M-3 JOINT WING MC (70-110G) </t>
  </si>
  <si>
    <t xml:space="preserve">1003</t>
  </si>
  <si>
    <t xml:space="preserve">CCHICU000RETDF</t>
  </si>
  <si>
    <t xml:space="preserve">3 JOINT WING MC (90-120G)</t>
  </si>
  <si>
    <t xml:space="preserve">1004</t>
  </si>
  <si>
    <t xml:space="preserve">3 JOINT WING MC (90-130G)</t>
  </si>
  <si>
    <t xml:space="preserve">1005</t>
  </si>
  <si>
    <t xml:space="preserve">1006</t>
  </si>
  <si>
    <t xml:space="preserve">3 JOINT WING MC (90-130G) VP</t>
  </si>
  <si>
    <t xml:space="preserve">1007</t>
  </si>
  <si>
    <t xml:space="preserve">CDS00WIPZK12DC</t>
  </si>
  <si>
    <t xml:space="preserve">1009</t>
  </si>
  <si>
    <t xml:space="preserve">MARINATED CHICKEN WING (MC)</t>
  </si>
  <si>
    <t xml:space="preserve">1011</t>
  </si>
  <si>
    <t xml:space="preserve">MARINATED CHICKEN WING (MC)-NS</t>
  </si>
  <si>
    <t xml:space="preserve">1012</t>
  </si>
  <si>
    <t xml:space="preserve">WIP-WING MC</t>
  </si>
  <si>
    <t xml:space="preserve">1165</t>
  </si>
  <si>
    <t xml:space="preserve">FROZEN CHICKEN WING</t>
  </si>
  <si>
    <t xml:space="preserve">1014</t>
  </si>
  <si>
    <t xml:space="preserve">CHICKEN CUBE</t>
  </si>
  <si>
    <t xml:space="preserve">CUBE</t>
  </si>
  <si>
    <t xml:space="preserve">1015</t>
  </si>
  <si>
    <t xml:space="preserve">1016</t>
  </si>
  <si>
    <t xml:space="preserve">1018</t>
  </si>
  <si>
    <t xml:space="preserve">FP-CHICKEN CUBE 6080 </t>
  </si>
  <si>
    <t xml:space="preserve">1020</t>
  </si>
  <si>
    <t xml:space="preserve">1021</t>
  </si>
  <si>
    <t xml:space="preserve">CDS0L0000K02DC</t>
  </si>
  <si>
    <t xml:space="preserve">1030</t>
  </si>
  <si>
    <t xml:space="preserve">CDS0MD00ZP20DC</t>
  </si>
  <si>
    <t xml:space="preserve">DRUMSTICK CUBE</t>
  </si>
  <si>
    <t xml:space="preserve">1031</t>
  </si>
  <si>
    <t xml:space="preserve">DRUMSTICK CUBE FRZ</t>
  </si>
  <si>
    <t xml:space="preserve">1024</t>
  </si>
  <si>
    <t xml:space="preserve">DRUMSTICK (100-140G)</t>
  </si>
  <si>
    <t xml:space="preserve">1025</t>
  </si>
  <si>
    <t xml:space="preserve">CKE00WIPZK12DC</t>
  </si>
  <si>
    <t xml:space="preserve">1026</t>
  </si>
  <si>
    <t xml:space="preserve">DRUMSTICK (100-140G) 20PC</t>
  </si>
  <si>
    <t xml:space="preserve">1027</t>
  </si>
  <si>
    <t xml:space="preserve">DRUMSTICK (100-140G) 20 PC</t>
  </si>
  <si>
    <t xml:space="preserve">1028</t>
  </si>
  <si>
    <t xml:space="preserve">M-DRUMSTICK (80-110G) 20PC</t>
  </si>
  <si>
    <t xml:space="preserve">1032</t>
  </si>
  <si>
    <t xml:space="preserve">DRUMSTICK (100-140G) VP</t>
  </si>
  <si>
    <t xml:space="preserve">1033</t>
  </si>
  <si>
    <t xml:space="preserve">CKE0F000ZK12DC</t>
  </si>
  <si>
    <t xml:space="preserve">1034</t>
  </si>
  <si>
    <t xml:space="preserve">CLG000300K06DC</t>
  </si>
  <si>
    <t xml:space="preserve">DRUMSTICK (80-110G)</t>
  </si>
  <si>
    <t xml:space="preserve">1035</t>
  </si>
  <si>
    <t xml:space="preserve">CLG00WIPZK12DC</t>
  </si>
  <si>
    <t xml:space="preserve">1036</t>
  </si>
  <si>
    <t xml:space="preserve">DRUMSTICK L (110-140G)</t>
  </si>
  <si>
    <t xml:space="preserve">1038</t>
  </si>
  <si>
    <t xml:space="preserve">WIP-DRUMSTICK</t>
  </si>
  <si>
    <t xml:space="preserve">1080</t>
  </si>
  <si>
    <t xml:space="preserve">DRUMSTICK S (70-90G)</t>
  </si>
  <si>
    <t xml:space="preserve">1081</t>
  </si>
  <si>
    <t xml:space="preserve">1163</t>
  </si>
  <si>
    <t xml:space="preserve">CLG02227ZP10DC</t>
  </si>
  <si>
    <t xml:space="preserve">DRUMSTICK J (&gt;140G)</t>
  </si>
  <si>
    <t xml:space="preserve">1022</t>
  </si>
  <si>
    <t xml:space="preserve">CLG02528ZP10DC</t>
  </si>
  <si>
    <t xml:space="preserve">FP-KEEL</t>
  </si>
  <si>
    <t xml:space="preserve">KEEL</t>
  </si>
  <si>
    <t xml:space="preserve">1040</t>
  </si>
  <si>
    <t xml:space="preserve">1041</t>
  </si>
  <si>
    <t xml:space="preserve">1042</t>
  </si>
  <si>
    <t xml:space="preserve">CLG2227KZP10DC</t>
  </si>
  <si>
    <t xml:space="preserve">KEEL (120-180G) VP</t>
  </si>
  <si>
    <t xml:space="preserve">1043</t>
  </si>
  <si>
    <t xml:space="preserve">CRB00WIPZK12DC</t>
  </si>
  <si>
    <t xml:space="preserve">1044</t>
  </si>
  <si>
    <t xml:space="preserve">WIP-KEEL</t>
  </si>
  <si>
    <t xml:space="preserve">1060</t>
  </si>
  <si>
    <t xml:space="preserve">4 PC CUT WO SKIN X 2 BIRDS</t>
  </si>
  <si>
    <t xml:space="preserve">PIECE CUT</t>
  </si>
  <si>
    <t xml:space="preserve">1.60_1.80_A</t>
  </si>
  <si>
    <t xml:space="preserve">1064</t>
  </si>
  <si>
    <t xml:space="preserve">WIP-9 PC CUT</t>
  </si>
  <si>
    <t xml:space="preserve">1067</t>
  </si>
  <si>
    <t xml:space="preserve">9 PC CUT X 2 BIRD GCH (WO 3JW)</t>
  </si>
  <si>
    <t xml:space="preserve">1068</t>
  </si>
  <si>
    <t xml:space="preserve">9 PC CUT X 2 BIRDS</t>
  </si>
  <si>
    <t xml:space="preserve">1069</t>
  </si>
  <si>
    <t xml:space="preserve">1070</t>
  </si>
  <si>
    <t xml:space="preserve">9 PC CUT X 2 BIRDS (M2)</t>
  </si>
  <si>
    <t xml:space="preserve">1071</t>
  </si>
  <si>
    <t xml:space="preserve">1072</t>
  </si>
  <si>
    <t xml:space="preserve">CSLG2227ZP10DC</t>
  </si>
  <si>
    <t xml:space="preserve">9 PC CUT X 2 BIRDS (QSR)</t>
  </si>
  <si>
    <t xml:space="preserve">1073</t>
  </si>
  <si>
    <t xml:space="preserve">CTH00WIPZK12DC</t>
  </si>
  <si>
    <t xml:space="preserve">1074</t>
  </si>
  <si>
    <t xml:space="preserve">1075</t>
  </si>
  <si>
    <t xml:space="preserve">1140</t>
  </si>
  <si>
    <t xml:space="preserve">CTH013160P20DF</t>
  </si>
  <si>
    <t xml:space="preserve">M-8 PC CUT X 2 BIRDS TEXAS</t>
  </si>
  <si>
    <t xml:space="preserve">1142</t>
  </si>
  <si>
    <t xml:space="preserve">CTH01316ZK12DC</t>
  </si>
  <si>
    <t xml:space="preserve">M-9 PC CUT X 2 BIRDS WENDY</t>
  </si>
  <si>
    <t xml:space="preserve">1144</t>
  </si>
  <si>
    <t xml:space="preserve">CTH01316ZP20DC</t>
  </si>
  <si>
    <t xml:space="preserve">M-9 PC CUT X 2 BIRDS MCD</t>
  </si>
  <si>
    <t xml:space="preserve">1146</t>
  </si>
  <si>
    <t xml:space="preserve">M-9 PC CUT X 2 BIRDS MCD SLIT</t>
  </si>
  <si>
    <t xml:space="preserve">1148</t>
  </si>
  <si>
    <t xml:space="preserve">M-9 PC CUT X 2 BIRDS A&amp;W</t>
  </si>
  <si>
    <t xml:space="preserve">1162</t>
  </si>
  <si>
    <t xml:space="preserve">M-4 PC CUT X 2 BIRDS TEXAS</t>
  </si>
  <si>
    <t xml:space="preserve">1170</t>
  </si>
  <si>
    <t xml:space="preserve">M-10 PC CUT X 1 BIRD KRR</t>
  </si>
  <si>
    <t xml:space="preserve">1.81_2.00_A</t>
  </si>
  <si>
    <t xml:space="preserve">1086</t>
  </si>
  <si>
    <t xml:space="preserve">CTH016210P20DF</t>
  </si>
  <si>
    <t xml:space="preserve">WIP-Q LEG</t>
  </si>
  <si>
    <t xml:space="preserve">QUARTER LEG</t>
  </si>
  <si>
    <t xml:space="preserve">1088</t>
  </si>
  <si>
    <t xml:space="preserve">QUARTER LEG (220-270G)</t>
  </si>
  <si>
    <t xml:space="preserve">1089</t>
  </si>
  <si>
    <t xml:space="preserve">1090</t>
  </si>
  <si>
    <t xml:space="preserve">QUARTER LEG (220-270G) 10PC</t>
  </si>
  <si>
    <t xml:space="preserve">1091</t>
  </si>
  <si>
    <t xml:space="preserve">QUARTER LEG (220-270G) 10 PC</t>
  </si>
  <si>
    <t xml:space="preserve">1100</t>
  </si>
  <si>
    <t xml:space="preserve">P2JWF0HSZK12DC</t>
  </si>
  <si>
    <t xml:space="preserve">QUARTER LEG (260-340G)</t>
  </si>
  <si>
    <t xml:space="preserve">1101</t>
  </si>
  <si>
    <t xml:space="preserve">P3JW00000K02PF</t>
  </si>
  <si>
    <t xml:space="preserve">1102</t>
  </si>
  <si>
    <t xml:space="preserve">P3JW0000ZK25DC</t>
  </si>
  <si>
    <t xml:space="preserve">QUARTER LEG (ABV 300G)</t>
  </si>
  <si>
    <t xml:space="preserve">1150</t>
  </si>
  <si>
    <t xml:space="preserve">M-QUARTER LEG (220-270G) 10PC KRR</t>
  </si>
  <si>
    <t xml:space="preserve">1152</t>
  </si>
  <si>
    <t xml:space="preserve">M-QUARTER LEG (250-280G) 10PC EK</t>
  </si>
  <si>
    <t xml:space="preserve">1154</t>
  </si>
  <si>
    <t xml:space="preserve">M-QUARTER LEG (220-270G) 10PC MAR</t>
  </si>
  <si>
    <t xml:space="preserve">1156</t>
  </si>
  <si>
    <t xml:space="preserve">M-SKINLESS QUARTER LEG (260-340G) 10PC KRR</t>
  </si>
  <si>
    <t xml:space="preserve">1104</t>
  </si>
  <si>
    <t xml:space="preserve">WIP-RIB </t>
  </si>
  <si>
    <t xml:space="preserve">RIB</t>
  </si>
  <si>
    <t xml:space="preserve">1106</t>
  </si>
  <si>
    <t xml:space="preserve">P3JW0911ZK12DC</t>
  </si>
  <si>
    <t xml:space="preserve">RIB (150-190G)</t>
  </si>
  <si>
    <t xml:space="preserve">1107</t>
  </si>
  <si>
    <t xml:space="preserve">P3JWLTGIFK02DF</t>
  </si>
  <si>
    <t xml:space="preserve">1108</t>
  </si>
  <si>
    <t xml:space="preserve">RIB (190-240G)</t>
  </si>
  <si>
    <t xml:space="preserve">1109</t>
  </si>
  <si>
    <t xml:space="preserve">1110</t>
  </si>
  <si>
    <t xml:space="preserve">RIB (190-240G) VP</t>
  </si>
  <si>
    <t xml:space="preserve">1111</t>
  </si>
  <si>
    <t xml:space="preserve">PDMT03446K02DC</t>
  </si>
  <si>
    <t xml:space="preserve">1166</t>
  </si>
  <si>
    <t xml:space="preserve">1168</t>
  </si>
  <si>
    <t xml:space="preserve">1112</t>
  </si>
  <si>
    <t xml:space="preserve">S'LESS BREAST 1/2(230-320)10PC</t>
  </si>
  <si>
    <t xml:space="preserve">SWBH</t>
  </si>
  <si>
    <t xml:space="preserve">1113</t>
  </si>
  <si>
    <t xml:space="preserve">PDMTF000ZK25DC</t>
  </si>
  <si>
    <t xml:space="preserve">1114</t>
  </si>
  <si>
    <t xml:space="preserve">WIP-SWBH</t>
  </si>
  <si>
    <t xml:space="preserve">1116</t>
  </si>
  <si>
    <t xml:space="preserve">PDMTFBRDZK12DF</t>
  </si>
  <si>
    <t xml:space="preserve">WHOLE BREAST</t>
  </si>
  <si>
    <t xml:space="preserve">1117</t>
  </si>
  <si>
    <t xml:space="preserve">1118</t>
  </si>
  <si>
    <t xml:space="preserve">PDMTFFPDZK12DF</t>
  </si>
  <si>
    <t xml:space="preserve">WIP-THIGH </t>
  </si>
  <si>
    <t xml:space="preserve">THIGH MC</t>
  </si>
  <si>
    <t xml:space="preserve">1120</t>
  </si>
  <si>
    <t xml:space="preserve">THIGH (130-160G)</t>
  </si>
  <si>
    <t xml:space="preserve">1121</t>
  </si>
  <si>
    <t xml:space="preserve">PDMTMF000150DF</t>
  </si>
  <si>
    <t xml:space="preserve">1123</t>
  </si>
  <si>
    <t xml:space="preserve">PMJW02636K02DC</t>
  </si>
  <si>
    <t xml:space="preserve">THIGH (130-160G) 20 PC</t>
  </si>
  <si>
    <t xml:space="preserve">1129</t>
  </si>
  <si>
    <t xml:space="preserve">THIGH (150-180G)</t>
  </si>
  <si>
    <t xml:space="preserve">1131</t>
  </si>
  <si>
    <t xml:space="preserve">THIGH (160-190G)</t>
  </si>
  <si>
    <t xml:space="preserve">1132</t>
  </si>
  <si>
    <t xml:space="preserve">THIGH (160-210G)</t>
  </si>
  <si>
    <t xml:space="preserve">1133</t>
  </si>
  <si>
    <t xml:space="preserve">1135</t>
  </si>
  <si>
    <t xml:space="preserve">PMJWF000ZK25DC</t>
  </si>
  <si>
    <t xml:space="preserve">THIGH (160-210G) 20 PC</t>
  </si>
  <si>
    <t xml:space="preserve">1136</t>
  </si>
  <si>
    <t xml:space="preserve">THIGH (160-210G) VP</t>
  </si>
  <si>
    <t xml:space="preserve">1137</t>
  </si>
  <si>
    <t xml:space="preserve">PMJWF00FZK12DF</t>
  </si>
  <si>
    <t xml:space="preserve">1158</t>
  </si>
  <si>
    <t xml:space="preserve">M-THIGH  (130-160G) EK</t>
  </si>
  <si>
    <t xml:space="preserve">1160</t>
  </si>
  <si>
    <t xml:space="preserve">PMJWMF000150DF</t>
  </si>
  <si>
    <t xml:space="preserve">M-THIGH (130-160G) 20PC NYONYA</t>
  </si>
  <si>
    <t xml:space="preserve">Day</t>
  </si>
  <si>
    <t xml:space="preserve">Available Hours</t>
  </si>
  <si>
    <t xml:space="preserve">MP available</t>
  </si>
  <si>
    <t xml:space="preserve">Bird Type</t>
  </si>
  <si>
    <t xml:space="preserve">Ratio</t>
  </si>
  <si>
    <t xml:space="preserve">Parameters</t>
  </si>
  <si>
    <t xml:space="preserve">Value</t>
  </si>
  <si>
    <t xml:space="preserve">Total Coldroom Manpower</t>
  </si>
  <si>
    <t xml:space="preserve">Available Hour In Regular Time (Hours)/ day</t>
  </si>
  <si>
    <t xml:space="preserve">Available Hour In Overtime (Hours)/day</t>
  </si>
  <si>
    <t xml:space="preserve">refer below by sku</t>
  </si>
  <si>
    <t xml:space="preserve">Availablity Ratio</t>
  </si>
  <si>
    <t xml:space="preserve">Shelf Life , days</t>
  </si>
  <si>
    <t xml:space="preserve">Days</t>
  </si>
  <si>
    <t xml:space="preserve">manpower avaialble</t>
  </si>
  <si>
    <t xml:space="preserve">SKU 1 </t>
  </si>
  <si>
    <t xml:space="preserve">SKU2 </t>
  </si>
  <si>
    <t xml:space="preserve">Labour Cost (RM/kg)</t>
  </si>
  <si>
    <t xml:space="preserve">Product Group</t>
  </si>
  <si>
    <t xml:space="preserve">Suitable Size</t>
  </si>
  <si>
    <t xml:space="preserve">Breast</t>
  </si>
  <si>
    <t xml:space="preserve">2 joint wing</t>
  </si>
  <si>
    <t xml:space="preserve">3 joint wing</t>
  </si>
  <si>
    <t xml:space="preserve">Boneless breast</t>
  </si>
  <si>
    <t xml:space="preserve">Boneless butterfly breast</t>
  </si>
  <si>
    <t xml:space="preserve">Boneless leg</t>
  </si>
  <si>
    <t xml:space="preserve">Boneless skinless drumstick</t>
  </si>
  <si>
    <t xml:space="preserve">Boneless skinless leg</t>
  </si>
  <si>
    <t xml:space="preserve">Boneless skinless leg satay</t>
  </si>
  <si>
    <t xml:space="preserve">Boneless skinless thigh</t>
  </si>
  <si>
    <t xml:space="preserve">Boneless thigh</t>
  </si>
  <si>
    <t xml:space="preserve">Chop</t>
  </si>
  <si>
    <t xml:space="preserve">Drummet</t>
  </si>
  <si>
    <t xml:space="preserve">Drumstick JC</t>
  </si>
  <si>
    <t xml:space="preserve">Fillet A</t>
  </si>
  <si>
    <t xml:space="preserve">Fillet meat</t>
  </si>
  <si>
    <t xml:space="preserve">Fillet satay</t>
  </si>
  <si>
    <t xml:space="preserve">Fillet wot</t>
  </si>
  <si>
    <t xml:space="preserve">Mid joint wing</t>
  </si>
  <si>
    <t xml:space="preserve">Skinnless boneless breast</t>
  </si>
  <si>
    <t xml:space="preserve">Skinnless boneless butterfly breast</t>
  </si>
  <si>
    <t xml:space="preserve">Bird Type </t>
  </si>
  <si>
    <t xml:space="preserve">Cost( per Bird)</t>
  </si>
  <si>
    <t xml:space="preserve">S</t>
  </si>
  <si>
    <t xml:space="preserve">M</t>
  </si>
  <si>
    <t xml:space="preserve">ML</t>
  </si>
  <si>
    <t xml:space="preserve">L</t>
  </si>
  <si>
    <t xml:space="preserve">XL</t>
  </si>
  <si>
    <t xml:space="preserve">RM/kg</t>
  </si>
  <si>
    <t xml:space="preserve">Fresh SKU</t>
  </si>
  <si>
    <t xml:space="preserve">Frozen SKU</t>
  </si>
  <si>
    <t xml:space="preserve">GSK0MF000K04DF</t>
  </si>
  <si>
    <t xml:space="preserve">SKU</t>
  </si>
  <si>
    <t xml:space="preserve">SKU Description</t>
  </si>
  <si>
    <t xml:space="preserve">Cutting Pattern</t>
  </si>
  <si>
    <t xml:space="preserve">Yield (S)</t>
  </si>
  <si>
    <t xml:space="preserve">Yield (M)</t>
  </si>
  <si>
    <t xml:space="preserve">Yield (ML)</t>
  </si>
  <si>
    <t xml:space="preserve">Yield (L0)</t>
  </si>
  <si>
    <t xml:space="preserve">Yield (L)</t>
  </si>
  <si>
    <t xml:space="preserve">Parts/bird</t>
  </si>
  <si>
    <t xml:space="preserve">BONELESS BREAST</t>
  </si>
  <si>
    <t xml:space="preserve">WIP-BONELESS BREAST</t>
  </si>
  <si>
    <t xml:space="preserve">FP-BREAST TRIM </t>
  </si>
  <si>
    <t xml:space="preserve">BREAST TRIMMING</t>
  </si>
  <si>
    <t xml:space="preserve">FP-BREAST TRIM WING </t>
  </si>
  <si>
    <t xml:space="preserve">S'LESS B'LESS BRS (75-95G)24P</t>
  </si>
  <si>
    <t xml:space="preserve">S'LESS B'LESS BREAST 120-150G</t>
  </si>
  <si>
    <t xml:space="preserve">M-S'LESS B'LESS BREAST (7585G) A&amp;W</t>
  </si>
  <si>
    <t xml:space="preserve">S'LESS B'LESS BREAST</t>
  </si>
  <si>
    <t xml:space="preserve">S'LEES B'LESS BREAST</t>
  </si>
  <si>
    <t xml:space="preserve">FP- S'LESS B'LESS BREAST </t>
  </si>
  <si>
    <t xml:space="preserve">S'LESS BLBRS FILLET (35-40G)</t>
  </si>
  <si>
    <t xml:space="preserve">S'LESS B'LESS BREAST (2 CUT)</t>
  </si>
  <si>
    <t xml:space="preserve">1,2,3</t>
  </si>
  <si>
    <t xml:space="preserve">2,3</t>
  </si>
  <si>
    <t xml:space="preserve">QLEG</t>
  </si>
  <si>
    <t xml:space="preserve">THIGH</t>
  </si>
  <si>
    <t xml:space="preserve">Shelf_Life</t>
  </si>
  <si>
    <t xml:space="preserve">freezing cost</t>
  </si>
  <si>
    <t xml:space="preserve">FFOMBUR00K01JF</t>
  </si>
  <si>
    <t xml:space="preserve">FFOMNUGHL400CF</t>
  </si>
  <si>
    <t xml:space="preserve">FFOMNUGHY800HF</t>
  </si>
  <si>
    <t xml:space="preserve">FPORCHI00K16DF</t>
  </si>
  <si>
    <t xml:space="preserve">FPORCHIHTK16DF</t>
  </si>
  <si>
    <t xml:space="preserve">FSGESFRCZ270FF</t>
  </si>
  <si>
    <t xml:space="preserve">FSGESFRHRP12DF</t>
  </si>
  <si>
    <t xml:space="preserve">FSGESFRHY270FF</t>
  </si>
  <si>
    <t xml:space="preserve">MCONSS000100DC</t>
  </si>
  <si>
    <t xml:space="preserve">MPOR3JWHSK01DC</t>
  </si>
  <si>
    <t xml:space="preserve">MPOR3JWHSRETDC</t>
  </si>
  <si>
    <t xml:space="preserve">MPOR3JWHYK01DC</t>
  </si>
  <si>
    <t xml:space="preserve">MPOR3JWHYRETDC</t>
  </si>
  <si>
    <t xml:space="preserve">MPOR3JWPKK01DC</t>
  </si>
  <si>
    <t xml:space="preserve">MPOR3JWPKRETDC</t>
  </si>
  <si>
    <t xml:space="preserve">MPORQLSBPP10DF</t>
  </si>
  <si>
    <t xml:space="preserve">MPORQLSORP10DC</t>
  </si>
  <si>
    <t xml:space="preserve">BLG0FTRIMK05DF</t>
  </si>
  <si>
    <t xml:space="preserve">GFT0BDOT0K06DF</t>
  </si>
  <si>
    <t xml:space="preserve">GSK0MF000K02DF</t>
  </si>
  <si>
    <t xml:space="preserve">GSK0MF000K05DC</t>
  </si>
  <si>
    <t xml:space="preserve">SBH0F000HP05DF</t>
  </si>
  <si>
    <t xml:space="preserve">WJ03BP000P08DC</t>
  </si>
  <si>
    <t xml:space="preserve">WJ03BP000P08DF</t>
  </si>
  <si>
    <t xml:space="preserve">WNCB3P000P03DC</t>
  </si>
  <si>
    <t xml:space="preserve">WNCB3P000P03DF</t>
  </si>
  <si>
    <t xml:space="preserve">Marination Yield (%)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</si>
</sst>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#,##0"/>
    <numFmt numFmtId="166" formatCode="_(* #,##0.00_);_(* \(#,##0.00\);_(* \-??_);_(@_)"/>
    <numFmt numFmtId="167" formatCode="_(* #,##0_);_(* \(#,##0\);_(* \-??_);_(@_)"/>
    <numFmt numFmtId="168" formatCode="[$RM-4409]* #,##0.00\ ;[$RM-4409]* \(#,##0.00\);[$RM-4409]* \-#\ ;@\ "/>
    <numFmt numFmtId="169" formatCode="_([$RM-4409]* #,##0.00_);_([$RM-4409]* \(#,##0.00\);_([$RM-4409]* \-??_);_(@_)"/>
    <numFmt numFmtId="170" formatCode="_([$RM-4409]* #,##0.000_);_([$RM-4409]* \(#,##0.000\);_([$RM-4409]* \-??_);_(@_)"/>
    <numFmt numFmtId="171" formatCode="0.00000"/>
    <numFmt numFmtId="172" formatCode="0.00"/>
    <numFmt numFmtId="173" formatCode="0%"/>
    <numFmt numFmtId="174" formatCode="D\-MMM"/>
    <numFmt numFmtId="175" formatCode="0.0%"/>
    <numFmt numFmtId="176" formatCode="0"/>
    <numFmt numFmtId="177" formatCode="0.000"/>
    <numFmt numFmtId="178" formatCode="0.00%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u val="single"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 val="true"/>
      <u val="single"/>
      <sz val="10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Verdana"/>
      <family val="2"/>
      <charset val="1"/>
    </font>
    <font>
      <sz val="10"/>
      <name val="Arial"/>
      <family val="2"/>
      <charset val="1"/>
    </font>
    <font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 val="true"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 diagonalUp="false" diagonalDown="false">
      <left style="thin">
        <color rgb="FFDDD9C3"/>
      </left>
      <right style="thin">
        <color rgb="FFDDD9C3"/>
      </right>
      <top/>
      <bottom/>
      <diagonal/>
    </border>
    <border diagonalUp="false" diagonalDown="false"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 diagonalUp="false" diagonalDown="false">
      <left style="thin">
        <color rgb="FFABABAB"/>
      </left>
      <right/>
      <top style="thin">
        <color rgb="FFABABAB"/>
      </top>
      <bottom/>
      <diagonal/>
    </border>
    <border diagonalUp="false" diagonalDown="false">
      <left style="thin">
        <color rgb="FFABABAB"/>
      </left>
      <right style="thin">
        <color rgb="FFABABAB"/>
      </right>
      <top style="thin">
        <color rgb="FFABABAB"/>
      </top>
      <bottom/>
      <diagonal/>
    </border>
    <border diagonalUp="false" diagonalDown="false">
      <left style="thin">
        <color rgb="FFABABAB"/>
      </left>
      <right/>
      <top/>
      <bottom/>
      <diagonal/>
    </border>
    <border diagonalUp="false" diagonalDown="false">
      <left style="thin">
        <color rgb="FFABABAB"/>
      </left>
      <right style="thin">
        <color rgb="FFABABAB"/>
      </right>
      <top/>
      <bottom/>
      <diagonal/>
    </border>
    <border diagonalUp="false" diagonalDown="false">
      <left style="thin">
        <color rgb="FFDDD9C3"/>
      </left>
      <right style="thin">
        <color rgb="FFDDD9C3"/>
      </right>
      <top style="thin">
        <color rgb="FFDDD9C3"/>
      </top>
      <bottom/>
      <diagonal/>
    </border>
    <border diagonalUp="false" diagonalDown="false">
      <left/>
      <right/>
      <top/>
      <bottom style="thin">
        <color rgb="FF9DC3E6"/>
      </bottom>
      <diagonal/>
    </border>
    <border diagonalUp="false" diagonalDown="false">
      <left/>
      <right/>
      <top style="thin">
        <color rgb="FFFAC090"/>
      </top>
      <bottom style="thin">
        <color rgb="FFFAC090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2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1" xfId="2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5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7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7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8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2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12" fillId="0" borderId="1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17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6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7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6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72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5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1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0" fillId="6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13" fillId="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13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0" fillId="5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9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1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9</xdr:col>
      <xdr:colOff>122760</xdr:colOff>
      <xdr:row>49</xdr:row>
      <xdr:rowOff>180000</xdr:rowOff>
    </xdr:to>
    <xdr:sp>
      <xdr:nvSpPr>
        <xdr:cNvPr id="0" name="CustomShape 1" hidden="1"/>
        <xdr:cNvSpPr/>
      </xdr:nvSpPr>
      <xdr:spPr>
        <a:xfrm>
          <a:off x="0" y="0"/>
          <a:ext cx="9495360" cy="951444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comments" Target="../comments11.xml"/><Relationship Id="rId2" Type="http://schemas.openxmlformats.org/officeDocument/2006/relationships/drawing" Target="../drawings/drawing8.xml"/><Relationship Id="rId3" Type="http://schemas.openxmlformats.org/officeDocument/2006/relationships/vmlDrawing" Target="../drawings/vmlDrawing2.v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2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2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27.xml.rels><?xml version="1.0" encoding="UTF-8"?>
<Relationships xmlns="http://schemas.openxmlformats.org/package/2006/relationships"><Relationship Id="rId1" Type="http://schemas.openxmlformats.org/officeDocument/2006/relationships/comments" Target="../comments27.xml"/><Relationship Id="rId2" Type="http://schemas.openxmlformats.org/officeDocument/2006/relationships/drawing" Target="../drawings/drawing16.xml"/><Relationship Id="rId3" Type="http://schemas.openxmlformats.org/officeDocument/2006/relationships/vmlDrawing" Target="../drawings/vmlDrawing3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3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1" width="3.53441295546559"/>
    <col collapsed="false" hidden="false" max="2" min="2" style="1" width="23.5668016194332"/>
    <col collapsed="false" hidden="false" max="3" min="3" style="2" width="37.17004048583"/>
    <col collapsed="false" hidden="true" max="6" min="4" style="2" width="0"/>
    <col collapsed="false" hidden="true" max="7" min="7" style="3" width="0"/>
    <col collapsed="false" hidden="false" max="8" min="8" style="4" width="26.8866396761134"/>
    <col collapsed="false" hidden="false" max="9" min="9" style="4" width="41.3481781376518"/>
    <col collapsed="false" hidden="false" max="1025" min="10" style="0" width="8.57085020242915"/>
  </cols>
  <sheetData>
    <row r="1" customFormat="false" ht="25.5" hidden="false" customHeight="false" outlineLevel="0" collapsed="false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customFormat="false" ht="46.5" hidden="false" customHeight="true" outlineLevel="1" collapsed="false">
      <c r="A2" s="8" t="n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customFormat="false" ht="53.25" hidden="false" customHeight="true" outlineLevel="1" collapsed="false">
      <c r="A3" s="8" t="n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customFormat="false" ht="51" hidden="false" customHeight="false" outlineLevel="1" collapsed="false">
      <c r="A4" s="8" t="n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customFormat="false" ht="51" hidden="false" customHeight="false" outlineLevel="1" collapsed="false">
      <c r="A5" s="8" t="n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customFormat="false" ht="51" hidden="false" customHeight="false" outlineLevel="1" collapsed="false">
      <c r="A6" s="8" t="n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customFormat="false" ht="51" hidden="false" customHeight="false" outlineLevel="1" collapsed="false">
      <c r="A7" s="8" t="n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customFormat="false" ht="25.5" hidden="false" customHeight="false" outlineLevel="1" collapsed="false">
      <c r="A8" s="8" t="n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customFormat="false" ht="25.5" hidden="false" customHeight="false" outlineLevel="1" collapsed="false">
      <c r="A9" s="8" t="n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customFormat="false" ht="25.5" hidden="false" customHeight="false" outlineLevel="1" collapsed="false">
      <c r="A10" s="8" t="n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customFormat="false" ht="25.5" hidden="false" customHeight="false" outlineLevel="0" collapsed="false">
      <c r="A11" s="8" t="n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customFormat="false" ht="25.5" hidden="false" customHeight="false" outlineLevel="0" collapsed="false">
      <c r="A12" s="8" t="n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customFormat="false" ht="25.5" hidden="false" customHeight="false" outlineLevel="0" collapsed="false">
      <c r="A13" s="8" t="n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customFormat="false" ht="25.5" hidden="false" customHeight="false" outlineLevel="0" collapsed="false">
      <c r="A14" s="8" t="n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customFormat="false" ht="25.5" hidden="false" customHeight="false" outlineLevel="0" collapsed="false">
      <c r="A15" s="8" t="n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customFormat="false" ht="15" hidden="false" customHeight="false" outlineLevel="0" collapsed="false">
      <c r="A16" s="8" t="n">
        <v>15</v>
      </c>
      <c r="B16" s="8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customFormat="false" ht="15" hidden="false" customHeight="false" outlineLevel="0" collapsed="false">
      <c r="A17" s="8"/>
      <c r="B17" s="8"/>
      <c r="C17" s="9" t="s">
        <v>69</v>
      </c>
      <c r="D17" s="9" t="s">
        <v>68</v>
      </c>
      <c r="E17" s="9"/>
      <c r="F17" s="9"/>
      <c r="G17" s="10"/>
      <c r="H17" s="11"/>
      <c r="I17" s="11"/>
    </row>
    <row r="18" customFormat="false" ht="51" hidden="false" customHeight="false" outlineLevel="0" collapsed="false">
      <c r="A18" s="8"/>
      <c r="B18" s="8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customFormat="false" ht="51" hidden="false" customHeight="false" outlineLevel="0" collapsed="false">
      <c r="A19" s="8"/>
      <c r="B19" s="8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customFormat="false" ht="15" hidden="false" customHeight="false" outlineLevel="0" collapsed="false">
      <c r="A20" s="8"/>
      <c r="B20" s="8"/>
      <c r="C20" s="9" t="s">
        <v>75</v>
      </c>
      <c r="D20" s="9" t="s">
        <v>68</v>
      </c>
      <c r="E20" s="9"/>
      <c r="F20" s="9"/>
      <c r="G20" s="10"/>
      <c r="H20" s="11"/>
      <c r="I20" s="11"/>
    </row>
    <row r="21" customFormat="false" ht="15" hidden="false" customHeight="false" outlineLevel="0" collapsed="false">
      <c r="A21" s="8"/>
      <c r="B21" s="8"/>
      <c r="C21" s="9" t="s">
        <v>76</v>
      </c>
      <c r="D21" s="9" t="s">
        <v>68</v>
      </c>
      <c r="E21" s="9"/>
      <c r="F21" s="9"/>
      <c r="G21" s="10"/>
      <c r="H21" s="11"/>
      <c r="I21" s="11"/>
    </row>
    <row r="22" customFormat="false" ht="15" hidden="false" customHeight="false" outlineLevel="0" collapsed="false">
      <c r="A22" s="8"/>
      <c r="B22" s="8"/>
      <c r="C22" s="9" t="s">
        <v>77</v>
      </c>
      <c r="D22" s="9" t="s">
        <v>68</v>
      </c>
      <c r="E22" s="9"/>
      <c r="F22" s="9"/>
      <c r="G22" s="10"/>
      <c r="H22" s="11"/>
      <c r="I22" s="11"/>
    </row>
    <row r="23" customFormat="false" ht="38.25" hidden="false" customHeight="false" outlineLevel="0" collapsed="false">
      <c r="A23" s="8"/>
      <c r="B23" s="8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customFormat="false" ht="51" hidden="false" customHeight="false" outlineLevel="0" collapsed="false">
      <c r="A24" s="8"/>
      <c r="B24" s="8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customFormat="false" ht="51" hidden="false" customHeight="false" outlineLevel="0" collapsed="false">
      <c r="A25" s="8" t="n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customFormat="false" ht="25.5" hidden="false" customHeight="false" outlineLevel="0" collapsed="false">
      <c r="A26" s="8" t="n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customFormat="false" ht="25.5" hidden="false" customHeight="false" outlineLevel="0" collapsed="false">
      <c r="A27" s="16" t="n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customFormat="false" ht="25.5" hidden="false" customHeight="false" outlineLevel="0" collapsed="false">
      <c r="A28" s="8" t="n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customFormat="false" ht="25.5" hidden="false" customHeight="false" outlineLevel="0" collapsed="false">
      <c r="A29" s="8" t="n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customFormat="false" ht="15" hidden="false" customHeight="false" outlineLevel="0" collapsed="false">
      <c r="A30" s="21"/>
      <c r="B30" s="21"/>
      <c r="C30" s="22"/>
      <c r="D30" s="22"/>
      <c r="E30" s="22"/>
      <c r="F30" s="22"/>
      <c r="G30" s="23"/>
    </row>
    <row r="31" customFormat="false" ht="15" hidden="false" customHeight="false" outlineLevel="0" collapsed="false">
      <c r="A31" s="21"/>
      <c r="B31" s="21"/>
      <c r="C31" s="22"/>
      <c r="D31" s="22"/>
      <c r="E31" s="22"/>
      <c r="F31" s="22"/>
      <c r="G31" s="24" t="s">
        <v>115</v>
      </c>
    </row>
    <row r="32" customFormat="false" ht="51.75" hidden="false" customHeight="false" outlineLevel="0" collapsed="false">
      <c r="A32" s="21"/>
      <c r="B32" s="21"/>
      <c r="C32" s="22"/>
      <c r="D32" s="22"/>
      <c r="E32" s="22"/>
      <c r="F32" s="22"/>
      <c r="G32" s="25" t="s">
        <v>116</v>
      </c>
    </row>
    <row r="33" customFormat="false" ht="15" hidden="false" customHeight="false" outlineLevel="0" collapsed="false">
      <c r="A33" s="21"/>
      <c r="B33" s="21"/>
      <c r="C33" s="22"/>
      <c r="D33" s="22"/>
      <c r="E33" s="22"/>
      <c r="F33" s="22"/>
      <c r="G33" s="25" t="s">
        <v>117</v>
      </c>
    </row>
    <row r="34" customFormat="false" ht="51.75" hidden="false" customHeight="false" outlineLevel="0" collapsed="false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RowHeight="13.8"/>
  <cols>
    <col collapsed="false" hidden="false" max="1" min="1" style="0" width="20.246963562753"/>
    <col collapsed="false" hidden="false" max="5" min="2" style="0" width="10.2834008097166"/>
    <col collapsed="false" hidden="false" max="6" min="6" style="0" width="6.53441295546559"/>
    <col collapsed="false" hidden="false" max="1025" min="7" style="0" width="8.57085020242915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F1" s="27"/>
      <c r="G1" s="27"/>
      <c r="H1" s="27"/>
      <c r="I1" s="28"/>
      <c r="J1" s="28"/>
      <c r="K1" s="28"/>
      <c r="N1" s="29"/>
    </row>
    <row r="2" customFormat="false" ht="13.8" hidden="false" customHeight="false" outlineLevel="0" collapsed="false">
      <c r="A2" s="30" t="s">
        <v>120</v>
      </c>
      <c r="B2" s="0" t="n">
        <v>1907.80516666667</v>
      </c>
      <c r="C2" s="31" t="n">
        <v>1907.80516666667</v>
      </c>
      <c r="D2" s="31" t="n">
        <v>1907.80516666667</v>
      </c>
      <c r="E2" s="31" t="n">
        <v>1907.80516666667</v>
      </c>
      <c r="I2" s="31"/>
      <c r="J2" s="31"/>
      <c r="K2" s="32"/>
      <c r="L2" s="33"/>
    </row>
    <row r="3" customFormat="false" ht="13.8" hidden="false" customHeight="false" outlineLevel="0" collapsed="false">
      <c r="A3" s="30" t="s">
        <v>121</v>
      </c>
      <c r="B3" s="0" t="n">
        <v>644.546104166667</v>
      </c>
      <c r="C3" s="33" t="n">
        <v>644.546104166667</v>
      </c>
      <c r="D3" s="33" t="n">
        <v>644.546104166667</v>
      </c>
      <c r="E3" s="33" t="n">
        <v>644.546104166667</v>
      </c>
      <c r="I3" s="31"/>
      <c r="J3" s="31"/>
      <c r="K3" s="34"/>
      <c r="L3" s="35"/>
    </row>
    <row r="4" customFormat="false" ht="13.8" hidden="false" customHeight="false" outlineLevel="0" collapsed="false">
      <c r="A4" s="30" t="s">
        <v>122</v>
      </c>
      <c r="B4" s="0" t="n">
        <v>31022.4528636364</v>
      </c>
      <c r="C4" s="33" t="n">
        <v>31022.4528636364</v>
      </c>
      <c r="D4" s="33" t="n">
        <v>31022.4528636364</v>
      </c>
      <c r="E4" s="33" t="n">
        <v>31022.4528636364</v>
      </c>
      <c r="I4" s="31"/>
      <c r="J4" s="31"/>
      <c r="K4" s="34"/>
      <c r="L4" s="35"/>
    </row>
    <row r="5" customFormat="false" ht="13.8" hidden="false" customHeight="false" outlineLevel="0" collapsed="false">
      <c r="A5" s="30" t="s">
        <v>123</v>
      </c>
      <c r="B5" s="0" t="n">
        <v>2509.5390625</v>
      </c>
      <c r="C5" s="33" t="n">
        <v>2509.5390625</v>
      </c>
      <c r="D5" s="33" t="n">
        <v>2509.5390625</v>
      </c>
      <c r="E5" s="33" t="n">
        <v>2509.5390625</v>
      </c>
      <c r="I5" s="31"/>
      <c r="J5" s="31"/>
      <c r="K5" s="34"/>
      <c r="L5" s="35"/>
    </row>
    <row r="6" customFormat="false" ht="13.8" hidden="false" customHeight="false" outlineLevel="0" collapsed="false">
      <c r="A6" s="30" t="s">
        <v>124</v>
      </c>
      <c r="B6" s="0" t="n">
        <v>450.104020833333</v>
      </c>
      <c r="C6" s="33" t="n">
        <v>450.104020833333</v>
      </c>
      <c r="D6" s="33" t="n">
        <v>450.104020833333</v>
      </c>
      <c r="E6" s="33" t="n">
        <v>450.104020833333</v>
      </c>
      <c r="I6" s="36"/>
      <c r="J6" s="36"/>
      <c r="K6" s="34"/>
      <c r="L6" s="35"/>
    </row>
    <row r="7" customFormat="false" ht="13.8" hidden="false" customHeight="false" outlineLevel="0" collapsed="false">
      <c r="A7" s="30" t="s">
        <v>125</v>
      </c>
      <c r="B7" s="0" t="n">
        <v>53.4801428571429</v>
      </c>
      <c r="C7" s="33" t="n">
        <v>53.4801428571429</v>
      </c>
      <c r="D7" s="33" t="n">
        <v>53.4801428571429</v>
      </c>
      <c r="E7" s="33" t="n">
        <v>53.4801428571429</v>
      </c>
      <c r="K7" s="34"/>
      <c r="L7" s="35"/>
    </row>
    <row r="8" customFormat="false" ht="13.8" hidden="false" customHeight="false" outlineLevel="0" collapsed="false">
      <c r="A8" s="30" t="s">
        <v>126</v>
      </c>
      <c r="B8" s="0" t="n">
        <v>1442.85409090909</v>
      </c>
      <c r="C8" s="33" t="n">
        <v>1442.85409090909</v>
      </c>
      <c r="D8" s="33" t="n">
        <v>1442.85409090909</v>
      </c>
      <c r="E8" s="33" t="n">
        <v>1442.85409090909</v>
      </c>
      <c r="K8" s="34"/>
      <c r="L8" s="35"/>
    </row>
    <row r="9" customFormat="false" ht="13.8" hidden="false" customHeight="false" outlineLevel="0" collapsed="false">
      <c r="A9" s="30" t="s">
        <v>127</v>
      </c>
      <c r="B9" s="0" t="n">
        <v>11.83875</v>
      </c>
      <c r="C9" s="33" t="n">
        <v>11.83875</v>
      </c>
      <c r="D9" s="33" t="n">
        <v>11.83875</v>
      </c>
      <c r="E9" s="33" t="n">
        <v>11.83875</v>
      </c>
      <c r="K9" s="34"/>
      <c r="L9" s="35"/>
    </row>
    <row r="10" customFormat="false" ht="13.8" hidden="false" customHeight="false" outlineLevel="0" collapsed="false">
      <c r="A10" s="30" t="s">
        <v>128</v>
      </c>
      <c r="B10" s="0" t="n">
        <v>947.614722222222</v>
      </c>
      <c r="C10" s="33" t="n">
        <v>947.614722222222</v>
      </c>
      <c r="D10" s="33" t="n">
        <v>947.614722222222</v>
      </c>
      <c r="E10" s="33" t="n">
        <v>947.614722222222</v>
      </c>
      <c r="K10" s="34"/>
      <c r="L10" s="35"/>
    </row>
    <row r="11" customFormat="false" ht="13.8" hidden="false" customHeight="false" outlineLevel="0" collapsed="false">
      <c r="A11" s="30" t="s">
        <v>129</v>
      </c>
      <c r="B11" s="0" t="n">
        <v>1173.50113636364</v>
      </c>
      <c r="C11" s="33" t="n">
        <v>1173.50113636364</v>
      </c>
      <c r="D11" s="33" t="n">
        <v>1173.50113636364</v>
      </c>
      <c r="E11" s="33" t="n">
        <v>1173.50113636364</v>
      </c>
      <c r="K11" s="34"/>
      <c r="L11" s="35"/>
    </row>
    <row r="12" customFormat="false" ht="13.8" hidden="false" customHeight="false" outlineLevel="0" collapsed="false">
      <c r="A12" s="30" t="s">
        <v>130</v>
      </c>
      <c r="B12" s="0" t="n">
        <v>1051.081</v>
      </c>
      <c r="C12" s="33" t="n">
        <v>1051.081</v>
      </c>
      <c r="D12" s="33" t="n">
        <v>1051.081</v>
      </c>
      <c r="E12" s="33" t="n">
        <v>1051.081</v>
      </c>
      <c r="K12" s="34"/>
      <c r="L12" s="35"/>
    </row>
    <row r="13" customFormat="false" ht="13.8" hidden="false" customHeight="false" outlineLevel="0" collapsed="false">
      <c r="A13" s="30" t="s">
        <v>131</v>
      </c>
      <c r="B13" s="0" t="n">
        <v>2276.17091666667</v>
      </c>
      <c r="C13" s="33" t="n">
        <v>2276.17091666667</v>
      </c>
      <c r="D13" s="33" t="n">
        <v>2276.17091666667</v>
      </c>
      <c r="E13" s="33" t="n">
        <v>2276.17091666667</v>
      </c>
      <c r="K13" s="34"/>
      <c r="L13" s="35"/>
    </row>
    <row r="14" customFormat="false" ht="13.8" hidden="false" customHeight="false" outlineLevel="0" collapsed="false">
      <c r="A14" s="30" t="s">
        <v>132</v>
      </c>
      <c r="B14" s="0" t="n">
        <v>1911.77395833333</v>
      </c>
      <c r="C14" s="33" t="n">
        <v>1911.77395833333</v>
      </c>
      <c r="D14" s="33" t="n">
        <v>1911.77395833333</v>
      </c>
      <c r="E14" s="33" t="n">
        <v>1911.77395833333</v>
      </c>
      <c r="K14" s="34"/>
      <c r="L14" s="35"/>
    </row>
    <row r="15" customFormat="false" ht="13.8" hidden="false" customHeight="false" outlineLevel="0" collapsed="false">
      <c r="A15" s="30" t="s">
        <v>133</v>
      </c>
      <c r="B15" s="0" t="n">
        <v>1.52903571428571</v>
      </c>
      <c r="C15" s="33" t="n">
        <v>1.52903571428571</v>
      </c>
      <c r="D15" s="33" t="n">
        <v>1.52903571428571</v>
      </c>
      <c r="E15" s="33" t="n">
        <v>1.52903571428571</v>
      </c>
      <c r="K15" s="34"/>
      <c r="L15" s="35"/>
    </row>
    <row r="16" customFormat="false" ht="13.8" hidden="false" customHeight="false" outlineLevel="0" collapsed="false">
      <c r="A16" s="30" t="s">
        <v>134</v>
      </c>
      <c r="B16" s="0" t="n">
        <v>46.75375</v>
      </c>
      <c r="C16" s="33" t="n">
        <v>46.75375</v>
      </c>
      <c r="D16" s="33" t="n">
        <v>46.75375</v>
      </c>
      <c r="E16" s="33" t="n">
        <v>46.75375</v>
      </c>
      <c r="K16" s="34"/>
      <c r="L16" s="35"/>
    </row>
    <row r="17" customFormat="false" ht="13.8" hidden="false" customHeight="false" outlineLevel="0" collapsed="false">
      <c r="A17" s="30" t="s">
        <v>135</v>
      </c>
      <c r="B17" s="0" t="n">
        <v>22504.4290416667</v>
      </c>
      <c r="C17" s="33" t="n">
        <v>22504.4290416667</v>
      </c>
      <c r="D17" s="33" t="n">
        <v>22504.4290416667</v>
      </c>
      <c r="E17" s="33" t="n">
        <v>22504.4290416667</v>
      </c>
      <c r="K17" s="34"/>
      <c r="L17" s="35"/>
    </row>
    <row r="18" customFormat="false" ht="13.8" hidden="false" customHeight="false" outlineLevel="0" collapsed="false">
      <c r="A18" s="30" t="s">
        <v>136</v>
      </c>
      <c r="B18" s="0" t="n">
        <v>92.0504166666667</v>
      </c>
      <c r="C18" s="33" t="n">
        <v>92.0504166666667</v>
      </c>
      <c r="D18" s="33" t="n">
        <v>92.0504166666667</v>
      </c>
      <c r="E18" s="33" t="n">
        <v>92.0504166666667</v>
      </c>
      <c r="K18" s="34"/>
      <c r="L18" s="35"/>
    </row>
    <row r="19" customFormat="false" ht="13.8" hidden="false" customHeight="false" outlineLevel="0" collapsed="false">
      <c r="A19" s="30" t="s">
        <v>137</v>
      </c>
      <c r="B19" s="0" t="n">
        <v>775.09975</v>
      </c>
      <c r="C19" s="33" t="n">
        <v>775.09975</v>
      </c>
      <c r="D19" s="33" t="n">
        <v>775.09975</v>
      </c>
      <c r="E19" s="33" t="n">
        <v>775.09975</v>
      </c>
      <c r="K19" s="34"/>
      <c r="L19" s="35"/>
    </row>
    <row r="20" customFormat="false" ht="13.8" hidden="false" customHeight="false" outlineLevel="0" collapsed="false">
      <c r="A20" s="30" t="s">
        <v>138</v>
      </c>
      <c r="B20" s="0" t="n">
        <v>6660.91045833334</v>
      </c>
      <c r="C20" s="33" t="n">
        <v>6660.91045833334</v>
      </c>
      <c r="D20" s="33" t="n">
        <v>6660.91045833334</v>
      </c>
      <c r="E20" s="33" t="n">
        <v>6660.91045833334</v>
      </c>
      <c r="K20" s="34"/>
      <c r="L20" s="35"/>
    </row>
    <row r="21" customFormat="false" ht="13.8" hidden="false" customHeight="false" outlineLevel="0" collapsed="false">
      <c r="A21" s="30" t="s">
        <v>139</v>
      </c>
      <c r="B21" s="0" t="n">
        <v>5030.4971875</v>
      </c>
      <c r="C21" s="33" t="n">
        <v>5030.4971875</v>
      </c>
      <c r="D21" s="33" t="n">
        <v>5030.4971875</v>
      </c>
      <c r="E21" s="33" t="n">
        <v>5030.4971875</v>
      </c>
      <c r="K21" s="34"/>
      <c r="L21" s="35"/>
    </row>
    <row r="22" customFormat="false" ht="13.8" hidden="false" customHeight="false" outlineLevel="0" collapsed="false">
      <c r="A22" s="30" t="s">
        <v>140</v>
      </c>
      <c r="B22" s="0" t="n">
        <v>196.916136363636</v>
      </c>
      <c r="C22" s="33" t="n">
        <v>196.916136363636</v>
      </c>
      <c r="D22" s="33" t="n">
        <v>196.916136363636</v>
      </c>
      <c r="E22" s="33" t="n">
        <v>196.916136363636</v>
      </c>
      <c r="K22" s="34"/>
      <c r="L22" s="35"/>
    </row>
    <row r="23" customFormat="false" ht="13.8" hidden="false" customHeight="false" outlineLevel="0" collapsed="false">
      <c r="A23" s="30" t="s">
        <v>141</v>
      </c>
      <c r="B23" s="0" t="n">
        <v>442.245708333333</v>
      </c>
      <c r="C23" s="33" t="n">
        <v>442.245708333333</v>
      </c>
      <c r="D23" s="33" t="n">
        <v>442.245708333333</v>
      </c>
      <c r="E23" s="33" t="n">
        <v>442.245708333333</v>
      </c>
      <c r="K23" s="34"/>
      <c r="L23" s="35"/>
    </row>
    <row r="24" customFormat="false" ht="13.8" hidden="false" customHeight="false" outlineLevel="0" collapsed="false">
      <c r="A24" s="30" t="s">
        <v>142</v>
      </c>
      <c r="B24" s="0" t="n">
        <v>1167.761875</v>
      </c>
      <c r="C24" s="33" t="n">
        <v>1167.761875</v>
      </c>
      <c r="D24" s="33" t="n">
        <v>1167.761875</v>
      </c>
      <c r="E24" s="33" t="n">
        <v>1167.761875</v>
      </c>
      <c r="K24" s="34"/>
      <c r="L24" s="35"/>
    </row>
    <row r="25" customFormat="false" ht="13.8" hidden="false" customHeight="false" outlineLevel="0" collapsed="false">
      <c r="A25" s="30" t="s">
        <v>143</v>
      </c>
      <c r="B25" s="0" t="n">
        <v>236.894583333333</v>
      </c>
      <c r="C25" s="33" t="n">
        <v>236.894583333333</v>
      </c>
      <c r="D25" s="33" t="n">
        <v>236.894583333333</v>
      </c>
      <c r="E25" s="33" t="n">
        <v>236.894583333333</v>
      </c>
      <c r="K25" s="34"/>
      <c r="L25" s="35"/>
    </row>
    <row r="26" customFormat="false" ht="13.8" hidden="false" customHeight="false" outlineLevel="0" collapsed="false">
      <c r="A26" s="30" t="s">
        <v>144</v>
      </c>
      <c r="B26" s="0" t="n">
        <v>428.479772727273</v>
      </c>
      <c r="C26" s="33" t="n">
        <v>428.479772727273</v>
      </c>
      <c r="D26" s="33" t="n">
        <v>428.479772727273</v>
      </c>
      <c r="E26" s="33" t="n">
        <v>428.479772727273</v>
      </c>
      <c r="K26" s="34"/>
      <c r="L26" s="35"/>
    </row>
    <row r="27" customFormat="false" ht="13.8" hidden="false" customHeight="false" outlineLevel="0" collapsed="false">
      <c r="A27" s="30" t="s">
        <v>145</v>
      </c>
      <c r="B27" s="0" t="n">
        <v>1244.78920833333</v>
      </c>
      <c r="C27" s="33" t="n">
        <v>1244.78920833333</v>
      </c>
      <c r="D27" s="33" t="n">
        <v>1244.78920833333</v>
      </c>
      <c r="E27" s="33" t="n">
        <v>1244.78920833333</v>
      </c>
      <c r="K27" s="34"/>
      <c r="L27" s="35"/>
    </row>
    <row r="28" customFormat="false" ht="13.8" hidden="false" customHeight="false" outlineLevel="0" collapsed="false">
      <c r="A28" s="30" t="s">
        <v>146</v>
      </c>
      <c r="B28" s="0" t="n">
        <v>1260.64541666667</v>
      </c>
      <c r="C28" s="33" t="n">
        <v>1260.64541666667</v>
      </c>
      <c r="D28" s="33" t="n">
        <v>1260.64541666667</v>
      </c>
      <c r="E28" s="33" t="n">
        <v>1260.64541666667</v>
      </c>
      <c r="K28" s="34"/>
      <c r="L28" s="35"/>
    </row>
    <row r="29" customFormat="false" ht="13.8" hidden="false" customHeight="false" outlineLevel="0" collapsed="false">
      <c r="A29" s="30" t="s">
        <v>147</v>
      </c>
      <c r="B29" s="0" t="n">
        <v>69.8575</v>
      </c>
      <c r="C29" s="33" t="n">
        <v>69.8575</v>
      </c>
      <c r="D29" s="33" t="n">
        <v>69.8575</v>
      </c>
      <c r="E29" s="33" t="n">
        <v>69.8575</v>
      </c>
      <c r="K29" s="34"/>
      <c r="L29" s="35"/>
    </row>
    <row r="30" customFormat="false" ht="13.8" hidden="false" customHeight="false" outlineLevel="0" collapsed="false">
      <c r="A30" s="30" t="s">
        <v>148</v>
      </c>
      <c r="B30" s="0" t="n">
        <v>2001.05770833333</v>
      </c>
      <c r="C30" s="33" t="n">
        <v>2001.05770833333</v>
      </c>
      <c r="D30" s="33" t="n">
        <v>2001.05770833333</v>
      </c>
      <c r="E30" s="33" t="n">
        <v>2001.05770833333</v>
      </c>
    </row>
    <row r="31" customFormat="false" ht="13.8" hidden="false" customHeight="false" outlineLevel="0" collapsed="false">
      <c r="A31" s="30" t="s">
        <v>149</v>
      </c>
      <c r="B31" s="0" t="n">
        <v>393.2425</v>
      </c>
      <c r="C31" s="33" t="n">
        <v>393.2425</v>
      </c>
      <c r="D31" s="33" t="n">
        <v>393.2425</v>
      </c>
      <c r="E31" s="33" t="n">
        <v>393.2425</v>
      </c>
    </row>
    <row r="32" customFormat="false" ht="13.8" hidden="false" customHeight="false" outlineLevel="0" collapsed="false">
      <c r="A32" s="30" t="s">
        <v>150</v>
      </c>
      <c r="B32" s="0" t="n">
        <v>3374.53604166667</v>
      </c>
      <c r="C32" s="33" t="n">
        <v>3374.53604166667</v>
      </c>
      <c r="D32" s="33" t="n">
        <v>3374.53604166667</v>
      </c>
      <c r="E32" s="33" t="n">
        <v>3374.53604166667</v>
      </c>
    </row>
    <row r="33" customFormat="false" ht="13.8" hidden="false" customHeight="false" outlineLevel="0" collapsed="false">
      <c r="A33" s="30" t="s">
        <v>151</v>
      </c>
      <c r="B33" s="0" t="n">
        <v>6632.34247916667</v>
      </c>
      <c r="C33" s="33" t="n">
        <v>6632.34247916667</v>
      </c>
      <c r="D33" s="33" t="n">
        <v>6632.34247916667</v>
      </c>
      <c r="E33" s="33" t="n">
        <v>6632.34247916667</v>
      </c>
    </row>
    <row r="34" customFormat="false" ht="13.8" hidden="false" customHeight="false" outlineLevel="0" collapsed="false">
      <c r="A34" s="30" t="s">
        <v>152</v>
      </c>
      <c r="B34" s="0" t="n">
        <v>245.728166666667</v>
      </c>
      <c r="C34" s="33" t="n">
        <v>245.728166666667</v>
      </c>
      <c r="D34" s="33" t="n">
        <v>245.728166666667</v>
      </c>
      <c r="E34" s="33" t="n">
        <v>245.728166666667</v>
      </c>
    </row>
    <row r="35" customFormat="false" ht="13.8" hidden="false" customHeight="false" outlineLevel="0" collapsed="false">
      <c r="A35" s="30" t="s">
        <v>153</v>
      </c>
      <c r="B35" s="0" t="n">
        <v>10.6722727272727</v>
      </c>
      <c r="C35" s="33" t="n">
        <v>10.6722727272727</v>
      </c>
      <c r="D35" s="33" t="n">
        <v>10.6722727272727</v>
      </c>
      <c r="E35" s="33" t="n">
        <v>10.6722727272727</v>
      </c>
    </row>
    <row r="36" customFormat="false" ht="13.8" hidden="false" customHeight="false" outlineLevel="0" collapsed="false">
      <c r="A36" s="30" t="s">
        <v>154</v>
      </c>
      <c r="B36" s="0" t="n">
        <v>1886.36295833333</v>
      </c>
      <c r="C36" s="33" t="n">
        <v>1886.36295833333</v>
      </c>
      <c r="D36" s="33" t="n">
        <v>1886.36295833333</v>
      </c>
      <c r="E36" s="33" t="n">
        <v>1886.36295833333</v>
      </c>
    </row>
    <row r="37" customFormat="false" ht="13.8" hidden="false" customHeight="false" outlineLevel="0" collapsed="false">
      <c r="A37" s="30" t="s">
        <v>155</v>
      </c>
      <c r="B37" s="0" t="n">
        <v>5.119</v>
      </c>
      <c r="C37" s="33" t="n">
        <v>5.119</v>
      </c>
      <c r="D37" s="33" t="n">
        <v>5.119</v>
      </c>
      <c r="E37" s="33" t="n">
        <v>5.119</v>
      </c>
    </row>
    <row r="38" customFormat="false" ht="13.8" hidden="false" customHeight="false" outlineLevel="0" collapsed="false">
      <c r="A38" s="30" t="s">
        <v>156</v>
      </c>
      <c r="B38" s="0" t="n">
        <v>4518.5575</v>
      </c>
      <c r="C38" s="33" t="n">
        <v>4518.5575</v>
      </c>
      <c r="D38" s="33" t="n">
        <v>4518.5575</v>
      </c>
      <c r="E38" s="33" t="n">
        <v>4518.5575</v>
      </c>
    </row>
    <row r="39" customFormat="false" ht="13.8" hidden="false" customHeight="false" outlineLevel="0" collapsed="false">
      <c r="A39" s="30" t="s">
        <v>157</v>
      </c>
      <c r="B39" s="0" t="n">
        <v>761.22775</v>
      </c>
      <c r="C39" s="33" t="n">
        <v>761.22775</v>
      </c>
      <c r="D39" s="33" t="n">
        <v>761.22775</v>
      </c>
      <c r="E39" s="33" t="n">
        <v>761.22775</v>
      </c>
    </row>
    <row r="40" customFormat="false" ht="13.8" hidden="false" customHeight="false" outlineLevel="0" collapsed="false">
      <c r="A40" s="30" t="s">
        <v>158</v>
      </c>
      <c r="B40" s="0" t="n">
        <v>745.83625</v>
      </c>
      <c r="C40" s="33" t="n">
        <v>745.83625</v>
      </c>
      <c r="D40" s="33" t="n">
        <v>745.83625</v>
      </c>
      <c r="E40" s="33" t="n">
        <v>745.83625</v>
      </c>
    </row>
    <row r="41" customFormat="false" ht="13.8" hidden="false" customHeight="false" outlineLevel="0" collapsed="false">
      <c r="A41" s="30" t="s">
        <v>159</v>
      </c>
      <c r="B41" s="0" t="n">
        <v>4648.18929166667</v>
      </c>
      <c r="C41" s="33" t="n">
        <v>4648.18929166667</v>
      </c>
      <c r="D41" s="33" t="n">
        <v>4648.18929166667</v>
      </c>
      <c r="E41" s="33" t="n">
        <v>4648.18929166667</v>
      </c>
    </row>
    <row r="42" customFormat="false" ht="13.8" hidden="false" customHeight="false" outlineLevel="0" collapsed="false">
      <c r="A42" s="30" t="s">
        <v>160</v>
      </c>
      <c r="B42" s="0" t="n">
        <v>987.94625</v>
      </c>
      <c r="C42" s="33" t="n">
        <v>987.94625</v>
      </c>
      <c r="D42" s="33" t="n">
        <v>987.94625</v>
      </c>
      <c r="E42" s="33" t="n">
        <v>987.94625</v>
      </c>
    </row>
    <row r="43" customFormat="false" ht="13.8" hidden="false" customHeight="false" outlineLevel="0" collapsed="false">
      <c r="A43" s="30" t="s">
        <v>161</v>
      </c>
      <c r="B43" s="0" t="n">
        <v>56.88375</v>
      </c>
      <c r="C43" s="33" t="n">
        <v>56.88375</v>
      </c>
      <c r="D43" s="33" t="n">
        <v>56.88375</v>
      </c>
      <c r="E43" s="33" t="n">
        <v>56.88375</v>
      </c>
    </row>
    <row r="44" customFormat="false" ht="13.8" hidden="false" customHeight="false" outlineLevel="0" collapsed="false">
      <c r="A44" s="30" t="s">
        <v>162</v>
      </c>
      <c r="B44" s="0" t="n">
        <v>51.5365833333333</v>
      </c>
      <c r="C44" s="33" t="n">
        <v>51.5365833333333</v>
      </c>
      <c r="D44" s="33" t="n">
        <v>51.5365833333333</v>
      </c>
      <c r="E44" s="33" t="n">
        <v>51.5365833333333</v>
      </c>
    </row>
    <row r="45" customFormat="false" ht="13.8" hidden="false" customHeight="false" outlineLevel="0" collapsed="false">
      <c r="A45" s="30" t="s">
        <v>163</v>
      </c>
      <c r="B45" s="0" t="n">
        <v>8578.92286363636</v>
      </c>
      <c r="C45" s="33" t="n">
        <v>8578.92286363636</v>
      </c>
      <c r="D45" s="33" t="n">
        <v>8578.92286363636</v>
      </c>
      <c r="E45" s="33" t="n">
        <v>8578.92286363636</v>
      </c>
    </row>
    <row r="46" customFormat="false" ht="13.8" hidden="false" customHeight="false" outlineLevel="0" collapsed="false">
      <c r="A46" s="30" t="s">
        <v>164</v>
      </c>
      <c r="B46" s="0" t="n">
        <v>1449.455625</v>
      </c>
      <c r="C46" s="33" t="n">
        <v>1449.455625</v>
      </c>
      <c r="D46" s="33" t="n">
        <v>1449.455625</v>
      </c>
      <c r="E46" s="33" t="n">
        <v>1449.455625</v>
      </c>
    </row>
    <row r="47" customFormat="false" ht="13.8" hidden="false" customHeight="false" outlineLevel="0" collapsed="false">
      <c r="A47" s="30" t="s">
        <v>165</v>
      </c>
      <c r="B47" s="0" t="n">
        <v>-0.1875</v>
      </c>
      <c r="C47" s="33" t="n">
        <v>-0.1875</v>
      </c>
      <c r="D47" s="33" t="n">
        <v>-0.1875</v>
      </c>
      <c r="E47" s="33" t="n">
        <v>-0.1875</v>
      </c>
    </row>
    <row r="48" customFormat="false" ht="13.8" hidden="false" customHeight="false" outlineLevel="0" collapsed="false">
      <c r="A48" s="30" t="s">
        <v>166</v>
      </c>
      <c r="B48" s="0" t="n">
        <v>876.546250000001</v>
      </c>
      <c r="C48" s="33" t="n">
        <v>876.546250000001</v>
      </c>
      <c r="D48" s="33" t="n">
        <v>876.546250000001</v>
      </c>
      <c r="E48" s="33" t="n">
        <v>876.546250000001</v>
      </c>
    </row>
    <row r="49" customFormat="false" ht="13.8" hidden="false" customHeight="false" outlineLevel="0" collapsed="false">
      <c r="A49" s="30" t="s">
        <v>167</v>
      </c>
      <c r="B49" s="0" t="n">
        <v>375.505625</v>
      </c>
      <c r="C49" s="33" t="n">
        <v>375.505625</v>
      </c>
      <c r="D49" s="33" t="n">
        <v>375.505625</v>
      </c>
      <c r="E49" s="33" t="n">
        <v>375.505625</v>
      </c>
    </row>
    <row r="50" customFormat="false" ht="13.8" hidden="false" customHeight="false" outlineLevel="0" collapsed="false">
      <c r="A50" s="30" t="s">
        <v>168</v>
      </c>
      <c r="B50" s="0" t="n">
        <v>1655.7375</v>
      </c>
      <c r="C50" s="33" t="n">
        <v>1655.7375</v>
      </c>
      <c r="D50" s="33" t="n">
        <v>1655.7375</v>
      </c>
      <c r="E50" s="33" t="n">
        <v>1655.7375</v>
      </c>
    </row>
    <row r="51" customFormat="false" ht="13.8" hidden="false" customHeight="false" outlineLevel="0" collapsed="false">
      <c r="A51" s="30" t="s">
        <v>169</v>
      </c>
      <c r="B51" s="0" t="n">
        <v>18739.711875</v>
      </c>
      <c r="C51" s="33" t="n">
        <v>18739.711875</v>
      </c>
      <c r="D51" s="33" t="n">
        <v>18739.711875</v>
      </c>
      <c r="E51" s="33" t="n">
        <v>18739.711875</v>
      </c>
    </row>
    <row r="52" customFormat="false" ht="13.8" hidden="false" customHeight="false" outlineLevel="0" collapsed="false">
      <c r="A52" s="30" t="s">
        <v>170</v>
      </c>
      <c r="B52" s="0" t="n">
        <v>19702.2676136365</v>
      </c>
      <c r="C52" s="33" t="n">
        <v>19702.2676136365</v>
      </c>
      <c r="D52" s="33" t="n">
        <v>19702.2676136365</v>
      </c>
      <c r="E52" s="33" t="n">
        <v>19702.2676136365</v>
      </c>
    </row>
    <row r="53" customFormat="false" ht="13.8" hidden="false" customHeight="false" outlineLevel="0" collapsed="false">
      <c r="A53" s="30" t="s">
        <v>171</v>
      </c>
      <c r="B53" s="0" t="n">
        <v>83278.1194374999</v>
      </c>
      <c r="C53" s="33" t="n">
        <v>83278.1194374999</v>
      </c>
      <c r="D53" s="33" t="n">
        <v>83278.1194374999</v>
      </c>
      <c r="E53" s="33" t="n">
        <v>83278.1194374999</v>
      </c>
    </row>
    <row r="54" customFormat="false" ht="13.8" hidden="false" customHeight="false" outlineLevel="0" collapsed="false">
      <c r="A54" s="30" t="s">
        <v>172</v>
      </c>
      <c r="B54" s="0" t="n">
        <v>1561.301875</v>
      </c>
      <c r="C54" s="33" t="n">
        <v>1561.301875</v>
      </c>
      <c r="D54" s="33" t="n">
        <v>1561.301875</v>
      </c>
      <c r="E54" s="33" t="n">
        <v>1561.301875</v>
      </c>
    </row>
    <row r="55" customFormat="false" ht="13.8" hidden="false" customHeight="false" outlineLevel="0" collapsed="false">
      <c r="A55" s="30" t="s">
        <v>173</v>
      </c>
      <c r="B55" s="0" t="n">
        <v>779.435833333332</v>
      </c>
      <c r="C55" s="33" t="n">
        <v>779.435833333332</v>
      </c>
      <c r="D55" s="33" t="n">
        <v>779.435833333332</v>
      </c>
      <c r="E55" s="33" t="n">
        <v>779.435833333332</v>
      </c>
    </row>
    <row r="56" customFormat="false" ht="13.8" hidden="false" customHeight="false" outlineLevel="0" collapsed="false">
      <c r="A56" s="30" t="s">
        <v>174</v>
      </c>
      <c r="B56" s="0" t="n">
        <v>692.1475</v>
      </c>
      <c r="C56" s="33" t="n">
        <v>692.1475</v>
      </c>
      <c r="D56" s="33" t="n">
        <v>692.1475</v>
      </c>
      <c r="E56" s="33" t="n">
        <v>692.1475</v>
      </c>
    </row>
    <row r="57" customFormat="false" ht="13.8" hidden="false" customHeight="false" outlineLevel="0" collapsed="false">
      <c r="A57" s="30" t="s">
        <v>175</v>
      </c>
      <c r="B57" s="0" t="n">
        <v>448.282704545454</v>
      </c>
      <c r="C57" s="33" t="n">
        <v>448.282704545454</v>
      </c>
      <c r="D57" s="33" t="n">
        <v>448.282704545454</v>
      </c>
      <c r="E57" s="33" t="n">
        <v>448.282704545454</v>
      </c>
    </row>
    <row r="58" customFormat="false" ht="13.8" hidden="false" customHeight="false" outlineLevel="0" collapsed="false">
      <c r="A58" s="30" t="s">
        <v>176</v>
      </c>
      <c r="B58" s="0" t="n">
        <v>55.5576136363636</v>
      </c>
      <c r="C58" s="33" t="n">
        <v>55.5576136363636</v>
      </c>
      <c r="D58" s="33" t="n">
        <v>55.5576136363636</v>
      </c>
      <c r="E58" s="33" t="n">
        <v>55.5576136363636</v>
      </c>
    </row>
    <row r="59" customFormat="false" ht="13.8" hidden="false" customHeight="false" outlineLevel="0" collapsed="false">
      <c r="A59" s="30" t="s">
        <v>177</v>
      </c>
      <c r="B59" s="0" t="n">
        <v>228.174375</v>
      </c>
      <c r="C59" s="33" t="n">
        <v>228.174375</v>
      </c>
      <c r="D59" s="33" t="n">
        <v>228.174375</v>
      </c>
      <c r="E59" s="33" t="n">
        <v>228.174375</v>
      </c>
    </row>
    <row r="60" customFormat="false" ht="13.8" hidden="false" customHeight="false" outlineLevel="0" collapsed="false">
      <c r="A60" s="30" t="s">
        <v>178</v>
      </c>
      <c r="B60" s="0" t="n">
        <v>160.748125</v>
      </c>
      <c r="C60" s="33" t="n">
        <v>160.748125</v>
      </c>
      <c r="D60" s="33" t="n">
        <v>160.748125</v>
      </c>
      <c r="E60" s="33" t="n">
        <v>160.748125</v>
      </c>
    </row>
    <row r="61" customFormat="false" ht="13.8" hidden="false" customHeight="false" outlineLevel="0" collapsed="false">
      <c r="A61" s="30" t="s">
        <v>179</v>
      </c>
      <c r="B61" s="0" t="n">
        <v>64.260625</v>
      </c>
      <c r="C61" s="33" t="n">
        <v>64.260625</v>
      </c>
      <c r="D61" s="33" t="n">
        <v>64.260625</v>
      </c>
      <c r="E61" s="33" t="n">
        <v>64.260625</v>
      </c>
    </row>
    <row r="62" customFormat="false" ht="13.8" hidden="false" customHeight="false" outlineLevel="0" collapsed="false">
      <c r="A62" s="30" t="s">
        <v>180</v>
      </c>
      <c r="B62" s="0" t="n">
        <v>562.203675</v>
      </c>
      <c r="C62" s="33" t="n">
        <v>562.203675</v>
      </c>
      <c r="D62" s="33" t="n">
        <v>562.203675</v>
      </c>
      <c r="E62" s="33" t="n">
        <v>562.203675</v>
      </c>
    </row>
    <row r="63" customFormat="false" ht="13.8" hidden="false" customHeight="false" outlineLevel="0" collapsed="false">
      <c r="A63" s="30" t="s">
        <v>181</v>
      </c>
      <c r="B63" s="0" t="n">
        <v>1626.34125</v>
      </c>
      <c r="C63" s="33" t="n">
        <v>1626.34125</v>
      </c>
      <c r="D63" s="33" t="n">
        <v>1626.34125</v>
      </c>
      <c r="E63" s="33" t="n">
        <v>1626.34125</v>
      </c>
    </row>
    <row r="64" customFormat="false" ht="13.8" hidden="false" customHeight="false" outlineLevel="0" collapsed="false">
      <c r="A64" s="30" t="s">
        <v>182</v>
      </c>
      <c r="B64" s="0" t="n">
        <v>684.553125</v>
      </c>
      <c r="C64" s="33" t="n">
        <v>684.553125</v>
      </c>
      <c r="D64" s="33" t="n">
        <v>684.553125</v>
      </c>
      <c r="E64" s="33" t="n">
        <v>684.553125</v>
      </c>
    </row>
    <row r="65" customFormat="false" ht="13.8" hidden="false" customHeight="false" outlineLevel="0" collapsed="false">
      <c r="A65" s="30" t="s">
        <v>183</v>
      </c>
      <c r="B65" s="0" t="n">
        <v>12879.346375</v>
      </c>
      <c r="C65" s="33" t="n">
        <v>12879.346375</v>
      </c>
      <c r="D65" s="33" t="n">
        <v>12879.346375</v>
      </c>
      <c r="E65" s="33" t="n">
        <v>12879.346375</v>
      </c>
    </row>
    <row r="66" customFormat="false" ht="13.8" hidden="false" customHeight="false" outlineLevel="0" collapsed="false">
      <c r="A66" s="30" t="s">
        <v>184</v>
      </c>
      <c r="B66" s="0" t="n">
        <v>11511.9668541666</v>
      </c>
      <c r="C66" s="33" t="n">
        <v>11511.9668541666</v>
      </c>
      <c r="D66" s="33" t="n">
        <v>11511.9668541666</v>
      </c>
      <c r="E66" s="33" t="n">
        <v>11511.9668541666</v>
      </c>
    </row>
    <row r="67" customFormat="false" ht="13.8" hidden="false" customHeight="false" outlineLevel="0" collapsed="false">
      <c r="A67" s="30" t="s">
        <v>185</v>
      </c>
      <c r="B67" s="0" t="n">
        <v>1599.35683333333</v>
      </c>
      <c r="C67" s="33" t="n">
        <v>1599.35683333333</v>
      </c>
      <c r="D67" s="33" t="n">
        <v>1599.35683333333</v>
      </c>
      <c r="E67" s="33" t="n">
        <v>1599.35683333333</v>
      </c>
    </row>
    <row r="68" customFormat="false" ht="13.8" hidden="false" customHeight="false" outlineLevel="0" collapsed="false">
      <c r="A68" s="30" t="s">
        <v>186</v>
      </c>
      <c r="B68" s="0" t="n">
        <v>294.749375</v>
      </c>
      <c r="C68" s="33" t="n">
        <v>294.749375</v>
      </c>
      <c r="D68" s="33" t="n">
        <v>294.749375</v>
      </c>
      <c r="E68" s="33" t="n">
        <v>294.749375</v>
      </c>
    </row>
    <row r="69" customFormat="false" ht="13.8" hidden="false" customHeight="false" outlineLevel="0" collapsed="false">
      <c r="A69" s="30" t="s">
        <v>187</v>
      </c>
      <c r="B69" s="0" t="n">
        <v>1331.85125</v>
      </c>
      <c r="C69" s="33" t="n">
        <v>1331.85125</v>
      </c>
      <c r="D69" s="33" t="n">
        <v>1331.85125</v>
      </c>
      <c r="E69" s="33" t="n">
        <v>1331.85125</v>
      </c>
    </row>
    <row r="70" customFormat="false" ht="13.8" hidden="false" customHeight="false" outlineLevel="0" collapsed="false">
      <c r="A70" s="30" t="s">
        <v>188</v>
      </c>
      <c r="B70" s="0" t="n">
        <v>65.3945</v>
      </c>
      <c r="C70" s="33" t="n">
        <v>65.3945</v>
      </c>
      <c r="D70" s="33" t="n">
        <v>65.3945</v>
      </c>
      <c r="E70" s="33" t="n">
        <v>65.3945</v>
      </c>
    </row>
    <row r="71" customFormat="false" ht="13.8" hidden="false" customHeight="false" outlineLevel="0" collapsed="false">
      <c r="A71" s="30" t="s">
        <v>189</v>
      </c>
      <c r="B71" s="0" t="n">
        <v>377.097083333333</v>
      </c>
      <c r="C71" s="33" t="n">
        <v>377.097083333333</v>
      </c>
      <c r="D71" s="33" t="n">
        <v>377.097083333333</v>
      </c>
      <c r="E71" s="33" t="n">
        <v>377.097083333333</v>
      </c>
    </row>
    <row r="72" customFormat="false" ht="13.8" hidden="false" customHeight="false" outlineLevel="0" collapsed="false">
      <c r="A72" s="30" t="s">
        <v>190</v>
      </c>
      <c r="B72" s="0" t="n">
        <v>3.57625</v>
      </c>
      <c r="C72" s="33" t="n">
        <v>3.57625</v>
      </c>
      <c r="D72" s="33" t="n">
        <v>3.57625</v>
      </c>
      <c r="E72" s="33" t="n">
        <v>3.57625</v>
      </c>
    </row>
    <row r="73" customFormat="false" ht="13.8" hidden="false" customHeight="false" outlineLevel="0" collapsed="false">
      <c r="A73" s="30" t="s">
        <v>191</v>
      </c>
      <c r="B73" s="0" t="n">
        <v>761.728645833333</v>
      </c>
      <c r="C73" s="33" t="n">
        <v>761.728645833333</v>
      </c>
      <c r="D73" s="33" t="n">
        <v>761.728645833333</v>
      </c>
      <c r="E73" s="33" t="n">
        <v>761.728645833333</v>
      </c>
    </row>
    <row r="74" customFormat="false" ht="13.8" hidden="false" customHeight="false" outlineLevel="0" collapsed="false">
      <c r="A74" s="30" t="s">
        <v>192</v>
      </c>
      <c r="B74" s="0" t="n">
        <v>52.2198636363637</v>
      </c>
      <c r="C74" s="33" t="n">
        <v>52.2198636363637</v>
      </c>
      <c r="D74" s="33" t="n">
        <v>52.2198636363637</v>
      </c>
      <c r="E74" s="33" t="n">
        <v>52.2198636363637</v>
      </c>
    </row>
    <row r="75" customFormat="false" ht="13.8" hidden="false" customHeight="false" outlineLevel="0" collapsed="false">
      <c r="A75" s="30" t="s">
        <v>193</v>
      </c>
      <c r="B75" s="0" t="n">
        <v>86.1270454545454</v>
      </c>
      <c r="C75" s="33" t="n">
        <v>86.1270454545454</v>
      </c>
      <c r="D75" s="33" t="n">
        <v>86.1270454545454</v>
      </c>
      <c r="E75" s="33" t="n">
        <v>86.1270454545454</v>
      </c>
    </row>
    <row r="76" customFormat="false" ht="13.8" hidden="false" customHeight="false" outlineLevel="0" collapsed="false">
      <c r="A76" s="30" t="s">
        <v>194</v>
      </c>
      <c r="B76" s="0" t="n">
        <v>1017.3875</v>
      </c>
      <c r="C76" s="33" t="n">
        <v>1017.3875</v>
      </c>
      <c r="D76" s="33" t="n">
        <v>1017.3875</v>
      </c>
      <c r="E76" s="33" t="n">
        <v>1017.3875</v>
      </c>
    </row>
    <row r="77" customFormat="false" ht="13.8" hidden="false" customHeight="false" outlineLevel="0" collapsed="false">
      <c r="A77" s="30" t="s">
        <v>195</v>
      </c>
      <c r="B77" s="0" t="n">
        <v>21713.34</v>
      </c>
      <c r="C77" s="33" t="n">
        <v>21713.34</v>
      </c>
      <c r="D77" s="33" t="n">
        <v>21713.34</v>
      </c>
      <c r="E77" s="33" t="n">
        <v>21713.34</v>
      </c>
    </row>
    <row r="78" customFormat="false" ht="13.8" hidden="false" customHeight="false" outlineLevel="0" collapsed="false">
      <c r="A78" s="30" t="s">
        <v>196</v>
      </c>
      <c r="B78" s="0" t="n">
        <v>18460.39125</v>
      </c>
      <c r="C78" s="33" t="n">
        <v>18460.39125</v>
      </c>
      <c r="D78" s="33" t="n">
        <v>18460.39125</v>
      </c>
      <c r="E78" s="33" t="n">
        <v>18460.39125</v>
      </c>
    </row>
    <row r="79" customFormat="false" ht="13.8" hidden="false" customHeight="false" outlineLevel="0" collapsed="false">
      <c r="A79" s="30" t="s">
        <v>197</v>
      </c>
      <c r="B79" s="0" t="n">
        <v>299.64</v>
      </c>
      <c r="C79" s="33" t="n">
        <v>299.64</v>
      </c>
      <c r="D79" s="33" t="n">
        <v>299.64</v>
      </c>
      <c r="E79" s="33" t="n">
        <v>299.64</v>
      </c>
    </row>
    <row r="80" customFormat="false" ht="13.8" hidden="false" customHeight="false" outlineLevel="0" collapsed="false">
      <c r="A80" s="30" t="s">
        <v>198</v>
      </c>
      <c r="B80" s="0" t="n">
        <v>547.417395833334</v>
      </c>
      <c r="C80" s="33" t="n">
        <v>547.417395833334</v>
      </c>
      <c r="D80" s="33" t="n">
        <v>547.417395833334</v>
      </c>
      <c r="E80" s="33" t="n">
        <v>547.417395833334</v>
      </c>
    </row>
    <row r="81" customFormat="false" ht="13.8" hidden="false" customHeight="false" outlineLevel="0" collapsed="false">
      <c r="A81" s="30" t="s">
        <v>199</v>
      </c>
      <c r="B81" s="0" t="n">
        <v>1183.11879166667</v>
      </c>
      <c r="C81" s="33" t="n">
        <v>1183.11879166667</v>
      </c>
      <c r="D81" s="33" t="n">
        <v>1183.11879166667</v>
      </c>
      <c r="E81" s="33" t="n">
        <v>1183.11879166667</v>
      </c>
    </row>
    <row r="82" customFormat="false" ht="13.8" hidden="false" customHeight="false" outlineLevel="0" collapsed="false">
      <c r="A82" s="30" t="s">
        <v>200</v>
      </c>
      <c r="B82" s="0" t="n">
        <v>1319.23259090909</v>
      </c>
      <c r="C82" s="33" t="n">
        <v>1319.23259090909</v>
      </c>
      <c r="D82" s="33" t="n">
        <v>1319.23259090909</v>
      </c>
      <c r="E82" s="33" t="n">
        <v>1319.23259090909</v>
      </c>
    </row>
    <row r="83" customFormat="false" ht="13.8" hidden="false" customHeight="false" outlineLevel="0" collapsed="false">
      <c r="A83" s="30" t="s">
        <v>201</v>
      </c>
      <c r="B83" s="0" t="n">
        <v>25.8948333333333</v>
      </c>
      <c r="C83" s="33" t="n">
        <v>25.8948333333333</v>
      </c>
      <c r="D83" s="33" t="n">
        <v>25.8948333333333</v>
      </c>
      <c r="E83" s="33" t="n">
        <v>25.8948333333333</v>
      </c>
    </row>
    <row r="84" customFormat="false" ht="13.8" hidden="false" customHeight="false" outlineLevel="0" collapsed="false">
      <c r="A84" s="30" t="s">
        <v>202</v>
      </c>
      <c r="B84" s="0" t="n">
        <v>883.215136363636</v>
      </c>
      <c r="C84" s="33" t="n">
        <v>883.215136363636</v>
      </c>
      <c r="D84" s="33" t="n">
        <v>883.215136363636</v>
      </c>
      <c r="E84" s="33" t="n">
        <v>883.215136363636</v>
      </c>
    </row>
    <row r="85" customFormat="false" ht="13.8" hidden="false" customHeight="false" outlineLevel="0" collapsed="false">
      <c r="A85" s="30" t="s">
        <v>203</v>
      </c>
      <c r="B85" s="0" t="n">
        <v>14421.8437916667</v>
      </c>
      <c r="C85" s="33" t="n">
        <v>14421.8437916667</v>
      </c>
      <c r="D85" s="33" t="n">
        <v>14421.8437916667</v>
      </c>
      <c r="E85" s="33" t="n">
        <v>14421.8437916667</v>
      </c>
    </row>
    <row r="86" customFormat="false" ht="13.8" hidden="false" customHeight="false" outlineLevel="0" collapsed="false">
      <c r="A86" s="30" t="s">
        <v>204</v>
      </c>
      <c r="B86" s="0" t="n">
        <v>6883.84666666667</v>
      </c>
      <c r="C86" s="33" t="n">
        <v>6883.84666666667</v>
      </c>
      <c r="D86" s="33" t="n">
        <v>6883.84666666667</v>
      </c>
      <c r="E86" s="33" t="n">
        <v>6883.84666666667</v>
      </c>
    </row>
    <row r="87" customFormat="false" ht="13.8" hidden="false" customHeight="false" outlineLevel="0" collapsed="false">
      <c r="A87" s="30" t="s">
        <v>205</v>
      </c>
      <c r="B87" s="0" t="n">
        <v>6150.2840625</v>
      </c>
      <c r="C87" s="33" t="n">
        <v>6150.2840625</v>
      </c>
      <c r="D87" s="33" t="n">
        <v>6150.2840625</v>
      </c>
      <c r="E87" s="33" t="n">
        <v>6150.2840625</v>
      </c>
    </row>
    <row r="88" customFormat="false" ht="13.8" hidden="false" customHeight="false" outlineLevel="0" collapsed="false">
      <c r="A88" s="30" t="s">
        <v>206</v>
      </c>
      <c r="B88" s="0" t="n">
        <v>166.3475</v>
      </c>
      <c r="C88" s="33" t="n">
        <v>166.3475</v>
      </c>
      <c r="D88" s="33" t="n">
        <v>166.3475</v>
      </c>
      <c r="E88" s="33" t="n">
        <v>166.3475</v>
      </c>
    </row>
    <row r="89" customFormat="false" ht="13.8" hidden="false" customHeight="false" outlineLevel="0" collapsed="false">
      <c r="A89" s="30" t="s">
        <v>207</v>
      </c>
      <c r="B89" s="0" t="n">
        <v>12608.9459166667</v>
      </c>
      <c r="C89" s="33" t="n">
        <v>12608.9459166667</v>
      </c>
      <c r="D89" s="33" t="n">
        <v>12608.9459166667</v>
      </c>
      <c r="E89" s="33" t="n">
        <v>12608.9459166667</v>
      </c>
    </row>
    <row r="90" customFormat="false" ht="13.8" hidden="false" customHeight="false" outlineLevel="0" collapsed="false">
      <c r="A90" s="30" t="s">
        <v>208</v>
      </c>
      <c r="B90" s="0" t="n">
        <v>33152.7389791667</v>
      </c>
      <c r="C90" s="33" t="n">
        <v>33152.7389791667</v>
      </c>
      <c r="D90" s="33" t="n">
        <v>33152.7389791667</v>
      </c>
      <c r="E90" s="33" t="n">
        <v>33152.7389791667</v>
      </c>
    </row>
    <row r="91" customFormat="false" ht="13.8" hidden="false" customHeight="false" outlineLevel="0" collapsed="false">
      <c r="A91" s="30" t="s">
        <v>209</v>
      </c>
      <c r="B91" s="0" t="n">
        <v>23427.7009166667</v>
      </c>
      <c r="C91" s="33" t="n">
        <v>23427.7009166667</v>
      </c>
      <c r="D91" s="33" t="n">
        <v>23427.7009166667</v>
      </c>
      <c r="E91" s="33" t="n">
        <v>23427.7009166667</v>
      </c>
    </row>
    <row r="92" customFormat="false" ht="13.8" hidden="false" customHeight="false" outlineLevel="0" collapsed="false">
      <c r="A92" s="30" t="s">
        <v>210</v>
      </c>
      <c r="B92" s="0" t="n">
        <v>3976.95272727273</v>
      </c>
      <c r="C92" s="33" t="n">
        <v>3976.95272727273</v>
      </c>
      <c r="D92" s="33" t="n">
        <v>3976.95272727273</v>
      </c>
      <c r="E92" s="33" t="n">
        <v>3976.95272727273</v>
      </c>
    </row>
    <row r="93" customFormat="false" ht="13.8" hidden="false" customHeight="false" outlineLevel="0" collapsed="false">
      <c r="A93" s="30" t="s">
        <v>211</v>
      </c>
      <c r="B93" s="0" t="n">
        <v>3159.16420833333</v>
      </c>
      <c r="C93" s="33" t="n">
        <v>3159.16420833333</v>
      </c>
      <c r="D93" s="33" t="n">
        <v>3159.16420833333</v>
      </c>
      <c r="E93" s="33" t="n">
        <v>3159.16420833333</v>
      </c>
    </row>
    <row r="94" customFormat="false" ht="13.8" hidden="false" customHeight="false" outlineLevel="0" collapsed="false">
      <c r="A94" s="30" t="s">
        <v>212</v>
      </c>
      <c r="B94" s="0" t="n">
        <v>4153.14883333333</v>
      </c>
      <c r="C94" s="33" t="n">
        <v>4153.14883333333</v>
      </c>
      <c r="D94" s="33" t="n">
        <v>4153.14883333333</v>
      </c>
      <c r="E94" s="33" t="n">
        <v>4153.14883333333</v>
      </c>
    </row>
    <row r="95" customFormat="false" ht="13.8" hidden="false" customHeight="false" outlineLevel="0" collapsed="false">
      <c r="A95" s="30" t="s">
        <v>213</v>
      </c>
      <c r="B95" s="0" t="n">
        <v>4208.33404166667</v>
      </c>
      <c r="C95" s="33" t="n">
        <v>4208.33404166667</v>
      </c>
      <c r="D95" s="33" t="n">
        <v>4208.33404166667</v>
      </c>
      <c r="E95" s="33" t="n">
        <v>4208.33404166667</v>
      </c>
    </row>
    <row r="96" customFormat="false" ht="13.8" hidden="false" customHeight="false" outlineLevel="0" collapsed="false">
      <c r="A96" s="30" t="s">
        <v>214</v>
      </c>
      <c r="B96" s="0" t="n">
        <v>1038.75</v>
      </c>
      <c r="C96" s="33" t="n">
        <v>1038.75</v>
      </c>
      <c r="D96" s="33" t="n">
        <v>1038.75</v>
      </c>
      <c r="E96" s="33" t="n">
        <v>1038.75</v>
      </c>
    </row>
    <row r="97" customFormat="false" ht="13.8" hidden="false" customHeight="false" outlineLevel="0" collapsed="false">
      <c r="A97" s="30" t="s">
        <v>215</v>
      </c>
      <c r="B97" s="0" t="n">
        <v>150</v>
      </c>
      <c r="C97" s="33" t="n">
        <v>150</v>
      </c>
      <c r="D97" s="33" t="n">
        <v>150</v>
      </c>
      <c r="E97" s="33" t="n">
        <v>150</v>
      </c>
    </row>
    <row r="98" customFormat="false" ht="13.8" hidden="false" customHeight="false" outlineLevel="0" collapsed="false">
      <c r="A98" s="30" t="s">
        <v>216</v>
      </c>
      <c r="B98" s="0" t="n">
        <v>1.25</v>
      </c>
      <c r="C98" s="33" t="n">
        <v>1.25</v>
      </c>
      <c r="D98" s="33" t="n">
        <v>1.25</v>
      </c>
      <c r="E98" s="33" t="n">
        <v>1.25</v>
      </c>
    </row>
    <row r="99" customFormat="false" ht="13.8" hidden="false" customHeight="false" outlineLevel="0" collapsed="false">
      <c r="A99" s="30" t="s">
        <v>217</v>
      </c>
      <c r="B99" s="0" t="n">
        <v>0.5</v>
      </c>
      <c r="C99" s="33" t="n">
        <v>0.5</v>
      </c>
      <c r="D99" s="33" t="n">
        <v>0.5</v>
      </c>
      <c r="E99" s="33" t="n">
        <v>0.5</v>
      </c>
    </row>
    <row r="100" customFormat="false" ht="13.8" hidden="false" customHeight="false" outlineLevel="0" collapsed="false">
      <c r="A100" s="30" t="s">
        <v>218</v>
      </c>
      <c r="B100" s="0" t="n">
        <v>630</v>
      </c>
      <c r="C100" s="33" t="n">
        <v>630</v>
      </c>
      <c r="D100" s="33" t="n">
        <v>630</v>
      </c>
      <c r="E100" s="33" t="n">
        <v>630</v>
      </c>
    </row>
    <row r="101" customFormat="false" ht="13.8" hidden="false" customHeight="false" outlineLevel="0" collapsed="false">
      <c r="A101" s="30" t="s">
        <v>219</v>
      </c>
      <c r="B101" s="0" t="n">
        <v>2.5</v>
      </c>
      <c r="C101" s="33" t="n">
        <v>2.5</v>
      </c>
      <c r="D101" s="33" t="n">
        <v>2.5</v>
      </c>
      <c r="E101" s="33" t="n">
        <v>2.5</v>
      </c>
    </row>
    <row r="102" customFormat="false" ht="13.8" hidden="false" customHeight="false" outlineLevel="0" collapsed="false">
      <c r="A102" s="30" t="s">
        <v>220</v>
      </c>
      <c r="B102" s="0" t="n">
        <v>16.1277272727273</v>
      </c>
      <c r="C102" s="33" t="n">
        <v>16.1277272727273</v>
      </c>
      <c r="D102" s="33" t="n">
        <v>16.1277272727273</v>
      </c>
      <c r="E102" s="33" t="n">
        <v>16.1277272727273</v>
      </c>
    </row>
    <row r="103" customFormat="false" ht="13.8" hidden="false" customHeight="false" outlineLevel="0" collapsed="false">
      <c r="A103" s="30" t="s">
        <v>221</v>
      </c>
      <c r="B103" s="0" t="n">
        <v>75.6261363636364</v>
      </c>
      <c r="C103" s="33" t="n">
        <v>75.6261363636364</v>
      </c>
      <c r="D103" s="33" t="n">
        <v>75.6261363636364</v>
      </c>
      <c r="E103" s="33" t="n">
        <v>75.6261363636364</v>
      </c>
    </row>
    <row r="104" customFormat="false" ht="13.8" hidden="false" customHeight="false" outlineLevel="0" collapsed="false">
      <c r="A104" s="30" t="s">
        <v>222</v>
      </c>
      <c r="B104" s="0" t="n">
        <v>0.555</v>
      </c>
      <c r="C104" s="33" t="n">
        <v>0.555</v>
      </c>
      <c r="D104" s="33" t="n">
        <v>0.555</v>
      </c>
      <c r="E104" s="33" t="n">
        <v>0.555</v>
      </c>
    </row>
    <row r="105" customFormat="false" ht="13.8" hidden="false" customHeight="false" outlineLevel="0" collapsed="false">
      <c r="A105" s="30" t="s">
        <v>223</v>
      </c>
      <c r="B105" s="0" t="n">
        <v>0.5325</v>
      </c>
      <c r="C105" s="33" t="n">
        <v>0.5325</v>
      </c>
      <c r="D105" s="33" t="n">
        <v>0.5325</v>
      </c>
      <c r="E105" s="33" t="n">
        <v>0.5325</v>
      </c>
    </row>
    <row r="106" customFormat="false" ht="13.8" hidden="false" customHeight="false" outlineLevel="0" collapsed="false">
      <c r="A106" s="32"/>
      <c r="B106" s="33"/>
      <c r="C106" s="33"/>
      <c r="D106" s="33"/>
      <c r="E106" s="33"/>
    </row>
    <row r="107" customFormat="false" ht="13.8" hidden="false" customHeight="false" outlineLevel="0" collapsed="false">
      <c r="A107" s="32"/>
      <c r="B107" s="33"/>
      <c r="C107" s="33"/>
      <c r="D107" s="33"/>
      <c r="E107" s="33"/>
    </row>
    <row r="108" customFormat="false" ht="13.8" hidden="false" customHeight="false" outlineLevel="0" collapsed="false">
      <c r="A108" s="32"/>
      <c r="B108" s="33"/>
      <c r="C108" s="33"/>
      <c r="D108" s="33"/>
      <c r="E108" s="33"/>
    </row>
    <row r="109" customFormat="false" ht="13.8" hidden="false" customHeight="false" outlineLevel="0" collapsed="false">
      <c r="A109" s="32"/>
      <c r="B109" s="33"/>
      <c r="C109" s="33"/>
      <c r="D109" s="33"/>
      <c r="E109" s="33"/>
    </row>
    <row r="110" customFormat="false" ht="13.8" hidden="false" customHeight="false" outlineLevel="0" collapsed="false">
      <c r="A110" s="32"/>
      <c r="B110" s="33"/>
      <c r="C110" s="33"/>
      <c r="D110" s="33"/>
      <c r="E110" s="33"/>
    </row>
    <row r="111" customFormat="false" ht="13.8" hidden="false" customHeight="false" outlineLevel="0" collapsed="false">
      <c r="A111" s="32"/>
      <c r="B111" s="33"/>
      <c r="C111" s="33"/>
      <c r="D111" s="33"/>
      <c r="E111" s="33"/>
    </row>
    <row r="112" customFormat="false" ht="13.8" hidden="false" customHeight="false" outlineLevel="0" collapsed="false">
      <c r="A112" s="32"/>
      <c r="B112" s="33"/>
      <c r="C112" s="33"/>
      <c r="D112" s="33"/>
      <c r="E112" s="33"/>
    </row>
    <row r="113" customFormat="false" ht="13.8" hidden="false" customHeight="false" outlineLevel="0" collapsed="false">
      <c r="A113" s="32"/>
      <c r="B113" s="33"/>
      <c r="C113" s="33"/>
      <c r="D113" s="33"/>
      <c r="E113" s="33"/>
    </row>
    <row r="114" customFormat="false" ht="13.8" hidden="false" customHeight="false" outlineLevel="0" collapsed="false">
      <c r="A114" s="32"/>
      <c r="B114" s="33"/>
      <c r="C114" s="33"/>
      <c r="D114" s="33"/>
      <c r="E114" s="33"/>
    </row>
    <row r="115" customFormat="false" ht="13.8" hidden="false" customHeight="false" outlineLevel="0" collapsed="false">
      <c r="A115" s="32"/>
      <c r="B115" s="33"/>
      <c r="C115" s="33"/>
      <c r="D115" s="33"/>
      <c r="E115" s="33"/>
    </row>
    <row r="116" customFormat="false" ht="13.8" hidden="false" customHeight="false" outlineLevel="0" collapsed="false">
      <c r="A116" s="32"/>
      <c r="B116" s="33"/>
      <c r="C116" s="33"/>
      <c r="D116" s="33"/>
      <c r="E116" s="33"/>
    </row>
    <row r="117" customFormat="false" ht="13.8" hidden="false" customHeight="false" outlineLevel="0" collapsed="false">
      <c r="A117" s="32"/>
      <c r="B117" s="33"/>
      <c r="C117" s="33"/>
      <c r="D117" s="33"/>
      <c r="E117" s="33"/>
    </row>
    <row r="118" customFormat="false" ht="13.8" hidden="false" customHeight="false" outlineLevel="0" collapsed="false">
      <c r="A118" s="32"/>
      <c r="B118" s="33"/>
      <c r="C118" s="33"/>
      <c r="D118" s="33"/>
      <c r="E118" s="33"/>
    </row>
    <row r="119" customFormat="false" ht="13.8" hidden="false" customHeight="false" outlineLevel="0" collapsed="false">
      <c r="A119" s="32"/>
      <c r="B119" s="33"/>
      <c r="C119" s="33"/>
      <c r="D119" s="33"/>
      <c r="E119" s="33"/>
    </row>
    <row r="120" customFormat="false" ht="13.8" hidden="false" customHeight="false" outlineLevel="0" collapsed="false">
      <c r="A120" s="32"/>
      <c r="B120" s="33"/>
      <c r="C120" s="33"/>
      <c r="D120" s="33"/>
      <c r="E120" s="33"/>
    </row>
    <row r="121" customFormat="false" ht="13.8" hidden="false" customHeight="false" outlineLevel="0" collapsed="false">
      <c r="A121" s="32"/>
      <c r="B121" s="33"/>
      <c r="C121" s="33"/>
      <c r="D121" s="33"/>
      <c r="E121" s="33"/>
    </row>
    <row r="122" customFormat="false" ht="13.8" hidden="false" customHeight="false" outlineLevel="0" collapsed="false">
      <c r="A122" s="32"/>
      <c r="B122" s="33"/>
      <c r="C122" s="33"/>
      <c r="D122" s="33"/>
      <c r="E122" s="33"/>
    </row>
    <row r="123" customFormat="false" ht="13.8" hidden="false" customHeight="false" outlineLevel="0" collapsed="false">
      <c r="A123" s="32"/>
      <c r="B123" s="33"/>
      <c r="C123" s="33"/>
      <c r="D123" s="33"/>
      <c r="E123" s="33"/>
    </row>
    <row r="124" customFormat="false" ht="13.8" hidden="false" customHeight="false" outlineLevel="0" collapsed="false">
      <c r="A124" s="32"/>
      <c r="B124" s="33"/>
      <c r="C124" s="33"/>
      <c r="D124" s="33"/>
      <c r="E124" s="33"/>
    </row>
    <row r="125" customFormat="false" ht="13.8" hidden="false" customHeight="false" outlineLevel="0" collapsed="false">
      <c r="A125" s="32"/>
      <c r="B125" s="33"/>
      <c r="C125" s="33"/>
      <c r="D125" s="33"/>
      <c r="E125" s="33"/>
    </row>
    <row r="126" customFormat="false" ht="13.8" hidden="false" customHeight="false" outlineLevel="0" collapsed="false">
      <c r="A126" s="32"/>
      <c r="B126" s="33"/>
      <c r="C126" s="33"/>
      <c r="D126" s="33"/>
      <c r="E126" s="33"/>
    </row>
    <row r="127" customFormat="false" ht="13.8" hidden="false" customHeight="false" outlineLevel="0" collapsed="false">
      <c r="A127" s="32"/>
      <c r="B127" s="33"/>
      <c r="C127" s="33"/>
      <c r="D127" s="33"/>
      <c r="E127" s="33"/>
    </row>
    <row r="128" customFormat="false" ht="13.8" hidden="false" customHeight="false" outlineLevel="0" collapsed="false">
      <c r="A128" s="32"/>
      <c r="B128" s="33"/>
      <c r="C128" s="33"/>
      <c r="D128" s="33"/>
      <c r="E128" s="33"/>
    </row>
    <row r="129" customFormat="false" ht="13.8" hidden="false" customHeight="false" outlineLevel="0" collapsed="false">
      <c r="A129" s="32"/>
      <c r="B129" s="33"/>
      <c r="C129" s="33"/>
      <c r="D129" s="33"/>
      <c r="E129" s="33"/>
    </row>
    <row r="130" customFormat="false" ht="13.8" hidden="false" customHeight="false" outlineLevel="0" collapsed="false">
      <c r="A130" s="32"/>
      <c r="B130" s="33"/>
      <c r="C130" s="33"/>
      <c r="D130" s="33"/>
      <c r="E130" s="33"/>
    </row>
    <row r="131" customFormat="false" ht="13.8" hidden="false" customHeight="false" outlineLevel="0" collapsed="false">
      <c r="A131" s="32"/>
      <c r="B131" s="33"/>
      <c r="C131" s="33"/>
      <c r="D131" s="33"/>
      <c r="E131" s="33"/>
    </row>
    <row r="132" customFormat="false" ht="13.8" hidden="false" customHeight="false" outlineLevel="0" collapsed="false">
      <c r="A132" s="32"/>
      <c r="B132" s="33"/>
      <c r="C132" s="33"/>
      <c r="D132" s="33"/>
      <c r="E132" s="33"/>
    </row>
    <row r="133" customFormat="false" ht="13.8" hidden="false" customHeight="false" outlineLevel="0" collapsed="false">
      <c r="A133" s="32"/>
      <c r="B133" s="33"/>
      <c r="C133" s="33"/>
      <c r="D133" s="33"/>
      <c r="E133" s="33"/>
    </row>
    <row r="134" customFormat="false" ht="13.8" hidden="false" customHeight="false" outlineLevel="0" collapsed="false">
      <c r="A134" s="32"/>
      <c r="B134" s="33"/>
      <c r="C134" s="33"/>
      <c r="D134" s="33"/>
      <c r="E134" s="33"/>
    </row>
    <row r="135" customFormat="false" ht="13.8" hidden="false" customHeight="false" outlineLevel="0" collapsed="false">
      <c r="A135" s="32"/>
      <c r="B135" s="33"/>
      <c r="C135" s="33"/>
      <c r="D135" s="33"/>
      <c r="E135" s="33"/>
    </row>
    <row r="136" customFormat="false" ht="13.8" hidden="false" customHeight="false" outlineLevel="0" collapsed="false">
      <c r="A136" s="32"/>
      <c r="B136" s="33"/>
      <c r="C136" s="33"/>
      <c r="D136" s="33"/>
      <c r="E136" s="33"/>
    </row>
    <row r="137" customFormat="false" ht="13.8" hidden="false" customHeight="false" outlineLevel="0" collapsed="false">
      <c r="A137" s="32"/>
      <c r="B137" s="33"/>
      <c r="C137" s="33"/>
      <c r="D137" s="33"/>
      <c r="E137" s="33"/>
    </row>
    <row r="138" customFormat="false" ht="13.8" hidden="false" customHeight="false" outlineLevel="0" collapsed="false">
      <c r="A138" s="32"/>
      <c r="B138" s="33"/>
      <c r="C138" s="33"/>
      <c r="D138" s="33"/>
      <c r="E138" s="33"/>
    </row>
    <row r="139" customFormat="false" ht="13.8" hidden="false" customHeight="false" outlineLevel="0" collapsed="false">
      <c r="A139" s="32"/>
      <c r="B139" s="33"/>
      <c r="C139" s="33"/>
      <c r="D139" s="33"/>
      <c r="E139" s="33"/>
    </row>
    <row r="140" customFormat="false" ht="13.8" hidden="false" customHeight="false" outlineLevel="0" collapsed="false">
      <c r="A140" s="32"/>
      <c r="B140" s="33"/>
      <c r="C140" s="33"/>
      <c r="D140" s="33"/>
      <c r="E140" s="33"/>
    </row>
    <row r="141" customFormat="false" ht="13.8" hidden="false" customHeight="false" outlineLevel="0" collapsed="false">
      <c r="A141" s="32"/>
      <c r="B141" s="33"/>
      <c r="C141" s="33"/>
      <c r="D141" s="33"/>
      <c r="E141" s="33"/>
    </row>
    <row r="142" customFormat="false" ht="13.8" hidden="false" customHeight="false" outlineLevel="0" collapsed="false">
      <c r="A142" s="32"/>
      <c r="B142" s="33"/>
      <c r="C142" s="33"/>
      <c r="D142" s="33"/>
      <c r="E142" s="33"/>
    </row>
    <row r="143" customFormat="false" ht="13.8" hidden="false" customHeight="false" outlineLevel="0" collapsed="false">
      <c r="A143" s="32"/>
      <c r="B143" s="33"/>
      <c r="C143" s="33"/>
      <c r="D143" s="33"/>
      <c r="E143" s="33"/>
    </row>
    <row r="144" customFormat="false" ht="13.8" hidden="false" customHeight="false" outlineLevel="0" collapsed="false">
      <c r="A144" s="32"/>
      <c r="B144" s="33"/>
      <c r="C144" s="33"/>
      <c r="D144" s="33"/>
      <c r="E144" s="33"/>
    </row>
    <row r="145" customFormat="false" ht="13.8" hidden="false" customHeight="false" outlineLevel="0" collapsed="false">
      <c r="A145" s="32"/>
      <c r="B145" s="33"/>
      <c r="C145" s="33"/>
      <c r="D145" s="33"/>
      <c r="E145" s="33"/>
    </row>
    <row r="146" customFormat="false" ht="13.8" hidden="false" customHeight="false" outlineLevel="0" collapsed="false">
      <c r="A146" s="32"/>
      <c r="B146" s="33"/>
      <c r="C146" s="33"/>
      <c r="D146" s="33"/>
      <c r="E146" s="33"/>
    </row>
    <row r="147" customFormat="false" ht="13.8" hidden="false" customHeight="false" outlineLevel="0" collapsed="false">
      <c r="A147" s="32"/>
      <c r="B147" s="33"/>
      <c r="C147" s="33"/>
      <c r="D147" s="33"/>
      <c r="E147" s="33"/>
    </row>
    <row r="148" customFormat="false" ht="13.8" hidden="false" customHeight="false" outlineLevel="0" collapsed="false">
      <c r="A148" s="32"/>
      <c r="B148" s="33"/>
      <c r="C148" s="33"/>
      <c r="D148" s="33"/>
      <c r="E148" s="33"/>
    </row>
    <row r="149" customFormat="false" ht="13.8" hidden="false" customHeight="false" outlineLevel="0" collapsed="false">
      <c r="A149" s="32"/>
      <c r="B149" s="33"/>
      <c r="C149" s="33"/>
      <c r="D149" s="33"/>
      <c r="E149" s="33"/>
    </row>
    <row r="150" customFormat="false" ht="13.8" hidden="false" customHeight="false" outlineLevel="0" collapsed="false">
      <c r="A150" s="32"/>
      <c r="B150" s="33"/>
      <c r="C150" s="33"/>
      <c r="D150" s="33"/>
      <c r="E150" s="33"/>
    </row>
    <row r="151" customFormat="false" ht="13.8" hidden="false" customHeight="false" outlineLevel="0" collapsed="false">
      <c r="A151" s="32"/>
      <c r="B151" s="33"/>
      <c r="C151" s="33"/>
      <c r="D151" s="33"/>
      <c r="E151" s="33"/>
    </row>
    <row r="152" customFormat="false" ht="13.8" hidden="false" customHeight="false" outlineLevel="0" collapsed="false">
      <c r="A152" s="32"/>
      <c r="B152" s="33"/>
      <c r="C152" s="33"/>
      <c r="D152" s="33"/>
      <c r="E152" s="33"/>
    </row>
    <row r="153" customFormat="false" ht="13.8" hidden="false" customHeight="false" outlineLevel="0" collapsed="false">
      <c r="A153" s="32"/>
      <c r="B153" s="33"/>
      <c r="C153" s="33"/>
      <c r="D153" s="33"/>
      <c r="E153" s="33"/>
    </row>
    <row r="154" customFormat="false" ht="13.8" hidden="false" customHeight="false" outlineLevel="0" collapsed="false">
      <c r="A154" s="32"/>
      <c r="B154" s="33"/>
      <c r="C154" s="33"/>
      <c r="D154" s="33"/>
      <c r="E154" s="33"/>
    </row>
    <row r="155" customFormat="false" ht="13.8" hidden="false" customHeight="false" outlineLevel="0" collapsed="false">
      <c r="A155" s="32"/>
      <c r="B155" s="33"/>
      <c r="C155" s="33"/>
      <c r="D155" s="33"/>
      <c r="E155" s="33"/>
    </row>
    <row r="156" customFormat="false" ht="13.8" hidden="false" customHeight="false" outlineLevel="0" collapsed="false">
      <c r="A156" s="32"/>
      <c r="B156" s="33"/>
      <c r="C156" s="33"/>
      <c r="D156" s="33"/>
      <c r="E156" s="33"/>
    </row>
    <row r="157" customFormat="false" ht="13.8" hidden="false" customHeight="false" outlineLevel="0" collapsed="false">
      <c r="A157" s="32"/>
      <c r="B157" s="33"/>
      <c r="C157" s="33"/>
      <c r="D157" s="33"/>
      <c r="E157" s="33"/>
    </row>
    <row r="158" customFormat="false" ht="13.8" hidden="false" customHeight="false" outlineLevel="0" collapsed="false">
      <c r="A158" s="32"/>
      <c r="B158" s="33"/>
      <c r="C158" s="33"/>
      <c r="D158" s="33"/>
      <c r="E158" s="33"/>
    </row>
    <row r="159" customFormat="false" ht="13.8" hidden="false" customHeight="false" outlineLevel="0" collapsed="false">
      <c r="A159" s="32"/>
      <c r="B159" s="33"/>
      <c r="C159" s="33"/>
      <c r="D159" s="33"/>
      <c r="E159" s="33"/>
    </row>
    <row r="160" customFormat="false" ht="13.8" hidden="false" customHeight="false" outlineLevel="0" collapsed="false">
      <c r="A160" s="32"/>
      <c r="B160" s="33"/>
      <c r="C160" s="33"/>
      <c r="D160" s="33"/>
      <c r="E160" s="33"/>
    </row>
    <row r="161" customFormat="false" ht="13.8" hidden="false" customHeight="false" outlineLevel="0" collapsed="false">
      <c r="A161" s="32"/>
      <c r="B161" s="33"/>
      <c r="C161" s="33"/>
      <c r="D161" s="33"/>
      <c r="E161" s="33"/>
    </row>
    <row r="162" customFormat="false" ht="13.8" hidden="false" customHeight="false" outlineLevel="0" collapsed="false">
      <c r="A162" s="32"/>
      <c r="B162" s="33"/>
      <c r="C162" s="33"/>
      <c r="D162" s="33"/>
      <c r="E162" s="33"/>
    </row>
    <row r="163" customFormat="false" ht="13.8" hidden="false" customHeight="false" outlineLevel="0" collapsed="false">
      <c r="A163" s="32"/>
      <c r="B163" s="33"/>
      <c r="C163" s="33"/>
      <c r="D163" s="33"/>
      <c r="E163" s="33"/>
    </row>
    <row r="164" customFormat="false" ht="13.8" hidden="false" customHeight="false" outlineLevel="0" collapsed="false">
      <c r="A164" s="32"/>
      <c r="B164" s="33"/>
      <c r="C164" s="33"/>
      <c r="D164" s="33"/>
      <c r="E164" s="33"/>
    </row>
    <row r="165" customFormat="false" ht="13.8" hidden="false" customHeight="false" outlineLevel="0" collapsed="false">
      <c r="A165" s="32"/>
      <c r="B165" s="33"/>
      <c r="C165" s="33"/>
      <c r="D165" s="33"/>
      <c r="E165" s="33"/>
    </row>
    <row r="166" customFormat="false" ht="13.8" hidden="false" customHeight="false" outlineLevel="0" collapsed="false">
      <c r="A166" s="32"/>
      <c r="B166" s="33"/>
      <c r="C166" s="33"/>
      <c r="D166" s="33"/>
      <c r="E166" s="33"/>
    </row>
    <row r="167" customFormat="false" ht="13.8" hidden="false" customHeight="false" outlineLevel="0" collapsed="false">
      <c r="C167" s="33"/>
      <c r="D167" s="33"/>
      <c r="E167" s="33"/>
    </row>
    <row r="168" customFormat="false" ht="13.8" hidden="false" customHeight="false" outlineLevel="0" collapsed="false">
      <c r="C168" s="33"/>
      <c r="D168" s="33"/>
      <c r="E168" s="33"/>
    </row>
    <row r="169" customFormat="false" ht="13.8" hidden="false" customHeight="false" outlineLevel="0" collapsed="false">
      <c r="C169" s="33"/>
      <c r="D169" s="33"/>
      <c r="E169" s="33"/>
    </row>
  </sheetData>
  <autoFilter ref="A1:F169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K20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2" activeCellId="0" sqref="F2"/>
    </sheetView>
  </sheetViews>
  <sheetFormatPr defaultRowHeight="13.8"/>
  <cols>
    <col collapsed="false" hidden="false" max="1" min="1" style="0" width="19.9230769230769"/>
    <col collapsed="false" hidden="false" max="6" min="2" style="0" width="8.03238866396761"/>
    <col collapsed="false" hidden="false" max="1025" min="7" style="0" width="8.57085020242915"/>
  </cols>
  <sheetData>
    <row r="1" customFormat="false" ht="13.8" hidden="false" customHeight="false" outlineLevel="0" collapsed="false">
      <c r="A1" s="27" t="s">
        <v>119</v>
      </c>
      <c r="B1" s="27" t="n">
        <v>1</v>
      </c>
      <c r="C1" s="27" t="n">
        <v>2</v>
      </c>
      <c r="D1" s="27" t="n">
        <v>3</v>
      </c>
      <c r="E1" s="27" t="n">
        <v>4</v>
      </c>
      <c r="K1" s="29" t="s">
        <v>224</v>
      </c>
    </row>
    <row r="2" customFormat="false" ht="13.8" hidden="false" customHeight="false" outlineLevel="0" collapsed="false">
      <c r="A2" s="30" t="s">
        <v>225</v>
      </c>
      <c r="B2" s="0" t="n">
        <v>162.555833333333</v>
      </c>
      <c r="C2" s="37" t="n">
        <v>162.555833333333</v>
      </c>
      <c r="D2" s="37" t="n">
        <v>162.555833333333</v>
      </c>
      <c r="E2" s="37" t="n">
        <v>162.555833333333</v>
      </c>
      <c r="G2" s="30"/>
    </row>
    <row r="3" customFormat="false" ht="13.8" hidden="false" customHeight="false" outlineLevel="0" collapsed="false">
      <c r="A3" s="30" t="s">
        <v>226</v>
      </c>
      <c r="B3" s="0" t="n">
        <v>2174.03479166667</v>
      </c>
      <c r="C3" s="37" t="n">
        <v>2174.03479166667</v>
      </c>
      <c r="D3" s="37" t="n">
        <v>2174.03479166667</v>
      </c>
      <c r="E3" s="37" t="n">
        <v>2174.03479166667</v>
      </c>
      <c r="G3" s="30"/>
    </row>
    <row r="4" customFormat="false" ht="13.8" hidden="false" customHeight="false" outlineLevel="0" collapsed="false">
      <c r="A4" s="30" t="s">
        <v>227</v>
      </c>
      <c r="B4" s="0" t="n">
        <v>463.508395833333</v>
      </c>
      <c r="C4" s="37" t="n">
        <v>463.508395833333</v>
      </c>
      <c r="D4" s="37" t="n">
        <v>463.508395833333</v>
      </c>
      <c r="E4" s="37" t="n">
        <v>463.508395833333</v>
      </c>
      <c r="G4" s="30"/>
    </row>
    <row r="5" customFormat="false" ht="13.8" hidden="false" customHeight="false" outlineLevel="0" collapsed="false">
      <c r="A5" s="30" t="s">
        <v>228</v>
      </c>
      <c r="B5" s="0" t="n">
        <v>470.160145833333</v>
      </c>
      <c r="C5" s="37" t="n">
        <v>470.160145833333</v>
      </c>
      <c r="D5" s="37" t="n">
        <v>470.160145833333</v>
      </c>
      <c r="E5" s="37" t="n">
        <v>470.160145833333</v>
      </c>
      <c r="G5" s="30"/>
    </row>
    <row r="6" customFormat="false" ht="13.8" hidden="false" customHeight="false" outlineLevel="0" collapsed="false">
      <c r="A6" s="30" t="s">
        <v>229</v>
      </c>
      <c r="B6" s="0" t="n">
        <v>1255.82164583333</v>
      </c>
      <c r="C6" s="37" t="n">
        <v>1255.82164583333</v>
      </c>
      <c r="D6" s="37" t="n">
        <v>1255.82164583333</v>
      </c>
      <c r="E6" s="37" t="n">
        <v>1255.82164583333</v>
      </c>
      <c r="G6" s="30"/>
    </row>
    <row r="7" customFormat="false" ht="13.8" hidden="false" customHeight="false" outlineLevel="0" collapsed="false">
      <c r="A7" s="30" t="s">
        <v>230</v>
      </c>
      <c r="B7" s="0" t="n">
        <v>34.7416666666667</v>
      </c>
      <c r="C7" s="37" t="n">
        <v>34.7416666666667</v>
      </c>
      <c r="D7" s="37" t="n">
        <v>34.7416666666667</v>
      </c>
      <c r="E7" s="37" t="n">
        <v>34.7416666666667</v>
      </c>
      <c r="G7" s="30"/>
    </row>
    <row r="8" customFormat="false" ht="13.8" hidden="false" customHeight="false" outlineLevel="0" collapsed="false">
      <c r="A8" s="30" t="s">
        <v>231</v>
      </c>
      <c r="B8" s="0" t="n">
        <v>540.468958333333</v>
      </c>
      <c r="C8" s="37" t="n">
        <v>540.468958333333</v>
      </c>
      <c r="D8" s="37" t="n">
        <v>540.468958333333</v>
      </c>
      <c r="E8" s="37" t="n">
        <v>540.468958333333</v>
      </c>
      <c r="G8" s="30"/>
    </row>
    <row r="9" customFormat="false" ht="13.8" hidden="false" customHeight="false" outlineLevel="0" collapsed="false">
      <c r="A9" s="30" t="s">
        <v>232</v>
      </c>
      <c r="B9" s="0" t="n">
        <v>283.541340909091</v>
      </c>
      <c r="C9" s="37" t="n">
        <v>283.541340909091</v>
      </c>
      <c r="D9" s="37" t="n">
        <v>283.541340909091</v>
      </c>
      <c r="E9" s="37" t="n">
        <v>283.541340909091</v>
      </c>
      <c r="G9" s="30"/>
    </row>
    <row r="10" customFormat="false" ht="13.8" hidden="false" customHeight="false" outlineLevel="0" collapsed="false">
      <c r="A10" s="30" t="s">
        <v>233</v>
      </c>
      <c r="B10" s="0" t="n">
        <v>4005.01047916667</v>
      </c>
      <c r="C10" s="37" t="n">
        <v>4005.01047916667</v>
      </c>
      <c r="D10" s="37" t="n">
        <v>4005.01047916667</v>
      </c>
      <c r="E10" s="37" t="n">
        <v>4005.01047916667</v>
      </c>
      <c r="G10" s="30"/>
    </row>
    <row r="11" customFormat="false" ht="13.8" hidden="false" customHeight="false" outlineLevel="0" collapsed="false">
      <c r="A11" s="30" t="s">
        <v>234</v>
      </c>
      <c r="B11" s="0" t="n">
        <v>521.3325</v>
      </c>
      <c r="C11" s="37" t="n">
        <v>521.3325</v>
      </c>
      <c r="D11" s="37" t="n">
        <v>521.3325</v>
      </c>
      <c r="E11" s="37" t="n">
        <v>521.3325</v>
      </c>
      <c r="G11" s="30"/>
    </row>
    <row r="12" customFormat="false" ht="13.8" hidden="false" customHeight="false" outlineLevel="0" collapsed="false">
      <c r="A12" s="30" t="s">
        <v>235</v>
      </c>
      <c r="B12" s="0" t="n">
        <v>673.107464285714</v>
      </c>
      <c r="C12" s="37" t="n">
        <v>673.107464285714</v>
      </c>
      <c r="D12" s="37" t="n">
        <v>673.107464285714</v>
      </c>
      <c r="E12" s="37" t="n">
        <v>673.107464285714</v>
      </c>
      <c r="G12" s="30"/>
    </row>
    <row r="13" customFormat="false" ht="13.8" hidden="false" customHeight="false" outlineLevel="0" collapsed="false">
      <c r="A13" s="30" t="s">
        <v>236</v>
      </c>
      <c r="B13" s="0" t="n">
        <v>832.853916666667</v>
      </c>
      <c r="C13" s="37" t="n">
        <v>832.853916666667</v>
      </c>
      <c r="D13" s="37" t="n">
        <v>832.853916666667</v>
      </c>
      <c r="E13" s="37" t="n">
        <v>832.853916666667</v>
      </c>
      <c r="G13" s="30"/>
    </row>
    <row r="14" customFormat="false" ht="13.8" hidden="false" customHeight="false" outlineLevel="0" collapsed="false">
      <c r="A14" s="30" t="s">
        <v>237</v>
      </c>
      <c r="B14" s="0" t="n">
        <v>30.9208571428571</v>
      </c>
      <c r="C14" s="37" t="n">
        <v>30.9208571428571</v>
      </c>
      <c r="D14" s="37" t="n">
        <v>30.9208571428571</v>
      </c>
      <c r="E14" s="37" t="n">
        <v>30.9208571428571</v>
      </c>
      <c r="G14" s="30"/>
    </row>
    <row r="15" customFormat="false" ht="13.8" hidden="false" customHeight="false" outlineLevel="0" collapsed="false">
      <c r="A15" s="30" t="s">
        <v>238</v>
      </c>
      <c r="B15" s="0" t="n">
        <v>507.895</v>
      </c>
      <c r="C15" s="37" t="n">
        <v>507.895</v>
      </c>
      <c r="D15" s="37" t="n">
        <v>507.895</v>
      </c>
      <c r="E15" s="37" t="n">
        <v>507.895</v>
      </c>
      <c r="G15" s="30"/>
    </row>
    <row r="16" customFormat="false" ht="13.8" hidden="false" customHeight="false" outlineLevel="0" collapsed="false">
      <c r="A16" s="30" t="s">
        <v>239</v>
      </c>
      <c r="B16" s="0" t="n">
        <v>142.205386363636</v>
      </c>
      <c r="C16" s="37" t="n">
        <v>142.205386363636</v>
      </c>
      <c r="D16" s="37" t="n">
        <v>142.205386363636</v>
      </c>
      <c r="E16" s="37" t="n">
        <v>142.205386363636</v>
      </c>
      <c r="G16" s="30"/>
    </row>
    <row r="17" customFormat="false" ht="13.8" hidden="false" customHeight="false" outlineLevel="0" collapsed="false">
      <c r="A17" s="30" t="s">
        <v>240</v>
      </c>
      <c r="B17" s="0" t="n">
        <v>634</v>
      </c>
      <c r="C17" s="37" t="n">
        <v>634</v>
      </c>
      <c r="D17" s="37" t="n">
        <v>634</v>
      </c>
      <c r="E17" s="37" t="n">
        <v>634</v>
      </c>
      <c r="G17" s="30"/>
    </row>
    <row r="18" customFormat="false" ht="13.8" hidden="false" customHeight="false" outlineLevel="0" collapsed="false">
      <c r="A18" s="30" t="s">
        <v>241</v>
      </c>
      <c r="B18" s="0" t="n">
        <v>1805.13</v>
      </c>
      <c r="C18" s="37" t="n">
        <v>1805.13</v>
      </c>
      <c r="D18" s="37" t="n">
        <v>1805.13</v>
      </c>
      <c r="E18" s="37" t="n">
        <v>1805.13</v>
      </c>
      <c r="G18" s="30"/>
    </row>
    <row r="19" customFormat="false" ht="13.8" hidden="false" customHeight="false" outlineLevel="0" collapsed="false">
      <c r="A19" s="30" t="s">
        <v>242</v>
      </c>
      <c r="B19" s="0" t="n">
        <v>1090.75</v>
      </c>
      <c r="C19" s="37" t="n">
        <v>1090.75</v>
      </c>
      <c r="D19" s="37" t="n">
        <v>1090.75</v>
      </c>
      <c r="E19" s="37" t="n">
        <v>1090.75</v>
      </c>
      <c r="G19" s="30"/>
    </row>
    <row r="20" customFormat="false" ht="13.8" hidden="false" customHeight="false" outlineLevel="0" collapsed="false">
      <c r="A20" s="30" t="s">
        <v>243</v>
      </c>
      <c r="B20" s="0" t="n">
        <v>1</v>
      </c>
      <c r="C20" s="37" t="n">
        <v>1</v>
      </c>
      <c r="D20" s="37" t="n">
        <v>1</v>
      </c>
      <c r="E20" s="37" t="n">
        <v>1</v>
      </c>
      <c r="G20" s="30"/>
    </row>
    <row r="21" customFormat="false" ht="13.8" hidden="false" customHeight="false" outlineLevel="0" collapsed="false">
      <c r="A21" s="30" t="s">
        <v>244</v>
      </c>
      <c r="B21" s="0" t="n">
        <v>2421.25610416667</v>
      </c>
      <c r="C21" s="37" t="n">
        <v>2421.25610416667</v>
      </c>
      <c r="D21" s="37" t="n">
        <v>2421.25610416667</v>
      </c>
      <c r="E21" s="37" t="n">
        <v>2421.25610416667</v>
      </c>
      <c r="G21" s="30"/>
    </row>
    <row r="22" customFormat="false" ht="13.8" hidden="false" customHeight="false" outlineLevel="0" collapsed="false">
      <c r="A22" s="30" t="s">
        <v>245</v>
      </c>
      <c r="B22" s="0" t="n">
        <v>340.5980625</v>
      </c>
      <c r="C22" s="37" t="n">
        <v>340.5980625</v>
      </c>
      <c r="D22" s="37" t="n">
        <v>340.5980625</v>
      </c>
      <c r="E22" s="37" t="n">
        <v>340.5980625</v>
      </c>
      <c r="G22" s="30"/>
    </row>
    <row r="23" customFormat="false" ht="13.8" hidden="false" customHeight="false" outlineLevel="0" collapsed="false">
      <c r="A23" s="30" t="s">
        <v>246</v>
      </c>
      <c r="B23" s="0" t="n">
        <v>1502.4571875</v>
      </c>
      <c r="C23" s="37" t="n">
        <v>1502.4571875</v>
      </c>
      <c r="D23" s="37" t="n">
        <v>1502.4571875</v>
      </c>
      <c r="E23" s="37" t="n">
        <v>1502.4571875</v>
      </c>
      <c r="G23" s="30"/>
    </row>
    <row r="24" customFormat="false" ht="13.8" hidden="false" customHeight="false" outlineLevel="0" collapsed="false">
      <c r="A24" s="30" t="s">
        <v>247</v>
      </c>
      <c r="B24" s="0" t="n">
        <v>4120.21329545455</v>
      </c>
      <c r="C24" s="37" t="n">
        <v>4120.21329545455</v>
      </c>
      <c r="D24" s="37" t="n">
        <v>4120.21329545455</v>
      </c>
      <c r="E24" s="37" t="n">
        <v>4120.21329545455</v>
      </c>
      <c r="G24" s="30"/>
    </row>
    <row r="25" customFormat="false" ht="13.8" hidden="false" customHeight="false" outlineLevel="0" collapsed="false">
      <c r="A25" s="30" t="s">
        <v>248</v>
      </c>
      <c r="B25" s="0" t="n">
        <v>1526.548975</v>
      </c>
      <c r="C25" s="37" t="n">
        <v>1526.548975</v>
      </c>
      <c r="D25" s="37" t="n">
        <v>1526.548975</v>
      </c>
      <c r="E25" s="37" t="n">
        <v>1526.548975</v>
      </c>
      <c r="G25" s="30"/>
    </row>
    <row r="26" customFormat="false" ht="13.8" hidden="false" customHeight="false" outlineLevel="0" collapsed="false">
      <c r="A26" s="30" t="s">
        <v>249</v>
      </c>
      <c r="B26" s="0" t="n">
        <v>2362.54440909091</v>
      </c>
      <c r="C26" s="37" t="n">
        <v>2362.54440909091</v>
      </c>
      <c r="D26" s="37" t="n">
        <v>2362.54440909091</v>
      </c>
      <c r="E26" s="37" t="n">
        <v>2362.54440909091</v>
      </c>
      <c r="G26" s="30"/>
    </row>
    <row r="27" customFormat="false" ht="13.8" hidden="false" customHeight="false" outlineLevel="0" collapsed="false">
      <c r="A27" s="30" t="s">
        <v>250</v>
      </c>
      <c r="B27" s="0" t="n">
        <v>103.51125</v>
      </c>
      <c r="C27" s="37" t="n">
        <v>103.51125</v>
      </c>
      <c r="D27" s="37" t="n">
        <v>103.51125</v>
      </c>
      <c r="E27" s="37" t="n">
        <v>103.51125</v>
      </c>
      <c r="G27" s="30"/>
    </row>
    <row r="28" customFormat="false" ht="13.8" hidden="false" customHeight="false" outlineLevel="0" collapsed="false">
      <c r="A28" s="30" t="s">
        <v>251</v>
      </c>
      <c r="B28" s="0" t="n">
        <v>3706.5085625</v>
      </c>
      <c r="C28" s="37" t="n">
        <v>3706.5085625</v>
      </c>
      <c r="D28" s="37" t="n">
        <v>3706.5085625</v>
      </c>
      <c r="E28" s="37" t="n">
        <v>3706.5085625</v>
      </c>
      <c r="G28" s="30"/>
    </row>
    <row r="29" customFormat="false" ht="13.8" hidden="false" customHeight="false" outlineLevel="0" collapsed="false">
      <c r="A29" s="30" t="s">
        <v>252</v>
      </c>
      <c r="B29" s="0" t="n">
        <v>21.8086363636364</v>
      </c>
      <c r="C29" s="37" t="n">
        <v>21.8086363636364</v>
      </c>
      <c r="D29" s="37" t="n">
        <v>21.8086363636364</v>
      </c>
      <c r="E29" s="37" t="n">
        <v>21.8086363636364</v>
      </c>
      <c r="G29" s="30"/>
    </row>
    <row r="30" customFormat="false" ht="13.8" hidden="false" customHeight="false" outlineLevel="0" collapsed="false">
      <c r="A30" s="30" t="s">
        <v>253</v>
      </c>
      <c r="B30" s="0" t="n">
        <v>2885.53765</v>
      </c>
      <c r="C30" s="37" t="n">
        <v>2885.53765</v>
      </c>
      <c r="D30" s="37" t="n">
        <v>2885.53765</v>
      </c>
      <c r="E30" s="37" t="n">
        <v>2885.53765</v>
      </c>
      <c r="G30" s="30"/>
    </row>
    <row r="31" customFormat="false" ht="13.8" hidden="false" customHeight="false" outlineLevel="0" collapsed="false">
      <c r="A31" s="30" t="s">
        <v>254</v>
      </c>
      <c r="B31" s="0" t="n">
        <v>1.10075</v>
      </c>
      <c r="C31" s="37" t="n">
        <v>1.10075</v>
      </c>
      <c r="D31" s="37" t="n">
        <v>1.10075</v>
      </c>
      <c r="E31" s="37" t="n">
        <v>1.10075</v>
      </c>
      <c r="G31" s="30"/>
    </row>
    <row r="32" customFormat="false" ht="13.8" hidden="false" customHeight="false" outlineLevel="0" collapsed="false">
      <c r="A32" s="30" t="s">
        <v>255</v>
      </c>
      <c r="B32" s="0" t="n">
        <v>10947.1435416667</v>
      </c>
      <c r="C32" s="37" t="n">
        <v>10947.1435416667</v>
      </c>
      <c r="D32" s="37" t="n">
        <v>10947.1435416667</v>
      </c>
      <c r="E32" s="37" t="n">
        <v>10947.1435416667</v>
      </c>
      <c r="G32" s="30"/>
    </row>
    <row r="33" customFormat="false" ht="13.8" hidden="false" customHeight="false" outlineLevel="0" collapsed="false">
      <c r="A33" s="30" t="s">
        <v>256</v>
      </c>
      <c r="B33" s="0" t="n">
        <v>400.684318181818</v>
      </c>
      <c r="C33" s="37" t="n">
        <v>400.684318181818</v>
      </c>
      <c r="D33" s="37" t="n">
        <v>400.684318181818</v>
      </c>
      <c r="E33" s="37" t="n">
        <v>400.684318181818</v>
      </c>
      <c r="G33" s="30"/>
    </row>
    <row r="34" customFormat="false" ht="13.8" hidden="false" customHeight="false" outlineLevel="0" collapsed="false">
      <c r="A34" s="30" t="s">
        <v>257</v>
      </c>
      <c r="B34" s="0" t="n">
        <v>1925.17090909091</v>
      </c>
      <c r="C34" s="37" t="n">
        <v>1925.17090909091</v>
      </c>
      <c r="D34" s="37" t="n">
        <v>1925.17090909091</v>
      </c>
      <c r="E34" s="37" t="n">
        <v>1925.17090909091</v>
      </c>
      <c r="G34" s="30"/>
    </row>
    <row r="35" customFormat="false" ht="13.8" hidden="false" customHeight="false" outlineLevel="0" collapsed="false">
      <c r="A35" s="30" t="s">
        <v>258</v>
      </c>
      <c r="B35" s="0" t="n">
        <v>3503.2879375</v>
      </c>
      <c r="C35" s="37" t="n">
        <v>3503.2879375</v>
      </c>
      <c r="D35" s="37" t="n">
        <v>3503.2879375</v>
      </c>
      <c r="E35" s="37" t="n">
        <v>3503.2879375</v>
      </c>
      <c r="G35" s="30"/>
    </row>
    <row r="36" customFormat="false" ht="13.8" hidden="false" customHeight="false" outlineLevel="0" collapsed="false">
      <c r="A36" s="30" t="s">
        <v>259</v>
      </c>
      <c r="B36" s="0" t="n">
        <v>1094.66672916667</v>
      </c>
      <c r="C36" s="37" t="n">
        <v>1094.66672916667</v>
      </c>
      <c r="D36" s="37" t="n">
        <v>1094.66672916667</v>
      </c>
      <c r="E36" s="37" t="n">
        <v>1094.66672916667</v>
      </c>
      <c r="G36" s="30"/>
    </row>
    <row r="37" customFormat="false" ht="13.8" hidden="false" customHeight="false" outlineLevel="0" collapsed="false">
      <c r="A37" s="30" t="s">
        <v>260</v>
      </c>
      <c r="B37" s="0" t="n">
        <v>1445.57147916667</v>
      </c>
      <c r="C37" s="37" t="n">
        <v>1445.57147916667</v>
      </c>
      <c r="D37" s="37" t="n">
        <v>1445.57147916667</v>
      </c>
      <c r="E37" s="37" t="n">
        <v>1445.57147916667</v>
      </c>
      <c r="G37" s="30"/>
    </row>
    <row r="38" customFormat="false" ht="13.8" hidden="false" customHeight="false" outlineLevel="0" collapsed="false">
      <c r="A38" s="30" t="s">
        <v>261</v>
      </c>
      <c r="B38" s="0" t="n">
        <v>71.459</v>
      </c>
      <c r="C38" s="37" t="n">
        <v>71.459</v>
      </c>
      <c r="D38" s="37" t="n">
        <v>71.459</v>
      </c>
      <c r="E38" s="37" t="n">
        <v>71.459</v>
      </c>
      <c r="G38" s="30"/>
    </row>
    <row r="39" customFormat="false" ht="13.8" hidden="false" customHeight="false" outlineLevel="0" collapsed="false">
      <c r="A39" s="30" t="s">
        <v>262</v>
      </c>
      <c r="B39" s="0" t="n">
        <v>39.6959090909091</v>
      </c>
      <c r="C39" s="37" t="n">
        <v>39.6959090909091</v>
      </c>
      <c r="D39" s="37" t="n">
        <v>39.6959090909091</v>
      </c>
      <c r="E39" s="37" t="n">
        <v>39.6959090909091</v>
      </c>
      <c r="G39" s="30"/>
    </row>
    <row r="40" customFormat="false" ht="13.8" hidden="false" customHeight="false" outlineLevel="0" collapsed="false">
      <c r="A40" s="30" t="s">
        <v>263</v>
      </c>
      <c r="B40" s="0" t="n">
        <v>361.65028125</v>
      </c>
      <c r="C40" s="37" t="n">
        <v>361.65028125</v>
      </c>
      <c r="D40" s="37" t="n">
        <v>361.65028125</v>
      </c>
      <c r="E40" s="37" t="n">
        <v>361.65028125</v>
      </c>
      <c r="G40" s="30"/>
    </row>
    <row r="41" customFormat="false" ht="13.8" hidden="false" customHeight="false" outlineLevel="0" collapsed="false">
      <c r="A41" s="30" t="s">
        <v>264</v>
      </c>
      <c r="B41" s="0" t="n">
        <v>578.9785</v>
      </c>
      <c r="C41" s="37" t="n">
        <v>578.9785</v>
      </c>
      <c r="D41" s="37" t="n">
        <v>578.9785</v>
      </c>
      <c r="E41" s="37" t="n">
        <v>578.9785</v>
      </c>
      <c r="G41" s="30"/>
    </row>
    <row r="42" customFormat="false" ht="13.8" hidden="false" customHeight="false" outlineLevel="0" collapsed="false">
      <c r="A42" s="30" t="s">
        <v>265</v>
      </c>
      <c r="B42" s="0" t="n">
        <v>369.740555555556</v>
      </c>
      <c r="C42" s="37" t="n">
        <v>369.740555555556</v>
      </c>
      <c r="D42" s="37" t="n">
        <v>369.740555555556</v>
      </c>
      <c r="E42" s="37" t="n">
        <v>369.740555555556</v>
      </c>
      <c r="G42" s="30"/>
    </row>
    <row r="43" customFormat="false" ht="13.8" hidden="false" customHeight="false" outlineLevel="0" collapsed="false">
      <c r="A43" s="30" t="s">
        <v>266</v>
      </c>
      <c r="B43" s="0" t="n">
        <v>10.5070454545455</v>
      </c>
      <c r="C43" s="37" t="n">
        <v>10.5070454545455</v>
      </c>
      <c r="D43" s="37" t="n">
        <v>10.5070454545455</v>
      </c>
      <c r="E43" s="37" t="n">
        <v>10.5070454545455</v>
      </c>
      <c r="G43" s="30"/>
    </row>
    <row r="44" customFormat="false" ht="13.8" hidden="false" customHeight="false" outlineLevel="0" collapsed="false">
      <c r="A44" s="30" t="s">
        <v>267</v>
      </c>
      <c r="B44" s="0" t="n">
        <v>1586.05479166667</v>
      </c>
      <c r="C44" s="37" t="n">
        <v>1586.05479166667</v>
      </c>
      <c r="D44" s="37" t="n">
        <v>1586.05479166667</v>
      </c>
      <c r="E44" s="37" t="n">
        <v>1586.05479166667</v>
      </c>
      <c r="G44" s="30"/>
    </row>
    <row r="45" customFormat="false" ht="13.8" hidden="false" customHeight="false" outlineLevel="0" collapsed="false">
      <c r="A45" s="30" t="s">
        <v>268</v>
      </c>
      <c r="B45" s="0" t="n">
        <v>230.666416666667</v>
      </c>
      <c r="C45" s="37" t="n">
        <v>230.666416666667</v>
      </c>
      <c r="D45" s="37" t="n">
        <v>230.666416666667</v>
      </c>
      <c r="E45" s="37" t="n">
        <v>230.666416666667</v>
      </c>
      <c r="G45" s="30"/>
    </row>
    <row r="46" customFormat="false" ht="13.8" hidden="false" customHeight="false" outlineLevel="0" collapsed="false">
      <c r="A46" s="30" t="s">
        <v>269</v>
      </c>
      <c r="B46" s="0" t="n">
        <v>617.0493125</v>
      </c>
      <c r="C46" s="37" t="n">
        <v>617.0493125</v>
      </c>
      <c r="D46" s="37" t="n">
        <v>617.0493125</v>
      </c>
      <c r="E46" s="37" t="n">
        <v>617.0493125</v>
      </c>
      <c r="G46" s="30"/>
    </row>
    <row r="47" customFormat="false" ht="13.8" hidden="false" customHeight="false" outlineLevel="0" collapsed="false">
      <c r="A47" s="30" t="s">
        <v>270</v>
      </c>
      <c r="B47" s="0" t="n">
        <v>149.724363636364</v>
      </c>
      <c r="C47" s="37" t="n">
        <v>149.724363636364</v>
      </c>
      <c r="D47" s="37" t="n">
        <v>149.724363636364</v>
      </c>
      <c r="E47" s="37" t="n">
        <v>149.724363636364</v>
      </c>
      <c r="G47" s="30"/>
    </row>
    <row r="48" customFormat="false" ht="13.8" hidden="false" customHeight="false" outlineLevel="0" collapsed="false">
      <c r="A48" s="30" t="s">
        <v>271</v>
      </c>
      <c r="B48" s="0" t="n">
        <v>655.105136363636</v>
      </c>
      <c r="C48" s="37" t="n">
        <v>655.105136363636</v>
      </c>
      <c r="D48" s="37" t="n">
        <v>655.105136363636</v>
      </c>
      <c r="E48" s="37" t="n">
        <v>655.105136363636</v>
      </c>
      <c r="G48" s="30"/>
    </row>
    <row r="49" customFormat="false" ht="13.8" hidden="false" customHeight="false" outlineLevel="0" collapsed="false">
      <c r="A49" s="30" t="s">
        <v>272</v>
      </c>
      <c r="B49" s="0" t="n">
        <v>991.857954545454</v>
      </c>
      <c r="C49" s="37" t="n">
        <v>991.857954545454</v>
      </c>
      <c r="D49" s="37" t="n">
        <v>991.857954545454</v>
      </c>
      <c r="E49" s="37" t="n">
        <v>991.857954545454</v>
      </c>
      <c r="G49" s="30"/>
    </row>
    <row r="50" customFormat="false" ht="13.8" hidden="false" customHeight="false" outlineLevel="0" collapsed="false">
      <c r="A50" s="30" t="s">
        <v>273</v>
      </c>
      <c r="B50" s="0" t="n">
        <v>7.34318181818182</v>
      </c>
      <c r="C50" s="37" t="n">
        <v>7.34318181818182</v>
      </c>
      <c r="D50" s="37" t="n">
        <v>7.34318181818182</v>
      </c>
      <c r="E50" s="37" t="n">
        <v>7.34318181818182</v>
      </c>
      <c r="G50" s="30"/>
    </row>
    <row r="51" customFormat="false" ht="13.8" hidden="false" customHeight="false" outlineLevel="0" collapsed="false">
      <c r="A51" s="30" t="s">
        <v>274</v>
      </c>
      <c r="B51" s="0" t="n">
        <v>1985.48909090909</v>
      </c>
      <c r="C51" s="37" t="n">
        <v>1985.48909090909</v>
      </c>
      <c r="D51" s="37" t="n">
        <v>1985.48909090909</v>
      </c>
      <c r="E51" s="37" t="n">
        <v>1985.48909090909</v>
      </c>
      <c r="G51" s="30"/>
    </row>
    <row r="52" customFormat="false" ht="13.8" hidden="false" customHeight="false" outlineLevel="0" collapsed="false">
      <c r="A52" s="30" t="s">
        <v>275</v>
      </c>
      <c r="B52" s="0" t="n">
        <v>2528.69613636364</v>
      </c>
      <c r="C52" s="37" t="n">
        <v>2528.69613636364</v>
      </c>
      <c r="D52" s="37" t="n">
        <v>2528.69613636364</v>
      </c>
      <c r="E52" s="37" t="n">
        <v>2528.69613636364</v>
      </c>
      <c r="G52" s="30"/>
    </row>
    <row r="53" customFormat="false" ht="13.8" hidden="false" customHeight="false" outlineLevel="0" collapsed="false">
      <c r="A53" s="30" t="s">
        <v>276</v>
      </c>
      <c r="B53" s="0" t="n">
        <v>1259.419375</v>
      </c>
      <c r="C53" s="37" t="n">
        <v>1259.419375</v>
      </c>
      <c r="D53" s="37" t="n">
        <v>1259.419375</v>
      </c>
      <c r="E53" s="37" t="n">
        <v>1259.419375</v>
      </c>
      <c r="G53" s="30"/>
    </row>
    <row r="54" customFormat="false" ht="13.8" hidden="false" customHeight="false" outlineLevel="0" collapsed="false">
      <c r="A54" s="30" t="s">
        <v>277</v>
      </c>
      <c r="B54" s="0" t="n">
        <v>3192.95666666667</v>
      </c>
      <c r="C54" s="37" t="n">
        <v>3192.95666666667</v>
      </c>
      <c r="D54" s="37" t="n">
        <v>3192.95666666667</v>
      </c>
      <c r="E54" s="37" t="n">
        <v>3192.95666666667</v>
      </c>
      <c r="G54" s="30"/>
    </row>
    <row r="55" customFormat="false" ht="13.8" hidden="false" customHeight="false" outlineLevel="0" collapsed="false">
      <c r="A55" s="30" t="s">
        <v>278</v>
      </c>
      <c r="B55" s="0" t="n">
        <v>10.6635</v>
      </c>
      <c r="C55" s="37" t="n">
        <v>10.6635</v>
      </c>
      <c r="D55" s="37" t="n">
        <v>10.6635</v>
      </c>
      <c r="E55" s="37" t="n">
        <v>10.6635</v>
      </c>
      <c r="G55" s="30"/>
    </row>
    <row r="56" customFormat="false" ht="13.8" hidden="false" customHeight="false" outlineLevel="0" collapsed="false">
      <c r="A56" s="30" t="s">
        <v>279</v>
      </c>
      <c r="B56" s="0" t="n">
        <v>1261.25852272727</v>
      </c>
      <c r="C56" s="37" t="n">
        <v>1261.25852272727</v>
      </c>
      <c r="D56" s="37" t="n">
        <v>1261.25852272727</v>
      </c>
      <c r="E56" s="37" t="n">
        <v>1261.25852272727</v>
      </c>
      <c r="G56" s="30"/>
    </row>
    <row r="57" customFormat="false" ht="13.8" hidden="false" customHeight="false" outlineLevel="0" collapsed="false">
      <c r="A57" s="30" t="s">
        <v>280</v>
      </c>
      <c r="B57" s="0" t="n">
        <v>31.54675</v>
      </c>
      <c r="C57" s="37" t="n">
        <v>31.54675</v>
      </c>
      <c r="D57" s="37" t="n">
        <v>31.54675</v>
      </c>
      <c r="E57" s="37" t="n">
        <v>31.54675</v>
      </c>
      <c r="G57" s="30"/>
    </row>
    <row r="58" customFormat="false" ht="13.8" hidden="false" customHeight="false" outlineLevel="0" collapsed="false">
      <c r="A58" s="30" t="s">
        <v>281</v>
      </c>
      <c r="B58" s="0" t="n">
        <v>2837.20525</v>
      </c>
      <c r="C58" s="37" t="n">
        <v>2837.20525</v>
      </c>
      <c r="D58" s="37" t="n">
        <v>2837.20525</v>
      </c>
      <c r="E58" s="37" t="n">
        <v>2837.20525</v>
      </c>
      <c r="G58" s="30"/>
    </row>
    <row r="59" customFormat="false" ht="13.8" hidden="false" customHeight="false" outlineLevel="0" collapsed="false">
      <c r="A59" s="30" t="s">
        <v>282</v>
      </c>
      <c r="B59" s="0" t="n">
        <v>10515.3736363636</v>
      </c>
      <c r="C59" s="37" t="n">
        <v>10515.3736363636</v>
      </c>
      <c r="D59" s="37" t="n">
        <v>10515.3736363636</v>
      </c>
      <c r="E59" s="37" t="n">
        <v>10515.3736363636</v>
      </c>
      <c r="G59" s="30"/>
    </row>
    <row r="60" customFormat="false" ht="13.8" hidden="false" customHeight="false" outlineLevel="0" collapsed="false">
      <c r="A60" s="30" t="s">
        <v>283</v>
      </c>
      <c r="B60" s="0" t="n">
        <v>7816.624375</v>
      </c>
      <c r="C60" s="37" t="n">
        <v>7816.624375</v>
      </c>
      <c r="D60" s="37" t="n">
        <v>7816.624375</v>
      </c>
      <c r="E60" s="37" t="n">
        <v>7816.624375</v>
      </c>
      <c r="G60" s="30"/>
    </row>
    <row r="61" customFormat="false" ht="13.8" hidden="false" customHeight="false" outlineLevel="0" collapsed="false">
      <c r="A61" s="30" t="s">
        <v>284</v>
      </c>
      <c r="B61" s="0" t="n">
        <v>4880.86304545455</v>
      </c>
      <c r="C61" s="37" t="n">
        <v>4880.86304545455</v>
      </c>
      <c r="D61" s="37" t="n">
        <v>4880.86304545455</v>
      </c>
      <c r="E61" s="37" t="n">
        <v>4880.86304545455</v>
      </c>
      <c r="G61" s="30"/>
    </row>
    <row r="62" customFormat="false" ht="13.8" hidden="false" customHeight="false" outlineLevel="0" collapsed="false">
      <c r="A62" s="30" t="s">
        <v>285</v>
      </c>
      <c r="B62" s="0" t="n">
        <v>210.0575</v>
      </c>
      <c r="C62" s="37" t="n">
        <v>210.0575</v>
      </c>
      <c r="D62" s="37" t="n">
        <v>210.0575</v>
      </c>
      <c r="E62" s="37" t="n">
        <v>210.0575</v>
      </c>
      <c r="G62" s="30"/>
    </row>
    <row r="63" customFormat="false" ht="13.8" hidden="false" customHeight="false" outlineLevel="0" collapsed="false">
      <c r="A63" s="30" t="s">
        <v>286</v>
      </c>
      <c r="B63" s="0" t="n">
        <v>5600.10014583333</v>
      </c>
      <c r="C63" s="37" t="n">
        <v>5600.10014583333</v>
      </c>
      <c r="D63" s="37" t="n">
        <v>5600.10014583333</v>
      </c>
      <c r="E63" s="37" t="n">
        <v>5600.10014583333</v>
      </c>
      <c r="G63" s="30"/>
    </row>
    <row r="64" customFormat="false" ht="13.8" hidden="false" customHeight="false" outlineLevel="0" collapsed="false">
      <c r="A64" s="30" t="s">
        <v>287</v>
      </c>
      <c r="B64" s="0" t="n">
        <v>238.333333333333</v>
      </c>
      <c r="C64" s="37" t="n">
        <v>238.333333333333</v>
      </c>
      <c r="D64" s="37" t="n">
        <v>238.333333333333</v>
      </c>
      <c r="E64" s="37" t="n">
        <v>238.333333333333</v>
      </c>
      <c r="G64" s="30"/>
    </row>
    <row r="65" customFormat="false" ht="13.8" hidden="false" customHeight="false" outlineLevel="0" collapsed="false">
      <c r="A65" s="30" t="s">
        <v>288</v>
      </c>
      <c r="B65" s="0" t="n">
        <v>253.431818181818</v>
      </c>
      <c r="C65" s="37" t="n">
        <v>253.431818181818</v>
      </c>
      <c r="D65" s="37" t="n">
        <v>253.431818181818</v>
      </c>
      <c r="E65" s="37" t="n">
        <v>253.431818181818</v>
      </c>
      <c r="G65" s="30"/>
    </row>
    <row r="66" customFormat="false" ht="13.8" hidden="false" customHeight="false" outlineLevel="0" collapsed="false">
      <c r="A66" s="30" t="s">
        <v>289</v>
      </c>
      <c r="B66" s="0" t="n">
        <v>3.7555</v>
      </c>
      <c r="C66" s="37" t="n">
        <v>3.7555</v>
      </c>
      <c r="D66" s="37" t="n">
        <v>3.7555</v>
      </c>
      <c r="E66" s="37" t="n">
        <v>3.7555</v>
      </c>
      <c r="G66" s="30"/>
    </row>
    <row r="67" customFormat="false" ht="13.8" hidden="false" customHeight="false" outlineLevel="0" collapsed="false">
      <c r="A67" s="30" t="s">
        <v>290</v>
      </c>
      <c r="B67" s="0" t="n">
        <v>2427.83368181818</v>
      </c>
      <c r="C67" s="37" t="n">
        <v>2427.83368181818</v>
      </c>
      <c r="D67" s="37" t="n">
        <v>2427.83368181818</v>
      </c>
      <c r="E67" s="37" t="n">
        <v>2427.83368181818</v>
      </c>
      <c r="G67" s="30"/>
    </row>
    <row r="68" customFormat="false" ht="13.8" hidden="false" customHeight="false" outlineLevel="0" collapsed="false">
      <c r="A68" s="30" t="s">
        <v>291</v>
      </c>
      <c r="B68" s="0" t="n">
        <v>2.5</v>
      </c>
      <c r="C68" s="37" t="n">
        <v>2.5</v>
      </c>
      <c r="D68" s="37" t="n">
        <v>2.5</v>
      </c>
      <c r="E68" s="37" t="n">
        <v>2.5</v>
      </c>
      <c r="G68" s="30"/>
    </row>
    <row r="69" customFormat="false" ht="13.8" hidden="false" customHeight="false" outlineLevel="0" collapsed="false">
      <c r="A69" s="30" t="s">
        <v>292</v>
      </c>
      <c r="B69" s="0" t="n">
        <v>5426.52385416667</v>
      </c>
      <c r="C69" s="37" t="n">
        <v>5426.52385416667</v>
      </c>
      <c r="D69" s="37" t="n">
        <v>5426.52385416667</v>
      </c>
      <c r="E69" s="37" t="n">
        <v>5426.52385416667</v>
      </c>
      <c r="G69" s="30"/>
    </row>
    <row r="70" customFormat="false" ht="13.8" hidden="false" customHeight="false" outlineLevel="0" collapsed="false">
      <c r="A70" s="30" t="s">
        <v>293</v>
      </c>
      <c r="B70" s="0" t="n">
        <v>4511.25309090909</v>
      </c>
      <c r="C70" s="37" t="n">
        <v>4511.25309090909</v>
      </c>
      <c r="D70" s="37" t="n">
        <v>4511.25309090909</v>
      </c>
      <c r="E70" s="37" t="n">
        <v>4511.25309090909</v>
      </c>
      <c r="G70" s="30"/>
    </row>
    <row r="71" customFormat="false" ht="13.8" hidden="false" customHeight="false" outlineLevel="0" collapsed="false">
      <c r="A71" s="30" t="s">
        <v>294</v>
      </c>
      <c r="B71" s="0" t="n">
        <v>3193.81183333333</v>
      </c>
      <c r="C71" s="37" t="n">
        <v>3193.81183333333</v>
      </c>
      <c r="D71" s="37" t="n">
        <v>3193.81183333333</v>
      </c>
      <c r="E71" s="37" t="n">
        <v>3193.81183333333</v>
      </c>
      <c r="G71" s="30"/>
    </row>
    <row r="72" customFormat="false" ht="13.8" hidden="false" customHeight="false" outlineLevel="0" collapsed="false">
      <c r="A72" s="30" t="s">
        <v>295</v>
      </c>
      <c r="B72" s="0" t="n">
        <v>414.0173125</v>
      </c>
      <c r="C72" s="37" t="n">
        <v>414.0173125</v>
      </c>
      <c r="D72" s="37" t="n">
        <v>414.0173125</v>
      </c>
      <c r="E72" s="37" t="n">
        <v>414.0173125</v>
      </c>
      <c r="G72" s="30"/>
    </row>
    <row r="73" customFormat="false" ht="13.8" hidden="false" customHeight="false" outlineLevel="0" collapsed="false">
      <c r="A73" s="30" t="s">
        <v>296</v>
      </c>
      <c r="B73" s="0" t="n">
        <v>863.957708333333</v>
      </c>
      <c r="C73" s="37" t="n">
        <v>863.957708333333</v>
      </c>
      <c r="D73" s="37" t="n">
        <v>863.957708333333</v>
      </c>
      <c r="E73" s="37" t="n">
        <v>863.957708333333</v>
      </c>
      <c r="G73" s="30"/>
    </row>
    <row r="74" customFormat="false" ht="13.8" hidden="false" customHeight="false" outlineLevel="0" collapsed="false">
      <c r="A74" s="30" t="s">
        <v>297</v>
      </c>
      <c r="B74" s="0" t="n">
        <v>930.037045454546</v>
      </c>
      <c r="C74" s="37" t="n">
        <v>930.037045454546</v>
      </c>
      <c r="D74" s="37" t="n">
        <v>930.037045454546</v>
      </c>
      <c r="E74" s="37" t="n">
        <v>930.037045454546</v>
      </c>
      <c r="G74" s="30"/>
    </row>
    <row r="75" customFormat="false" ht="13.8" hidden="false" customHeight="false" outlineLevel="0" collapsed="false">
      <c r="A75" s="30" t="s">
        <v>298</v>
      </c>
      <c r="B75" s="0" t="n">
        <v>2580.61840909091</v>
      </c>
      <c r="C75" s="37" t="n">
        <v>2580.61840909091</v>
      </c>
      <c r="D75" s="37" t="n">
        <v>2580.61840909091</v>
      </c>
      <c r="E75" s="37" t="n">
        <v>2580.61840909091</v>
      </c>
      <c r="G75" s="30"/>
    </row>
    <row r="76" customFormat="false" ht="13.8" hidden="false" customHeight="false" outlineLevel="0" collapsed="false">
      <c r="A76" s="30" t="s">
        <v>299</v>
      </c>
      <c r="B76" s="0" t="n">
        <v>2032.37020833333</v>
      </c>
      <c r="C76" s="37" t="n">
        <v>2032.37020833333</v>
      </c>
      <c r="D76" s="37" t="n">
        <v>2032.37020833333</v>
      </c>
      <c r="E76" s="37" t="n">
        <v>2032.37020833333</v>
      </c>
      <c r="G76" s="30"/>
    </row>
    <row r="77" customFormat="false" ht="13.8" hidden="false" customHeight="false" outlineLevel="0" collapsed="false">
      <c r="A77" s="30" t="s">
        <v>300</v>
      </c>
      <c r="B77" s="0" t="n">
        <v>662.133958333333</v>
      </c>
      <c r="C77" s="37" t="n">
        <v>662.133958333333</v>
      </c>
      <c r="D77" s="37" t="n">
        <v>662.133958333333</v>
      </c>
      <c r="E77" s="37" t="n">
        <v>662.133958333333</v>
      </c>
      <c r="G77" s="30"/>
    </row>
    <row r="78" customFormat="false" ht="13.8" hidden="false" customHeight="false" outlineLevel="0" collapsed="false">
      <c r="A78" s="30" t="s">
        <v>301</v>
      </c>
      <c r="B78" s="0" t="n">
        <v>2260.48875</v>
      </c>
      <c r="C78" s="37" t="n">
        <v>2260.48875</v>
      </c>
      <c r="D78" s="37" t="n">
        <v>2260.48875</v>
      </c>
      <c r="E78" s="37" t="n">
        <v>2260.48875</v>
      </c>
      <c r="G78" s="30"/>
    </row>
    <row r="79" customFormat="false" ht="13.8" hidden="false" customHeight="false" outlineLevel="0" collapsed="false">
      <c r="A79" s="30" t="s">
        <v>302</v>
      </c>
      <c r="B79" s="0" t="n">
        <v>3191.36775</v>
      </c>
      <c r="C79" s="37" t="n">
        <v>3191.36775</v>
      </c>
      <c r="D79" s="37" t="n">
        <v>3191.36775</v>
      </c>
      <c r="E79" s="37" t="n">
        <v>3191.36775</v>
      </c>
      <c r="G79" s="30"/>
    </row>
    <row r="80" customFormat="false" ht="13.8" hidden="false" customHeight="false" outlineLevel="0" collapsed="false">
      <c r="A80" s="30" t="s">
        <v>303</v>
      </c>
      <c r="B80" s="0" t="n">
        <v>3203.88958333333</v>
      </c>
      <c r="C80" s="37" t="n">
        <v>3203.88958333333</v>
      </c>
      <c r="D80" s="37" t="n">
        <v>3203.88958333333</v>
      </c>
      <c r="E80" s="37" t="n">
        <v>3203.88958333333</v>
      </c>
      <c r="G80" s="30"/>
    </row>
    <row r="81" customFormat="false" ht="13.8" hidden="false" customHeight="false" outlineLevel="0" collapsed="false">
      <c r="A81" s="30" t="s">
        <v>304</v>
      </c>
      <c r="B81" s="0" t="n">
        <v>11521.7472916667</v>
      </c>
      <c r="C81" s="37" t="n">
        <v>11521.7472916667</v>
      </c>
      <c r="D81" s="37" t="n">
        <v>11521.7472916667</v>
      </c>
      <c r="E81" s="37" t="n">
        <v>11521.7472916667</v>
      </c>
      <c r="G81" s="30"/>
    </row>
    <row r="82" customFormat="false" ht="13.8" hidden="false" customHeight="false" outlineLevel="0" collapsed="false">
      <c r="A82" s="30" t="s">
        <v>305</v>
      </c>
      <c r="B82" s="0" t="n">
        <v>550.3775</v>
      </c>
      <c r="C82" s="37" t="n">
        <v>550.3775</v>
      </c>
      <c r="D82" s="37" t="n">
        <v>550.3775</v>
      </c>
      <c r="E82" s="37" t="n">
        <v>550.3775</v>
      </c>
      <c r="G82" s="30"/>
    </row>
    <row r="83" customFormat="false" ht="13.8" hidden="false" customHeight="false" outlineLevel="0" collapsed="false">
      <c r="A83" s="30" t="s">
        <v>306</v>
      </c>
      <c r="B83" s="0" t="n">
        <v>76.683125</v>
      </c>
      <c r="C83" s="37" t="n">
        <v>76.683125</v>
      </c>
      <c r="D83" s="37" t="n">
        <v>76.683125</v>
      </c>
      <c r="E83" s="37" t="n">
        <v>76.683125</v>
      </c>
      <c r="G83" s="30"/>
    </row>
    <row r="84" customFormat="false" ht="13.8" hidden="false" customHeight="false" outlineLevel="0" collapsed="false">
      <c r="A84" s="30" t="s">
        <v>307</v>
      </c>
      <c r="B84" s="0" t="n">
        <v>36.34125</v>
      </c>
      <c r="C84" s="37" t="n">
        <v>36.34125</v>
      </c>
      <c r="D84" s="37" t="n">
        <v>36.34125</v>
      </c>
      <c r="E84" s="37" t="n">
        <v>36.34125</v>
      </c>
      <c r="G84" s="30"/>
    </row>
    <row r="85" customFormat="false" ht="13.8" hidden="false" customHeight="false" outlineLevel="0" collapsed="false">
      <c r="A85" s="30" t="s">
        <v>308</v>
      </c>
      <c r="B85" s="0" t="n">
        <v>449.301000000001</v>
      </c>
      <c r="C85" s="37" t="n">
        <v>449.301000000001</v>
      </c>
      <c r="D85" s="37" t="n">
        <v>449.301000000001</v>
      </c>
      <c r="E85" s="37" t="n">
        <v>449.301000000001</v>
      </c>
      <c r="G85" s="30"/>
    </row>
    <row r="86" customFormat="false" ht="13.8" hidden="false" customHeight="false" outlineLevel="0" collapsed="false">
      <c r="A86" s="30" t="s">
        <v>309</v>
      </c>
      <c r="B86" s="0" t="n">
        <v>111.819583333333</v>
      </c>
      <c r="C86" s="37" t="n">
        <v>111.819583333333</v>
      </c>
      <c r="D86" s="37" t="n">
        <v>111.819583333333</v>
      </c>
      <c r="E86" s="37" t="n">
        <v>111.819583333333</v>
      </c>
      <c r="G86" s="30"/>
    </row>
    <row r="87" customFormat="false" ht="13.8" hidden="false" customHeight="false" outlineLevel="0" collapsed="false">
      <c r="A87" s="30" t="s">
        <v>310</v>
      </c>
      <c r="B87" s="0" t="n">
        <v>180.45375</v>
      </c>
      <c r="C87" s="37" t="n">
        <v>180.45375</v>
      </c>
      <c r="D87" s="37" t="n">
        <v>180.45375</v>
      </c>
      <c r="E87" s="37" t="n">
        <v>180.45375</v>
      </c>
      <c r="G87" s="30"/>
    </row>
    <row r="88" customFormat="false" ht="13.8" hidden="false" customHeight="false" outlineLevel="0" collapsed="false">
      <c r="A88" s="30" t="s">
        <v>311</v>
      </c>
      <c r="B88" s="0" t="n">
        <v>2390.0315</v>
      </c>
      <c r="C88" s="37" t="n">
        <v>2390.0315</v>
      </c>
      <c r="D88" s="37" t="n">
        <v>2390.0315</v>
      </c>
      <c r="E88" s="37" t="n">
        <v>2390.0315</v>
      </c>
      <c r="G88" s="30"/>
    </row>
    <row r="89" customFormat="false" ht="13.8" hidden="false" customHeight="false" outlineLevel="0" collapsed="false">
      <c r="A89" s="30" t="s">
        <v>312</v>
      </c>
      <c r="B89" s="0" t="n">
        <v>7.445</v>
      </c>
      <c r="C89" s="37" t="n">
        <v>7.445</v>
      </c>
      <c r="D89" s="37" t="n">
        <v>7.445</v>
      </c>
      <c r="E89" s="37" t="n">
        <v>7.445</v>
      </c>
      <c r="G89" s="30"/>
    </row>
    <row r="90" customFormat="false" ht="13.8" hidden="false" customHeight="false" outlineLevel="0" collapsed="false">
      <c r="A90" s="30" t="s">
        <v>313</v>
      </c>
      <c r="B90" s="0" t="n">
        <v>2694.33477272727</v>
      </c>
      <c r="C90" s="37" t="n">
        <v>2694.33477272727</v>
      </c>
      <c r="D90" s="37" t="n">
        <v>2694.33477272727</v>
      </c>
      <c r="E90" s="37" t="n">
        <v>2694.33477272727</v>
      </c>
      <c r="G90" s="30"/>
    </row>
    <row r="91" customFormat="false" ht="13.8" hidden="false" customHeight="false" outlineLevel="0" collapsed="false">
      <c r="A91" s="30" t="s">
        <v>314</v>
      </c>
      <c r="B91" s="0" t="n">
        <v>2759.65386363636</v>
      </c>
      <c r="C91" s="37" t="n">
        <v>2759.65386363636</v>
      </c>
      <c r="D91" s="37" t="n">
        <v>2759.65386363636</v>
      </c>
      <c r="E91" s="37" t="n">
        <v>2759.65386363636</v>
      </c>
      <c r="G91" s="30"/>
    </row>
    <row r="92" customFormat="false" ht="13.8" hidden="false" customHeight="false" outlineLevel="0" collapsed="false">
      <c r="A92" s="30" t="s">
        <v>315</v>
      </c>
      <c r="B92" s="0" t="n">
        <v>2191.88840909091</v>
      </c>
      <c r="C92" s="37" t="n">
        <v>2191.88840909091</v>
      </c>
      <c r="D92" s="37" t="n">
        <v>2191.88840909091</v>
      </c>
      <c r="E92" s="37" t="n">
        <v>2191.88840909091</v>
      </c>
      <c r="G92" s="30"/>
    </row>
    <row r="93" customFormat="false" ht="13.8" hidden="false" customHeight="false" outlineLevel="0" collapsed="false">
      <c r="A93" s="30" t="s">
        <v>316</v>
      </c>
      <c r="B93" s="0" t="n">
        <v>1663.66125</v>
      </c>
      <c r="C93" s="37" t="n">
        <v>1663.66125</v>
      </c>
      <c r="D93" s="37" t="n">
        <v>1663.66125</v>
      </c>
      <c r="E93" s="37" t="n">
        <v>1663.66125</v>
      </c>
      <c r="G93" s="30"/>
    </row>
    <row r="94" customFormat="false" ht="13.8" hidden="false" customHeight="false" outlineLevel="0" collapsed="false">
      <c r="A94" s="30" t="s">
        <v>317</v>
      </c>
      <c r="B94" s="0" t="n">
        <v>919.14</v>
      </c>
      <c r="C94" s="37" t="n">
        <v>919.14</v>
      </c>
      <c r="D94" s="37" t="n">
        <v>919.14</v>
      </c>
      <c r="E94" s="37" t="n">
        <v>919.14</v>
      </c>
      <c r="G94" s="30"/>
    </row>
    <row r="95" customFormat="false" ht="13.8" hidden="false" customHeight="false" outlineLevel="0" collapsed="false">
      <c r="A95" s="30" t="s">
        <v>318</v>
      </c>
      <c r="B95" s="0" t="n">
        <v>118.4725</v>
      </c>
      <c r="C95" s="37" t="n">
        <v>118.4725</v>
      </c>
      <c r="D95" s="37" t="n">
        <v>118.4725</v>
      </c>
      <c r="E95" s="37" t="n">
        <v>118.4725</v>
      </c>
      <c r="G95" s="30"/>
    </row>
    <row r="96" customFormat="false" ht="13.8" hidden="false" customHeight="false" outlineLevel="0" collapsed="false">
      <c r="A96" s="30" t="s">
        <v>319</v>
      </c>
      <c r="B96" s="0" t="n">
        <v>122.539375</v>
      </c>
      <c r="C96" s="37" t="n">
        <v>122.539375</v>
      </c>
      <c r="D96" s="37" t="n">
        <v>122.539375</v>
      </c>
      <c r="E96" s="37" t="n">
        <v>122.539375</v>
      </c>
      <c r="G96" s="30"/>
    </row>
    <row r="97" customFormat="false" ht="13.8" hidden="false" customHeight="false" outlineLevel="0" collapsed="false">
      <c r="A97" s="30" t="s">
        <v>320</v>
      </c>
      <c r="B97" s="0" t="n">
        <v>117.4325</v>
      </c>
      <c r="C97" s="37" t="n">
        <v>117.4325</v>
      </c>
      <c r="D97" s="37" t="n">
        <v>117.4325</v>
      </c>
      <c r="E97" s="37" t="n">
        <v>117.4325</v>
      </c>
      <c r="G97" s="30"/>
    </row>
    <row r="98" customFormat="false" ht="13.8" hidden="false" customHeight="false" outlineLevel="0" collapsed="false">
      <c r="A98" s="30" t="s">
        <v>321</v>
      </c>
      <c r="B98" s="0" t="n">
        <v>3557.87008333333</v>
      </c>
      <c r="C98" s="37" t="n">
        <v>3557.87008333333</v>
      </c>
      <c r="D98" s="37" t="n">
        <v>3557.87008333333</v>
      </c>
      <c r="E98" s="37" t="n">
        <v>3557.87008333333</v>
      </c>
      <c r="G98" s="30"/>
    </row>
    <row r="99" customFormat="false" ht="13.8" hidden="false" customHeight="false" outlineLevel="0" collapsed="false">
      <c r="A99" s="30" t="s">
        <v>322</v>
      </c>
      <c r="B99" s="0" t="n">
        <v>3329.23066666667</v>
      </c>
      <c r="C99" s="37" t="n">
        <v>3329.23066666667</v>
      </c>
      <c r="D99" s="37" t="n">
        <v>3329.23066666667</v>
      </c>
      <c r="E99" s="37" t="n">
        <v>3329.23066666667</v>
      </c>
      <c r="G99" s="30"/>
    </row>
    <row r="100" customFormat="false" ht="13.8" hidden="false" customHeight="false" outlineLevel="0" collapsed="false">
      <c r="A100" s="30" t="s">
        <v>323</v>
      </c>
      <c r="B100" s="0" t="n">
        <v>262.62875</v>
      </c>
      <c r="C100" s="37" t="n">
        <v>262.62875</v>
      </c>
      <c r="D100" s="37" t="n">
        <v>262.62875</v>
      </c>
      <c r="E100" s="37" t="n">
        <v>262.62875</v>
      </c>
      <c r="G100" s="30"/>
    </row>
    <row r="101" customFormat="false" ht="13.8" hidden="false" customHeight="false" outlineLevel="0" collapsed="false">
      <c r="A101" s="30" t="s">
        <v>324</v>
      </c>
      <c r="B101" s="0" t="n">
        <v>123.589375</v>
      </c>
      <c r="C101" s="37" t="n">
        <v>123.589375</v>
      </c>
      <c r="D101" s="37" t="n">
        <v>123.589375</v>
      </c>
      <c r="E101" s="37" t="n">
        <v>123.589375</v>
      </c>
      <c r="G101" s="30"/>
    </row>
    <row r="102" customFormat="false" ht="13.8" hidden="false" customHeight="false" outlineLevel="0" collapsed="false">
      <c r="A102" s="30" t="s">
        <v>325</v>
      </c>
      <c r="B102" s="0" t="n">
        <v>567.85725</v>
      </c>
      <c r="C102" s="37" t="n">
        <v>567.85725</v>
      </c>
      <c r="D102" s="37" t="n">
        <v>567.85725</v>
      </c>
      <c r="E102" s="37" t="n">
        <v>567.85725</v>
      </c>
      <c r="G102" s="30"/>
    </row>
    <row r="103" customFormat="false" ht="13.8" hidden="false" customHeight="false" outlineLevel="0" collapsed="false">
      <c r="A103" s="30" t="s">
        <v>326</v>
      </c>
      <c r="B103" s="0" t="n">
        <v>791.171975</v>
      </c>
      <c r="C103" s="37" t="n">
        <v>791.171975</v>
      </c>
      <c r="D103" s="37" t="n">
        <v>791.171975</v>
      </c>
      <c r="E103" s="37" t="n">
        <v>791.171975</v>
      </c>
      <c r="G103" s="30"/>
    </row>
    <row r="104" customFormat="false" ht="13.8" hidden="false" customHeight="false" outlineLevel="0" collapsed="false">
      <c r="A104" s="30" t="s">
        <v>327</v>
      </c>
      <c r="B104" s="0" t="n">
        <v>1141.82097727273</v>
      </c>
      <c r="C104" s="37" t="n">
        <v>1141.82097727273</v>
      </c>
      <c r="D104" s="37" t="n">
        <v>1141.82097727273</v>
      </c>
      <c r="E104" s="37" t="n">
        <v>1141.82097727273</v>
      </c>
      <c r="G104" s="30"/>
    </row>
    <row r="105" customFormat="false" ht="13.8" hidden="false" customHeight="false" outlineLevel="0" collapsed="false">
      <c r="A105" s="30" t="s">
        <v>328</v>
      </c>
      <c r="B105" s="0" t="n">
        <v>447.346222222222</v>
      </c>
      <c r="C105" s="37" t="n">
        <v>447.346222222222</v>
      </c>
      <c r="D105" s="37" t="n">
        <v>447.346222222222</v>
      </c>
      <c r="E105" s="37" t="n">
        <v>447.346222222222</v>
      </c>
      <c r="G105" s="30"/>
    </row>
    <row r="106" customFormat="false" ht="13.8" hidden="false" customHeight="false" outlineLevel="0" collapsed="false">
      <c r="A106" s="30" t="s">
        <v>329</v>
      </c>
      <c r="B106" s="0" t="n">
        <v>825.335208333333</v>
      </c>
      <c r="C106" s="37" t="n">
        <v>825.335208333333</v>
      </c>
      <c r="D106" s="37" t="n">
        <v>825.335208333333</v>
      </c>
      <c r="E106" s="37" t="n">
        <v>825.335208333333</v>
      </c>
      <c r="G106" s="30"/>
    </row>
    <row r="107" customFormat="false" ht="13.8" hidden="false" customHeight="false" outlineLevel="0" collapsed="false">
      <c r="A107" s="30" t="s">
        <v>330</v>
      </c>
      <c r="B107" s="0" t="n">
        <v>1015.98872727273</v>
      </c>
      <c r="C107" s="37" t="n">
        <v>1015.98872727273</v>
      </c>
      <c r="D107" s="37" t="n">
        <v>1015.98872727273</v>
      </c>
      <c r="E107" s="37" t="n">
        <v>1015.98872727273</v>
      </c>
      <c r="G107" s="30"/>
    </row>
    <row r="108" customFormat="false" ht="13.8" hidden="false" customHeight="false" outlineLevel="0" collapsed="false">
      <c r="A108" s="30" t="s">
        <v>331</v>
      </c>
      <c r="B108" s="0" t="n">
        <v>1845.88272916667</v>
      </c>
      <c r="C108" s="37" t="n">
        <v>1845.88272916667</v>
      </c>
      <c r="D108" s="37" t="n">
        <v>1845.88272916667</v>
      </c>
      <c r="E108" s="37" t="n">
        <v>1845.88272916667</v>
      </c>
      <c r="G108" s="30"/>
    </row>
    <row r="109" customFormat="false" ht="13.8" hidden="false" customHeight="false" outlineLevel="0" collapsed="false">
      <c r="A109" s="30" t="s">
        <v>332</v>
      </c>
      <c r="B109" s="0" t="n">
        <v>103.592958333333</v>
      </c>
      <c r="C109" s="37" t="n">
        <v>103.592958333333</v>
      </c>
      <c r="D109" s="37" t="n">
        <v>103.592958333333</v>
      </c>
      <c r="E109" s="37" t="n">
        <v>103.592958333333</v>
      </c>
      <c r="G109" s="30"/>
    </row>
    <row r="110" customFormat="false" ht="13.8" hidden="false" customHeight="false" outlineLevel="0" collapsed="false">
      <c r="A110" s="30" t="s">
        <v>333</v>
      </c>
      <c r="B110" s="0" t="n">
        <v>823.5915</v>
      </c>
      <c r="C110" s="37" t="n">
        <v>823.5915</v>
      </c>
      <c r="D110" s="37" t="n">
        <v>823.5915</v>
      </c>
      <c r="E110" s="37" t="n">
        <v>823.5915</v>
      </c>
      <c r="G110" s="30"/>
    </row>
    <row r="111" customFormat="false" ht="13.8" hidden="false" customHeight="false" outlineLevel="0" collapsed="false">
      <c r="A111" s="30" t="s">
        <v>334</v>
      </c>
      <c r="B111" s="0" t="n">
        <v>742.715333333333</v>
      </c>
      <c r="C111" s="37" t="n">
        <v>742.715333333333</v>
      </c>
      <c r="D111" s="37" t="n">
        <v>742.715333333333</v>
      </c>
      <c r="E111" s="37" t="n">
        <v>742.715333333333</v>
      </c>
      <c r="G111" s="30"/>
    </row>
    <row r="112" customFormat="false" ht="13.8" hidden="false" customHeight="false" outlineLevel="0" collapsed="false">
      <c r="A112" s="30" t="s">
        <v>335</v>
      </c>
      <c r="B112" s="0" t="n">
        <v>1988.31670833333</v>
      </c>
      <c r="C112" s="37" t="n">
        <v>1988.31670833333</v>
      </c>
      <c r="D112" s="37" t="n">
        <v>1988.31670833333</v>
      </c>
      <c r="E112" s="37" t="n">
        <v>1988.31670833333</v>
      </c>
      <c r="G112" s="30"/>
    </row>
    <row r="113" customFormat="false" ht="13.8" hidden="false" customHeight="false" outlineLevel="0" collapsed="false">
      <c r="A113" s="30" t="s">
        <v>336</v>
      </c>
      <c r="B113" s="0" t="n">
        <v>1287.0525</v>
      </c>
      <c r="C113" s="37" t="n">
        <v>1287.0525</v>
      </c>
      <c r="D113" s="37" t="n">
        <v>1287.0525</v>
      </c>
      <c r="E113" s="37" t="n">
        <v>1287.0525</v>
      </c>
      <c r="G113" s="30"/>
    </row>
    <row r="114" customFormat="false" ht="13.8" hidden="false" customHeight="false" outlineLevel="0" collapsed="false">
      <c r="A114" s="30" t="s">
        <v>337</v>
      </c>
      <c r="B114" s="0" t="n">
        <v>535.8725</v>
      </c>
      <c r="C114" s="37" t="n">
        <v>535.8725</v>
      </c>
      <c r="D114" s="37" t="n">
        <v>535.8725</v>
      </c>
      <c r="E114" s="37" t="n">
        <v>535.8725</v>
      </c>
      <c r="G114" s="30"/>
    </row>
    <row r="115" customFormat="false" ht="13.8" hidden="false" customHeight="false" outlineLevel="0" collapsed="false">
      <c r="A115" s="30" t="s">
        <v>338</v>
      </c>
      <c r="B115" s="0" t="n">
        <v>2812.66645833333</v>
      </c>
      <c r="C115" s="37" t="n">
        <v>2812.66645833333</v>
      </c>
      <c r="D115" s="37" t="n">
        <v>2812.66645833333</v>
      </c>
      <c r="E115" s="37" t="n">
        <v>2812.66645833333</v>
      </c>
      <c r="G115" s="30"/>
    </row>
    <row r="116" customFormat="false" ht="13.8" hidden="false" customHeight="false" outlineLevel="0" collapsed="false">
      <c r="A116" s="30" t="s">
        <v>339</v>
      </c>
      <c r="B116" s="0" t="n">
        <v>1569.29347916667</v>
      </c>
      <c r="C116" s="37" t="n">
        <v>1569.29347916667</v>
      </c>
      <c r="D116" s="37" t="n">
        <v>1569.29347916667</v>
      </c>
      <c r="E116" s="37" t="n">
        <v>1569.29347916667</v>
      </c>
      <c r="G116" s="30"/>
    </row>
    <row r="117" customFormat="false" ht="13.8" hidden="false" customHeight="false" outlineLevel="0" collapsed="false">
      <c r="A117" s="30" t="s">
        <v>340</v>
      </c>
      <c r="B117" s="0" t="n">
        <v>5699.62345833334</v>
      </c>
      <c r="C117" s="37" t="n">
        <v>5699.62345833334</v>
      </c>
      <c r="D117" s="37" t="n">
        <v>5699.62345833334</v>
      </c>
      <c r="E117" s="37" t="n">
        <v>5699.62345833334</v>
      </c>
      <c r="G117" s="30"/>
    </row>
    <row r="118" customFormat="false" ht="13.8" hidden="false" customHeight="false" outlineLevel="0" collapsed="false">
      <c r="A118" s="30" t="s">
        <v>341</v>
      </c>
      <c r="B118" s="0" t="n">
        <v>11592.3704166667</v>
      </c>
      <c r="C118" s="37" t="n">
        <v>11592.3704166667</v>
      </c>
      <c r="D118" s="37" t="n">
        <v>11592.3704166667</v>
      </c>
      <c r="E118" s="37" t="n">
        <v>11592.3704166667</v>
      </c>
      <c r="G118" s="30"/>
    </row>
    <row r="119" customFormat="false" ht="13.8" hidden="false" customHeight="false" outlineLevel="0" collapsed="false">
      <c r="A119" s="30" t="s">
        <v>342</v>
      </c>
      <c r="B119" s="0" t="n">
        <v>810</v>
      </c>
      <c r="C119" s="37" t="n">
        <v>810</v>
      </c>
      <c r="D119" s="37" t="n">
        <v>810</v>
      </c>
      <c r="E119" s="37" t="n">
        <v>810</v>
      </c>
      <c r="G119" s="30"/>
    </row>
    <row r="120" customFormat="false" ht="13.8" hidden="false" customHeight="false" outlineLevel="0" collapsed="false">
      <c r="A120" s="30" t="s">
        <v>343</v>
      </c>
      <c r="B120" s="0" t="n">
        <v>450</v>
      </c>
      <c r="C120" s="37" t="n">
        <v>450</v>
      </c>
      <c r="D120" s="37" t="n">
        <v>450</v>
      </c>
      <c r="E120" s="37" t="n">
        <v>450</v>
      </c>
      <c r="G120" s="30"/>
    </row>
    <row r="121" customFormat="false" ht="13.8" hidden="false" customHeight="false" outlineLevel="0" collapsed="false">
      <c r="A121" s="30" t="s">
        <v>344</v>
      </c>
      <c r="B121" s="0" t="n">
        <v>1762.5</v>
      </c>
      <c r="C121" s="0" t="n">
        <v>1762.5</v>
      </c>
      <c r="D121" s="0" t="n">
        <v>1762.5</v>
      </c>
      <c r="E121" s="0" t="n">
        <v>1762.5</v>
      </c>
      <c r="G121" s="30"/>
    </row>
    <row r="122" customFormat="false" ht="13.8" hidden="false" customHeight="false" outlineLevel="0" collapsed="false">
      <c r="A122" s="30" t="s">
        <v>345</v>
      </c>
      <c r="B122" s="0" t="n">
        <v>5447.615</v>
      </c>
      <c r="C122" s="0" t="n">
        <v>5447.615</v>
      </c>
      <c r="D122" s="0" t="n">
        <v>5447.615</v>
      </c>
      <c r="E122" s="0" t="n">
        <v>5447.615</v>
      </c>
      <c r="G122" s="30"/>
    </row>
    <row r="123" customFormat="false" ht="13.8" hidden="false" customHeight="false" outlineLevel="0" collapsed="false">
      <c r="A123" s="30" t="s">
        <v>346</v>
      </c>
      <c r="B123" s="0" t="n">
        <v>60</v>
      </c>
      <c r="C123" s="0" t="n">
        <v>60</v>
      </c>
      <c r="D123" s="0" t="n">
        <v>60</v>
      </c>
      <c r="E123" s="0" t="n">
        <v>60</v>
      </c>
      <c r="G123" s="30"/>
    </row>
    <row r="124" customFormat="false" ht="13.8" hidden="false" customHeight="false" outlineLevel="0" collapsed="false">
      <c r="A124" s="30" t="s">
        <v>347</v>
      </c>
      <c r="B124" s="0" t="n">
        <v>2427.74</v>
      </c>
      <c r="C124" s="0" t="n">
        <v>2427.74</v>
      </c>
      <c r="D124" s="0" t="n">
        <v>2427.74</v>
      </c>
      <c r="E124" s="0" t="n">
        <v>2427.74</v>
      </c>
      <c r="G124" s="30"/>
    </row>
    <row r="125" customFormat="false" ht="13.8" hidden="false" customHeight="false" outlineLevel="0" collapsed="false">
      <c r="A125" s="30" t="s">
        <v>348</v>
      </c>
      <c r="B125" s="0" t="n">
        <v>15</v>
      </c>
      <c r="C125" s="0" t="n">
        <v>15</v>
      </c>
      <c r="D125" s="0" t="n">
        <v>15</v>
      </c>
      <c r="E125" s="0" t="n">
        <v>15</v>
      </c>
      <c r="G125" s="30"/>
    </row>
    <row r="126" customFormat="false" ht="13.8" hidden="false" customHeight="false" outlineLevel="0" collapsed="false">
      <c r="A126" s="30" t="s">
        <v>349</v>
      </c>
      <c r="B126" s="0" t="n">
        <v>488.208333333333</v>
      </c>
      <c r="C126" s="0" t="n">
        <v>488.208333333333</v>
      </c>
      <c r="D126" s="0" t="n">
        <v>488.208333333333</v>
      </c>
      <c r="E126" s="0" t="n">
        <v>488.208333333333</v>
      </c>
      <c r="G126" s="30"/>
    </row>
    <row r="127" customFormat="false" ht="13.8" hidden="false" customHeight="false" outlineLevel="0" collapsed="false">
      <c r="A127" s="30" t="s">
        <v>350</v>
      </c>
      <c r="B127" s="0" t="n">
        <v>1803.89583333333</v>
      </c>
      <c r="C127" s="0" t="n">
        <v>1803.89583333333</v>
      </c>
      <c r="D127" s="0" t="n">
        <v>1803.89583333333</v>
      </c>
      <c r="E127" s="0" t="n">
        <v>1803.89583333333</v>
      </c>
      <c r="G127" s="30"/>
    </row>
    <row r="128" customFormat="false" ht="13.8" hidden="false" customHeight="false" outlineLevel="0" collapsed="false">
      <c r="A128" s="30" t="s">
        <v>351</v>
      </c>
      <c r="B128" s="0" t="n">
        <v>294.3</v>
      </c>
      <c r="C128" s="0" t="n">
        <v>294.3</v>
      </c>
      <c r="D128" s="0" t="n">
        <v>294.3</v>
      </c>
      <c r="E128" s="0" t="n">
        <v>294.3</v>
      </c>
      <c r="G128" s="30"/>
    </row>
    <row r="129" customFormat="false" ht="13.8" hidden="false" customHeight="false" outlineLevel="0" collapsed="false">
      <c r="A129" s="30" t="s">
        <v>352</v>
      </c>
      <c r="B129" s="0" t="n">
        <v>364.5</v>
      </c>
      <c r="C129" s="0" t="n">
        <v>364.5</v>
      </c>
      <c r="D129" s="0" t="n">
        <v>364.5</v>
      </c>
      <c r="E129" s="0" t="n">
        <v>364.5</v>
      </c>
      <c r="G129" s="30"/>
    </row>
    <row r="130" customFormat="false" ht="13.8" hidden="false" customHeight="false" outlineLevel="0" collapsed="false">
      <c r="A130" s="30" t="s">
        <v>353</v>
      </c>
      <c r="B130" s="0" t="n">
        <v>952.770833333333</v>
      </c>
      <c r="C130" s="0" t="n">
        <v>952.770833333333</v>
      </c>
      <c r="D130" s="0" t="n">
        <v>952.770833333333</v>
      </c>
      <c r="E130" s="0" t="n">
        <v>952.770833333333</v>
      </c>
      <c r="G130" s="30"/>
    </row>
    <row r="131" customFormat="false" ht="13.8" hidden="false" customHeight="false" outlineLevel="0" collapsed="false">
      <c r="A131" s="30" t="s">
        <v>354</v>
      </c>
      <c r="B131" s="0" t="n">
        <v>2696.97041666667</v>
      </c>
      <c r="C131" s="0" t="n">
        <v>2696.97041666667</v>
      </c>
      <c r="D131" s="0" t="n">
        <v>2696.97041666667</v>
      </c>
      <c r="E131" s="0" t="n">
        <v>2696.97041666667</v>
      </c>
      <c r="G131" s="30"/>
    </row>
    <row r="132" customFormat="false" ht="13.8" hidden="false" customHeight="false" outlineLevel="0" collapsed="false">
      <c r="A132" s="30" t="s">
        <v>355</v>
      </c>
      <c r="B132" s="0" t="n">
        <v>2559.14583333333</v>
      </c>
      <c r="C132" s="0" t="n">
        <v>2559.14583333333</v>
      </c>
      <c r="D132" s="0" t="n">
        <v>2559.14583333333</v>
      </c>
      <c r="E132" s="0" t="n">
        <v>2559.14583333333</v>
      </c>
      <c r="G132" s="30"/>
    </row>
    <row r="133" customFormat="false" ht="13.8" hidden="false" customHeight="false" outlineLevel="0" collapsed="false">
      <c r="A133" s="30" t="s">
        <v>356</v>
      </c>
      <c r="B133" s="0" t="n">
        <v>1294.02083333333</v>
      </c>
      <c r="C133" s="0" t="n">
        <v>1294.02083333333</v>
      </c>
      <c r="D133" s="0" t="n">
        <v>1294.02083333333</v>
      </c>
      <c r="E133" s="0" t="n">
        <v>1294.02083333333</v>
      </c>
      <c r="G133" s="30"/>
    </row>
    <row r="134" customFormat="false" ht="13.8" hidden="false" customHeight="false" outlineLevel="0" collapsed="false">
      <c r="A134" s="30" t="s">
        <v>357</v>
      </c>
      <c r="B134" s="0" t="n">
        <v>2704.95833333333</v>
      </c>
      <c r="C134" s="0" t="n">
        <v>2704.95833333333</v>
      </c>
      <c r="D134" s="0" t="n">
        <v>2704.95833333333</v>
      </c>
      <c r="E134" s="0" t="n">
        <v>2704.95833333333</v>
      </c>
      <c r="G134" s="30"/>
    </row>
    <row r="135" customFormat="false" ht="13.8" hidden="false" customHeight="false" outlineLevel="0" collapsed="false">
      <c r="A135" s="30" t="s">
        <v>358</v>
      </c>
      <c r="B135" s="0" t="n">
        <v>97.5</v>
      </c>
      <c r="C135" s="0" t="n">
        <v>97.5</v>
      </c>
      <c r="D135" s="0" t="n">
        <v>97.5</v>
      </c>
      <c r="E135" s="0" t="n">
        <v>97.5</v>
      </c>
      <c r="G135" s="30"/>
    </row>
    <row r="136" customFormat="false" ht="13.8" hidden="false" customHeight="false" outlineLevel="0" collapsed="false">
      <c r="A136" s="30" t="s">
        <v>359</v>
      </c>
      <c r="B136" s="0" t="n">
        <v>1646.77083333333</v>
      </c>
      <c r="C136" s="0" t="n">
        <v>1646.77083333333</v>
      </c>
      <c r="D136" s="0" t="n">
        <v>1646.77083333333</v>
      </c>
      <c r="E136" s="0" t="n">
        <v>1646.77083333333</v>
      </c>
      <c r="G136" s="30"/>
    </row>
    <row r="137" customFormat="false" ht="13.8" hidden="false" customHeight="false" outlineLevel="0" collapsed="false">
      <c r="A137" s="30" t="s">
        <v>360</v>
      </c>
      <c r="B137" s="0" t="n">
        <v>5293.22916666667</v>
      </c>
      <c r="C137" s="0" t="n">
        <v>5293.22916666667</v>
      </c>
      <c r="D137" s="0" t="n">
        <v>5293.22916666667</v>
      </c>
      <c r="E137" s="0" t="n">
        <v>5293.22916666667</v>
      </c>
      <c r="G137" s="30"/>
    </row>
    <row r="138" customFormat="false" ht="13.8" hidden="false" customHeight="false" outlineLevel="0" collapsed="false">
      <c r="A138" s="30" t="s">
        <v>361</v>
      </c>
      <c r="B138" s="0" t="n">
        <v>10.5</v>
      </c>
      <c r="C138" s="0" t="n">
        <v>10.5</v>
      </c>
      <c r="D138" s="0" t="n">
        <v>10.5</v>
      </c>
      <c r="E138" s="0" t="n">
        <v>10.5</v>
      </c>
      <c r="G138" s="30"/>
    </row>
    <row r="139" customFormat="false" ht="13.8" hidden="false" customHeight="false" outlineLevel="0" collapsed="false">
      <c r="A139" s="30" t="s">
        <v>362</v>
      </c>
      <c r="B139" s="0" t="n">
        <v>6955.125</v>
      </c>
      <c r="C139" s="0" t="n">
        <v>6955.125</v>
      </c>
      <c r="D139" s="0" t="n">
        <v>6955.125</v>
      </c>
      <c r="E139" s="0" t="n">
        <v>6955.125</v>
      </c>
      <c r="G139" s="30"/>
    </row>
    <row r="140" customFormat="false" ht="13.8" hidden="false" customHeight="false" outlineLevel="0" collapsed="false">
      <c r="A140" s="30" t="s">
        <v>363</v>
      </c>
      <c r="B140" s="0" t="n">
        <v>1251.45454545455</v>
      </c>
      <c r="C140" s="0" t="n">
        <v>1251.45454545455</v>
      </c>
      <c r="D140" s="0" t="n">
        <v>1251.45454545455</v>
      </c>
      <c r="E140" s="0" t="n">
        <v>1251.45454545455</v>
      </c>
      <c r="G140" s="30"/>
    </row>
    <row r="141" customFormat="false" ht="13.8" hidden="false" customHeight="false" outlineLevel="0" collapsed="false">
      <c r="A141" s="30" t="s">
        <v>364</v>
      </c>
      <c r="B141" s="0" t="n">
        <v>501</v>
      </c>
      <c r="C141" s="0" t="n">
        <v>501</v>
      </c>
      <c r="D141" s="0" t="n">
        <v>501</v>
      </c>
      <c r="E141" s="0" t="n">
        <v>501</v>
      </c>
      <c r="G141" s="30"/>
    </row>
    <row r="142" customFormat="false" ht="13.8" hidden="false" customHeight="false" outlineLevel="0" collapsed="false">
      <c r="A142" s="30" t="s">
        <v>365</v>
      </c>
      <c r="B142" s="0" t="n">
        <v>7958.21875</v>
      </c>
      <c r="C142" s="0" t="n">
        <v>7958.21875</v>
      </c>
      <c r="D142" s="0" t="n">
        <v>7958.21875</v>
      </c>
      <c r="E142" s="0" t="n">
        <v>7958.21875</v>
      </c>
      <c r="G142" s="30"/>
    </row>
    <row r="143" customFormat="false" ht="13.8" hidden="false" customHeight="false" outlineLevel="0" collapsed="false">
      <c r="A143" s="30" t="s">
        <v>366</v>
      </c>
      <c r="B143" s="0" t="n">
        <v>2027.4375</v>
      </c>
      <c r="C143" s="0" t="n">
        <v>2027.4375</v>
      </c>
      <c r="D143" s="0" t="n">
        <v>2027.4375</v>
      </c>
      <c r="E143" s="0" t="n">
        <v>2027.4375</v>
      </c>
      <c r="G143" s="30"/>
    </row>
    <row r="144" customFormat="false" ht="13.8" hidden="false" customHeight="false" outlineLevel="0" collapsed="false">
      <c r="A144" s="30" t="s">
        <v>367</v>
      </c>
      <c r="B144" s="0" t="n">
        <v>1465.1875</v>
      </c>
      <c r="C144" s="0" t="n">
        <v>1465.1875</v>
      </c>
      <c r="D144" s="0" t="n">
        <v>1465.1875</v>
      </c>
      <c r="E144" s="0" t="n">
        <v>1465.1875</v>
      </c>
      <c r="G144" s="30"/>
    </row>
    <row r="145" customFormat="false" ht="13.8" hidden="false" customHeight="false" outlineLevel="0" collapsed="false">
      <c r="A145" s="30" t="s">
        <v>368</v>
      </c>
      <c r="B145" s="0" t="n">
        <v>2720.45454545455</v>
      </c>
      <c r="C145" s="0" t="n">
        <v>2720.45454545455</v>
      </c>
      <c r="D145" s="0" t="n">
        <v>2720.45454545455</v>
      </c>
      <c r="E145" s="0" t="n">
        <v>2720.45454545455</v>
      </c>
      <c r="G145" s="30"/>
    </row>
    <row r="146" customFormat="false" ht="13.8" hidden="false" customHeight="false" outlineLevel="0" collapsed="false">
      <c r="A146" s="30" t="s">
        <v>369</v>
      </c>
      <c r="B146" s="0" t="n">
        <v>25881.625</v>
      </c>
      <c r="C146" s="0" t="n">
        <v>25881.625</v>
      </c>
      <c r="D146" s="0" t="n">
        <v>25881.625</v>
      </c>
      <c r="E146" s="0" t="n">
        <v>25881.625</v>
      </c>
      <c r="G146" s="30"/>
    </row>
    <row r="147" customFormat="false" ht="13.8" hidden="false" customHeight="false" outlineLevel="0" collapsed="false">
      <c r="A147" s="30" t="s">
        <v>370</v>
      </c>
      <c r="B147" s="0" t="n">
        <v>2186.72916666667</v>
      </c>
      <c r="C147" s="0" t="n">
        <v>2186.72916666667</v>
      </c>
      <c r="D147" s="0" t="n">
        <v>2186.72916666667</v>
      </c>
      <c r="E147" s="0" t="n">
        <v>2186.72916666667</v>
      </c>
      <c r="G147" s="30"/>
    </row>
    <row r="148" customFormat="false" ht="13.8" hidden="false" customHeight="false" outlineLevel="0" collapsed="false">
      <c r="A148" s="30" t="s">
        <v>371</v>
      </c>
      <c r="B148" s="0" t="n">
        <v>12530.4166666667</v>
      </c>
      <c r="C148" s="0" t="n">
        <v>12530.4166666667</v>
      </c>
      <c r="D148" s="0" t="n">
        <v>12530.4166666667</v>
      </c>
      <c r="E148" s="0" t="n">
        <v>12530.4166666667</v>
      </c>
      <c r="G148" s="30"/>
    </row>
    <row r="149" customFormat="false" ht="13.8" hidden="false" customHeight="false" outlineLevel="0" collapsed="false">
      <c r="A149" s="30" t="s">
        <v>372</v>
      </c>
      <c r="B149" s="0" t="n">
        <v>2455.71428571429</v>
      </c>
      <c r="C149" s="0" t="n">
        <v>2455.71428571429</v>
      </c>
      <c r="D149" s="0" t="n">
        <v>2455.71428571429</v>
      </c>
      <c r="E149" s="0" t="n">
        <v>2455.71428571429</v>
      </c>
      <c r="G149" s="30"/>
    </row>
    <row r="150" customFormat="false" ht="13.8" hidden="false" customHeight="false" outlineLevel="0" collapsed="false">
      <c r="A150" s="30" t="s">
        <v>373</v>
      </c>
      <c r="B150" s="0" t="n">
        <v>750</v>
      </c>
      <c r="C150" s="0" t="n">
        <v>750</v>
      </c>
      <c r="D150" s="0" t="n">
        <v>750</v>
      </c>
      <c r="E150" s="0" t="n">
        <v>750</v>
      </c>
      <c r="G150" s="30"/>
    </row>
    <row r="151" customFormat="false" ht="13.8" hidden="false" customHeight="false" outlineLevel="0" collapsed="false">
      <c r="A151" s="30" t="s">
        <v>374</v>
      </c>
      <c r="B151" s="0" t="n">
        <v>179.479166666667</v>
      </c>
      <c r="C151" s="0" t="n">
        <v>179.479166666667</v>
      </c>
      <c r="D151" s="0" t="n">
        <v>179.479166666667</v>
      </c>
      <c r="E151" s="0" t="n">
        <v>179.479166666667</v>
      </c>
      <c r="G151" s="30"/>
    </row>
    <row r="152" customFormat="false" ht="13.8" hidden="false" customHeight="false" outlineLevel="0" collapsed="false">
      <c r="A152" s="30" t="s">
        <v>375</v>
      </c>
      <c r="B152" s="0" t="n">
        <v>1063.125</v>
      </c>
      <c r="C152" s="0" t="n">
        <v>1063.125</v>
      </c>
      <c r="D152" s="0" t="n">
        <v>1063.125</v>
      </c>
      <c r="E152" s="0" t="n">
        <v>1063.125</v>
      </c>
      <c r="G152" s="30"/>
    </row>
    <row r="153" customFormat="false" ht="13.8" hidden="false" customHeight="false" outlineLevel="0" collapsed="false">
      <c r="A153" s="30" t="s">
        <v>376</v>
      </c>
      <c r="B153" s="0" t="n">
        <v>960</v>
      </c>
      <c r="C153" s="0" t="n">
        <v>960</v>
      </c>
      <c r="D153" s="0" t="n">
        <v>960</v>
      </c>
      <c r="E153" s="0" t="n">
        <v>960</v>
      </c>
      <c r="G153" s="30"/>
    </row>
    <row r="154" customFormat="false" ht="13.8" hidden="false" customHeight="false" outlineLevel="0" collapsed="false">
      <c r="A154" s="30" t="s">
        <v>377</v>
      </c>
      <c r="B154" s="0" t="n">
        <v>1744.09090909091</v>
      </c>
      <c r="C154" s="0" t="n">
        <v>1744.09090909091</v>
      </c>
      <c r="D154" s="0" t="n">
        <v>1744.09090909091</v>
      </c>
      <c r="E154" s="0" t="n">
        <v>1744.09090909091</v>
      </c>
      <c r="G154" s="30"/>
    </row>
    <row r="155" customFormat="false" ht="13.8" hidden="false" customHeight="false" outlineLevel="0" collapsed="false">
      <c r="A155" s="30" t="s">
        <v>378</v>
      </c>
      <c r="B155" s="0" t="n">
        <v>1485.875</v>
      </c>
      <c r="C155" s="0" t="n">
        <v>1485.875</v>
      </c>
      <c r="D155" s="0" t="n">
        <v>1485.875</v>
      </c>
      <c r="E155" s="0" t="n">
        <v>1485.875</v>
      </c>
      <c r="G155" s="30"/>
    </row>
    <row r="156" customFormat="false" ht="13.8" hidden="false" customHeight="false" outlineLevel="0" collapsed="false">
      <c r="A156" s="30" t="s">
        <v>379</v>
      </c>
      <c r="B156" s="0" t="n">
        <v>3188.10416666667</v>
      </c>
      <c r="C156" s="0" t="n">
        <v>3188.10416666667</v>
      </c>
      <c r="D156" s="0" t="n">
        <v>3188.10416666667</v>
      </c>
      <c r="E156" s="0" t="n">
        <v>3188.10416666667</v>
      </c>
      <c r="G156" s="30"/>
    </row>
    <row r="157" customFormat="false" ht="13.8" hidden="false" customHeight="false" outlineLevel="0" collapsed="false">
      <c r="A157" s="30" t="s">
        <v>380</v>
      </c>
      <c r="B157" s="0" t="n">
        <v>2846.45833333333</v>
      </c>
      <c r="C157" s="0" t="n">
        <v>2846.45833333333</v>
      </c>
      <c r="D157" s="0" t="n">
        <v>2846.45833333333</v>
      </c>
      <c r="E157" s="0" t="n">
        <v>2846.45833333333</v>
      </c>
      <c r="G157" s="30"/>
    </row>
    <row r="158" customFormat="false" ht="13.8" hidden="false" customHeight="false" outlineLevel="0" collapsed="false">
      <c r="A158" s="30" t="s">
        <v>381</v>
      </c>
      <c r="B158" s="0" t="n">
        <v>6075.91666666667</v>
      </c>
      <c r="C158" s="0" t="n">
        <v>6075.91666666667</v>
      </c>
      <c r="D158" s="0" t="n">
        <v>6075.91666666667</v>
      </c>
      <c r="E158" s="0" t="n">
        <v>6075.91666666667</v>
      </c>
      <c r="G158" s="30"/>
    </row>
    <row r="159" customFormat="false" ht="13.8" hidden="false" customHeight="false" outlineLevel="0" collapsed="false">
      <c r="A159" s="30" t="s">
        <v>382</v>
      </c>
      <c r="B159" s="0" t="n">
        <v>587.454545454546</v>
      </c>
      <c r="C159" s="0" t="n">
        <v>587.454545454546</v>
      </c>
      <c r="D159" s="0" t="n">
        <v>587.454545454546</v>
      </c>
      <c r="E159" s="0" t="n">
        <v>587.454545454546</v>
      </c>
      <c r="G159" s="30"/>
    </row>
    <row r="160" customFormat="false" ht="13.8" hidden="false" customHeight="false" outlineLevel="0" collapsed="false">
      <c r="A160" s="30" t="s">
        <v>383</v>
      </c>
      <c r="B160" s="0" t="n">
        <v>280.791666666667</v>
      </c>
      <c r="C160" s="0" t="n">
        <v>280.791666666667</v>
      </c>
      <c r="D160" s="0" t="n">
        <v>280.791666666667</v>
      </c>
      <c r="E160" s="0" t="n">
        <v>280.791666666667</v>
      </c>
      <c r="G160" s="30"/>
    </row>
    <row r="161" customFormat="false" ht="13.8" hidden="false" customHeight="false" outlineLevel="0" collapsed="false">
      <c r="A161" s="30" t="s">
        <v>384</v>
      </c>
      <c r="B161" s="0" t="n">
        <v>229.875</v>
      </c>
      <c r="C161" s="0" t="n">
        <v>229.875</v>
      </c>
      <c r="D161" s="0" t="n">
        <v>229.875</v>
      </c>
      <c r="E161" s="0" t="n">
        <v>229.875</v>
      </c>
      <c r="G161" s="30"/>
    </row>
    <row r="162" customFormat="false" ht="13.8" hidden="false" customHeight="false" outlineLevel="0" collapsed="false">
      <c r="A162" s="30" t="s">
        <v>385</v>
      </c>
      <c r="B162" s="0" t="n">
        <v>12.75</v>
      </c>
      <c r="C162" s="0" t="n">
        <v>12.75</v>
      </c>
      <c r="D162" s="0" t="n">
        <v>12.75</v>
      </c>
      <c r="E162" s="0" t="n">
        <v>12.75</v>
      </c>
      <c r="G162" s="30"/>
    </row>
    <row r="163" customFormat="false" ht="13.8" hidden="false" customHeight="false" outlineLevel="0" collapsed="false">
      <c r="A163" s="30" t="s">
        <v>386</v>
      </c>
      <c r="B163" s="0" t="n">
        <v>233.645833333333</v>
      </c>
      <c r="C163" s="0" t="n">
        <v>233.645833333333</v>
      </c>
      <c r="D163" s="0" t="n">
        <v>233.645833333333</v>
      </c>
      <c r="E163" s="0" t="n">
        <v>233.645833333333</v>
      </c>
      <c r="G163" s="30"/>
    </row>
    <row r="164" customFormat="false" ht="13.8" hidden="false" customHeight="false" outlineLevel="0" collapsed="false">
      <c r="A164" s="30" t="s">
        <v>387</v>
      </c>
      <c r="B164" s="0" t="n">
        <v>1071.5625</v>
      </c>
      <c r="C164" s="0" t="n">
        <v>1071.5625</v>
      </c>
      <c r="D164" s="0" t="n">
        <v>1071.5625</v>
      </c>
      <c r="E164" s="0" t="n">
        <v>1071.5625</v>
      </c>
      <c r="G164" s="30"/>
    </row>
    <row r="165" customFormat="false" ht="13.8" hidden="false" customHeight="false" outlineLevel="0" collapsed="false">
      <c r="A165" s="30" t="s">
        <v>388</v>
      </c>
      <c r="B165" s="0" t="n">
        <v>374.8125</v>
      </c>
      <c r="C165" s="0" t="n">
        <v>374.8125</v>
      </c>
      <c r="D165" s="0" t="n">
        <v>374.8125</v>
      </c>
      <c r="E165" s="0" t="n">
        <v>374.8125</v>
      </c>
      <c r="G165" s="30"/>
    </row>
    <row r="166" customFormat="false" ht="13.8" hidden="false" customHeight="false" outlineLevel="0" collapsed="false">
      <c r="A166" s="30" t="s">
        <v>389</v>
      </c>
      <c r="B166" s="0" t="n">
        <v>151.020833333333</v>
      </c>
      <c r="C166" s="0" t="n">
        <v>151.020833333333</v>
      </c>
      <c r="D166" s="0" t="n">
        <v>151.020833333333</v>
      </c>
      <c r="E166" s="0" t="n">
        <v>151.020833333333</v>
      </c>
      <c r="G166" s="30"/>
    </row>
    <row r="167" customFormat="false" ht="13.8" hidden="false" customHeight="false" outlineLevel="0" collapsed="false">
      <c r="A167" s="30" t="s">
        <v>390</v>
      </c>
      <c r="B167" s="0" t="n">
        <v>122.909090909091</v>
      </c>
      <c r="C167" s="0" t="n">
        <v>122.909090909091</v>
      </c>
      <c r="D167" s="0" t="n">
        <v>122.909090909091</v>
      </c>
      <c r="E167" s="0" t="n">
        <v>122.909090909091</v>
      </c>
      <c r="G167" s="30"/>
    </row>
    <row r="168" customFormat="false" ht="13.8" hidden="false" customHeight="false" outlineLevel="0" collapsed="false">
      <c r="A168" s="30" t="s">
        <v>391</v>
      </c>
      <c r="B168" s="0" t="n">
        <v>122.6875</v>
      </c>
      <c r="C168" s="0" t="n">
        <v>122.6875</v>
      </c>
      <c r="D168" s="0" t="n">
        <v>122.6875</v>
      </c>
      <c r="E168" s="0" t="n">
        <v>122.6875</v>
      </c>
      <c r="G168" s="30"/>
    </row>
    <row r="169" customFormat="false" ht="13.8" hidden="false" customHeight="false" outlineLevel="0" collapsed="false">
      <c r="A169" s="30" t="s">
        <v>392</v>
      </c>
      <c r="B169" s="0" t="n">
        <v>25.2727272727273</v>
      </c>
      <c r="C169" s="0" t="n">
        <v>25.2727272727273</v>
      </c>
      <c r="D169" s="0" t="n">
        <v>25.2727272727273</v>
      </c>
      <c r="E169" s="0" t="n">
        <v>25.2727272727273</v>
      </c>
      <c r="G169" s="30"/>
    </row>
    <row r="170" customFormat="false" ht="13.8" hidden="false" customHeight="false" outlineLevel="0" collapsed="false">
      <c r="A170" s="30" t="s">
        <v>393</v>
      </c>
      <c r="B170" s="0" t="n">
        <v>202.772727272727</v>
      </c>
      <c r="C170" s="0" t="n">
        <v>202.772727272727</v>
      </c>
      <c r="D170" s="0" t="n">
        <v>202.772727272727</v>
      </c>
      <c r="E170" s="0" t="n">
        <v>202.772727272727</v>
      </c>
      <c r="G170" s="30"/>
    </row>
    <row r="171" customFormat="false" ht="13.8" hidden="false" customHeight="false" outlineLevel="0" collapsed="false">
      <c r="A171" s="30" t="s">
        <v>394</v>
      </c>
      <c r="B171" s="0" t="n">
        <v>2365.58333333333</v>
      </c>
      <c r="C171" s="0" t="n">
        <v>2365.58333333333</v>
      </c>
      <c r="D171" s="0" t="n">
        <v>2365.58333333333</v>
      </c>
      <c r="E171" s="0" t="n">
        <v>2365.58333333333</v>
      </c>
      <c r="G171" s="30"/>
    </row>
    <row r="172" customFormat="false" ht="13.8" hidden="false" customHeight="false" outlineLevel="0" collapsed="false">
      <c r="A172" s="30" t="s">
        <v>395</v>
      </c>
      <c r="B172" s="0" t="n">
        <v>2.33333333333333</v>
      </c>
      <c r="C172" s="0" t="n">
        <v>2.33333333333333</v>
      </c>
      <c r="D172" s="0" t="n">
        <v>2.33333333333333</v>
      </c>
      <c r="E172" s="0" t="n">
        <v>2.33333333333333</v>
      </c>
      <c r="G172" s="30"/>
    </row>
    <row r="173" customFormat="false" ht="13.8" hidden="false" customHeight="false" outlineLevel="0" collapsed="false">
      <c r="A173" s="30" t="s">
        <v>396</v>
      </c>
      <c r="B173" s="0" t="n">
        <v>1.5</v>
      </c>
      <c r="C173" s="0" t="n">
        <v>1.5</v>
      </c>
      <c r="D173" s="0" t="n">
        <v>1.5</v>
      </c>
      <c r="E173" s="0" t="n">
        <v>1.5</v>
      </c>
      <c r="G173" s="30"/>
    </row>
    <row r="174" customFormat="false" ht="13.8" hidden="false" customHeight="false" outlineLevel="0" collapsed="false">
      <c r="A174" s="30" t="s">
        <v>397</v>
      </c>
      <c r="B174" s="0" t="n">
        <v>1483.91666666667</v>
      </c>
      <c r="C174" s="0" t="n">
        <v>1483.91666666667</v>
      </c>
      <c r="D174" s="0" t="n">
        <v>1483.91666666667</v>
      </c>
      <c r="E174" s="0" t="n">
        <v>1483.91666666667</v>
      </c>
      <c r="G174" s="30"/>
    </row>
    <row r="175" customFormat="false" ht="13.8" hidden="false" customHeight="false" outlineLevel="0" collapsed="false">
      <c r="A175" s="30" t="s">
        <v>398</v>
      </c>
      <c r="B175" s="0" t="n">
        <v>163.659090909091</v>
      </c>
      <c r="C175" s="0" t="n">
        <v>163.659090909091</v>
      </c>
      <c r="D175" s="0" t="n">
        <v>163.659090909091</v>
      </c>
      <c r="E175" s="0" t="n">
        <v>163.659090909091</v>
      </c>
      <c r="G175" s="30"/>
    </row>
    <row r="176" customFormat="false" ht="13.8" hidden="false" customHeight="false" outlineLevel="0" collapsed="false">
      <c r="A176" s="30" t="s">
        <v>399</v>
      </c>
      <c r="B176" s="0" t="n">
        <v>116.7</v>
      </c>
      <c r="C176" s="0" t="n">
        <v>116.7</v>
      </c>
      <c r="D176" s="0" t="n">
        <v>116.7</v>
      </c>
      <c r="E176" s="0" t="n">
        <v>116.7</v>
      </c>
      <c r="G176" s="30"/>
    </row>
    <row r="177" customFormat="false" ht="13.8" hidden="false" customHeight="false" outlineLevel="0" collapsed="false">
      <c r="A177" s="30" t="s">
        <v>400</v>
      </c>
      <c r="B177" s="0" t="n">
        <v>160.090909090909</v>
      </c>
      <c r="C177" s="0" t="n">
        <v>160.090909090909</v>
      </c>
      <c r="D177" s="0" t="n">
        <v>160.090909090909</v>
      </c>
      <c r="E177" s="0" t="n">
        <v>160.090909090909</v>
      </c>
      <c r="G177" s="30"/>
    </row>
    <row r="178" customFormat="false" ht="13.8" hidden="false" customHeight="false" outlineLevel="0" collapsed="false">
      <c r="A178" s="30" t="s">
        <v>401</v>
      </c>
      <c r="B178" s="0" t="n">
        <v>912.75</v>
      </c>
      <c r="C178" s="0" t="n">
        <v>912.75</v>
      </c>
      <c r="D178" s="0" t="n">
        <v>912.75</v>
      </c>
      <c r="E178" s="0" t="n">
        <v>912.75</v>
      </c>
      <c r="G178" s="30"/>
    </row>
    <row r="179" customFormat="false" ht="13.8" hidden="false" customHeight="false" outlineLevel="0" collapsed="false">
      <c r="A179" s="30" t="s">
        <v>402</v>
      </c>
      <c r="B179" s="0" t="n">
        <v>700.818181818182</v>
      </c>
      <c r="C179" s="0" t="n">
        <v>700.818181818182</v>
      </c>
      <c r="D179" s="0" t="n">
        <v>700.818181818182</v>
      </c>
      <c r="E179" s="0" t="n">
        <v>700.818181818182</v>
      </c>
      <c r="G179" s="30"/>
    </row>
    <row r="180" customFormat="false" ht="13.8" hidden="false" customHeight="false" outlineLevel="0" collapsed="false">
      <c r="A180" s="30" t="s">
        <v>403</v>
      </c>
      <c r="B180" s="0" t="n">
        <v>1142.77083333333</v>
      </c>
      <c r="C180" s="0" t="n">
        <v>1142.77083333333</v>
      </c>
      <c r="D180" s="0" t="n">
        <v>1142.77083333333</v>
      </c>
      <c r="E180" s="0" t="n">
        <v>1142.77083333333</v>
      </c>
      <c r="G180" s="30"/>
    </row>
    <row r="181" customFormat="false" ht="13.8" hidden="false" customHeight="false" outlineLevel="0" collapsed="false">
      <c r="A181" s="30" t="s">
        <v>404</v>
      </c>
      <c r="B181" s="0" t="n">
        <v>1947.60416666667</v>
      </c>
      <c r="C181" s="0" t="n">
        <v>1947.60416666667</v>
      </c>
      <c r="D181" s="0" t="n">
        <v>1947.60416666667</v>
      </c>
      <c r="E181" s="0" t="n">
        <v>1947.60416666667</v>
      </c>
      <c r="G181" s="30"/>
    </row>
    <row r="182" customFormat="false" ht="13.8" hidden="false" customHeight="false" outlineLevel="0" collapsed="false">
      <c r="A182" s="30" t="s">
        <v>405</v>
      </c>
      <c r="B182" s="0" t="n">
        <v>23224</v>
      </c>
      <c r="C182" s="0" t="n">
        <v>23224</v>
      </c>
      <c r="D182" s="0" t="n">
        <v>23224</v>
      </c>
      <c r="E182" s="0" t="n">
        <v>23224</v>
      </c>
      <c r="G182" s="30"/>
    </row>
    <row r="183" customFormat="false" ht="13.8" hidden="false" customHeight="false" outlineLevel="0" collapsed="false">
      <c r="A183" s="30" t="s">
        <v>406</v>
      </c>
      <c r="B183" s="0" t="n">
        <v>13785.9090909091</v>
      </c>
      <c r="C183" s="0" t="n">
        <v>13785.9090909091</v>
      </c>
      <c r="D183" s="0" t="n">
        <v>13785.9090909091</v>
      </c>
      <c r="E183" s="0" t="n">
        <v>13785.9090909091</v>
      </c>
      <c r="G183" s="30"/>
    </row>
    <row r="184" customFormat="false" ht="13.8" hidden="false" customHeight="false" outlineLevel="0" collapsed="false">
      <c r="A184" s="30" t="s">
        <v>407</v>
      </c>
      <c r="B184" s="0" t="n">
        <v>5343.10416666667</v>
      </c>
      <c r="C184" s="0" t="n">
        <v>5343.10416666667</v>
      </c>
      <c r="D184" s="0" t="n">
        <v>5343.10416666667</v>
      </c>
      <c r="E184" s="0" t="n">
        <v>5343.10416666667</v>
      </c>
      <c r="G184" s="30"/>
    </row>
    <row r="185" customFormat="false" ht="13.8" hidden="false" customHeight="false" outlineLevel="0" collapsed="false">
      <c r="A185" s="30" t="s">
        <v>408</v>
      </c>
      <c r="B185" s="0" t="n">
        <v>6.875</v>
      </c>
      <c r="C185" s="0" t="n">
        <v>6.875</v>
      </c>
      <c r="D185" s="0" t="n">
        <v>6.875</v>
      </c>
      <c r="E185" s="0" t="n">
        <v>6.875</v>
      </c>
      <c r="G185" s="30"/>
    </row>
    <row r="186" customFormat="false" ht="13.8" hidden="false" customHeight="false" outlineLevel="0" collapsed="false">
      <c r="A186" s="30" t="s">
        <v>409</v>
      </c>
      <c r="B186" s="0" t="n">
        <v>1514.47916666667</v>
      </c>
      <c r="C186" s="0" t="n">
        <v>1514.47916666667</v>
      </c>
      <c r="D186" s="0" t="n">
        <v>1514.47916666667</v>
      </c>
      <c r="E186" s="0" t="n">
        <v>1514.47916666667</v>
      </c>
      <c r="G186" s="30"/>
    </row>
    <row r="187" customFormat="false" ht="13.8" hidden="false" customHeight="false" outlineLevel="0" collapsed="false">
      <c r="A187" s="30" t="s">
        <v>410</v>
      </c>
      <c r="B187" s="0" t="n">
        <v>233.0625</v>
      </c>
      <c r="C187" s="0" t="n">
        <v>233.0625</v>
      </c>
      <c r="D187" s="0" t="n">
        <v>233.0625</v>
      </c>
      <c r="E187" s="0" t="n">
        <v>233.0625</v>
      </c>
      <c r="G187" s="30"/>
    </row>
    <row r="188" customFormat="false" ht="13.8" hidden="false" customHeight="false" outlineLevel="0" collapsed="false">
      <c r="A188" s="30" t="s">
        <v>411</v>
      </c>
      <c r="B188" s="0" t="n">
        <v>24784.9375</v>
      </c>
      <c r="C188" s="0" t="n">
        <v>24784.9375</v>
      </c>
      <c r="D188" s="0" t="n">
        <v>24784.9375</v>
      </c>
      <c r="E188" s="0" t="n">
        <v>24784.9375</v>
      </c>
      <c r="G188" s="30"/>
    </row>
    <row r="189" customFormat="false" ht="13.8" hidden="false" customHeight="false" outlineLevel="0" collapsed="false">
      <c r="A189" s="30" t="s">
        <v>412</v>
      </c>
      <c r="B189" s="0" t="n">
        <v>1316.18181818182</v>
      </c>
      <c r="C189" s="0" t="n">
        <v>1316.18181818182</v>
      </c>
      <c r="D189" s="0" t="n">
        <v>1316.18181818182</v>
      </c>
      <c r="E189" s="0" t="n">
        <v>1316.18181818182</v>
      </c>
      <c r="G189" s="30"/>
    </row>
    <row r="190" customFormat="false" ht="13.8" hidden="false" customHeight="false" outlineLevel="0" collapsed="false">
      <c r="A190" s="30" t="s">
        <v>413</v>
      </c>
      <c r="B190" s="0" t="n">
        <v>1777.04545454545</v>
      </c>
      <c r="C190" s="0" t="n">
        <v>1777.04545454545</v>
      </c>
      <c r="D190" s="0" t="n">
        <v>1777.04545454545</v>
      </c>
      <c r="E190" s="0" t="n">
        <v>1777.04545454545</v>
      </c>
      <c r="G190" s="30"/>
    </row>
    <row r="191" customFormat="false" ht="13.8" hidden="false" customHeight="false" outlineLevel="0" collapsed="false">
      <c r="A191" s="30" t="s">
        <v>414</v>
      </c>
      <c r="B191" s="0" t="n">
        <v>30364.0833333333</v>
      </c>
      <c r="C191" s="0" t="n">
        <v>30364.0833333333</v>
      </c>
      <c r="D191" s="0" t="n">
        <v>30364.0833333333</v>
      </c>
      <c r="E191" s="0" t="n">
        <v>30364.0833333333</v>
      </c>
      <c r="G191" s="30"/>
    </row>
    <row r="192" customFormat="false" ht="13.8" hidden="false" customHeight="false" outlineLevel="0" collapsed="false">
      <c r="A192" s="30" t="s">
        <v>415</v>
      </c>
      <c r="B192" s="0" t="n">
        <v>4000</v>
      </c>
      <c r="C192" s="0" t="n">
        <v>4000</v>
      </c>
      <c r="D192" s="0" t="n">
        <v>4000</v>
      </c>
      <c r="E192" s="0" t="n">
        <v>4000</v>
      </c>
      <c r="G192" s="30"/>
    </row>
    <row r="193" customFormat="false" ht="13.8" hidden="false" customHeight="false" outlineLevel="0" collapsed="false">
      <c r="A193" s="30" t="s">
        <v>416</v>
      </c>
      <c r="B193" s="0" t="n">
        <v>3767.97916666667</v>
      </c>
      <c r="C193" s="0" t="n">
        <v>3767.97916666667</v>
      </c>
      <c r="D193" s="0" t="n">
        <v>3767.97916666667</v>
      </c>
      <c r="E193" s="0" t="n">
        <v>3767.97916666667</v>
      </c>
      <c r="G193" s="30"/>
    </row>
    <row r="194" customFormat="false" ht="13.8" hidden="false" customHeight="false" outlineLevel="0" collapsed="false">
      <c r="A194" s="30" t="s">
        <v>417</v>
      </c>
      <c r="B194" s="0" t="n">
        <v>509.090909090909</v>
      </c>
      <c r="C194" s="0" t="n">
        <v>509.090909090909</v>
      </c>
      <c r="D194" s="0" t="n">
        <v>509.090909090909</v>
      </c>
      <c r="E194" s="0" t="n">
        <v>509.090909090909</v>
      </c>
      <c r="G194" s="30"/>
    </row>
    <row r="195" customFormat="false" ht="13.8" hidden="false" customHeight="false" outlineLevel="0" collapsed="false">
      <c r="A195" s="30" t="s">
        <v>418</v>
      </c>
      <c r="B195" s="0" t="n">
        <v>3554.75</v>
      </c>
      <c r="C195" s="0" t="n">
        <v>3554.75</v>
      </c>
      <c r="D195" s="0" t="n">
        <v>3554.75</v>
      </c>
      <c r="E195" s="0" t="n">
        <v>3554.75</v>
      </c>
      <c r="G195" s="30"/>
    </row>
    <row r="196" customFormat="false" ht="13.8" hidden="false" customHeight="false" outlineLevel="0" collapsed="false">
      <c r="A196" s="30" t="s">
        <v>419</v>
      </c>
      <c r="B196" s="0" t="n">
        <v>765.1875</v>
      </c>
      <c r="C196" s="0" t="n">
        <v>765.1875</v>
      </c>
      <c r="D196" s="0" t="n">
        <v>765.1875</v>
      </c>
      <c r="E196" s="0" t="n">
        <v>765.1875</v>
      </c>
      <c r="G196" s="30"/>
    </row>
    <row r="197" customFormat="false" ht="13.8" hidden="false" customHeight="false" outlineLevel="0" collapsed="false">
      <c r="A197" s="30" t="s">
        <v>420</v>
      </c>
      <c r="B197" s="0" t="n">
        <v>3951.81818181818</v>
      </c>
      <c r="C197" s="0" t="n">
        <v>3951.81818181818</v>
      </c>
      <c r="D197" s="0" t="n">
        <v>3951.81818181818</v>
      </c>
      <c r="E197" s="0" t="n">
        <v>3951.81818181818</v>
      </c>
      <c r="G197" s="30"/>
    </row>
    <row r="198" customFormat="false" ht="13.8" hidden="false" customHeight="false" outlineLevel="0" collapsed="false">
      <c r="A198" s="30" t="s">
        <v>421</v>
      </c>
      <c r="B198" s="0" t="n">
        <v>673.659090909091</v>
      </c>
      <c r="C198" s="0" t="n">
        <v>673.659090909091</v>
      </c>
      <c r="D198" s="0" t="n">
        <v>673.659090909091</v>
      </c>
      <c r="E198" s="0" t="n">
        <v>673.659090909091</v>
      </c>
      <c r="G198" s="30"/>
    </row>
    <row r="199" customFormat="false" ht="13.8" hidden="false" customHeight="false" outlineLevel="0" collapsed="false">
      <c r="A199" s="30" t="s">
        <v>422</v>
      </c>
      <c r="B199" s="0" t="n">
        <v>8491.55555555556</v>
      </c>
      <c r="C199" s="0" t="n">
        <v>8491.55555555556</v>
      </c>
      <c r="D199" s="0" t="n">
        <v>8491.55555555556</v>
      </c>
      <c r="E199" s="0" t="n">
        <v>8491.55555555556</v>
      </c>
      <c r="G199" s="30"/>
    </row>
    <row r="200" customFormat="false" ht="13.8" hidden="false" customHeight="false" outlineLevel="0" collapsed="false">
      <c r="A200" s="30" t="s">
        <v>423</v>
      </c>
      <c r="B200" s="0" t="n">
        <v>8000</v>
      </c>
      <c r="C200" s="0" t="n">
        <v>8000</v>
      </c>
      <c r="D200" s="0" t="n">
        <v>8000</v>
      </c>
      <c r="E200" s="0" t="n">
        <v>8000</v>
      </c>
      <c r="G200" s="30"/>
    </row>
    <row r="201" customFormat="false" ht="13.8" hidden="false" customHeight="false" outlineLevel="0" collapsed="false">
      <c r="A201" s="30" t="s">
        <v>424</v>
      </c>
      <c r="B201" s="0" t="n">
        <v>4704</v>
      </c>
      <c r="C201" s="0" t="n">
        <v>4704</v>
      </c>
      <c r="D201" s="0" t="n">
        <v>4704</v>
      </c>
      <c r="E201" s="0" t="n">
        <v>4704</v>
      </c>
      <c r="G201" s="30"/>
    </row>
    <row r="202" customFormat="false" ht="13.8" hidden="false" customHeight="false" outlineLevel="0" collapsed="false">
      <c r="A202" s="30" t="s">
        <v>425</v>
      </c>
      <c r="B202" s="0" t="n">
        <v>31567.3125</v>
      </c>
      <c r="C202" s="0" t="n">
        <v>31567.3125</v>
      </c>
      <c r="D202" s="0" t="n">
        <v>31567.3125</v>
      </c>
      <c r="E202" s="0" t="n">
        <v>31567.3125</v>
      </c>
      <c r="G202" s="30"/>
    </row>
    <row r="203" customFormat="false" ht="13.8" hidden="false" customHeight="false" outlineLevel="0" collapsed="false">
      <c r="A203" s="30" t="s">
        <v>426</v>
      </c>
      <c r="B203" s="0" t="n">
        <v>1443.375</v>
      </c>
      <c r="C203" s="0" t="n">
        <v>1443.375</v>
      </c>
      <c r="D203" s="0" t="n">
        <v>1443.375</v>
      </c>
      <c r="E203" s="0" t="n">
        <v>1443.375</v>
      </c>
      <c r="G203" s="30"/>
    </row>
    <row r="204" customFormat="false" ht="13.8" hidden="false" customHeight="false" outlineLevel="0" collapsed="false">
      <c r="A204" s="30" t="s">
        <v>427</v>
      </c>
      <c r="B204" s="0" t="n">
        <v>1466.625</v>
      </c>
      <c r="C204" s="0" t="n">
        <v>1466.625</v>
      </c>
      <c r="D204" s="0" t="n">
        <v>1466.625</v>
      </c>
      <c r="E204" s="0" t="n">
        <v>1466.625</v>
      </c>
      <c r="G204" s="30"/>
    </row>
    <row r="205" customFormat="false" ht="13.8" hidden="false" customHeight="false" outlineLevel="0" collapsed="false">
      <c r="A205" s="30" t="s">
        <v>428</v>
      </c>
      <c r="B205" s="0" t="n">
        <v>5628.42857142857</v>
      </c>
      <c r="C205" s="0" t="n">
        <v>5628.42857142857</v>
      </c>
      <c r="D205" s="0" t="n">
        <v>5628.42857142857</v>
      </c>
      <c r="E205" s="0" t="n">
        <v>5628.42857142857</v>
      </c>
      <c r="G205" s="30"/>
    </row>
    <row r="206" customFormat="false" ht="13.8" hidden="false" customHeight="false" outlineLevel="0" collapsed="false">
      <c r="A206" s="30" t="s">
        <v>429</v>
      </c>
      <c r="B206" s="0" t="n">
        <v>333</v>
      </c>
      <c r="C206" s="0" t="n">
        <v>333</v>
      </c>
      <c r="D206" s="0" t="n">
        <v>333</v>
      </c>
      <c r="E206" s="0" t="n">
        <v>333</v>
      </c>
      <c r="G206" s="30"/>
    </row>
    <row r="207" customFormat="false" ht="13.8" hidden="false" customHeight="false" outlineLevel="0" collapsed="false">
      <c r="A207" s="30" t="s">
        <v>430</v>
      </c>
      <c r="B207" s="0" t="n">
        <v>851.25</v>
      </c>
      <c r="C207" s="0" t="n">
        <v>851.25</v>
      </c>
      <c r="D207" s="0" t="n">
        <v>851.25</v>
      </c>
      <c r="E207" s="0" t="n">
        <v>851.25</v>
      </c>
      <c r="G207" s="30"/>
    </row>
    <row r="208" customFormat="false" ht="13.8" hidden="false" customHeight="false" outlineLevel="0" collapsed="false">
      <c r="A208" s="30" t="s">
        <v>431</v>
      </c>
      <c r="B208" s="0" t="n">
        <v>1796.25</v>
      </c>
      <c r="C208" s="0" t="n">
        <v>1796.25</v>
      </c>
      <c r="D208" s="0" t="n">
        <v>1796.25</v>
      </c>
      <c r="E208" s="0" t="n">
        <v>1796.25</v>
      </c>
      <c r="G208" s="30"/>
    </row>
  </sheetData>
  <autoFilter ref="A1:E120"/>
  <hyperlinks>
    <hyperlink ref="K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D30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3.8"/>
  <cols>
    <col collapsed="false" hidden="false" max="1" min="1" style="38" width="17.5668016194332"/>
    <col collapsed="false" hidden="false" max="2" min="2" style="38" width="18.6396761133603"/>
    <col collapsed="false" hidden="false" max="3" min="3" style="0" width="8.57085020242915"/>
    <col collapsed="false" hidden="false" max="4" min="4" style="38" width="17.5668016194332"/>
    <col collapsed="false" hidden="false" max="1025" min="5" style="0" width="8.57085020242915"/>
  </cols>
  <sheetData>
    <row r="1" customFormat="false" ht="15" hidden="false" customHeight="true" outlineLevel="0" collapsed="false">
      <c r="A1" s="39" t="s">
        <v>119</v>
      </c>
      <c r="B1" s="40" t="s">
        <v>432</v>
      </c>
      <c r="D1" s="39" t="s">
        <v>119</v>
      </c>
    </row>
    <row r="2" customFormat="false" ht="13.8" hidden="false" customHeight="false" outlineLevel="0" collapsed="false">
      <c r="A2" s="41" t="s">
        <v>120</v>
      </c>
      <c r="B2" s="42" t="n">
        <v>0</v>
      </c>
      <c r="D2" s="42" t="s">
        <v>433</v>
      </c>
    </row>
    <row r="3" customFormat="false" ht="13.8" hidden="false" customHeight="false" outlineLevel="0" collapsed="false">
      <c r="A3" s="41" t="s">
        <v>434</v>
      </c>
      <c r="B3" s="42" t="n">
        <v>0</v>
      </c>
      <c r="D3" s="42" t="s">
        <v>435</v>
      </c>
    </row>
    <row r="4" customFormat="false" ht="13.8" hidden="false" customHeight="false" outlineLevel="0" collapsed="false">
      <c r="A4" s="41" t="s">
        <v>436</v>
      </c>
      <c r="B4" s="42" t="n">
        <v>0</v>
      </c>
      <c r="D4" s="42" t="s">
        <v>437</v>
      </c>
    </row>
    <row r="5" customFormat="false" ht="13.8" hidden="false" customHeight="false" outlineLevel="0" collapsed="false">
      <c r="A5" s="41" t="s">
        <v>438</v>
      </c>
      <c r="B5" s="42" t="n">
        <v>0</v>
      </c>
      <c r="D5" s="42" t="s">
        <v>439</v>
      </c>
    </row>
    <row r="6" customFormat="false" ht="13.8" hidden="false" customHeight="false" outlineLevel="0" collapsed="false">
      <c r="A6" s="41" t="s">
        <v>215</v>
      </c>
      <c r="B6" s="42" t="n">
        <v>0</v>
      </c>
      <c r="D6" s="42" t="s">
        <v>440</v>
      </c>
    </row>
    <row r="7" customFormat="false" ht="13.8" hidden="false" customHeight="false" outlineLevel="0" collapsed="false">
      <c r="A7" s="41" t="s">
        <v>441</v>
      </c>
      <c r="B7" s="42" t="n">
        <v>0</v>
      </c>
      <c r="D7" s="42" t="s">
        <v>442</v>
      </c>
    </row>
    <row r="8" customFormat="false" ht="13.8" hidden="false" customHeight="false" outlineLevel="0" collapsed="false">
      <c r="A8" s="41" t="s">
        <v>443</v>
      </c>
      <c r="B8" s="42" t="n">
        <v>0</v>
      </c>
      <c r="D8" s="42" t="s">
        <v>444</v>
      </c>
    </row>
    <row r="9" customFormat="false" ht="13.8" hidden="false" customHeight="false" outlineLevel="0" collapsed="false">
      <c r="A9" s="41" t="s">
        <v>445</v>
      </c>
      <c r="B9" s="42" t="n">
        <v>0</v>
      </c>
      <c r="D9" s="42" t="s">
        <v>446</v>
      </c>
    </row>
    <row r="10" customFormat="false" ht="13.8" hidden="false" customHeight="false" outlineLevel="0" collapsed="false">
      <c r="A10" s="41" t="s">
        <v>121</v>
      </c>
      <c r="B10" s="42" t="n">
        <v>0</v>
      </c>
      <c r="D10" s="42" t="s">
        <v>447</v>
      </c>
    </row>
    <row r="11" customFormat="false" ht="13.8" hidden="false" customHeight="false" outlineLevel="0" collapsed="false">
      <c r="A11" s="41" t="s">
        <v>448</v>
      </c>
      <c r="B11" s="42" t="n">
        <v>0</v>
      </c>
      <c r="D11" s="42" t="s">
        <v>449</v>
      </c>
    </row>
    <row r="12" customFormat="false" ht="13.8" hidden="false" customHeight="false" outlineLevel="0" collapsed="false">
      <c r="A12" s="41" t="s">
        <v>122</v>
      </c>
      <c r="B12" s="42" t="n">
        <v>0</v>
      </c>
      <c r="D12" s="42" t="s">
        <v>450</v>
      </c>
    </row>
    <row r="13" customFormat="false" ht="13.8" hidden="false" customHeight="false" outlineLevel="0" collapsed="false">
      <c r="A13" s="41" t="s">
        <v>451</v>
      </c>
      <c r="B13" s="42" t="n">
        <v>0</v>
      </c>
      <c r="D13" s="42" t="s">
        <v>452</v>
      </c>
    </row>
    <row r="14" customFormat="false" ht="13.8" hidden="false" customHeight="false" outlineLevel="0" collapsed="false">
      <c r="A14" s="41" t="s">
        <v>453</v>
      </c>
      <c r="B14" s="42" t="n">
        <v>0</v>
      </c>
      <c r="D14" s="42" t="s">
        <v>454</v>
      </c>
    </row>
    <row r="15" customFormat="false" ht="13.8" hidden="false" customHeight="false" outlineLevel="0" collapsed="false">
      <c r="A15" s="41" t="s">
        <v>455</v>
      </c>
      <c r="B15" s="42" t="n">
        <v>0</v>
      </c>
      <c r="D15" s="42" t="s">
        <v>456</v>
      </c>
    </row>
    <row r="16" customFormat="false" ht="13.8" hidden="false" customHeight="false" outlineLevel="0" collapsed="false">
      <c r="A16" s="41" t="s">
        <v>457</v>
      </c>
      <c r="B16" s="42" t="n">
        <v>0</v>
      </c>
      <c r="D16" s="42" t="s">
        <v>458</v>
      </c>
    </row>
    <row r="17" customFormat="false" ht="13.8" hidden="false" customHeight="false" outlineLevel="0" collapsed="false">
      <c r="A17" s="41" t="s">
        <v>123</v>
      </c>
      <c r="B17" s="42" t="n">
        <v>0</v>
      </c>
      <c r="D17" s="42" t="s">
        <v>459</v>
      </c>
    </row>
    <row r="18" customFormat="false" ht="13.8" hidden="false" customHeight="false" outlineLevel="0" collapsed="false">
      <c r="A18" s="41" t="s">
        <v>460</v>
      </c>
      <c r="B18" s="42" t="n">
        <v>0</v>
      </c>
      <c r="D18" s="42" t="s">
        <v>461</v>
      </c>
    </row>
    <row r="19" customFormat="false" ht="13.8" hidden="false" customHeight="false" outlineLevel="0" collapsed="false">
      <c r="A19" s="41" t="s">
        <v>462</v>
      </c>
      <c r="B19" s="42" t="n">
        <v>0</v>
      </c>
      <c r="D19" s="43" t="s">
        <v>463</v>
      </c>
    </row>
    <row r="20" customFormat="false" ht="13.8" hidden="false" customHeight="false" outlineLevel="0" collapsed="false">
      <c r="A20" s="41" t="s">
        <v>464</v>
      </c>
      <c r="B20" s="42" t="n">
        <v>0</v>
      </c>
      <c r="D20" s="42" t="s">
        <v>465</v>
      </c>
    </row>
    <row r="21" customFormat="false" ht="13.8" hidden="false" customHeight="false" outlineLevel="0" collapsed="false">
      <c r="A21" s="41" t="s">
        <v>124</v>
      </c>
      <c r="B21" s="42" t="n">
        <v>0</v>
      </c>
      <c r="D21" s="42" t="s">
        <v>466</v>
      </c>
    </row>
    <row r="22" customFormat="false" ht="13.8" hidden="false" customHeight="false" outlineLevel="0" collapsed="false">
      <c r="A22" s="41" t="s">
        <v>467</v>
      </c>
      <c r="B22" s="42" t="n">
        <v>0</v>
      </c>
      <c r="D22" s="42" t="s">
        <v>468</v>
      </c>
    </row>
    <row r="23" customFormat="false" ht="13.8" hidden="false" customHeight="false" outlineLevel="0" collapsed="false">
      <c r="A23" s="41" t="s">
        <v>469</v>
      </c>
      <c r="B23" s="42" t="n">
        <v>0</v>
      </c>
      <c r="D23" s="42" t="s">
        <v>470</v>
      </c>
    </row>
    <row r="24" customFormat="false" ht="13.8" hidden="false" customHeight="false" outlineLevel="0" collapsed="false">
      <c r="A24" s="41" t="s">
        <v>471</v>
      </c>
      <c r="B24" s="42" t="n">
        <v>0</v>
      </c>
      <c r="D24" s="42" t="s">
        <v>472</v>
      </c>
    </row>
    <row r="25" customFormat="false" ht="13.8" hidden="false" customHeight="false" outlineLevel="0" collapsed="false">
      <c r="A25" s="41" t="s">
        <v>218</v>
      </c>
      <c r="B25" s="42" t="n">
        <v>0</v>
      </c>
      <c r="D25" s="42" t="s">
        <v>473</v>
      </c>
    </row>
    <row r="26" customFormat="false" ht="13.8" hidden="false" customHeight="false" outlineLevel="0" collapsed="false">
      <c r="A26" s="41" t="s">
        <v>474</v>
      </c>
      <c r="B26" s="42" t="n">
        <v>0</v>
      </c>
      <c r="D26" s="42" t="s">
        <v>475</v>
      </c>
    </row>
    <row r="27" customFormat="false" ht="13.8" hidden="false" customHeight="false" outlineLevel="0" collapsed="false">
      <c r="A27" s="41" t="s">
        <v>126</v>
      </c>
      <c r="B27" s="42" t="n">
        <v>0</v>
      </c>
      <c r="D27" s="42" t="s">
        <v>476</v>
      </c>
    </row>
    <row r="28" customFormat="false" ht="13.8" hidden="false" customHeight="false" outlineLevel="0" collapsed="false">
      <c r="A28" s="41" t="s">
        <v>477</v>
      </c>
      <c r="B28" s="42" t="n">
        <v>0</v>
      </c>
      <c r="D28" s="42" t="s">
        <v>478</v>
      </c>
    </row>
    <row r="29" customFormat="false" ht="13.8" hidden="false" customHeight="false" outlineLevel="0" collapsed="false">
      <c r="A29" s="41" t="s">
        <v>479</v>
      </c>
      <c r="B29" s="42" t="n">
        <v>0</v>
      </c>
      <c r="D29" s="42" t="s">
        <v>480</v>
      </c>
    </row>
    <row r="30" customFormat="false" ht="13.8" hidden="false" customHeight="false" outlineLevel="0" collapsed="false">
      <c r="A30" s="41" t="s">
        <v>481</v>
      </c>
      <c r="B30" s="42" t="n">
        <v>0</v>
      </c>
      <c r="D30" s="42" t="s">
        <v>482</v>
      </c>
    </row>
    <row r="31" customFormat="false" ht="13.8" hidden="false" customHeight="false" outlineLevel="0" collapsed="false">
      <c r="A31" s="41" t="s">
        <v>219</v>
      </c>
      <c r="B31" s="42" t="n">
        <v>0</v>
      </c>
      <c r="D31" s="42" t="s">
        <v>483</v>
      </c>
    </row>
    <row r="32" customFormat="false" ht="13.8" hidden="false" customHeight="false" outlineLevel="0" collapsed="false">
      <c r="A32" s="41" t="s">
        <v>484</v>
      </c>
      <c r="B32" s="42" t="n">
        <v>0</v>
      </c>
      <c r="D32" s="42" t="s">
        <v>485</v>
      </c>
    </row>
    <row r="33" customFormat="false" ht="13.8" hidden="false" customHeight="false" outlineLevel="0" collapsed="false">
      <c r="A33" s="41" t="s">
        <v>127</v>
      </c>
      <c r="B33" s="42" t="n">
        <v>0</v>
      </c>
      <c r="D33" s="42" t="s">
        <v>486</v>
      </c>
    </row>
    <row r="34" customFormat="false" ht="13.8" hidden="false" customHeight="false" outlineLevel="0" collapsed="false">
      <c r="A34" s="41" t="s">
        <v>128</v>
      </c>
      <c r="B34" s="42" t="n">
        <v>0</v>
      </c>
      <c r="D34" s="42" t="s">
        <v>487</v>
      </c>
    </row>
    <row r="35" customFormat="false" ht="13.8" hidden="false" customHeight="false" outlineLevel="0" collapsed="false">
      <c r="A35" s="41" t="s">
        <v>488</v>
      </c>
      <c r="B35" s="42" t="n">
        <v>0</v>
      </c>
      <c r="D35" s="42" t="s">
        <v>489</v>
      </c>
    </row>
    <row r="36" customFormat="false" ht="13.8" hidden="false" customHeight="false" outlineLevel="0" collapsed="false">
      <c r="A36" s="41" t="s">
        <v>490</v>
      </c>
      <c r="B36" s="42" t="n">
        <v>0</v>
      </c>
      <c r="D36" s="42" t="s">
        <v>491</v>
      </c>
    </row>
    <row r="37" customFormat="false" ht="13.8" hidden="false" customHeight="false" outlineLevel="0" collapsed="false">
      <c r="A37" s="41" t="s">
        <v>130</v>
      </c>
      <c r="B37" s="42" t="n">
        <v>0</v>
      </c>
      <c r="D37" s="42" t="s">
        <v>492</v>
      </c>
    </row>
    <row r="38" customFormat="false" ht="13.8" hidden="false" customHeight="false" outlineLevel="0" collapsed="false">
      <c r="A38" s="41" t="s">
        <v>493</v>
      </c>
      <c r="B38" s="42" t="n">
        <v>0</v>
      </c>
      <c r="D38" s="42" t="s">
        <v>494</v>
      </c>
    </row>
    <row r="39" customFormat="false" ht="13.8" hidden="false" customHeight="false" outlineLevel="0" collapsed="false">
      <c r="A39" s="41" t="s">
        <v>131</v>
      </c>
      <c r="B39" s="42" t="n">
        <v>0</v>
      </c>
      <c r="D39" s="42" t="s">
        <v>495</v>
      </c>
    </row>
    <row r="40" customFormat="false" ht="13.8" hidden="false" customHeight="false" outlineLevel="0" collapsed="false">
      <c r="A40" s="41" t="s">
        <v>496</v>
      </c>
      <c r="B40" s="42" t="n">
        <v>0</v>
      </c>
      <c r="D40" s="42" t="s">
        <v>497</v>
      </c>
    </row>
    <row r="41" customFormat="false" ht="13.8" hidden="false" customHeight="false" outlineLevel="0" collapsed="false">
      <c r="A41" s="41" t="s">
        <v>498</v>
      </c>
      <c r="B41" s="42" t="n">
        <v>0</v>
      </c>
      <c r="D41" s="42" t="s">
        <v>499</v>
      </c>
    </row>
    <row r="42" customFormat="false" ht="13.8" hidden="false" customHeight="false" outlineLevel="0" collapsed="false">
      <c r="A42" s="41" t="s">
        <v>500</v>
      </c>
      <c r="B42" s="42" t="n">
        <v>0</v>
      </c>
      <c r="D42" s="42" t="s">
        <v>501</v>
      </c>
    </row>
    <row r="43" customFormat="false" ht="13.8" hidden="false" customHeight="false" outlineLevel="0" collapsed="false">
      <c r="A43" s="41" t="s">
        <v>502</v>
      </c>
      <c r="B43" s="42" t="n">
        <v>0</v>
      </c>
      <c r="D43" s="42" t="s">
        <v>503</v>
      </c>
    </row>
    <row r="44" customFormat="false" ht="13.8" hidden="false" customHeight="false" outlineLevel="0" collapsed="false">
      <c r="A44" s="41" t="s">
        <v>504</v>
      </c>
      <c r="B44" s="42" t="n">
        <v>0</v>
      </c>
      <c r="D44" s="42" t="s">
        <v>505</v>
      </c>
    </row>
    <row r="45" customFormat="false" ht="13.8" hidden="false" customHeight="false" outlineLevel="0" collapsed="false">
      <c r="A45" s="41" t="s">
        <v>506</v>
      </c>
      <c r="B45" s="42" t="n">
        <v>0</v>
      </c>
      <c r="D45" s="42" t="s">
        <v>507</v>
      </c>
    </row>
    <row r="46" customFormat="false" ht="13.8" hidden="false" customHeight="false" outlineLevel="0" collapsed="false">
      <c r="A46" s="41" t="s">
        <v>508</v>
      </c>
      <c r="B46" s="42" t="n">
        <v>0</v>
      </c>
      <c r="D46" s="42" t="s">
        <v>509</v>
      </c>
    </row>
    <row r="47" customFormat="false" ht="13.8" hidden="false" customHeight="false" outlineLevel="0" collapsed="false">
      <c r="A47" s="41" t="s">
        <v>510</v>
      </c>
      <c r="B47" s="42" t="n">
        <v>0</v>
      </c>
      <c r="D47" s="42" t="s">
        <v>511</v>
      </c>
    </row>
    <row r="48" customFormat="false" ht="13.8" hidden="false" customHeight="false" outlineLevel="0" collapsed="false">
      <c r="A48" s="41" t="s">
        <v>512</v>
      </c>
      <c r="B48" s="42" t="n">
        <v>0</v>
      </c>
      <c r="D48" s="42" t="s">
        <v>513</v>
      </c>
    </row>
    <row r="49" customFormat="false" ht="13.8" hidden="false" customHeight="false" outlineLevel="0" collapsed="false">
      <c r="A49" s="41" t="s">
        <v>134</v>
      </c>
      <c r="B49" s="42" t="n">
        <v>0</v>
      </c>
      <c r="D49" s="42" t="s">
        <v>514</v>
      </c>
    </row>
    <row r="50" customFormat="false" ht="13.8" hidden="false" customHeight="false" outlineLevel="0" collapsed="false">
      <c r="A50" s="41" t="s">
        <v>515</v>
      </c>
      <c r="B50" s="42" t="n">
        <v>0</v>
      </c>
      <c r="D50" s="42" t="s">
        <v>516</v>
      </c>
    </row>
    <row r="51" customFormat="false" ht="13.8" hidden="false" customHeight="false" outlineLevel="0" collapsed="false">
      <c r="A51" s="41" t="s">
        <v>135</v>
      </c>
      <c r="B51" s="42" t="n">
        <v>0</v>
      </c>
      <c r="D51" s="42" t="s">
        <v>517</v>
      </c>
    </row>
    <row r="52" customFormat="false" ht="13.8" hidden="false" customHeight="false" outlineLevel="0" collapsed="false">
      <c r="A52" s="41" t="s">
        <v>136</v>
      </c>
      <c r="B52" s="42" t="n">
        <v>0</v>
      </c>
      <c r="D52" s="42" t="s">
        <v>518</v>
      </c>
    </row>
    <row r="53" customFormat="false" ht="13.8" hidden="false" customHeight="false" outlineLevel="0" collapsed="false">
      <c r="A53" s="41" t="s">
        <v>137</v>
      </c>
      <c r="B53" s="42" t="n">
        <v>0</v>
      </c>
      <c r="D53" s="42" t="s">
        <v>519</v>
      </c>
    </row>
    <row r="54" customFormat="false" ht="13.8" hidden="false" customHeight="false" outlineLevel="0" collapsed="false">
      <c r="A54" s="41" t="s">
        <v>138</v>
      </c>
      <c r="B54" s="42" t="n">
        <v>0</v>
      </c>
      <c r="D54" s="42" t="s">
        <v>520</v>
      </c>
    </row>
    <row r="55" customFormat="false" ht="13.8" hidden="false" customHeight="false" outlineLevel="0" collapsed="false">
      <c r="A55" s="41" t="s">
        <v>521</v>
      </c>
      <c r="B55" s="42" t="n">
        <v>0</v>
      </c>
      <c r="D55" s="42" t="s">
        <v>522</v>
      </c>
    </row>
    <row r="56" customFormat="false" ht="13.8" hidden="false" customHeight="false" outlineLevel="0" collapsed="false">
      <c r="A56" s="41" t="s">
        <v>139</v>
      </c>
      <c r="B56" s="42" t="n">
        <v>0</v>
      </c>
      <c r="D56" s="42" t="s">
        <v>523</v>
      </c>
    </row>
    <row r="57" customFormat="false" ht="13.8" hidden="false" customHeight="false" outlineLevel="0" collapsed="false">
      <c r="A57" s="41" t="s">
        <v>140</v>
      </c>
      <c r="B57" s="42" t="n">
        <v>0</v>
      </c>
      <c r="D57" s="42" t="s">
        <v>524</v>
      </c>
    </row>
    <row r="58" customFormat="false" ht="13.8" hidden="false" customHeight="false" outlineLevel="0" collapsed="false">
      <c r="A58" s="41" t="s">
        <v>525</v>
      </c>
      <c r="B58" s="42" t="n">
        <v>0</v>
      </c>
      <c r="D58" s="42" t="s">
        <v>526</v>
      </c>
    </row>
    <row r="59" customFormat="false" ht="13.8" hidden="false" customHeight="false" outlineLevel="0" collapsed="false">
      <c r="A59" s="41" t="s">
        <v>141</v>
      </c>
      <c r="B59" s="42" t="n">
        <v>0</v>
      </c>
      <c r="D59" s="42" t="s">
        <v>527</v>
      </c>
    </row>
    <row r="60" customFormat="false" ht="13.8" hidden="false" customHeight="false" outlineLevel="0" collapsed="false">
      <c r="A60" s="41" t="s">
        <v>528</v>
      </c>
      <c r="B60" s="42" t="n">
        <v>0</v>
      </c>
      <c r="D60" s="42" t="s">
        <v>529</v>
      </c>
    </row>
    <row r="61" customFormat="false" ht="13.8" hidden="false" customHeight="false" outlineLevel="0" collapsed="false">
      <c r="A61" s="41" t="s">
        <v>530</v>
      </c>
      <c r="B61" s="42" t="n">
        <v>0</v>
      </c>
      <c r="D61" s="42" t="s">
        <v>531</v>
      </c>
    </row>
    <row r="62" customFormat="false" ht="13.8" hidden="false" customHeight="false" outlineLevel="0" collapsed="false">
      <c r="A62" s="41" t="s">
        <v>532</v>
      </c>
      <c r="B62" s="42" t="n">
        <v>0</v>
      </c>
      <c r="D62" s="42" t="s">
        <v>533</v>
      </c>
    </row>
    <row r="63" customFormat="false" ht="13.8" hidden="false" customHeight="false" outlineLevel="0" collapsed="false">
      <c r="A63" s="41" t="s">
        <v>142</v>
      </c>
      <c r="B63" s="42" t="n">
        <v>0</v>
      </c>
      <c r="D63" s="42" t="s">
        <v>534</v>
      </c>
    </row>
    <row r="64" customFormat="false" ht="13.8" hidden="false" customHeight="false" outlineLevel="0" collapsed="false">
      <c r="A64" s="41" t="s">
        <v>143</v>
      </c>
      <c r="B64" s="42" t="n">
        <v>0</v>
      </c>
      <c r="D64" s="42" t="s">
        <v>535</v>
      </c>
    </row>
    <row r="65" customFormat="false" ht="13.8" hidden="false" customHeight="false" outlineLevel="0" collapsed="false">
      <c r="A65" s="41" t="s">
        <v>144</v>
      </c>
      <c r="B65" s="42" t="n">
        <v>0</v>
      </c>
      <c r="D65" s="42" t="s">
        <v>536</v>
      </c>
    </row>
    <row r="66" customFormat="false" ht="13.8" hidden="false" customHeight="false" outlineLevel="0" collapsed="false">
      <c r="A66" s="41" t="s">
        <v>145</v>
      </c>
      <c r="B66" s="42" t="n">
        <v>0</v>
      </c>
      <c r="D66" s="42" t="s">
        <v>537</v>
      </c>
    </row>
    <row r="67" customFormat="false" ht="13.8" hidden="false" customHeight="false" outlineLevel="0" collapsed="false">
      <c r="A67" s="41" t="s">
        <v>146</v>
      </c>
      <c r="B67" s="42" t="n">
        <v>0</v>
      </c>
      <c r="D67" s="42" t="s">
        <v>538</v>
      </c>
    </row>
    <row r="68" customFormat="false" ht="13.8" hidden="false" customHeight="false" outlineLevel="0" collapsed="false">
      <c r="A68" s="41" t="s">
        <v>147</v>
      </c>
      <c r="B68" s="42" t="n">
        <v>0</v>
      </c>
      <c r="D68" s="42" t="s">
        <v>539</v>
      </c>
    </row>
    <row r="69" customFormat="false" ht="13.8" hidden="false" customHeight="false" outlineLevel="0" collapsed="false">
      <c r="A69" s="41" t="s">
        <v>148</v>
      </c>
      <c r="B69" s="42" t="n">
        <v>0</v>
      </c>
      <c r="D69" s="42" t="s">
        <v>540</v>
      </c>
    </row>
    <row r="70" customFormat="false" ht="13.8" hidden="false" customHeight="false" outlineLevel="0" collapsed="false">
      <c r="A70" s="41" t="s">
        <v>149</v>
      </c>
      <c r="B70" s="42" t="n">
        <v>0</v>
      </c>
      <c r="D70" s="42" t="s">
        <v>541</v>
      </c>
    </row>
    <row r="71" customFormat="false" ht="13.8" hidden="false" customHeight="false" outlineLevel="0" collapsed="false">
      <c r="A71" s="41" t="s">
        <v>542</v>
      </c>
      <c r="B71" s="42" t="n">
        <v>0</v>
      </c>
      <c r="D71" s="42" t="s">
        <v>543</v>
      </c>
    </row>
    <row r="72" customFormat="false" ht="13.8" hidden="false" customHeight="false" outlineLevel="0" collapsed="false">
      <c r="A72" s="41" t="s">
        <v>150</v>
      </c>
      <c r="B72" s="42" t="n">
        <v>0</v>
      </c>
      <c r="D72" s="42" t="s">
        <v>544</v>
      </c>
    </row>
    <row r="73" customFormat="false" ht="13.8" hidden="false" customHeight="false" outlineLevel="0" collapsed="false">
      <c r="A73" s="41" t="s">
        <v>545</v>
      </c>
      <c r="B73" s="42" t="n">
        <v>0</v>
      </c>
      <c r="D73" s="42" t="s">
        <v>546</v>
      </c>
    </row>
    <row r="74" customFormat="false" ht="13.8" hidden="false" customHeight="false" outlineLevel="0" collapsed="false">
      <c r="A74" s="41" t="s">
        <v>547</v>
      </c>
      <c r="B74" s="42" t="n">
        <v>0</v>
      </c>
      <c r="D74" s="42" t="s">
        <v>548</v>
      </c>
    </row>
    <row r="75" customFormat="false" ht="13.8" hidden="false" customHeight="false" outlineLevel="0" collapsed="false">
      <c r="A75" s="41" t="s">
        <v>151</v>
      </c>
      <c r="B75" s="42" t="n">
        <v>0</v>
      </c>
      <c r="D75" s="42" t="s">
        <v>549</v>
      </c>
    </row>
    <row r="76" customFormat="false" ht="13.8" hidden="false" customHeight="false" outlineLevel="0" collapsed="false">
      <c r="A76" s="41" t="s">
        <v>550</v>
      </c>
      <c r="B76" s="42" t="n">
        <v>0</v>
      </c>
      <c r="D76" s="42" t="s">
        <v>551</v>
      </c>
    </row>
    <row r="77" customFormat="false" ht="13.8" hidden="false" customHeight="false" outlineLevel="0" collapsed="false">
      <c r="A77" s="41" t="s">
        <v>552</v>
      </c>
      <c r="B77" s="42" t="n">
        <v>0</v>
      </c>
      <c r="D77" s="42" t="s">
        <v>553</v>
      </c>
    </row>
    <row r="78" customFormat="false" ht="13.8" hidden="false" customHeight="false" outlineLevel="0" collapsed="false">
      <c r="A78" s="41" t="s">
        <v>554</v>
      </c>
      <c r="B78" s="42" t="n">
        <v>0</v>
      </c>
      <c r="D78" s="42" t="s">
        <v>555</v>
      </c>
    </row>
    <row r="79" customFormat="false" ht="13.8" hidden="false" customHeight="false" outlineLevel="0" collapsed="false">
      <c r="A79" s="41" t="s">
        <v>556</v>
      </c>
      <c r="B79" s="42" t="n">
        <v>0</v>
      </c>
      <c r="D79" s="42" t="s">
        <v>557</v>
      </c>
    </row>
    <row r="80" customFormat="false" ht="13.8" hidden="false" customHeight="false" outlineLevel="0" collapsed="false">
      <c r="A80" s="41" t="s">
        <v>558</v>
      </c>
      <c r="B80" s="42" t="n">
        <v>0</v>
      </c>
      <c r="D80" s="42" t="s">
        <v>559</v>
      </c>
    </row>
    <row r="81" customFormat="false" ht="13.8" hidden="false" customHeight="false" outlineLevel="0" collapsed="false">
      <c r="A81" s="41" t="s">
        <v>560</v>
      </c>
      <c r="B81" s="42" t="n">
        <v>0</v>
      </c>
      <c r="D81" s="42" t="s">
        <v>561</v>
      </c>
    </row>
    <row r="82" customFormat="false" ht="13.8" hidden="false" customHeight="false" outlineLevel="0" collapsed="false">
      <c r="A82" s="41" t="s">
        <v>562</v>
      </c>
      <c r="B82" s="42" t="n">
        <v>0</v>
      </c>
      <c r="D82" s="42" t="s">
        <v>563</v>
      </c>
    </row>
    <row r="83" customFormat="false" ht="13.8" hidden="false" customHeight="false" outlineLevel="0" collapsed="false">
      <c r="A83" s="41" t="s">
        <v>564</v>
      </c>
      <c r="B83" s="42" t="n">
        <v>0</v>
      </c>
      <c r="D83" s="42" t="s">
        <v>565</v>
      </c>
    </row>
    <row r="84" customFormat="false" ht="13.8" hidden="false" customHeight="false" outlineLevel="0" collapsed="false">
      <c r="A84" s="41" t="s">
        <v>566</v>
      </c>
      <c r="B84" s="42" t="n">
        <v>0</v>
      </c>
      <c r="D84" s="42" t="s">
        <v>567</v>
      </c>
    </row>
    <row r="85" customFormat="false" ht="13.8" hidden="false" customHeight="false" outlineLevel="0" collapsed="false">
      <c r="A85" s="41" t="s">
        <v>568</v>
      </c>
      <c r="B85" s="42" t="n">
        <v>0</v>
      </c>
      <c r="D85" s="42" t="s">
        <v>569</v>
      </c>
    </row>
    <row r="86" customFormat="false" ht="13.8" hidden="false" customHeight="false" outlineLevel="0" collapsed="false">
      <c r="A86" s="41" t="s">
        <v>570</v>
      </c>
      <c r="B86" s="42" t="n">
        <v>0</v>
      </c>
      <c r="D86" s="42" t="s">
        <v>571</v>
      </c>
    </row>
    <row r="87" customFormat="false" ht="13.8" hidden="false" customHeight="false" outlineLevel="0" collapsed="false">
      <c r="A87" s="41" t="s">
        <v>572</v>
      </c>
      <c r="B87" s="42" t="n">
        <v>0</v>
      </c>
      <c r="D87" s="42" t="s">
        <v>573</v>
      </c>
    </row>
    <row r="88" customFormat="false" ht="13.8" hidden="false" customHeight="false" outlineLevel="0" collapsed="false">
      <c r="A88" s="41" t="s">
        <v>574</v>
      </c>
      <c r="B88" s="42" t="n">
        <v>0</v>
      </c>
      <c r="D88" s="42" t="s">
        <v>575</v>
      </c>
    </row>
    <row r="89" customFormat="false" ht="13.8" hidden="false" customHeight="false" outlineLevel="0" collapsed="false">
      <c r="A89" s="41" t="s">
        <v>576</v>
      </c>
      <c r="B89" s="42" t="n">
        <v>0</v>
      </c>
      <c r="D89" s="42" t="s">
        <v>577</v>
      </c>
    </row>
    <row r="90" customFormat="false" ht="13.8" hidden="false" customHeight="false" outlineLevel="0" collapsed="false">
      <c r="A90" s="41" t="s">
        <v>578</v>
      </c>
      <c r="B90" s="42" t="n">
        <v>0</v>
      </c>
      <c r="D90" s="42" t="s">
        <v>579</v>
      </c>
    </row>
    <row r="91" customFormat="false" ht="13.8" hidden="false" customHeight="false" outlineLevel="0" collapsed="false">
      <c r="A91" s="41" t="s">
        <v>580</v>
      </c>
      <c r="B91" s="42" t="n">
        <v>0</v>
      </c>
      <c r="D91" s="42" t="s">
        <v>581</v>
      </c>
    </row>
    <row r="92" customFormat="false" ht="13.8" hidden="false" customHeight="false" outlineLevel="0" collapsed="false">
      <c r="A92" s="41" t="s">
        <v>582</v>
      </c>
      <c r="B92" s="42" t="n">
        <v>0</v>
      </c>
      <c r="D92" s="42" t="s">
        <v>583</v>
      </c>
    </row>
    <row r="93" customFormat="false" ht="13.8" hidden="false" customHeight="false" outlineLevel="0" collapsed="false">
      <c r="A93" s="41" t="s">
        <v>584</v>
      </c>
      <c r="B93" s="42" t="n">
        <v>0</v>
      </c>
      <c r="D93" s="42" t="s">
        <v>585</v>
      </c>
    </row>
    <row r="94" customFormat="false" ht="13.8" hidden="false" customHeight="false" outlineLevel="0" collapsed="false">
      <c r="A94" s="41" t="s">
        <v>586</v>
      </c>
      <c r="B94" s="42" t="n">
        <v>0</v>
      </c>
      <c r="D94" s="42" t="s">
        <v>587</v>
      </c>
    </row>
    <row r="95" customFormat="false" ht="13.8" hidden="false" customHeight="false" outlineLevel="0" collapsed="false">
      <c r="A95" s="41" t="s">
        <v>588</v>
      </c>
      <c r="B95" s="42" t="n">
        <v>0</v>
      </c>
      <c r="D95" s="42" t="s">
        <v>589</v>
      </c>
    </row>
    <row r="96" customFormat="false" ht="13.8" hidden="false" customHeight="false" outlineLevel="0" collapsed="false">
      <c r="A96" s="41" t="s">
        <v>590</v>
      </c>
      <c r="B96" s="42" t="n">
        <v>0</v>
      </c>
      <c r="D96" s="42" t="s">
        <v>591</v>
      </c>
    </row>
    <row r="97" customFormat="false" ht="13.8" hidden="false" customHeight="false" outlineLevel="0" collapsed="false">
      <c r="A97" s="41" t="s">
        <v>592</v>
      </c>
      <c r="B97" s="42" t="n">
        <v>0</v>
      </c>
      <c r="D97" s="42" t="s">
        <v>593</v>
      </c>
    </row>
    <row r="98" customFormat="false" ht="13.8" hidden="false" customHeight="false" outlineLevel="0" collapsed="false">
      <c r="A98" s="41" t="s">
        <v>594</v>
      </c>
      <c r="B98" s="42" t="n">
        <v>0</v>
      </c>
      <c r="D98" s="42" t="s">
        <v>595</v>
      </c>
    </row>
    <row r="99" customFormat="false" ht="13.8" hidden="false" customHeight="false" outlineLevel="0" collapsed="false">
      <c r="A99" s="41" t="s">
        <v>596</v>
      </c>
      <c r="B99" s="42" t="n">
        <v>0</v>
      </c>
      <c r="D99" s="42" t="s">
        <v>597</v>
      </c>
    </row>
    <row r="100" customFormat="false" ht="13.8" hidden="false" customHeight="false" outlineLevel="0" collapsed="false">
      <c r="A100" s="41" t="s">
        <v>598</v>
      </c>
      <c r="B100" s="42" t="n">
        <v>0</v>
      </c>
      <c r="D100" s="42" t="s">
        <v>599</v>
      </c>
    </row>
    <row r="101" customFormat="false" ht="13.8" hidden="false" customHeight="false" outlineLevel="0" collapsed="false">
      <c r="A101" s="41" t="s">
        <v>600</v>
      </c>
      <c r="B101" s="42" t="n">
        <v>0</v>
      </c>
      <c r="D101" s="42" t="s">
        <v>601</v>
      </c>
    </row>
    <row r="102" customFormat="false" ht="13.8" hidden="false" customHeight="false" outlineLevel="0" collapsed="false">
      <c r="A102" s="41" t="s">
        <v>602</v>
      </c>
      <c r="B102" s="42" t="n">
        <v>0</v>
      </c>
      <c r="D102" s="42" t="s">
        <v>603</v>
      </c>
    </row>
    <row r="103" customFormat="false" ht="13.8" hidden="false" customHeight="false" outlineLevel="0" collapsed="false">
      <c r="A103" s="41" t="s">
        <v>604</v>
      </c>
      <c r="B103" s="42" t="n">
        <v>0</v>
      </c>
      <c r="D103" s="42" t="s">
        <v>605</v>
      </c>
    </row>
    <row r="104" customFormat="false" ht="13.8" hidden="false" customHeight="false" outlineLevel="0" collapsed="false">
      <c r="A104" s="41" t="s">
        <v>606</v>
      </c>
      <c r="B104" s="42" t="n">
        <v>0</v>
      </c>
      <c r="D104" s="42" t="s">
        <v>607</v>
      </c>
    </row>
    <row r="105" customFormat="false" ht="13.8" hidden="false" customHeight="false" outlineLevel="0" collapsed="false">
      <c r="A105" s="41" t="s">
        <v>608</v>
      </c>
      <c r="B105" s="42" t="n">
        <v>0</v>
      </c>
      <c r="D105" s="42" t="s">
        <v>609</v>
      </c>
    </row>
    <row r="106" customFormat="false" ht="25.5" hidden="false" customHeight="false" outlineLevel="0" collapsed="false">
      <c r="A106" s="41" t="s">
        <v>610</v>
      </c>
      <c r="B106" s="42" t="n">
        <v>0</v>
      </c>
      <c r="D106" s="42" t="s">
        <v>611</v>
      </c>
    </row>
    <row r="107" customFormat="false" ht="13.8" hidden="false" customHeight="false" outlineLevel="0" collapsed="false">
      <c r="A107" s="41" t="s">
        <v>612</v>
      </c>
      <c r="B107" s="42" t="n">
        <v>0</v>
      </c>
      <c r="D107" s="42" t="s">
        <v>613</v>
      </c>
    </row>
    <row r="108" customFormat="false" ht="25.5" hidden="false" customHeight="false" outlineLevel="0" collapsed="false">
      <c r="A108" s="41" t="s">
        <v>614</v>
      </c>
      <c r="B108" s="42" t="n">
        <v>0</v>
      </c>
      <c r="D108" s="42" t="s">
        <v>615</v>
      </c>
    </row>
    <row r="109" customFormat="false" ht="25.5" hidden="false" customHeight="false" outlineLevel="0" collapsed="false">
      <c r="A109" s="41" t="s">
        <v>616</v>
      </c>
      <c r="B109" s="42" t="n">
        <v>0</v>
      </c>
      <c r="D109" s="42" t="s">
        <v>617</v>
      </c>
    </row>
    <row r="110" customFormat="false" ht="13.8" hidden="false" customHeight="false" outlineLevel="0" collapsed="false">
      <c r="A110" s="41" t="s">
        <v>618</v>
      </c>
      <c r="B110" s="42" t="n">
        <v>0</v>
      </c>
      <c r="D110" s="42" t="s">
        <v>619</v>
      </c>
    </row>
    <row r="111" customFormat="false" ht="13.8" hidden="false" customHeight="false" outlineLevel="0" collapsed="false">
      <c r="A111" s="41" t="s">
        <v>620</v>
      </c>
      <c r="B111" s="42" t="n">
        <v>0</v>
      </c>
      <c r="D111" s="42" t="s">
        <v>621</v>
      </c>
    </row>
    <row r="112" customFormat="false" ht="13.8" hidden="false" customHeight="false" outlineLevel="0" collapsed="false">
      <c r="A112" s="41" t="s">
        <v>622</v>
      </c>
      <c r="B112" s="42" t="n">
        <v>0</v>
      </c>
      <c r="D112" s="42" t="s">
        <v>623</v>
      </c>
    </row>
    <row r="113" customFormat="false" ht="13.8" hidden="false" customHeight="false" outlineLevel="0" collapsed="false">
      <c r="A113" s="41" t="s">
        <v>624</v>
      </c>
      <c r="B113" s="42" t="n">
        <v>0</v>
      </c>
      <c r="D113" s="42" t="s">
        <v>625</v>
      </c>
    </row>
    <row r="114" customFormat="false" ht="13.8" hidden="false" customHeight="false" outlineLevel="0" collapsed="false">
      <c r="A114" s="41" t="s">
        <v>626</v>
      </c>
      <c r="B114" s="42" t="n">
        <v>0</v>
      </c>
      <c r="D114" s="42" t="s">
        <v>627</v>
      </c>
    </row>
    <row r="115" customFormat="false" ht="13.8" hidden="false" customHeight="false" outlineLevel="0" collapsed="false">
      <c r="A115" s="41" t="s">
        <v>628</v>
      </c>
      <c r="B115" s="42" t="n">
        <v>0</v>
      </c>
      <c r="D115" s="42" t="s">
        <v>629</v>
      </c>
    </row>
    <row r="116" customFormat="false" ht="13.8" hidden="false" customHeight="false" outlineLevel="0" collapsed="false">
      <c r="A116" s="41" t="s">
        <v>630</v>
      </c>
      <c r="B116" s="42" t="n">
        <v>0</v>
      </c>
      <c r="D116" s="42" t="s">
        <v>631</v>
      </c>
    </row>
    <row r="117" customFormat="false" ht="13.8" hidden="false" customHeight="false" outlineLevel="0" collapsed="false">
      <c r="A117" s="41" t="s">
        <v>632</v>
      </c>
      <c r="B117" s="42" t="n">
        <v>0</v>
      </c>
      <c r="D117" s="42" t="s">
        <v>633</v>
      </c>
    </row>
    <row r="118" customFormat="false" ht="13.8" hidden="false" customHeight="false" outlineLevel="0" collapsed="false">
      <c r="A118" s="41" t="s">
        <v>634</v>
      </c>
      <c r="B118" s="42" t="n">
        <v>0</v>
      </c>
      <c r="D118" s="42" t="s">
        <v>635</v>
      </c>
    </row>
    <row r="119" customFormat="false" ht="13.8" hidden="false" customHeight="false" outlineLevel="0" collapsed="false">
      <c r="A119" s="41" t="s">
        <v>636</v>
      </c>
      <c r="B119" s="42" t="n">
        <v>0</v>
      </c>
      <c r="D119" s="42" t="s">
        <v>637</v>
      </c>
    </row>
    <row r="120" customFormat="false" ht="13.8" hidden="false" customHeight="false" outlineLevel="0" collapsed="false">
      <c r="A120" s="41" t="s">
        <v>638</v>
      </c>
      <c r="B120" s="42" t="n">
        <v>0</v>
      </c>
      <c r="D120" s="42" t="s">
        <v>639</v>
      </c>
    </row>
    <row r="121" customFormat="false" ht="13.8" hidden="false" customHeight="false" outlineLevel="0" collapsed="false">
      <c r="A121" s="41" t="s">
        <v>640</v>
      </c>
      <c r="B121" s="42" t="n">
        <v>0</v>
      </c>
      <c r="D121" s="42" t="s">
        <v>641</v>
      </c>
    </row>
    <row r="122" customFormat="false" ht="13.8" hidden="false" customHeight="false" outlineLevel="0" collapsed="false">
      <c r="A122" s="41" t="s">
        <v>642</v>
      </c>
      <c r="B122" s="42" t="n">
        <v>0</v>
      </c>
      <c r="D122" s="42" t="s">
        <v>643</v>
      </c>
    </row>
    <row r="123" customFormat="false" ht="13.8" hidden="false" customHeight="false" outlineLevel="0" collapsed="false">
      <c r="A123" s="41" t="s">
        <v>644</v>
      </c>
      <c r="B123" s="42" t="n">
        <v>0</v>
      </c>
      <c r="D123" s="42" t="s">
        <v>645</v>
      </c>
    </row>
    <row r="124" customFormat="false" ht="13.8" hidden="false" customHeight="false" outlineLevel="0" collapsed="false">
      <c r="A124" s="41" t="s">
        <v>646</v>
      </c>
      <c r="B124" s="42" t="n">
        <v>0</v>
      </c>
      <c r="D124" s="42" t="s">
        <v>647</v>
      </c>
    </row>
    <row r="125" customFormat="false" ht="13.8" hidden="false" customHeight="false" outlineLevel="0" collapsed="false">
      <c r="A125" s="41" t="s">
        <v>648</v>
      </c>
      <c r="B125" s="42" t="n">
        <v>0</v>
      </c>
      <c r="D125" s="42" t="s">
        <v>649</v>
      </c>
    </row>
    <row r="126" customFormat="false" ht="13.8" hidden="false" customHeight="false" outlineLevel="0" collapsed="false">
      <c r="A126" s="41" t="s">
        <v>650</v>
      </c>
      <c r="B126" s="42" t="n">
        <v>0</v>
      </c>
      <c r="D126" s="42" t="s">
        <v>651</v>
      </c>
    </row>
    <row r="127" customFormat="false" ht="13.8" hidden="false" customHeight="false" outlineLevel="0" collapsed="false">
      <c r="A127" s="41" t="s">
        <v>652</v>
      </c>
      <c r="B127" s="42" t="n">
        <v>0</v>
      </c>
      <c r="D127" s="42" t="s">
        <v>653</v>
      </c>
    </row>
    <row r="128" customFormat="false" ht="13.8" hidden="false" customHeight="false" outlineLevel="0" collapsed="false">
      <c r="A128" s="41" t="s">
        <v>654</v>
      </c>
      <c r="B128" s="42" t="n">
        <v>0</v>
      </c>
      <c r="D128" s="42" t="s">
        <v>655</v>
      </c>
    </row>
    <row r="129" customFormat="false" ht="13.8" hidden="false" customHeight="false" outlineLevel="0" collapsed="false">
      <c r="A129" s="41" t="s">
        <v>656</v>
      </c>
      <c r="B129" s="42" t="n">
        <v>0</v>
      </c>
      <c r="D129" s="42" t="s">
        <v>657</v>
      </c>
    </row>
    <row r="130" customFormat="false" ht="13.8" hidden="false" customHeight="false" outlineLevel="0" collapsed="false">
      <c r="A130" s="41" t="s">
        <v>658</v>
      </c>
      <c r="B130" s="42" t="n">
        <v>0</v>
      </c>
      <c r="D130" s="42" t="s">
        <v>659</v>
      </c>
    </row>
    <row r="131" customFormat="false" ht="13.8" hidden="false" customHeight="false" outlineLevel="0" collapsed="false">
      <c r="A131" s="41" t="s">
        <v>660</v>
      </c>
      <c r="B131" s="42" t="n">
        <v>0</v>
      </c>
      <c r="D131" s="42" t="s">
        <v>661</v>
      </c>
    </row>
    <row r="132" customFormat="false" ht="13.8" hidden="false" customHeight="false" outlineLevel="0" collapsed="false">
      <c r="A132" s="41" t="s">
        <v>662</v>
      </c>
      <c r="B132" s="42" t="n">
        <v>0</v>
      </c>
      <c r="D132" s="42" t="s">
        <v>663</v>
      </c>
    </row>
    <row r="133" customFormat="false" ht="13.8" hidden="false" customHeight="false" outlineLevel="0" collapsed="false">
      <c r="A133" s="41" t="s">
        <v>664</v>
      </c>
      <c r="B133" s="42" t="n">
        <v>0</v>
      </c>
      <c r="D133" s="42" t="s">
        <v>665</v>
      </c>
    </row>
    <row r="134" customFormat="false" ht="13.8" hidden="false" customHeight="false" outlineLevel="0" collapsed="false">
      <c r="A134" s="41" t="s">
        <v>666</v>
      </c>
      <c r="B134" s="42" t="n">
        <v>0</v>
      </c>
      <c r="D134" s="42" t="s">
        <v>667</v>
      </c>
    </row>
    <row r="135" customFormat="false" ht="13.8" hidden="false" customHeight="false" outlineLevel="0" collapsed="false">
      <c r="A135" s="41" t="s">
        <v>668</v>
      </c>
      <c r="B135" s="42" t="n">
        <v>0</v>
      </c>
      <c r="D135" s="42" t="s">
        <v>669</v>
      </c>
    </row>
    <row r="136" customFormat="false" ht="13.8" hidden="false" customHeight="false" outlineLevel="0" collapsed="false">
      <c r="A136" s="41" t="s">
        <v>670</v>
      </c>
      <c r="B136" s="42" t="n">
        <v>0</v>
      </c>
      <c r="D136" s="42" t="s">
        <v>671</v>
      </c>
    </row>
    <row r="137" customFormat="false" ht="13.8" hidden="false" customHeight="false" outlineLevel="0" collapsed="false">
      <c r="A137" s="41" t="s">
        <v>672</v>
      </c>
      <c r="B137" s="42" t="n">
        <v>0</v>
      </c>
      <c r="D137" s="42" t="s">
        <v>673</v>
      </c>
    </row>
    <row r="138" customFormat="false" ht="13.8" hidden="false" customHeight="false" outlineLevel="0" collapsed="false">
      <c r="A138" s="41" t="s">
        <v>674</v>
      </c>
      <c r="B138" s="42" t="n">
        <v>0</v>
      </c>
      <c r="D138" s="42" t="s">
        <v>675</v>
      </c>
    </row>
    <row r="139" customFormat="false" ht="13.8" hidden="false" customHeight="false" outlineLevel="0" collapsed="false">
      <c r="A139" s="41" t="s">
        <v>676</v>
      </c>
      <c r="B139" s="42" t="n">
        <v>0</v>
      </c>
      <c r="D139" s="42" t="s">
        <v>677</v>
      </c>
    </row>
    <row r="140" customFormat="false" ht="13.8" hidden="false" customHeight="false" outlineLevel="0" collapsed="false">
      <c r="A140" s="41" t="s">
        <v>678</v>
      </c>
      <c r="B140" s="42" t="n">
        <v>0</v>
      </c>
      <c r="D140" s="42" t="s">
        <v>679</v>
      </c>
    </row>
    <row r="141" customFormat="false" ht="13.8" hidden="false" customHeight="false" outlineLevel="0" collapsed="false">
      <c r="A141" s="41" t="s">
        <v>680</v>
      </c>
      <c r="B141" s="42" t="n">
        <v>0</v>
      </c>
      <c r="D141" s="42" t="s">
        <v>681</v>
      </c>
    </row>
    <row r="142" customFormat="false" ht="13.8" hidden="false" customHeight="false" outlineLevel="0" collapsed="false">
      <c r="A142" s="41" t="s">
        <v>682</v>
      </c>
      <c r="B142" s="42" t="n">
        <v>0</v>
      </c>
      <c r="D142" s="42" t="s">
        <v>683</v>
      </c>
    </row>
    <row r="143" customFormat="false" ht="13.8" hidden="false" customHeight="false" outlineLevel="0" collapsed="false">
      <c r="A143" s="41" t="s">
        <v>684</v>
      </c>
      <c r="B143" s="42" t="n">
        <v>0</v>
      </c>
      <c r="D143" s="42" t="s">
        <v>685</v>
      </c>
    </row>
    <row r="144" customFormat="false" ht="13.8" hidden="false" customHeight="false" outlineLevel="0" collapsed="false">
      <c r="A144" s="41" t="s">
        <v>686</v>
      </c>
      <c r="B144" s="42" t="n">
        <v>0</v>
      </c>
      <c r="D144" s="42" t="s">
        <v>687</v>
      </c>
    </row>
    <row r="145" customFormat="false" ht="13.8" hidden="false" customHeight="false" outlineLevel="0" collapsed="false">
      <c r="A145" s="41" t="s">
        <v>688</v>
      </c>
      <c r="B145" s="42" t="n">
        <v>0</v>
      </c>
      <c r="D145" s="42" t="s">
        <v>689</v>
      </c>
    </row>
    <row r="146" customFormat="false" ht="13.8" hidden="false" customHeight="false" outlineLevel="0" collapsed="false">
      <c r="A146" s="41" t="s">
        <v>690</v>
      </c>
      <c r="B146" s="42" t="n">
        <v>0</v>
      </c>
      <c r="D146" s="42" t="s">
        <v>691</v>
      </c>
    </row>
    <row r="147" customFormat="false" ht="13.8" hidden="false" customHeight="false" outlineLevel="0" collapsed="false">
      <c r="A147" s="41" t="s">
        <v>692</v>
      </c>
      <c r="B147" s="42" t="n">
        <v>0</v>
      </c>
      <c r="D147" s="42" t="s">
        <v>693</v>
      </c>
    </row>
    <row r="148" customFormat="false" ht="13.8" hidden="false" customHeight="false" outlineLevel="0" collapsed="false">
      <c r="A148" s="41" t="s">
        <v>694</v>
      </c>
      <c r="B148" s="42" t="n">
        <v>0</v>
      </c>
      <c r="D148" s="42" t="s">
        <v>695</v>
      </c>
    </row>
    <row r="149" customFormat="false" ht="13.8" hidden="false" customHeight="false" outlineLevel="0" collapsed="false">
      <c r="A149" s="41" t="s">
        <v>696</v>
      </c>
      <c r="B149" s="42" t="n">
        <v>0</v>
      </c>
      <c r="D149" s="42" t="s">
        <v>697</v>
      </c>
    </row>
    <row r="150" customFormat="false" ht="13.8" hidden="false" customHeight="false" outlineLevel="0" collapsed="false">
      <c r="A150" s="41" t="s">
        <v>698</v>
      </c>
      <c r="B150" s="42" t="n">
        <v>0</v>
      </c>
      <c r="D150" s="42" t="s">
        <v>699</v>
      </c>
    </row>
    <row r="151" customFormat="false" ht="13.8" hidden="false" customHeight="false" outlineLevel="0" collapsed="false">
      <c r="A151" s="41" t="s">
        <v>152</v>
      </c>
      <c r="B151" s="42" t="n">
        <v>0</v>
      </c>
      <c r="D151" s="42" t="s">
        <v>700</v>
      </c>
    </row>
    <row r="152" customFormat="false" ht="13.8" hidden="false" customHeight="false" outlineLevel="0" collapsed="false">
      <c r="A152" s="41" t="s">
        <v>701</v>
      </c>
      <c r="B152" s="42" t="n">
        <v>0</v>
      </c>
      <c r="D152" s="42" t="s">
        <v>702</v>
      </c>
    </row>
    <row r="153" customFormat="false" ht="13.8" hidden="false" customHeight="false" outlineLevel="0" collapsed="false">
      <c r="A153" s="41" t="s">
        <v>703</v>
      </c>
      <c r="B153" s="42" t="n">
        <v>0</v>
      </c>
      <c r="D153" s="42" t="s">
        <v>704</v>
      </c>
    </row>
    <row r="154" customFormat="false" ht="13.8" hidden="false" customHeight="false" outlineLevel="0" collapsed="false">
      <c r="A154" s="41" t="s">
        <v>705</v>
      </c>
      <c r="B154" s="42" t="n">
        <v>0</v>
      </c>
      <c r="D154" s="42" t="s">
        <v>706</v>
      </c>
    </row>
    <row r="155" customFormat="false" ht="13.8" hidden="false" customHeight="false" outlineLevel="0" collapsed="false">
      <c r="A155" s="41" t="s">
        <v>216</v>
      </c>
      <c r="B155" s="42" t="n">
        <v>0</v>
      </c>
      <c r="D155" s="42" t="s">
        <v>707</v>
      </c>
    </row>
    <row r="156" customFormat="false" ht="13.8" hidden="false" customHeight="false" outlineLevel="0" collapsed="false">
      <c r="A156" s="41" t="s">
        <v>153</v>
      </c>
      <c r="B156" s="42" t="n">
        <v>0</v>
      </c>
      <c r="D156" s="42" t="s">
        <v>708</v>
      </c>
    </row>
    <row r="157" customFormat="false" ht="13.8" hidden="false" customHeight="false" outlineLevel="0" collapsed="false">
      <c r="A157" s="41" t="s">
        <v>154</v>
      </c>
      <c r="B157" s="42" t="n">
        <v>0</v>
      </c>
      <c r="D157" s="42" t="s">
        <v>709</v>
      </c>
    </row>
    <row r="158" customFormat="false" ht="13.8" hidden="false" customHeight="false" outlineLevel="0" collapsed="false">
      <c r="A158" s="41" t="s">
        <v>155</v>
      </c>
      <c r="B158" s="42" t="n">
        <v>0</v>
      </c>
      <c r="D158" s="42" t="s">
        <v>710</v>
      </c>
    </row>
    <row r="159" customFormat="false" ht="13.8" hidden="false" customHeight="false" outlineLevel="0" collapsed="false">
      <c r="A159" s="41" t="s">
        <v>711</v>
      </c>
      <c r="B159" s="42" t="n">
        <v>0</v>
      </c>
      <c r="D159" s="42" t="s">
        <v>712</v>
      </c>
    </row>
    <row r="160" customFormat="false" ht="13.8" hidden="false" customHeight="false" outlineLevel="0" collapsed="false">
      <c r="A160" s="41" t="s">
        <v>156</v>
      </c>
      <c r="B160" s="42" t="n">
        <v>0</v>
      </c>
      <c r="D160" s="42" t="s">
        <v>713</v>
      </c>
    </row>
    <row r="161" customFormat="false" ht="13.8" hidden="false" customHeight="false" outlineLevel="0" collapsed="false">
      <c r="A161" s="41" t="s">
        <v>714</v>
      </c>
      <c r="B161" s="42" t="n">
        <v>0</v>
      </c>
      <c r="D161" s="42" t="s">
        <v>715</v>
      </c>
    </row>
    <row r="162" customFormat="false" ht="25.5" hidden="false" customHeight="false" outlineLevel="0" collapsed="false">
      <c r="A162" s="41" t="s">
        <v>716</v>
      </c>
      <c r="B162" s="42" t="n">
        <v>0</v>
      </c>
      <c r="D162" s="42" t="s">
        <v>717</v>
      </c>
    </row>
    <row r="163" customFormat="false" ht="13.8" hidden="false" customHeight="false" outlineLevel="0" collapsed="false">
      <c r="A163" s="41" t="s">
        <v>157</v>
      </c>
      <c r="B163" s="42" t="n">
        <v>0</v>
      </c>
      <c r="D163" s="42" t="s">
        <v>718</v>
      </c>
    </row>
    <row r="164" customFormat="false" ht="13.8" hidden="false" customHeight="false" outlineLevel="0" collapsed="false">
      <c r="A164" s="41" t="s">
        <v>158</v>
      </c>
      <c r="B164" s="42" t="n">
        <v>0</v>
      </c>
      <c r="D164" s="42" t="s">
        <v>719</v>
      </c>
    </row>
    <row r="165" customFormat="false" ht="13.8" hidden="false" customHeight="false" outlineLevel="0" collapsed="false">
      <c r="A165" s="41" t="s">
        <v>159</v>
      </c>
      <c r="B165" s="42" t="n">
        <v>0</v>
      </c>
      <c r="D165" s="42" t="s">
        <v>720</v>
      </c>
    </row>
    <row r="166" customFormat="false" ht="13.8" hidden="false" customHeight="false" outlineLevel="0" collapsed="false">
      <c r="A166" s="41" t="s">
        <v>162</v>
      </c>
      <c r="B166" s="42" t="n">
        <v>0</v>
      </c>
      <c r="D166" s="42" t="s">
        <v>721</v>
      </c>
    </row>
    <row r="167" customFormat="false" ht="13.8" hidden="false" customHeight="false" outlineLevel="0" collapsed="false">
      <c r="A167" s="41" t="s">
        <v>722</v>
      </c>
      <c r="B167" s="42" t="n">
        <v>0</v>
      </c>
      <c r="D167" s="42" t="s">
        <v>723</v>
      </c>
    </row>
    <row r="168" customFormat="false" ht="13.8" hidden="false" customHeight="false" outlineLevel="0" collapsed="false">
      <c r="A168" s="41" t="s">
        <v>163</v>
      </c>
      <c r="B168" s="42" t="n">
        <v>0</v>
      </c>
      <c r="D168" s="42" t="s">
        <v>724</v>
      </c>
    </row>
    <row r="169" customFormat="false" ht="13.8" hidden="false" customHeight="false" outlineLevel="0" collapsed="false">
      <c r="A169" s="41" t="s">
        <v>725</v>
      </c>
      <c r="B169" s="42" t="n">
        <v>0</v>
      </c>
      <c r="D169" s="42" t="s">
        <v>726</v>
      </c>
    </row>
    <row r="170" customFormat="false" ht="13.8" hidden="false" customHeight="false" outlineLevel="0" collapsed="false">
      <c r="A170" s="41" t="s">
        <v>727</v>
      </c>
      <c r="B170" s="42" t="n">
        <v>0</v>
      </c>
      <c r="D170" s="42" t="s">
        <v>728</v>
      </c>
    </row>
    <row r="171" customFormat="false" ht="13.8" hidden="false" customHeight="false" outlineLevel="0" collapsed="false">
      <c r="A171" s="41" t="s">
        <v>164</v>
      </c>
      <c r="B171" s="42" t="n">
        <v>0</v>
      </c>
      <c r="D171" s="42" t="s">
        <v>729</v>
      </c>
    </row>
    <row r="172" customFormat="false" ht="13.8" hidden="false" customHeight="false" outlineLevel="0" collapsed="false">
      <c r="A172" s="41" t="s">
        <v>730</v>
      </c>
      <c r="B172" s="42" t="n">
        <v>0</v>
      </c>
      <c r="D172" s="42" t="s">
        <v>731</v>
      </c>
    </row>
    <row r="173" customFormat="false" ht="13.8" hidden="false" customHeight="false" outlineLevel="0" collapsed="false">
      <c r="A173" s="41" t="s">
        <v>220</v>
      </c>
      <c r="B173" s="42" t="n">
        <v>0</v>
      </c>
      <c r="D173" s="42" t="s">
        <v>732</v>
      </c>
    </row>
    <row r="174" customFormat="false" ht="13.8" hidden="false" customHeight="false" outlineLevel="0" collapsed="false">
      <c r="A174" s="41" t="s">
        <v>221</v>
      </c>
      <c r="B174" s="42" t="n">
        <v>0</v>
      </c>
      <c r="D174" s="42" t="s">
        <v>733</v>
      </c>
    </row>
    <row r="175" customFormat="false" ht="13.8" hidden="false" customHeight="false" outlineLevel="0" collapsed="false">
      <c r="A175" s="41" t="s">
        <v>734</v>
      </c>
      <c r="B175" s="42" t="n">
        <v>0</v>
      </c>
      <c r="D175" s="42" t="s">
        <v>735</v>
      </c>
    </row>
    <row r="176" customFormat="false" ht="13.8" hidden="false" customHeight="false" outlineLevel="0" collapsed="false">
      <c r="A176" s="41" t="s">
        <v>165</v>
      </c>
      <c r="B176" s="42" t="n">
        <v>0</v>
      </c>
      <c r="D176" s="42" t="s">
        <v>736</v>
      </c>
    </row>
    <row r="177" customFormat="false" ht="13.8" hidden="false" customHeight="false" outlineLevel="0" collapsed="false">
      <c r="A177" s="41" t="s">
        <v>737</v>
      </c>
      <c r="B177" s="42" t="n">
        <v>0</v>
      </c>
      <c r="D177" s="42" t="s">
        <v>738</v>
      </c>
    </row>
    <row r="178" customFormat="false" ht="13.8" hidden="false" customHeight="false" outlineLevel="0" collapsed="false">
      <c r="A178" s="41" t="s">
        <v>739</v>
      </c>
      <c r="B178" s="42" t="n">
        <v>0</v>
      </c>
      <c r="D178" s="42" t="s">
        <v>740</v>
      </c>
    </row>
    <row r="179" customFormat="false" ht="13.8" hidden="false" customHeight="false" outlineLevel="0" collapsed="false">
      <c r="A179" s="41" t="s">
        <v>167</v>
      </c>
      <c r="B179" s="42" t="n">
        <v>0</v>
      </c>
      <c r="D179" s="42" t="s">
        <v>741</v>
      </c>
    </row>
    <row r="180" customFormat="false" ht="13.8" hidden="false" customHeight="false" outlineLevel="0" collapsed="false">
      <c r="A180" s="41" t="s">
        <v>742</v>
      </c>
      <c r="B180" s="42" t="n">
        <v>0</v>
      </c>
      <c r="D180" s="42" t="s">
        <v>743</v>
      </c>
    </row>
    <row r="181" customFormat="false" ht="13.8" hidden="false" customHeight="false" outlineLevel="0" collapsed="false">
      <c r="A181" s="41" t="s">
        <v>744</v>
      </c>
      <c r="B181" s="42" t="n">
        <v>0</v>
      </c>
      <c r="D181" s="42" t="s">
        <v>745</v>
      </c>
    </row>
    <row r="182" customFormat="false" ht="13.8" hidden="false" customHeight="false" outlineLevel="0" collapsed="false">
      <c r="A182" s="41" t="s">
        <v>746</v>
      </c>
      <c r="B182" s="42" t="n">
        <v>0</v>
      </c>
      <c r="D182" s="42" t="s">
        <v>747</v>
      </c>
    </row>
    <row r="183" customFormat="false" ht="13.8" hidden="false" customHeight="false" outlineLevel="0" collapsed="false">
      <c r="A183" s="41" t="s">
        <v>748</v>
      </c>
      <c r="B183" s="42" t="n">
        <v>0</v>
      </c>
      <c r="D183" s="42" t="s">
        <v>749</v>
      </c>
    </row>
    <row r="184" customFormat="false" ht="13.8" hidden="false" customHeight="false" outlineLevel="0" collapsed="false">
      <c r="A184" s="41" t="s">
        <v>750</v>
      </c>
      <c r="B184" s="42" t="n">
        <v>0</v>
      </c>
      <c r="D184" s="42" t="s">
        <v>751</v>
      </c>
    </row>
    <row r="185" customFormat="false" ht="13.8" hidden="false" customHeight="false" outlineLevel="0" collapsed="false">
      <c r="A185" s="41" t="s">
        <v>170</v>
      </c>
      <c r="B185" s="42" t="n">
        <v>0</v>
      </c>
      <c r="D185" s="42" t="s">
        <v>752</v>
      </c>
    </row>
    <row r="186" customFormat="false" ht="13.8" hidden="false" customHeight="false" outlineLevel="0" collapsed="false">
      <c r="A186" s="41" t="s">
        <v>753</v>
      </c>
      <c r="B186" s="42" t="n">
        <v>0</v>
      </c>
      <c r="D186" s="42" t="s">
        <v>754</v>
      </c>
    </row>
    <row r="187" customFormat="false" ht="13.8" hidden="false" customHeight="false" outlineLevel="0" collapsed="false">
      <c r="A187" s="41" t="s">
        <v>171</v>
      </c>
      <c r="B187" s="42" t="n">
        <v>0</v>
      </c>
      <c r="D187" s="42" t="s">
        <v>755</v>
      </c>
    </row>
    <row r="188" customFormat="false" ht="13.8" hidden="false" customHeight="false" outlineLevel="0" collapsed="false">
      <c r="A188" s="41" t="s">
        <v>172</v>
      </c>
      <c r="B188" s="42" t="n">
        <v>0</v>
      </c>
      <c r="D188" s="42" t="s">
        <v>756</v>
      </c>
    </row>
    <row r="189" customFormat="false" ht="13.8" hidden="false" customHeight="false" outlineLevel="0" collapsed="false">
      <c r="A189" s="41" t="s">
        <v>757</v>
      </c>
      <c r="B189" s="42" t="n">
        <v>0</v>
      </c>
      <c r="D189" s="42" t="s">
        <v>758</v>
      </c>
    </row>
    <row r="190" customFormat="false" ht="13.8" hidden="false" customHeight="false" outlineLevel="0" collapsed="false">
      <c r="A190" s="41" t="s">
        <v>759</v>
      </c>
      <c r="B190" s="42" t="n">
        <v>0</v>
      </c>
      <c r="D190" s="42" t="s">
        <v>760</v>
      </c>
    </row>
    <row r="191" customFormat="false" ht="13.8" hidden="false" customHeight="false" outlineLevel="0" collapsed="false">
      <c r="A191" s="41" t="s">
        <v>222</v>
      </c>
      <c r="B191" s="42" t="n">
        <v>0</v>
      </c>
      <c r="D191" s="42" t="s">
        <v>761</v>
      </c>
    </row>
    <row r="192" customFormat="false" ht="13.8" hidden="false" customHeight="false" outlineLevel="0" collapsed="false">
      <c r="A192" s="41" t="s">
        <v>762</v>
      </c>
      <c r="B192" s="42" t="n">
        <v>0</v>
      </c>
      <c r="D192" s="42" t="s">
        <v>763</v>
      </c>
    </row>
    <row r="193" customFormat="false" ht="25.5" hidden="false" customHeight="false" outlineLevel="0" collapsed="false">
      <c r="A193" s="41" t="s">
        <v>764</v>
      </c>
      <c r="B193" s="42" t="n">
        <v>0</v>
      </c>
      <c r="D193" s="42" t="s">
        <v>765</v>
      </c>
    </row>
    <row r="194" customFormat="false" ht="13.8" hidden="false" customHeight="false" outlineLevel="0" collapsed="false">
      <c r="A194" s="41" t="s">
        <v>766</v>
      </c>
      <c r="B194" s="42" t="n">
        <v>0</v>
      </c>
      <c r="D194" s="42" t="s">
        <v>767</v>
      </c>
    </row>
    <row r="195" customFormat="false" ht="13.8" hidden="false" customHeight="false" outlineLevel="0" collapsed="false">
      <c r="A195" s="41" t="s">
        <v>173</v>
      </c>
      <c r="B195" s="42" t="n">
        <v>0</v>
      </c>
      <c r="D195" s="42" t="s">
        <v>768</v>
      </c>
    </row>
    <row r="196" customFormat="false" ht="13.8" hidden="false" customHeight="false" outlineLevel="0" collapsed="false">
      <c r="A196" s="41" t="s">
        <v>769</v>
      </c>
      <c r="B196" s="42" t="n">
        <v>0</v>
      </c>
      <c r="D196" s="42" t="s">
        <v>770</v>
      </c>
    </row>
    <row r="197" customFormat="false" ht="13.8" hidden="false" customHeight="false" outlineLevel="0" collapsed="false">
      <c r="A197" s="41" t="s">
        <v>771</v>
      </c>
      <c r="B197" s="42" t="n">
        <v>0</v>
      </c>
      <c r="D197" s="42" t="s">
        <v>772</v>
      </c>
    </row>
    <row r="198" customFormat="false" ht="13.8" hidden="false" customHeight="false" outlineLevel="0" collapsed="false">
      <c r="A198" s="41" t="s">
        <v>773</v>
      </c>
      <c r="B198" s="42" t="n">
        <v>0</v>
      </c>
      <c r="D198" s="42" t="s">
        <v>774</v>
      </c>
    </row>
    <row r="199" customFormat="false" ht="13.8" hidden="false" customHeight="false" outlineLevel="0" collapsed="false">
      <c r="A199" s="41" t="s">
        <v>178</v>
      </c>
      <c r="B199" s="42" t="n">
        <v>0</v>
      </c>
      <c r="D199" s="42" t="s">
        <v>775</v>
      </c>
    </row>
    <row r="200" customFormat="false" ht="13.8" hidden="false" customHeight="false" outlineLevel="0" collapsed="false">
      <c r="A200" s="41" t="s">
        <v>776</v>
      </c>
      <c r="B200" s="42" t="n">
        <v>0</v>
      </c>
      <c r="D200" s="42" t="s">
        <v>777</v>
      </c>
    </row>
    <row r="201" customFormat="false" ht="13.8" hidden="false" customHeight="false" outlineLevel="0" collapsed="false">
      <c r="A201" s="41" t="s">
        <v>180</v>
      </c>
      <c r="B201" s="42" t="n">
        <v>0</v>
      </c>
      <c r="D201" s="42" t="s">
        <v>778</v>
      </c>
    </row>
    <row r="202" customFormat="false" ht="13.8" hidden="false" customHeight="false" outlineLevel="0" collapsed="false">
      <c r="A202" s="41" t="s">
        <v>183</v>
      </c>
      <c r="B202" s="42" t="n">
        <v>0</v>
      </c>
      <c r="D202" s="42" t="s">
        <v>779</v>
      </c>
    </row>
    <row r="203" customFormat="false" ht="13.8" hidden="false" customHeight="false" outlineLevel="0" collapsed="false">
      <c r="A203" s="41" t="s">
        <v>184</v>
      </c>
      <c r="B203" s="42" t="n">
        <v>0</v>
      </c>
      <c r="D203" s="42" t="s">
        <v>780</v>
      </c>
    </row>
    <row r="204" customFormat="false" ht="13.8" hidden="false" customHeight="false" outlineLevel="0" collapsed="false">
      <c r="A204" s="41" t="s">
        <v>186</v>
      </c>
      <c r="B204" s="42" t="n">
        <v>0</v>
      </c>
      <c r="D204" s="42" t="s">
        <v>781</v>
      </c>
    </row>
    <row r="205" customFormat="false" ht="25.5" hidden="false" customHeight="false" outlineLevel="0" collapsed="false">
      <c r="A205" s="41" t="s">
        <v>189</v>
      </c>
      <c r="B205" s="42" t="n">
        <v>0</v>
      </c>
      <c r="D205" s="42" t="s">
        <v>782</v>
      </c>
    </row>
    <row r="206" customFormat="false" ht="25.5" hidden="false" customHeight="false" outlineLevel="0" collapsed="false">
      <c r="A206" s="41" t="s">
        <v>194</v>
      </c>
      <c r="B206" s="42" t="n">
        <v>0</v>
      </c>
      <c r="D206" s="42" t="s">
        <v>783</v>
      </c>
    </row>
    <row r="207" customFormat="false" ht="25.5" hidden="false" customHeight="false" outlineLevel="0" collapsed="false">
      <c r="A207" s="41" t="s">
        <v>196</v>
      </c>
      <c r="B207" s="42" t="n">
        <v>0</v>
      </c>
      <c r="D207" s="42" t="s">
        <v>784</v>
      </c>
    </row>
    <row r="208" customFormat="false" ht="25.5" hidden="false" customHeight="false" outlineLevel="0" collapsed="false">
      <c r="A208" s="41" t="s">
        <v>785</v>
      </c>
      <c r="B208" s="42" t="n">
        <v>0</v>
      </c>
      <c r="D208" s="42" t="s">
        <v>786</v>
      </c>
    </row>
    <row r="209" customFormat="false" ht="13.8" hidden="false" customHeight="false" outlineLevel="0" collapsed="false">
      <c r="A209" s="41" t="s">
        <v>217</v>
      </c>
      <c r="B209" s="42" t="n">
        <v>0</v>
      </c>
      <c r="D209" s="42" t="s">
        <v>787</v>
      </c>
    </row>
    <row r="210" customFormat="false" ht="13.8" hidden="false" customHeight="false" outlineLevel="0" collapsed="false">
      <c r="A210" s="41" t="s">
        <v>788</v>
      </c>
      <c r="B210" s="42" t="n">
        <v>0</v>
      </c>
      <c r="D210" s="42" t="s">
        <v>789</v>
      </c>
    </row>
    <row r="211" customFormat="false" ht="13.8" hidden="false" customHeight="false" outlineLevel="0" collapsed="false">
      <c r="A211" s="41" t="s">
        <v>197</v>
      </c>
      <c r="B211" s="42" t="n">
        <v>0</v>
      </c>
      <c r="D211" s="42" t="s">
        <v>790</v>
      </c>
    </row>
    <row r="212" customFormat="false" ht="13.8" hidden="false" customHeight="false" outlineLevel="0" collapsed="false">
      <c r="A212" s="41" t="s">
        <v>198</v>
      </c>
      <c r="B212" s="42" t="n">
        <v>0</v>
      </c>
      <c r="D212" s="42" t="s">
        <v>791</v>
      </c>
    </row>
    <row r="213" customFormat="false" ht="13.8" hidden="false" customHeight="false" outlineLevel="0" collapsed="false">
      <c r="A213" s="41" t="s">
        <v>792</v>
      </c>
      <c r="B213" s="42" t="n">
        <v>0</v>
      </c>
      <c r="D213" s="42" t="s">
        <v>793</v>
      </c>
    </row>
    <row r="214" customFormat="false" ht="13.8" hidden="false" customHeight="false" outlineLevel="0" collapsed="false">
      <c r="A214" s="41" t="s">
        <v>794</v>
      </c>
      <c r="B214" s="42" t="n">
        <v>0</v>
      </c>
      <c r="D214" s="42" t="s">
        <v>795</v>
      </c>
    </row>
    <row r="215" customFormat="false" ht="13.8" hidden="false" customHeight="false" outlineLevel="0" collapsed="false">
      <c r="A215" s="41" t="s">
        <v>796</v>
      </c>
      <c r="B215" s="42" t="n">
        <v>0</v>
      </c>
      <c r="D215" s="42" t="s">
        <v>797</v>
      </c>
    </row>
    <row r="216" customFormat="false" ht="13.8" hidden="false" customHeight="false" outlineLevel="0" collapsed="false">
      <c r="A216" s="41" t="s">
        <v>798</v>
      </c>
      <c r="B216" s="42" t="n">
        <v>0</v>
      </c>
      <c r="D216" s="42" t="s">
        <v>799</v>
      </c>
    </row>
    <row r="217" customFormat="false" ht="13.8" hidden="false" customHeight="false" outlineLevel="0" collapsed="false">
      <c r="A217" s="41" t="s">
        <v>199</v>
      </c>
      <c r="B217" s="42" t="n">
        <v>0</v>
      </c>
      <c r="D217" s="42" t="s">
        <v>800</v>
      </c>
    </row>
    <row r="218" customFormat="false" ht="13.8" hidden="false" customHeight="false" outlineLevel="0" collapsed="false">
      <c r="A218" s="41" t="s">
        <v>801</v>
      </c>
      <c r="B218" s="42" t="n">
        <v>0</v>
      </c>
      <c r="D218" s="42" t="s">
        <v>802</v>
      </c>
    </row>
    <row r="219" customFormat="false" ht="13.8" hidden="false" customHeight="false" outlineLevel="0" collapsed="false">
      <c r="A219" s="41" t="s">
        <v>803</v>
      </c>
      <c r="B219" s="42" t="n">
        <v>0</v>
      </c>
      <c r="D219" s="42" t="s">
        <v>804</v>
      </c>
    </row>
    <row r="220" customFormat="false" ht="13.8" hidden="false" customHeight="false" outlineLevel="0" collapsed="false">
      <c r="A220" s="41" t="s">
        <v>200</v>
      </c>
      <c r="B220" s="42" t="n">
        <v>0</v>
      </c>
      <c r="D220" s="42" t="s">
        <v>805</v>
      </c>
    </row>
    <row r="221" customFormat="false" ht="13.8" hidden="false" customHeight="false" outlineLevel="0" collapsed="false">
      <c r="A221" s="41" t="s">
        <v>806</v>
      </c>
      <c r="B221" s="42" t="n">
        <v>0</v>
      </c>
      <c r="D221" s="42" t="s">
        <v>807</v>
      </c>
    </row>
    <row r="222" customFormat="false" ht="13.8" hidden="false" customHeight="false" outlineLevel="0" collapsed="false">
      <c r="A222" s="41" t="s">
        <v>201</v>
      </c>
      <c r="B222" s="42" t="n">
        <v>0</v>
      </c>
      <c r="D222" s="42" t="s">
        <v>808</v>
      </c>
    </row>
    <row r="223" customFormat="false" ht="13.8" hidden="false" customHeight="false" outlineLevel="0" collapsed="false">
      <c r="A223" s="41" t="s">
        <v>809</v>
      </c>
      <c r="B223" s="42" t="n">
        <v>0</v>
      </c>
      <c r="D223" s="42" t="s">
        <v>810</v>
      </c>
    </row>
    <row r="224" customFormat="false" ht="13.8" hidden="false" customHeight="false" outlineLevel="0" collapsed="false">
      <c r="A224" s="41" t="s">
        <v>811</v>
      </c>
      <c r="B224" s="42" t="n">
        <v>0</v>
      </c>
      <c r="D224" s="42" t="s">
        <v>812</v>
      </c>
    </row>
    <row r="225" customFormat="false" ht="13.8" hidden="false" customHeight="false" outlineLevel="0" collapsed="false">
      <c r="A225" s="41" t="s">
        <v>203</v>
      </c>
      <c r="B225" s="42" t="n">
        <v>0</v>
      </c>
      <c r="D225" s="42" t="s">
        <v>813</v>
      </c>
    </row>
    <row r="226" customFormat="false" ht="13.8" hidden="false" customHeight="false" outlineLevel="0" collapsed="false">
      <c r="A226" s="41" t="s">
        <v>204</v>
      </c>
      <c r="B226" s="42" t="n">
        <v>0</v>
      </c>
      <c r="D226" s="42" t="s">
        <v>814</v>
      </c>
    </row>
    <row r="227" customFormat="false" ht="13.8" hidden="false" customHeight="false" outlineLevel="0" collapsed="false">
      <c r="A227" s="41" t="s">
        <v>205</v>
      </c>
      <c r="B227" s="42" t="n">
        <v>0</v>
      </c>
      <c r="D227" s="42" t="s">
        <v>815</v>
      </c>
    </row>
    <row r="228" customFormat="false" ht="13.8" hidden="false" customHeight="false" outlineLevel="0" collapsed="false">
      <c r="A228" s="41" t="s">
        <v>206</v>
      </c>
      <c r="B228" s="42" t="n">
        <v>0</v>
      </c>
      <c r="D228" s="42" t="s">
        <v>816</v>
      </c>
    </row>
    <row r="229" customFormat="false" ht="13.8" hidden="false" customHeight="false" outlineLevel="0" collapsed="false">
      <c r="A229" s="41" t="s">
        <v>207</v>
      </c>
      <c r="B229" s="42" t="n">
        <v>0</v>
      </c>
      <c r="D229" s="42" t="s">
        <v>817</v>
      </c>
    </row>
    <row r="230" customFormat="false" ht="13.8" hidden="false" customHeight="false" outlineLevel="0" collapsed="false">
      <c r="A230" s="41" t="s">
        <v>818</v>
      </c>
      <c r="B230" s="42" t="n">
        <v>0</v>
      </c>
      <c r="D230" s="42" t="s">
        <v>819</v>
      </c>
    </row>
    <row r="231" customFormat="false" ht="13.8" hidden="false" customHeight="false" outlineLevel="0" collapsed="false">
      <c r="A231" s="41" t="s">
        <v>208</v>
      </c>
      <c r="B231" s="42" t="n">
        <v>0</v>
      </c>
      <c r="D231" s="42" t="s">
        <v>820</v>
      </c>
    </row>
    <row r="232" customFormat="false" ht="13.8" hidden="false" customHeight="false" outlineLevel="0" collapsed="false">
      <c r="A232" s="41" t="s">
        <v>821</v>
      </c>
      <c r="B232" s="42" t="n">
        <v>0</v>
      </c>
      <c r="D232" s="42" t="s">
        <v>822</v>
      </c>
    </row>
    <row r="233" customFormat="false" ht="13.8" hidden="false" customHeight="false" outlineLevel="0" collapsed="false">
      <c r="A233" s="41" t="s">
        <v>209</v>
      </c>
      <c r="B233" s="42" t="n">
        <v>0</v>
      </c>
      <c r="D233" s="42" t="s">
        <v>823</v>
      </c>
    </row>
    <row r="234" customFormat="false" ht="13.8" hidden="false" customHeight="false" outlineLevel="0" collapsed="false">
      <c r="A234" s="41" t="s">
        <v>210</v>
      </c>
      <c r="B234" s="42" t="n">
        <v>0</v>
      </c>
      <c r="D234" s="42" t="s">
        <v>824</v>
      </c>
    </row>
    <row r="235" customFormat="false" ht="13.8" hidden="false" customHeight="false" outlineLevel="0" collapsed="false">
      <c r="A235" s="41" t="s">
        <v>211</v>
      </c>
      <c r="B235" s="42" t="n">
        <v>0</v>
      </c>
      <c r="D235" s="42" t="s">
        <v>825</v>
      </c>
    </row>
    <row r="236" customFormat="false" ht="13.8" hidden="false" customHeight="false" outlineLevel="0" collapsed="false">
      <c r="A236" s="41" t="s">
        <v>826</v>
      </c>
      <c r="B236" s="42" t="n">
        <v>0</v>
      </c>
      <c r="D236" s="42" t="s">
        <v>827</v>
      </c>
    </row>
    <row r="237" customFormat="false" ht="13.8" hidden="false" customHeight="false" outlineLevel="0" collapsed="false">
      <c r="A237" s="41" t="s">
        <v>212</v>
      </c>
      <c r="B237" s="42" t="n">
        <v>0</v>
      </c>
      <c r="D237" s="42" t="s">
        <v>828</v>
      </c>
    </row>
    <row r="238" customFormat="false" ht="13.8" hidden="false" customHeight="false" outlineLevel="0" collapsed="false">
      <c r="A238" s="41" t="s">
        <v>213</v>
      </c>
      <c r="B238" s="42" t="n">
        <v>0</v>
      </c>
      <c r="D238" s="42" t="s">
        <v>829</v>
      </c>
    </row>
    <row r="239" customFormat="false" ht="13.8" hidden="false" customHeight="false" outlineLevel="0" collapsed="false">
      <c r="A239" s="41" t="s">
        <v>830</v>
      </c>
      <c r="B239" s="42" t="n">
        <v>0</v>
      </c>
      <c r="D239" s="42" t="s">
        <v>831</v>
      </c>
    </row>
    <row r="240" customFormat="false" ht="13.8" hidden="true" customHeight="false" outlineLevel="0" collapsed="false">
      <c r="A240" s="42"/>
      <c r="B240" s="42"/>
      <c r="D240" s="42"/>
    </row>
    <row r="241" customFormat="false" ht="13.8" hidden="true" customHeight="false" outlineLevel="0" collapsed="false">
      <c r="A241" s="42"/>
      <c r="B241" s="42"/>
      <c r="D241" s="42"/>
    </row>
    <row r="242" customFormat="false" ht="13.8" hidden="true" customHeight="false" outlineLevel="0" collapsed="false">
      <c r="A242" s="44"/>
      <c r="B242" s="44"/>
      <c r="D242" s="44"/>
    </row>
    <row r="243" customFormat="false" ht="13.8" hidden="true" customHeight="false" outlineLevel="0" collapsed="false">
      <c r="A243" s="45"/>
      <c r="B243" s="45"/>
      <c r="D243" s="45"/>
    </row>
    <row r="244" customFormat="false" ht="13.8" hidden="true" customHeight="false" outlineLevel="0" collapsed="false">
      <c r="A244" s="46"/>
      <c r="B244" s="46"/>
      <c r="D244" s="46"/>
    </row>
    <row r="245" customFormat="false" ht="13.8" hidden="true" customHeight="false" outlineLevel="0" collapsed="false">
      <c r="A245" s="46"/>
      <c r="B245" s="46"/>
      <c r="D245" s="46"/>
    </row>
    <row r="246" customFormat="false" ht="13.8" hidden="true" customHeight="false" outlineLevel="0" collapsed="false">
      <c r="A246" s="46"/>
      <c r="B246" s="46"/>
      <c r="D246" s="46"/>
    </row>
    <row r="247" customFormat="false" ht="13.8" hidden="true" customHeight="false" outlineLevel="0" collapsed="false">
      <c r="A247" s="42"/>
      <c r="B247" s="42"/>
      <c r="D247" s="42"/>
    </row>
    <row r="248" customFormat="false" ht="13.8" hidden="true" customHeight="false" outlineLevel="0" collapsed="false">
      <c r="A248" s="46"/>
      <c r="B248" s="46"/>
      <c r="D248" s="46"/>
    </row>
    <row r="249" customFormat="false" ht="13.8" hidden="true" customHeight="false" outlineLevel="0" collapsed="false">
      <c r="A249" s="47"/>
      <c r="B249" s="47"/>
      <c r="D249" s="47"/>
    </row>
    <row r="250" customFormat="false" ht="13.8" hidden="true" customHeight="false" outlineLevel="0" collapsed="false">
      <c r="A250" s="42"/>
      <c r="B250" s="42"/>
      <c r="D250" s="42"/>
    </row>
    <row r="251" customFormat="false" ht="13.8" hidden="true" customHeight="false" outlineLevel="0" collapsed="false">
      <c r="A251" s="45"/>
      <c r="B251" s="45"/>
      <c r="D251" s="45"/>
    </row>
    <row r="252" customFormat="false" ht="13.8" hidden="true" customHeight="false" outlineLevel="0" collapsed="false">
      <c r="A252" s="48"/>
      <c r="B252" s="48"/>
      <c r="D252" s="48"/>
    </row>
    <row r="253" customFormat="false" ht="13.8" hidden="true" customHeight="false" outlineLevel="0" collapsed="false">
      <c r="A253" s="42"/>
      <c r="B253" s="42"/>
      <c r="D253" s="42"/>
    </row>
    <row r="254" customFormat="false" ht="13.8" hidden="true" customHeight="false" outlineLevel="0" collapsed="false">
      <c r="A254" s="45"/>
      <c r="B254" s="45"/>
      <c r="D254" s="45"/>
    </row>
    <row r="255" customFormat="false" ht="13.8" hidden="true" customHeight="false" outlineLevel="0" collapsed="false">
      <c r="A255" s="42"/>
      <c r="B255" s="42"/>
      <c r="D255" s="42"/>
    </row>
    <row r="256" customFormat="false" ht="13.8" hidden="true" customHeight="false" outlineLevel="0" collapsed="false">
      <c r="A256" s="42"/>
      <c r="B256" s="42"/>
      <c r="D256" s="42"/>
    </row>
    <row r="257" customFormat="false" ht="13.8" hidden="true" customHeight="false" outlineLevel="0" collapsed="false">
      <c r="A257" s="42"/>
      <c r="B257" s="42"/>
      <c r="D257" s="42"/>
    </row>
    <row r="258" customFormat="false" ht="13.8" hidden="true" customHeight="false" outlineLevel="0" collapsed="false">
      <c r="A258" s="42"/>
      <c r="B258" s="42"/>
      <c r="D258" s="42"/>
    </row>
    <row r="259" customFormat="false" ht="13.8" hidden="true" customHeight="false" outlineLevel="0" collapsed="false">
      <c r="A259" s="42"/>
      <c r="B259" s="42"/>
      <c r="D259" s="42"/>
    </row>
    <row r="260" customFormat="false" ht="13.8" hidden="true" customHeight="false" outlineLevel="0" collapsed="false">
      <c r="A260" s="42"/>
      <c r="B260" s="42"/>
      <c r="D260" s="42"/>
    </row>
    <row r="261" customFormat="false" ht="13.8" hidden="true" customHeight="false" outlineLevel="0" collapsed="false">
      <c r="A261" s="45"/>
      <c r="B261" s="45"/>
      <c r="D261" s="45"/>
    </row>
    <row r="262" customFormat="false" ht="13.8" hidden="true" customHeight="false" outlineLevel="0" collapsed="false">
      <c r="A262" s="46"/>
      <c r="B262" s="46"/>
      <c r="D262" s="46"/>
    </row>
    <row r="263" customFormat="false" ht="13.8" hidden="true" customHeight="false" outlineLevel="0" collapsed="false">
      <c r="A263" s="42"/>
      <c r="B263" s="42"/>
      <c r="D263" s="42"/>
    </row>
    <row r="264" customFormat="false" ht="13.8" hidden="true" customHeight="false" outlineLevel="0" collapsed="false">
      <c r="A264" s="42"/>
      <c r="B264" s="42"/>
      <c r="D264" s="42"/>
    </row>
    <row r="265" customFormat="false" ht="13.8" hidden="true" customHeight="false" outlineLevel="0" collapsed="false">
      <c r="A265" s="42"/>
      <c r="B265" s="42"/>
      <c r="D265" s="42"/>
    </row>
    <row r="266" customFormat="false" ht="13.8" hidden="true" customHeight="false" outlineLevel="0" collapsed="false">
      <c r="A266" s="47"/>
      <c r="B266" s="47"/>
      <c r="D266" s="47"/>
    </row>
    <row r="267" customFormat="false" ht="13.8" hidden="true" customHeight="false" outlineLevel="0" collapsed="false">
      <c r="A267" s="45"/>
      <c r="B267" s="45"/>
      <c r="D267" s="45"/>
    </row>
    <row r="268" customFormat="false" ht="13.8" hidden="true" customHeight="false" outlineLevel="0" collapsed="false">
      <c r="A268" s="45"/>
      <c r="B268" s="45"/>
      <c r="D268" s="45"/>
    </row>
    <row r="269" customFormat="false" ht="13.8" hidden="true" customHeight="false" outlineLevel="0" collapsed="false">
      <c r="A269" s="47"/>
      <c r="B269" s="47"/>
      <c r="D269" s="47"/>
    </row>
    <row r="270" customFormat="false" ht="13.8" hidden="true" customHeight="false" outlineLevel="0" collapsed="false">
      <c r="A270" s="42"/>
      <c r="B270" s="42"/>
      <c r="D270" s="42"/>
    </row>
    <row r="271" customFormat="false" ht="13.8" hidden="true" customHeight="false" outlineLevel="0" collapsed="false">
      <c r="A271" s="47"/>
      <c r="B271" s="47"/>
      <c r="D271" s="47"/>
    </row>
    <row r="272" customFormat="false" ht="13.8" hidden="true" customHeight="false" outlineLevel="0" collapsed="false">
      <c r="A272" s="42"/>
      <c r="B272" s="42"/>
      <c r="D272" s="42"/>
    </row>
    <row r="273" customFormat="false" ht="13.8" hidden="true" customHeight="false" outlineLevel="0" collapsed="false">
      <c r="A273" s="42"/>
      <c r="B273" s="42"/>
      <c r="D273" s="42"/>
    </row>
    <row r="274" customFormat="false" ht="13.8" hidden="true" customHeight="false" outlineLevel="0" collapsed="false">
      <c r="A274" s="49"/>
      <c r="B274" s="49"/>
      <c r="D274" s="49"/>
    </row>
    <row r="275" customFormat="false" ht="13.8" hidden="true" customHeight="false" outlineLevel="0" collapsed="false">
      <c r="A275" s="42"/>
      <c r="B275" s="42"/>
      <c r="D275" s="42"/>
    </row>
    <row r="276" customFormat="false" ht="13.8" hidden="true" customHeight="false" outlineLevel="0" collapsed="false">
      <c r="A276" s="42"/>
      <c r="B276" s="42"/>
      <c r="D276" s="42"/>
    </row>
    <row r="277" customFormat="false" ht="13.8" hidden="true" customHeight="false" outlineLevel="0" collapsed="false">
      <c r="A277" s="43"/>
      <c r="B277" s="43"/>
      <c r="D277" s="43"/>
    </row>
    <row r="278" customFormat="false" ht="13.8" hidden="true" customHeight="false" outlineLevel="0" collapsed="false">
      <c r="A278" s="46"/>
      <c r="B278" s="46"/>
      <c r="D278" s="46"/>
    </row>
    <row r="279" customFormat="false" ht="13.8" hidden="true" customHeight="false" outlineLevel="0" collapsed="false">
      <c r="A279" s="42"/>
      <c r="B279" s="42"/>
      <c r="D279" s="42"/>
    </row>
    <row r="280" customFormat="false" ht="13.8" hidden="true" customHeight="false" outlineLevel="0" collapsed="false">
      <c r="A280" s="42"/>
      <c r="B280" s="42"/>
      <c r="D280" s="42"/>
    </row>
    <row r="281" customFormat="false" ht="13.8" hidden="true" customHeight="false" outlineLevel="0" collapsed="false">
      <c r="A281" s="42"/>
      <c r="B281" s="42"/>
      <c r="D281" s="42"/>
    </row>
    <row r="282" customFormat="false" ht="13.8" hidden="true" customHeight="false" outlineLevel="0" collapsed="false">
      <c r="A282" s="42"/>
      <c r="B282" s="42"/>
      <c r="D282" s="42"/>
    </row>
    <row r="283" customFormat="false" ht="13.8" hidden="true" customHeight="false" outlineLevel="0" collapsed="false">
      <c r="A283" s="46"/>
      <c r="B283" s="46"/>
      <c r="D283" s="46"/>
    </row>
    <row r="284" customFormat="false" ht="13.8" hidden="true" customHeight="false" outlineLevel="0" collapsed="false">
      <c r="A284" s="42"/>
      <c r="B284" s="42"/>
      <c r="D284" s="42"/>
    </row>
    <row r="285" customFormat="false" ht="13.8" hidden="true" customHeight="false" outlineLevel="0" collapsed="false">
      <c r="A285" s="42"/>
      <c r="B285" s="42"/>
      <c r="D285" s="42"/>
    </row>
    <row r="286" customFormat="false" ht="13.8" hidden="true" customHeight="false" outlineLevel="0" collapsed="false">
      <c r="A286" s="46"/>
      <c r="B286" s="46"/>
      <c r="D286" s="46"/>
    </row>
    <row r="287" customFormat="false" ht="13.8" hidden="true" customHeight="false" outlineLevel="0" collapsed="false">
      <c r="A287" s="42"/>
      <c r="B287" s="42"/>
      <c r="D287" s="42"/>
    </row>
    <row r="288" customFormat="false" ht="13.8" hidden="true" customHeight="false" outlineLevel="0" collapsed="false">
      <c r="A288" s="50"/>
      <c r="B288" s="50"/>
      <c r="D288" s="50"/>
    </row>
    <row r="289" customFormat="false" ht="13.8" hidden="true" customHeight="false" outlineLevel="0" collapsed="false">
      <c r="A289" s="42"/>
      <c r="B289" s="42"/>
      <c r="D289" s="42"/>
    </row>
    <row r="290" customFormat="false" ht="13.8" hidden="true" customHeight="false" outlineLevel="0" collapsed="false">
      <c r="A290" s="42"/>
      <c r="B290" s="42"/>
      <c r="D290" s="42"/>
    </row>
    <row r="291" customFormat="false" ht="13.8" hidden="true" customHeight="false" outlineLevel="0" collapsed="false">
      <c r="A291" s="46"/>
      <c r="B291" s="46"/>
      <c r="D291" s="46"/>
    </row>
    <row r="292" customFormat="false" ht="13.8" hidden="true" customHeight="false" outlineLevel="0" collapsed="false">
      <c r="A292" s="46"/>
      <c r="B292" s="46"/>
      <c r="D292" s="46"/>
    </row>
    <row r="293" customFormat="false" ht="13.8" hidden="true" customHeight="false" outlineLevel="0" collapsed="false">
      <c r="A293" s="42"/>
      <c r="B293" s="42"/>
      <c r="D293" s="42"/>
    </row>
    <row r="294" customFormat="false" ht="13.8" hidden="true" customHeight="false" outlineLevel="0" collapsed="false">
      <c r="A294" s="42"/>
      <c r="B294" s="42"/>
      <c r="D294" s="42"/>
    </row>
    <row r="295" customFormat="false" ht="13.8" hidden="true" customHeight="false" outlineLevel="0" collapsed="false">
      <c r="A295" s="42"/>
      <c r="B295" s="42"/>
      <c r="D295" s="42"/>
    </row>
    <row r="296" customFormat="false" ht="13.8" hidden="true" customHeight="false" outlineLevel="0" collapsed="false">
      <c r="A296" s="42"/>
      <c r="B296" s="42"/>
      <c r="D296" s="42"/>
    </row>
    <row r="297" customFormat="false" ht="13.8" hidden="true" customHeight="false" outlineLevel="0" collapsed="false">
      <c r="A297" s="42"/>
      <c r="B297" s="42"/>
      <c r="D297" s="42"/>
    </row>
    <row r="298" customFormat="false" ht="13.8" hidden="true" customHeight="false" outlineLevel="0" collapsed="false">
      <c r="A298" s="42"/>
      <c r="B298" s="42"/>
      <c r="D298" s="42"/>
    </row>
    <row r="299" customFormat="false" ht="13.8" hidden="true" customHeight="false" outlineLevel="0" collapsed="false">
      <c r="A299" s="42"/>
      <c r="B299" s="42"/>
      <c r="D299" s="42"/>
    </row>
    <row r="300" customFormat="false" ht="13.8" hidden="true" customHeight="false" outlineLevel="0" collapsed="false">
      <c r="A300" s="42"/>
      <c r="B300" s="42"/>
      <c r="D300" s="42"/>
    </row>
    <row r="301" customFormat="false" ht="13.8" hidden="true" customHeight="false" outlineLevel="0" collapsed="false">
      <c r="A301" s="42"/>
      <c r="B301" s="42"/>
      <c r="D301" s="42"/>
    </row>
    <row r="302" customFormat="false" ht="13.8" hidden="true" customHeight="false" outlineLevel="0" collapsed="false">
      <c r="A302" s="46"/>
      <c r="B302" s="46"/>
      <c r="D302" s="46"/>
    </row>
    <row r="303" customFormat="false" ht="13.8" hidden="true" customHeight="false" outlineLevel="0" collapsed="false">
      <c r="A303" s="42"/>
      <c r="B303" s="42"/>
      <c r="D303" s="42"/>
    </row>
    <row r="304" customFormat="false" ht="13.8" hidden="true" customHeight="false" outlineLevel="0" collapsed="false">
      <c r="A304" s="45"/>
      <c r="B304" s="45"/>
      <c r="D304" s="45"/>
    </row>
    <row r="305" customFormat="false" ht="13.8" hidden="true" customHeight="false" outlineLevel="0" collapsed="false">
      <c r="A305" s="42"/>
      <c r="B305" s="42"/>
      <c r="D305" s="42"/>
    </row>
    <row r="306" customFormat="false" ht="13.8" hidden="true" customHeight="false" outlineLevel="0" collapsed="false">
      <c r="A306" s="42"/>
      <c r="B306" s="42"/>
      <c r="D306" s="42"/>
    </row>
    <row r="307" customFormat="false" ht="13.8" hidden="true" customHeight="false" outlineLevel="0" collapsed="false">
      <c r="A307" s="51"/>
      <c r="B307" s="51"/>
      <c r="D307" s="51"/>
    </row>
  </sheetData>
  <autoFilter ref="A1:B33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97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2" activeCellId="0" sqref="C2"/>
    </sheetView>
  </sheetViews>
  <sheetFormatPr defaultRowHeight="13.8"/>
  <cols>
    <col collapsed="false" hidden="false" max="1" min="1" style="0" width="20.246963562753"/>
    <col collapsed="false" hidden="false" max="2" min="2" style="0" width="27.9595141700405"/>
    <col collapsed="false" hidden="false" max="3" min="3" style="0" width="12.3198380566802"/>
    <col collapsed="false" hidden="false" max="4" min="4" style="0" width="9.84615384615385"/>
    <col collapsed="false" hidden="false" max="5" min="5" style="0" width="14.2550607287449"/>
    <col collapsed="false" hidden="false" max="1025" min="6" style="0" width="8.57085020242915"/>
  </cols>
  <sheetData>
    <row r="1" customFormat="false" ht="13.8" hidden="false" customHeight="false" outlineLevel="0" collapsed="false">
      <c r="A1" s="27" t="s">
        <v>119</v>
      </c>
      <c r="B1" s="27" t="s">
        <v>832</v>
      </c>
      <c r="C1" s="52" t="s">
        <v>833</v>
      </c>
      <c r="D1" s="52"/>
      <c r="N1" s="29" t="s">
        <v>224</v>
      </c>
    </row>
    <row r="2" customFormat="false" ht="13.8" hidden="false" customHeight="false" outlineLevel="0" collapsed="false">
      <c r="A2" s="32" t="s">
        <v>120</v>
      </c>
      <c r="B2" s="53" t="n">
        <v>14.1249123465045</v>
      </c>
      <c r="C2" s="31" t="n">
        <v>2</v>
      </c>
      <c r="D2" s="54"/>
      <c r="E2" s="53"/>
    </row>
    <row r="3" customFormat="false" ht="13.8" hidden="false" customHeight="false" outlineLevel="0" collapsed="false">
      <c r="A3" s="32" t="s">
        <v>121</v>
      </c>
      <c r="B3" s="53" t="n">
        <v>14.2916585378055</v>
      </c>
      <c r="C3" s="31" t="n">
        <v>2</v>
      </c>
      <c r="D3" s="54"/>
      <c r="E3" s="53"/>
    </row>
    <row r="4" customFormat="false" ht="13.8" hidden="false" customHeight="false" outlineLevel="0" collapsed="false">
      <c r="A4" s="32" t="s">
        <v>122</v>
      </c>
      <c r="B4" s="53" t="n">
        <v>12.1407858749466</v>
      </c>
      <c r="C4" s="31" t="n">
        <v>1</v>
      </c>
      <c r="D4" s="54"/>
      <c r="E4" s="53"/>
    </row>
    <row r="5" customFormat="false" ht="13.8" hidden="false" customHeight="false" outlineLevel="0" collapsed="false">
      <c r="A5" s="32" t="s">
        <v>123</v>
      </c>
      <c r="B5" s="53" t="n">
        <v>12.1474018689582</v>
      </c>
      <c r="C5" s="31" t="n">
        <v>2</v>
      </c>
      <c r="D5" s="54"/>
      <c r="E5" s="53"/>
    </row>
    <row r="6" customFormat="false" ht="13.8" hidden="false" customHeight="false" outlineLevel="0" collapsed="false">
      <c r="A6" s="32" t="s">
        <v>124</v>
      </c>
      <c r="B6" s="53" t="n">
        <v>13.868657320422</v>
      </c>
      <c r="C6" s="31" t="n">
        <v>2</v>
      </c>
      <c r="D6" s="54"/>
      <c r="E6" s="53"/>
    </row>
    <row r="7" customFormat="false" ht="13.8" hidden="false" customHeight="false" outlineLevel="0" collapsed="false">
      <c r="A7" s="32" t="s">
        <v>125</v>
      </c>
      <c r="B7" s="53" t="n">
        <v>14</v>
      </c>
      <c r="C7" s="31" t="n">
        <v>2</v>
      </c>
      <c r="D7" s="54"/>
      <c r="E7" s="53"/>
    </row>
    <row r="8" customFormat="false" ht="13.8" hidden="false" customHeight="false" outlineLevel="0" collapsed="false">
      <c r="A8" s="32" t="s">
        <v>126</v>
      </c>
      <c r="B8" s="53" t="n">
        <v>14.089997455585</v>
      </c>
      <c r="C8" s="31" t="n">
        <v>2</v>
      </c>
      <c r="D8" s="54"/>
      <c r="E8" s="53"/>
    </row>
    <row r="9" customFormat="false" ht="13.8" hidden="false" customHeight="false" outlineLevel="0" collapsed="false">
      <c r="A9" s="32" t="s">
        <v>127</v>
      </c>
      <c r="B9" s="53" t="n">
        <v>14.2</v>
      </c>
      <c r="C9" s="31" t="n">
        <v>2</v>
      </c>
      <c r="D9" s="54"/>
      <c r="E9" s="53"/>
    </row>
    <row r="10" customFormat="false" ht="13.8" hidden="false" customHeight="false" outlineLevel="0" collapsed="false">
      <c r="A10" s="32" t="s">
        <v>128</v>
      </c>
      <c r="B10" s="53" t="n">
        <v>11.8499946881972</v>
      </c>
      <c r="C10" s="31" t="n">
        <v>1</v>
      </c>
      <c r="D10" s="54"/>
      <c r="E10" s="53"/>
    </row>
    <row r="11" customFormat="false" ht="13.8" hidden="false" customHeight="false" outlineLevel="0" collapsed="false">
      <c r="A11" s="32" t="s">
        <v>129</v>
      </c>
      <c r="B11" s="53" t="n">
        <v>12.9400023228654</v>
      </c>
      <c r="C11" s="31" t="n">
        <v>1</v>
      </c>
      <c r="D11" s="54"/>
      <c r="E11" s="53"/>
    </row>
    <row r="12" customFormat="false" ht="13.8" hidden="false" customHeight="false" outlineLevel="0" collapsed="false">
      <c r="A12" s="32" t="s">
        <v>130</v>
      </c>
      <c r="B12" s="53" t="n">
        <v>10.3669552035415</v>
      </c>
      <c r="C12" s="31" t="n">
        <v>2</v>
      </c>
      <c r="D12" s="54"/>
      <c r="E12" s="53"/>
    </row>
    <row r="13" customFormat="false" ht="13.8" hidden="false" customHeight="false" outlineLevel="0" collapsed="false">
      <c r="A13" s="32" t="s">
        <v>131</v>
      </c>
      <c r="B13" s="53" t="n">
        <v>10.387441619097</v>
      </c>
      <c r="C13" s="31" t="n">
        <v>2</v>
      </c>
      <c r="D13" s="54"/>
      <c r="E13" s="53"/>
    </row>
    <row r="14" customFormat="false" ht="13.8" hidden="false" customHeight="false" outlineLevel="0" collapsed="false">
      <c r="A14" s="32" t="s">
        <v>132</v>
      </c>
      <c r="B14" s="53" t="n">
        <v>8.98999602677481</v>
      </c>
      <c r="C14" s="31" t="n">
        <v>2</v>
      </c>
      <c r="D14" s="54"/>
      <c r="E14" s="53"/>
    </row>
    <row r="15" customFormat="false" ht="13.8" hidden="false" customHeight="false" outlineLevel="0" collapsed="false">
      <c r="A15" s="32" t="s">
        <v>133</v>
      </c>
      <c r="B15" s="53" t="n">
        <v>10.3</v>
      </c>
      <c r="C15" s="31" t="n">
        <v>2</v>
      </c>
      <c r="D15" s="54"/>
      <c r="E15" s="53"/>
    </row>
    <row r="16" customFormat="false" ht="13.8" hidden="false" customHeight="false" outlineLevel="0" collapsed="false">
      <c r="A16" s="32" t="s">
        <v>508</v>
      </c>
      <c r="B16" s="53" t="n">
        <v>7.34396499034995</v>
      </c>
      <c r="C16" s="31" t="n">
        <v>1</v>
      </c>
      <c r="D16" s="54"/>
      <c r="E16" s="53"/>
    </row>
    <row r="17" customFormat="false" ht="13.8" hidden="false" customHeight="false" outlineLevel="0" collapsed="false">
      <c r="A17" s="32" t="s">
        <v>834</v>
      </c>
      <c r="B17" s="53" t="n">
        <v>8.71599386317</v>
      </c>
      <c r="C17" s="31" t="n">
        <v>1</v>
      </c>
      <c r="D17" s="54"/>
      <c r="E17" s="53"/>
    </row>
    <row r="18" customFormat="false" ht="13.8" hidden="false" customHeight="false" outlineLevel="0" collapsed="false">
      <c r="A18" s="32" t="s">
        <v>134</v>
      </c>
      <c r="B18" s="55" t="n">
        <f aca="false">Selling_Price_Fresh!B15</f>
        <v>10.3</v>
      </c>
      <c r="C18" s="31" t="n">
        <v>2</v>
      </c>
      <c r="D18" s="54"/>
      <c r="E18" s="53"/>
    </row>
    <row r="19" customFormat="false" ht="13.8" hidden="false" customHeight="false" outlineLevel="0" collapsed="false">
      <c r="A19" s="32" t="s">
        <v>135</v>
      </c>
      <c r="B19" s="53" t="n">
        <v>8.8475027706453</v>
      </c>
      <c r="C19" s="31" t="n">
        <v>2</v>
      </c>
      <c r="D19" s="54"/>
      <c r="E19" s="53"/>
    </row>
    <row r="20" customFormat="false" ht="13.8" hidden="false" customHeight="false" outlineLevel="0" collapsed="false">
      <c r="A20" s="32" t="s">
        <v>136</v>
      </c>
      <c r="B20" s="53" t="n">
        <v>7.52303763739314</v>
      </c>
      <c r="C20" s="31" t="n">
        <v>2</v>
      </c>
      <c r="D20" s="54"/>
      <c r="E20" s="53"/>
    </row>
    <row r="21" customFormat="false" ht="13.8" hidden="false" customHeight="false" outlineLevel="0" collapsed="false">
      <c r="A21" s="32" t="s">
        <v>137</v>
      </c>
      <c r="B21" s="53" t="n">
        <v>8.00774647887324</v>
      </c>
      <c r="C21" s="31" t="n">
        <v>2</v>
      </c>
      <c r="D21" s="54"/>
      <c r="E21" s="53"/>
    </row>
    <row r="22" customFormat="false" ht="13.8" hidden="false" customHeight="false" outlineLevel="0" collapsed="false">
      <c r="A22" s="32" t="s">
        <v>138</v>
      </c>
      <c r="B22" s="53" t="n">
        <v>9.8519194326565</v>
      </c>
      <c r="C22" s="31" t="n">
        <v>2</v>
      </c>
      <c r="D22" s="54"/>
      <c r="E22" s="53"/>
    </row>
    <row r="23" customFormat="false" ht="13.8" hidden="false" customHeight="false" outlineLevel="0" collapsed="false">
      <c r="A23" s="32" t="s">
        <v>139</v>
      </c>
      <c r="B23" s="53" t="n">
        <v>10.3882269348492</v>
      </c>
      <c r="C23" s="31" t="n">
        <v>2</v>
      </c>
      <c r="D23" s="54"/>
      <c r="E23" s="53"/>
    </row>
    <row r="24" customFormat="false" ht="13.8" hidden="false" customHeight="false" outlineLevel="0" collapsed="false">
      <c r="A24" s="32" t="s">
        <v>140</v>
      </c>
      <c r="B24" s="53" t="n">
        <v>11.6021699015096</v>
      </c>
      <c r="C24" s="31" t="n">
        <v>2</v>
      </c>
      <c r="D24" s="54"/>
      <c r="E24" s="53"/>
    </row>
    <row r="25" customFormat="false" ht="13.8" hidden="false" customHeight="false" outlineLevel="0" collapsed="false">
      <c r="A25" s="32" t="s">
        <v>141</v>
      </c>
      <c r="B25" s="55" t="n">
        <f aca="false">Selling_Price_Fresh!B21</f>
        <v>8.00774647887324</v>
      </c>
      <c r="C25" s="31" t="n">
        <v>2</v>
      </c>
      <c r="D25" s="54"/>
      <c r="E25" s="53"/>
    </row>
    <row r="26" customFormat="false" ht="13.8" hidden="false" customHeight="false" outlineLevel="0" collapsed="false">
      <c r="A26" s="32" t="s">
        <v>142</v>
      </c>
      <c r="B26" s="53" t="n">
        <v>9.41962689683404</v>
      </c>
      <c r="C26" s="31" t="n">
        <v>2</v>
      </c>
      <c r="D26" s="54"/>
      <c r="E26" s="53"/>
    </row>
    <row r="27" customFormat="false" ht="13.8" hidden="false" customHeight="false" outlineLevel="0" collapsed="false">
      <c r="A27" s="32" t="s">
        <v>143</v>
      </c>
      <c r="B27" s="53" t="n">
        <v>11.1890543955313</v>
      </c>
      <c r="C27" s="31" t="n">
        <v>2</v>
      </c>
      <c r="D27" s="54"/>
      <c r="E27" s="53"/>
    </row>
    <row r="28" customFormat="false" ht="13.8" hidden="false" customHeight="false" outlineLevel="0" collapsed="false">
      <c r="A28" s="32" t="s">
        <v>144</v>
      </c>
      <c r="B28" s="53" t="n">
        <v>12.5010201999592</v>
      </c>
      <c r="C28" s="31" t="n">
        <v>2</v>
      </c>
      <c r="D28" s="54"/>
      <c r="E28" s="53"/>
    </row>
    <row r="29" customFormat="false" ht="13.8" hidden="false" customHeight="false" outlineLevel="0" collapsed="false">
      <c r="A29" s="32" t="s">
        <v>145</v>
      </c>
      <c r="B29" s="53" t="n">
        <v>11.4372508609254</v>
      </c>
      <c r="C29" s="31" t="n">
        <v>2</v>
      </c>
      <c r="D29" s="54"/>
      <c r="E29" s="53"/>
    </row>
    <row r="30" customFormat="false" ht="13.8" hidden="false" customHeight="false" outlineLevel="0" collapsed="false">
      <c r="A30" s="32" t="s">
        <v>146</v>
      </c>
      <c r="B30" s="53" t="n">
        <v>9.1372480946949</v>
      </c>
      <c r="C30" s="56" t="n">
        <v>2</v>
      </c>
      <c r="D30" s="54"/>
      <c r="E30" s="53"/>
    </row>
    <row r="31" customFormat="false" ht="13.8" hidden="false" customHeight="false" outlineLevel="0" collapsed="false">
      <c r="A31" s="32" t="s">
        <v>147</v>
      </c>
      <c r="B31" s="55" t="n">
        <f aca="false">Selling_Price_Fresh!B30</f>
        <v>9.1372480946949</v>
      </c>
      <c r="C31" s="56" t="n">
        <v>2</v>
      </c>
      <c r="D31" s="54"/>
      <c r="E31" s="53"/>
    </row>
    <row r="32" customFormat="false" ht="13.8" hidden="false" customHeight="false" outlineLevel="0" collapsed="false">
      <c r="A32" s="32" t="s">
        <v>148</v>
      </c>
      <c r="B32" s="53" t="n">
        <v>9.01507185855525</v>
      </c>
      <c r="C32" s="56" t="n">
        <v>2</v>
      </c>
      <c r="D32" s="54"/>
      <c r="E32" s="53"/>
    </row>
    <row r="33" customFormat="false" ht="13.8" hidden="false" customHeight="false" outlineLevel="0" collapsed="false">
      <c r="A33" s="32" t="s">
        <v>149</v>
      </c>
      <c r="B33" s="55" t="n">
        <f aca="false">Selling_Price_Fresh!B32</f>
        <v>9.01507185855525</v>
      </c>
      <c r="C33" s="56" t="n">
        <v>2</v>
      </c>
      <c r="D33" s="54"/>
      <c r="E33" s="53"/>
    </row>
    <row r="34" customFormat="false" ht="13.8" hidden="false" customHeight="false" outlineLevel="0" collapsed="false">
      <c r="A34" s="32" t="s">
        <v>150</v>
      </c>
      <c r="B34" s="53" t="n">
        <v>8.97410856663926</v>
      </c>
      <c r="C34" s="56" t="n">
        <v>2</v>
      </c>
      <c r="D34" s="54"/>
      <c r="E34" s="53"/>
    </row>
    <row r="35" customFormat="false" ht="13.8" hidden="false" customHeight="false" outlineLevel="0" collapsed="false">
      <c r="A35" s="32" t="s">
        <v>151</v>
      </c>
      <c r="B35" s="53" t="n">
        <v>8.96307285426622</v>
      </c>
      <c r="C35" s="56" t="n">
        <v>2</v>
      </c>
      <c r="D35" s="54"/>
      <c r="E35" s="53"/>
    </row>
    <row r="36" customFormat="false" ht="13.8" hidden="false" customHeight="false" outlineLevel="0" collapsed="false">
      <c r="A36" s="32" t="s">
        <v>152</v>
      </c>
      <c r="B36" s="53" t="n">
        <v>5.54857622416747</v>
      </c>
      <c r="C36" s="56" t="n">
        <v>2</v>
      </c>
      <c r="D36" s="54"/>
      <c r="E36" s="53"/>
    </row>
    <row r="37" customFormat="false" ht="13.8" hidden="false" customHeight="false" outlineLevel="0" collapsed="false">
      <c r="A37" s="32" t="s">
        <v>153</v>
      </c>
      <c r="B37" s="53" t="n">
        <v>1.6</v>
      </c>
      <c r="C37" s="56" t="n">
        <v>2</v>
      </c>
      <c r="D37" s="54"/>
      <c r="E37" s="53"/>
    </row>
    <row r="38" customFormat="false" ht="13.8" hidden="false" customHeight="false" outlineLevel="0" collapsed="false">
      <c r="A38" s="32" t="s">
        <v>154</v>
      </c>
      <c r="B38" s="53" t="n">
        <v>3.19140463967267</v>
      </c>
      <c r="C38" s="56" t="n">
        <v>2</v>
      </c>
      <c r="D38" s="54"/>
      <c r="E38" s="53"/>
    </row>
    <row r="39" customFormat="false" ht="13.8" hidden="false" customHeight="false" outlineLevel="0" collapsed="false">
      <c r="A39" s="32" t="s">
        <v>155</v>
      </c>
      <c r="B39" s="55" t="n">
        <f aca="false">AVERAGE(Selling_Price_Fresh!B37:B38)</f>
        <v>2.39570231983634</v>
      </c>
      <c r="C39" s="56" t="n">
        <v>2</v>
      </c>
      <c r="D39" s="54"/>
      <c r="E39" s="53"/>
    </row>
    <row r="40" customFormat="false" ht="13.8" hidden="false" customHeight="false" outlineLevel="0" collapsed="false">
      <c r="A40" s="32" t="s">
        <v>156</v>
      </c>
      <c r="B40" s="53" t="n">
        <v>5.50404608016275</v>
      </c>
      <c r="C40" s="56" t="n">
        <v>2</v>
      </c>
      <c r="D40" s="54"/>
      <c r="E40" s="53"/>
    </row>
    <row r="41" customFormat="false" ht="13.8" hidden="false" customHeight="false" outlineLevel="0" collapsed="false">
      <c r="A41" s="32" t="s">
        <v>157</v>
      </c>
      <c r="B41" s="53" t="n">
        <v>0.7</v>
      </c>
      <c r="C41" s="56" t="n">
        <v>2</v>
      </c>
      <c r="D41" s="54"/>
      <c r="E41" s="53"/>
    </row>
    <row r="42" customFormat="false" ht="13.8" hidden="false" customHeight="false" outlineLevel="0" collapsed="false">
      <c r="A42" s="32" t="s">
        <v>158</v>
      </c>
      <c r="B42" s="53" t="n">
        <v>1.88714089562986</v>
      </c>
      <c r="C42" s="56" t="n">
        <v>2</v>
      </c>
      <c r="D42" s="54"/>
      <c r="E42" s="53"/>
    </row>
    <row r="43" customFormat="false" ht="13.8" hidden="false" customHeight="false" outlineLevel="0" collapsed="false">
      <c r="A43" s="32" t="s">
        <v>159</v>
      </c>
      <c r="B43" s="53" t="n">
        <v>1.84691751345088</v>
      </c>
      <c r="C43" s="56" t="n">
        <v>2</v>
      </c>
      <c r="D43" s="54"/>
      <c r="E43" s="53"/>
    </row>
    <row r="44" customFormat="false" ht="13.8" hidden="false" customHeight="false" outlineLevel="0" collapsed="false">
      <c r="A44" s="32" t="s">
        <v>160</v>
      </c>
      <c r="B44" s="55" t="n">
        <f aca="false">Selling_Price_Fresh!B43*0.5</f>
        <v>0.92345875672544</v>
      </c>
      <c r="C44" s="56" t="n">
        <v>2</v>
      </c>
      <c r="D44" s="54"/>
      <c r="E44" s="53"/>
    </row>
    <row r="45" customFormat="false" ht="13.8" hidden="false" customHeight="false" outlineLevel="0" collapsed="false">
      <c r="A45" s="32" t="s">
        <v>161</v>
      </c>
      <c r="B45" s="53" t="n">
        <v>3.96285058832237</v>
      </c>
      <c r="C45" s="56" t="n">
        <v>2</v>
      </c>
      <c r="D45" s="54"/>
      <c r="E45" s="53"/>
    </row>
    <row r="46" customFormat="false" ht="13.8" hidden="false" customHeight="false" outlineLevel="0" collapsed="false">
      <c r="A46" s="32" t="s">
        <v>162</v>
      </c>
      <c r="B46" s="53" t="n">
        <v>3.18917896329928</v>
      </c>
      <c r="C46" s="56" t="n">
        <v>2</v>
      </c>
      <c r="D46" s="54"/>
      <c r="E46" s="53"/>
    </row>
    <row r="47" customFormat="false" ht="13.8" hidden="false" customHeight="false" outlineLevel="0" collapsed="false">
      <c r="A47" s="32" t="s">
        <v>163</v>
      </c>
      <c r="B47" s="53" t="n">
        <v>3.17112133957088</v>
      </c>
      <c r="C47" s="35" t="n">
        <v>1</v>
      </c>
      <c r="D47" s="54"/>
      <c r="E47" s="53"/>
    </row>
    <row r="48" customFormat="false" ht="13.8" hidden="false" customHeight="false" outlineLevel="0" collapsed="false">
      <c r="A48" s="32" t="s">
        <v>164</v>
      </c>
      <c r="B48" s="53" t="n">
        <v>7.67841579652868</v>
      </c>
      <c r="C48" s="56" t="n">
        <v>2</v>
      </c>
      <c r="D48" s="54"/>
      <c r="E48" s="53"/>
    </row>
    <row r="49" customFormat="false" ht="13.8" hidden="false" customHeight="false" outlineLevel="0" collapsed="false">
      <c r="A49" s="32" t="s">
        <v>165</v>
      </c>
      <c r="B49" s="53" t="n">
        <v>14.6994478995616</v>
      </c>
      <c r="C49" s="35" t="n">
        <v>1</v>
      </c>
      <c r="D49" s="54"/>
      <c r="E49" s="53"/>
    </row>
    <row r="50" customFormat="false" ht="13.8" hidden="false" customHeight="false" outlineLevel="0" collapsed="false">
      <c r="A50" s="32" t="s">
        <v>166</v>
      </c>
      <c r="B50" s="53" t="n">
        <v>15.2988655027764</v>
      </c>
      <c r="C50" s="35" t="n">
        <v>1</v>
      </c>
      <c r="D50" s="54"/>
      <c r="E50" s="53"/>
    </row>
    <row r="51" customFormat="false" ht="13.8" hidden="false" customHeight="false" outlineLevel="0" collapsed="false">
      <c r="A51" s="32" t="s">
        <v>167</v>
      </c>
      <c r="B51" s="53" t="n">
        <v>18.2693082548201</v>
      </c>
      <c r="C51" s="57" t="n">
        <v>1</v>
      </c>
      <c r="D51" s="54"/>
      <c r="E51" s="53"/>
    </row>
    <row r="52" customFormat="false" ht="13.8" hidden="false" customHeight="false" outlineLevel="0" collapsed="false">
      <c r="A52" s="32" t="s">
        <v>168</v>
      </c>
      <c r="B52" s="53" t="n">
        <v>7.99212733185007</v>
      </c>
      <c r="C52" s="57" t="n">
        <v>1</v>
      </c>
      <c r="D52" s="54"/>
      <c r="E52" s="53"/>
    </row>
    <row r="53" customFormat="false" ht="13.8" hidden="false" customHeight="false" outlineLevel="0" collapsed="false">
      <c r="A53" s="32" t="s">
        <v>169</v>
      </c>
      <c r="B53" s="53" t="n">
        <v>7.93180999090059</v>
      </c>
      <c r="C53" s="35" t="n">
        <v>1</v>
      </c>
      <c r="D53" s="54"/>
      <c r="E53" s="53"/>
    </row>
    <row r="54" customFormat="false" ht="13.8" hidden="false" customHeight="false" outlineLevel="0" collapsed="false">
      <c r="A54" s="32" t="s">
        <v>170</v>
      </c>
      <c r="B54" s="53" t="n">
        <v>8.92310774420456</v>
      </c>
      <c r="C54" s="35" t="n">
        <v>1</v>
      </c>
      <c r="D54" s="54"/>
      <c r="E54" s="53"/>
    </row>
    <row r="55" customFormat="false" ht="13.8" hidden="false" customHeight="false" outlineLevel="0" collapsed="false">
      <c r="A55" s="32" t="s">
        <v>171</v>
      </c>
      <c r="B55" s="53" t="n">
        <v>9.39384240001223</v>
      </c>
      <c r="C55" s="35" t="n">
        <v>1</v>
      </c>
      <c r="D55" s="54"/>
      <c r="E55" s="53"/>
    </row>
    <row r="56" customFormat="false" ht="13.8" hidden="false" customHeight="false" outlineLevel="0" collapsed="false">
      <c r="A56" s="32" t="s">
        <v>172</v>
      </c>
      <c r="B56" s="53" t="n">
        <v>9.140354907653</v>
      </c>
      <c r="C56" s="57" t="n">
        <v>1</v>
      </c>
      <c r="D56" s="54"/>
      <c r="E56" s="53"/>
    </row>
    <row r="57" customFormat="false" ht="13.8" hidden="false" customHeight="false" outlineLevel="0" collapsed="false">
      <c r="A57" s="32" t="s">
        <v>173</v>
      </c>
      <c r="B57" s="53" t="n">
        <v>13.022128606503</v>
      </c>
      <c r="C57" s="57" t="n">
        <v>1</v>
      </c>
      <c r="D57" s="54"/>
      <c r="E57" s="53"/>
    </row>
    <row r="58" customFormat="false" ht="13.8" hidden="false" customHeight="false" outlineLevel="0" collapsed="false">
      <c r="A58" s="32" t="s">
        <v>174</v>
      </c>
      <c r="B58" s="55" t="n">
        <f aca="false">Selling_Price_Fresh!B59</f>
        <v>10.4673626143821</v>
      </c>
      <c r="C58" s="57" t="n">
        <v>1</v>
      </c>
      <c r="D58" s="54"/>
      <c r="E58" s="53"/>
    </row>
    <row r="59" customFormat="false" ht="13.8" hidden="false" customHeight="false" outlineLevel="0" collapsed="false">
      <c r="A59" s="32" t="s">
        <v>175</v>
      </c>
      <c r="B59" s="53" t="n">
        <v>10.4673626143821</v>
      </c>
      <c r="C59" s="57" t="n">
        <v>1</v>
      </c>
      <c r="D59" s="54"/>
      <c r="E59" s="53"/>
    </row>
    <row r="60" customFormat="false" ht="13.8" hidden="false" customHeight="false" outlineLevel="0" collapsed="false">
      <c r="A60" s="32" t="s">
        <v>176</v>
      </c>
      <c r="B60" s="53" t="n">
        <v>9.56136625614269</v>
      </c>
      <c r="C60" s="57" t="n">
        <v>2</v>
      </c>
      <c r="D60" s="54"/>
      <c r="E60" s="53"/>
    </row>
    <row r="61" customFormat="false" ht="13.8" hidden="false" customHeight="false" outlineLevel="0" collapsed="false">
      <c r="A61" s="32" t="s">
        <v>177</v>
      </c>
      <c r="B61" s="53" t="n">
        <v>13.2168321860445</v>
      </c>
      <c r="C61" s="57" t="n">
        <v>2</v>
      </c>
      <c r="D61" s="54"/>
      <c r="E61" s="53"/>
    </row>
    <row r="62" customFormat="false" ht="13.8" hidden="false" customHeight="false" outlineLevel="0" collapsed="false">
      <c r="A62" s="32" t="s">
        <v>178</v>
      </c>
      <c r="B62" s="53" t="n">
        <v>13.4319926054563</v>
      </c>
      <c r="C62" s="57" t="n">
        <v>2</v>
      </c>
      <c r="D62" s="54"/>
      <c r="E62" s="53"/>
    </row>
    <row r="63" customFormat="false" ht="13.8" hidden="false" customHeight="false" outlineLevel="0" collapsed="false">
      <c r="A63" s="32" t="s">
        <v>179</v>
      </c>
      <c r="B63" s="53" t="n">
        <v>13.5493413708417</v>
      </c>
      <c r="C63" s="57" t="n">
        <v>2</v>
      </c>
      <c r="D63" s="54"/>
      <c r="E63" s="53"/>
    </row>
    <row r="64" customFormat="false" ht="13.8" hidden="false" customHeight="false" outlineLevel="0" collapsed="false">
      <c r="A64" s="32" t="s">
        <v>180</v>
      </c>
      <c r="B64" s="53" t="n">
        <v>8.80243380156756</v>
      </c>
      <c r="C64" s="57" t="n">
        <v>2</v>
      </c>
      <c r="D64" s="54"/>
      <c r="E64" s="53"/>
    </row>
    <row r="65" customFormat="false" ht="13.8" hidden="false" customHeight="false" outlineLevel="0" collapsed="false">
      <c r="A65" s="32" t="s">
        <v>181</v>
      </c>
      <c r="B65" s="53" t="n">
        <v>9.47089652781039</v>
      </c>
      <c r="C65" s="57" t="n">
        <v>2</v>
      </c>
      <c r="D65" s="54"/>
      <c r="E65" s="53"/>
    </row>
    <row r="66" customFormat="false" ht="13.8" hidden="false" customHeight="false" outlineLevel="0" collapsed="false">
      <c r="A66" s="32" t="s">
        <v>182</v>
      </c>
      <c r="B66" s="53" t="n">
        <v>9.72446131180591</v>
      </c>
      <c r="C66" s="57" t="n">
        <v>2</v>
      </c>
      <c r="D66" s="54"/>
      <c r="E66" s="53"/>
    </row>
    <row r="67" customFormat="false" ht="13.8" hidden="false" customHeight="false" outlineLevel="0" collapsed="false">
      <c r="A67" s="32" t="s">
        <v>183</v>
      </c>
      <c r="B67" s="53" t="n">
        <v>6.32882945487398</v>
      </c>
      <c r="C67" s="35" t="n">
        <v>1</v>
      </c>
      <c r="D67" s="54"/>
      <c r="E67" s="53"/>
    </row>
    <row r="68" customFormat="false" ht="13.8" hidden="false" customHeight="false" outlineLevel="0" collapsed="false">
      <c r="A68" s="32" t="s">
        <v>184</v>
      </c>
      <c r="B68" s="53" t="n">
        <v>6.34742111347105</v>
      </c>
      <c r="C68" s="35" t="n">
        <v>1</v>
      </c>
      <c r="D68" s="54"/>
      <c r="E68" s="53"/>
    </row>
    <row r="69" customFormat="false" ht="13.8" hidden="false" customHeight="false" outlineLevel="0" collapsed="false">
      <c r="A69" s="32" t="s">
        <v>185</v>
      </c>
      <c r="B69" s="55" t="n">
        <f aca="false">Selling_Price_Fresh!B68</f>
        <v>6.34742111347105</v>
      </c>
      <c r="C69" s="57" t="n">
        <v>1</v>
      </c>
      <c r="D69" s="54"/>
      <c r="E69" s="53"/>
    </row>
    <row r="70" customFormat="false" ht="13.8" hidden="false" customHeight="false" outlineLevel="0" collapsed="false">
      <c r="A70" s="32" t="s">
        <v>186</v>
      </c>
      <c r="B70" s="53" t="n">
        <v>13.9764816368941</v>
      </c>
      <c r="C70" s="57" t="n">
        <v>2</v>
      </c>
      <c r="D70" s="54"/>
      <c r="E70" s="53"/>
    </row>
    <row r="71" customFormat="false" ht="13.8" hidden="false" customHeight="false" outlineLevel="0" collapsed="false">
      <c r="A71" s="32" t="s">
        <v>187</v>
      </c>
      <c r="B71" s="53" t="n">
        <v>9.97337870245972</v>
      </c>
      <c r="C71" s="57" t="n">
        <v>2</v>
      </c>
      <c r="D71" s="54"/>
      <c r="E71" s="53"/>
    </row>
    <row r="72" customFormat="false" ht="13.8" hidden="false" customHeight="false" outlineLevel="0" collapsed="false">
      <c r="A72" s="32" t="s">
        <v>188</v>
      </c>
      <c r="B72" s="53" t="n">
        <v>11.2727272727273</v>
      </c>
      <c r="C72" s="57" t="n">
        <v>2</v>
      </c>
      <c r="D72" s="54"/>
      <c r="E72" s="53"/>
    </row>
    <row r="73" customFormat="false" ht="13.8" hidden="false" customHeight="false" outlineLevel="0" collapsed="false">
      <c r="A73" s="32" t="s">
        <v>189</v>
      </c>
      <c r="B73" s="53" t="n">
        <v>15.4319343987141</v>
      </c>
      <c r="C73" s="57" t="n">
        <v>2</v>
      </c>
      <c r="D73" s="54"/>
      <c r="E73" s="53"/>
    </row>
    <row r="74" customFormat="false" ht="13.8" hidden="false" customHeight="false" outlineLevel="0" collapsed="false">
      <c r="A74" s="32" t="s">
        <v>190</v>
      </c>
      <c r="B74" s="53" t="n">
        <v>11.2727272727273</v>
      </c>
      <c r="C74" s="57" t="n">
        <v>2</v>
      </c>
      <c r="D74" s="54"/>
      <c r="E74" s="53"/>
    </row>
    <row r="75" customFormat="false" ht="13.8" hidden="false" customHeight="false" outlineLevel="0" collapsed="false">
      <c r="A75" s="32" t="s">
        <v>191</v>
      </c>
      <c r="B75" s="53" t="n">
        <v>10.9537555645319</v>
      </c>
      <c r="C75" s="57" t="n">
        <v>2</v>
      </c>
      <c r="D75" s="54"/>
      <c r="E75" s="53"/>
    </row>
    <row r="76" customFormat="false" ht="13.8" hidden="false" customHeight="false" outlineLevel="0" collapsed="false">
      <c r="A76" s="32" t="s">
        <v>192</v>
      </c>
      <c r="B76" s="53" t="n">
        <v>11.2727272727273</v>
      </c>
      <c r="C76" s="57" t="n">
        <v>2</v>
      </c>
      <c r="D76" s="54"/>
      <c r="E76" s="53"/>
    </row>
    <row r="77" customFormat="false" ht="13.8" hidden="false" customHeight="false" outlineLevel="0" collapsed="false">
      <c r="A77" s="32" t="s">
        <v>193</v>
      </c>
      <c r="B77" s="53" t="n">
        <v>11.2727272727273</v>
      </c>
      <c r="C77" s="57" t="n">
        <v>2</v>
      </c>
      <c r="D77" s="54"/>
      <c r="E77" s="53"/>
    </row>
    <row r="78" customFormat="false" ht="13.8" hidden="false" customHeight="false" outlineLevel="0" collapsed="false">
      <c r="A78" s="32" t="s">
        <v>194</v>
      </c>
      <c r="B78" s="53" t="n">
        <v>9.28727074632286</v>
      </c>
      <c r="C78" s="57" t="n">
        <v>2</v>
      </c>
      <c r="D78" s="54"/>
      <c r="E78" s="53"/>
    </row>
    <row r="79" customFormat="false" ht="13.8" hidden="false" customHeight="false" outlineLevel="0" collapsed="false">
      <c r="A79" s="32" t="s">
        <v>195</v>
      </c>
      <c r="B79" s="55" t="n">
        <f aca="false">Selling_Price_Fresh!B80</f>
        <v>7.20960046882215</v>
      </c>
      <c r="C79" s="35" t="n">
        <v>1</v>
      </c>
      <c r="D79" s="54"/>
      <c r="E79" s="53"/>
    </row>
    <row r="80" customFormat="false" ht="13.8" hidden="false" customHeight="false" outlineLevel="0" collapsed="false">
      <c r="A80" s="32" t="s">
        <v>196</v>
      </c>
      <c r="B80" s="53" t="n">
        <v>7.20960046882215</v>
      </c>
      <c r="C80" s="35" t="n">
        <v>1</v>
      </c>
      <c r="D80" s="54"/>
      <c r="E80" s="53"/>
    </row>
    <row r="81" customFormat="false" ht="13.8" hidden="false" customHeight="false" outlineLevel="0" collapsed="false">
      <c r="A81" s="32" t="s">
        <v>197</v>
      </c>
      <c r="B81" s="53" t="n">
        <v>11.4988275421019</v>
      </c>
      <c r="C81" s="57" t="n">
        <v>2</v>
      </c>
      <c r="D81" s="54"/>
      <c r="E81" s="53"/>
    </row>
    <row r="82" customFormat="false" ht="13.8" hidden="false" customHeight="false" outlineLevel="0" collapsed="false">
      <c r="A82" s="32" t="s">
        <v>198</v>
      </c>
      <c r="B82" s="53" t="n">
        <v>11.6999966064884</v>
      </c>
      <c r="C82" s="57" t="n">
        <v>2</v>
      </c>
      <c r="D82" s="54"/>
      <c r="E82" s="53"/>
    </row>
    <row r="83" customFormat="false" ht="13.8" hidden="false" customHeight="false" outlineLevel="0" collapsed="false">
      <c r="A83" s="32" t="s">
        <v>199</v>
      </c>
      <c r="B83" s="53" t="n">
        <v>11.6238073995849</v>
      </c>
      <c r="C83" s="57" t="n">
        <v>2</v>
      </c>
      <c r="D83" s="54"/>
      <c r="E83" s="53"/>
    </row>
    <row r="84" customFormat="false" ht="13.8" hidden="false" customHeight="false" outlineLevel="0" collapsed="false">
      <c r="A84" s="32" t="s">
        <v>200</v>
      </c>
      <c r="B84" s="53" t="n">
        <v>10.90031982582</v>
      </c>
      <c r="C84" s="0" t="n">
        <v>1</v>
      </c>
      <c r="D84" s="54"/>
      <c r="E84" s="53"/>
    </row>
    <row r="85" customFormat="false" ht="13.8" hidden="false" customHeight="false" outlineLevel="0" collapsed="false">
      <c r="A85" s="32" t="s">
        <v>201</v>
      </c>
      <c r="B85" s="53" t="n">
        <v>11.8</v>
      </c>
      <c r="C85" s="57" t="n">
        <v>2</v>
      </c>
      <c r="D85" s="54"/>
      <c r="E85" s="53"/>
    </row>
    <row r="86" customFormat="false" ht="13.8" hidden="false" customHeight="false" outlineLevel="0" collapsed="false">
      <c r="A86" s="32" t="s">
        <v>202</v>
      </c>
      <c r="B86" s="53" t="n">
        <v>10.9107940734465</v>
      </c>
      <c r="C86" s="0" t="n">
        <v>1</v>
      </c>
      <c r="D86" s="54"/>
      <c r="E86" s="53"/>
    </row>
    <row r="87" customFormat="false" ht="13.8" hidden="false" customHeight="false" outlineLevel="0" collapsed="false">
      <c r="A87" s="32" t="s">
        <v>203</v>
      </c>
      <c r="B87" s="53" t="n">
        <v>6.99202827171511</v>
      </c>
      <c r="C87" s="35" t="n">
        <v>1</v>
      </c>
      <c r="D87" s="54"/>
      <c r="E87" s="53"/>
    </row>
    <row r="88" customFormat="false" ht="13.8" hidden="false" customHeight="false" outlineLevel="0" collapsed="false">
      <c r="A88" s="32" t="s">
        <v>204</v>
      </c>
      <c r="B88" s="53" t="n">
        <v>6.29878110519261</v>
      </c>
      <c r="C88" s="57" t="n">
        <v>2</v>
      </c>
      <c r="D88" s="54"/>
      <c r="E88" s="53"/>
    </row>
    <row r="89" customFormat="false" ht="13.8" hidden="false" customHeight="false" outlineLevel="0" collapsed="false">
      <c r="A89" s="32" t="s">
        <v>205</v>
      </c>
      <c r="B89" s="53" t="n">
        <v>6.99719223376331</v>
      </c>
      <c r="C89" s="35" t="n">
        <v>2</v>
      </c>
      <c r="D89" s="54"/>
      <c r="E89" s="53"/>
    </row>
    <row r="90" customFormat="false" ht="13.8" hidden="false" customHeight="false" outlineLevel="0" collapsed="false">
      <c r="A90" s="32" t="s">
        <v>206</v>
      </c>
      <c r="B90" s="55" t="n">
        <f aca="false">Selling_Price_Fresh!B92</f>
        <v>6.94512220321502</v>
      </c>
      <c r="C90" s="57" t="n">
        <v>2</v>
      </c>
      <c r="D90" s="54"/>
      <c r="E90" s="53"/>
    </row>
    <row r="91" customFormat="false" ht="13.8" hidden="false" customHeight="false" outlineLevel="0" collapsed="false">
      <c r="A91" s="32" t="s">
        <v>207</v>
      </c>
      <c r="B91" s="53" t="n">
        <v>8.00678252026303</v>
      </c>
      <c r="C91" s="35" t="n">
        <v>2</v>
      </c>
      <c r="D91" s="54"/>
      <c r="E91" s="53"/>
    </row>
    <row r="92" customFormat="false" ht="13.8" hidden="false" customHeight="false" outlineLevel="0" collapsed="false">
      <c r="A92" s="32" t="s">
        <v>208</v>
      </c>
      <c r="B92" s="53" t="n">
        <v>6.94512220321502</v>
      </c>
      <c r="C92" s="35" t="n">
        <v>1</v>
      </c>
      <c r="D92" s="54"/>
      <c r="E92" s="53"/>
    </row>
    <row r="93" customFormat="false" ht="13.8" hidden="false" customHeight="false" outlineLevel="0" collapsed="false">
      <c r="A93" s="32" t="s">
        <v>209</v>
      </c>
      <c r="B93" s="53" t="n">
        <v>7.9916257152654</v>
      </c>
      <c r="C93" s="57" t="n">
        <v>2</v>
      </c>
      <c r="D93" s="54"/>
      <c r="E93" s="53"/>
    </row>
    <row r="94" customFormat="false" ht="13.8" hidden="false" customHeight="false" outlineLevel="0" collapsed="false">
      <c r="A94" s="32" t="s">
        <v>210</v>
      </c>
      <c r="B94" s="53" t="n">
        <v>7.39785133309271</v>
      </c>
      <c r="C94" s="57" t="n">
        <v>2</v>
      </c>
      <c r="D94" s="54"/>
      <c r="E94" s="53"/>
    </row>
    <row r="95" customFormat="false" ht="13.8" hidden="false" customHeight="false" outlineLevel="0" collapsed="false">
      <c r="A95" s="32" t="s">
        <v>211</v>
      </c>
      <c r="B95" s="53" t="n">
        <v>7.6800729409981</v>
      </c>
      <c r="C95" s="57" t="n">
        <v>2</v>
      </c>
      <c r="D95" s="54"/>
      <c r="E95" s="53"/>
    </row>
    <row r="96" customFormat="false" ht="13.8" hidden="false" customHeight="false" outlineLevel="0" collapsed="false">
      <c r="A96" s="32" t="s">
        <v>212</v>
      </c>
      <c r="B96" s="53" t="n">
        <v>7.45867557392037</v>
      </c>
      <c r="C96" s="57" t="n">
        <v>2</v>
      </c>
      <c r="D96" s="54"/>
      <c r="E96" s="53"/>
    </row>
    <row r="97" customFormat="false" ht="13.8" hidden="false" customHeight="false" outlineLevel="0" collapsed="false">
      <c r="A97" s="32" t="s">
        <v>213</v>
      </c>
      <c r="B97" s="53" t="n">
        <v>7.73537329562736</v>
      </c>
      <c r="C97" s="57" t="n">
        <v>2</v>
      </c>
      <c r="D97" s="54"/>
      <c r="E97" s="53"/>
    </row>
  </sheetData>
  <autoFilter ref="A1:N97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RowHeight="13.8"/>
  <cols>
    <col collapsed="false" hidden="false" max="1" min="1" style="0" width="19.9230769230769"/>
    <col collapsed="false" hidden="false" max="3" min="2" style="0" width="29.1376518218623"/>
    <col collapsed="false" hidden="false" max="1025" min="4" style="0" width="8.57085020242915"/>
  </cols>
  <sheetData>
    <row r="1" customFormat="false" ht="14.9" hidden="false" customHeight="false" outlineLevel="0" collapsed="false">
      <c r="A1" s="27" t="s">
        <v>119</v>
      </c>
      <c r="B1" s="27" t="s">
        <v>835</v>
      </c>
      <c r="C1" s="52" t="s">
        <v>833</v>
      </c>
      <c r="N1" s="29" t="s">
        <v>224</v>
      </c>
    </row>
    <row r="2" customFormat="false" ht="13.8" hidden="false" customHeight="false" outlineLevel="0" collapsed="false">
      <c r="A2" s="31" t="s">
        <v>225</v>
      </c>
      <c r="B2" s="53" t="n">
        <v>13.7794687029469</v>
      </c>
      <c r="C2" s="37" t="n">
        <v>2</v>
      </c>
      <c r="D2" s="54"/>
      <c r="E2" s="53"/>
    </row>
    <row r="3" customFormat="false" ht="13.8" hidden="false" customHeight="false" outlineLevel="0" collapsed="false">
      <c r="A3" s="31" t="s">
        <v>226</v>
      </c>
      <c r="B3" s="53" t="n">
        <v>13.2841096187448</v>
      </c>
      <c r="C3" s="37" t="n">
        <v>1</v>
      </c>
      <c r="D3" s="54"/>
    </row>
    <row r="4" customFormat="false" ht="13.8" hidden="false" customHeight="false" outlineLevel="0" collapsed="false">
      <c r="A4" s="31" t="s">
        <v>227</v>
      </c>
      <c r="B4" s="53" t="n">
        <v>13.0699750155572</v>
      </c>
      <c r="C4" s="37" t="n">
        <v>2</v>
      </c>
      <c r="D4" s="54"/>
    </row>
    <row r="5" customFormat="false" ht="13.8" hidden="false" customHeight="false" outlineLevel="0" collapsed="false">
      <c r="A5" s="31" t="s">
        <v>228</v>
      </c>
      <c r="B5" s="53" t="n">
        <v>14.0088539824628</v>
      </c>
      <c r="C5" s="37" t="n">
        <v>2</v>
      </c>
      <c r="D5" s="54"/>
    </row>
    <row r="6" customFormat="false" ht="13.8" hidden="false" customHeight="false" outlineLevel="0" collapsed="false">
      <c r="A6" s="31" t="s">
        <v>229</v>
      </c>
      <c r="B6" s="53" t="n">
        <v>13.0199890707846</v>
      </c>
      <c r="C6" s="37" t="n">
        <v>2</v>
      </c>
      <c r="D6" s="54"/>
    </row>
    <row r="7" customFormat="false" ht="13.8" hidden="false" customHeight="false" outlineLevel="0" collapsed="false">
      <c r="A7" s="31" t="s">
        <v>230</v>
      </c>
      <c r="B7" s="53" t="n">
        <v>14.2500412065271</v>
      </c>
      <c r="C7" s="37" t="n">
        <v>2</v>
      </c>
      <c r="D7" s="54"/>
    </row>
    <row r="8" customFormat="false" ht="13.8" hidden="false" customHeight="false" outlineLevel="0" collapsed="false">
      <c r="A8" s="31" t="s">
        <v>231</v>
      </c>
      <c r="B8" s="53" t="n">
        <v>12.9299435339738</v>
      </c>
      <c r="C8" s="37" t="n">
        <v>2</v>
      </c>
      <c r="D8" s="54"/>
    </row>
    <row r="9" customFormat="false" ht="13.8" hidden="false" customHeight="false" outlineLevel="0" collapsed="false">
      <c r="A9" s="0" t="s">
        <v>232</v>
      </c>
      <c r="B9" s="53" t="n">
        <v>11.1699961477079</v>
      </c>
      <c r="C9" s="37" t="n">
        <v>2</v>
      </c>
      <c r="D9" s="54"/>
    </row>
    <row r="10" customFormat="false" ht="13.8" hidden="false" customHeight="false" outlineLevel="0" collapsed="false">
      <c r="A10" s="0" t="s">
        <v>233</v>
      </c>
      <c r="B10" s="53" t="n">
        <v>14.0638888230794</v>
      </c>
      <c r="C10" s="37" t="n">
        <v>2</v>
      </c>
      <c r="D10" s="54"/>
    </row>
    <row r="11" customFormat="false" ht="13.8" hidden="false" customHeight="false" outlineLevel="0" collapsed="false">
      <c r="A11" s="0" t="s">
        <v>234</v>
      </c>
      <c r="B11" s="53" t="n">
        <v>11.1700066479906</v>
      </c>
      <c r="C11" s="37" t="n">
        <v>2</v>
      </c>
      <c r="D11" s="54"/>
    </row>
    <row r="12" customFormat="false" ht="13.8" hidden="false" customHeight="false" outlineLevel="0" collapsed="false">
      <c r="A12" s="0" t="s">
        <v>235</v>
      </c>
      <c r="B12" s="53" t="n">
        <v>11.9351149164342</v>
      </c>
      <c r="C12" s="37" t="n">
        <v>2</v>
      </c>
      <c r="D12" s="54"/>
    </row>
    <row r="13" customFormat="false" ht="13.8" hidden="false" customHeight="false" outlineLevel="0" collapsed="false">
      <c r="A13" s="0" t="s">
        <v>236</v>
      </c>
      <c r="B13" s="53" t="n">
        <v>12.9970548110104</v>
      </c>
      <c r="C13" s="58" t="n">
        <v>1</v>
      </c>
      <c r="D13" s="54"/>
    </row>
    <row r="14" customFormat="false" ht="13.8" hidden="false" customHeight="false" outlineLevel="0" collapsed="false">
      <c r="A14" s="0" t="s">
        <v>237</v>
      </c>
      <c r="B14" s="55" t="n">
        <f aca="false">Selling_Price_Frozen!B13</f>
        <v>12.9970548110104</v>
      </c>
      <c r="C14" s="37" t="n">
        <v>2</v>
      </c>
      <c r="D14" s="54"/>
    </row>
    <row r="15" customFormat="false" ht="13.8" hidden="false" customHeight="false" outlineLevel="0" collapsed="false">
      <c r="A15" s="0" t="s">
        <v>238</v>
      </c>
      <c r="B15" s="53" t="n">
        <v>13.3284389300834</v>
      </c>
      <c r="C15" s="37" t="n">
        <v>2</v>
      </c>
      <c r="D15" s="54"/>
    </row>
    <row r="16" customFormat="false" ht="13.8" hidden="false" customHeight="false" outlineLevel="0" collapsed="false">
      <c r="A16" s="0" t="s">
        <v>239</v>
      </c>
      <c r="B16" s="53" t="n">
        <v>13.8876724734964</v>
      </c>
      <c r="C16" s="37" t="n">
        <v>2</v>
      </c>
      <c r="D16" s="54"/>
    </row>
    <row r="17" customFormat="false" ht="13.8" hidden="false" customHeight="false" outlineLevel="0" collapsed="false">
      <c r="A17" s="0" t="s">
        <v>240</v>
      </c>
      <c r="B17" s="53" t="n">
        <v>13.95</v>
      </c>
      <c r="C17" s="58" t="n">
        <v>1</v>
      </c>
      <c r="D17" s="54"/>
    </row>
    <row r="18" customFormat="false" ht="13.8" hidden="false" customHeight="false" outlineLevel="0" collapsed="false">
      <c r="A18" s="0" t="s">
        <v>241</v>
      </c>
      <c r="B18" s="53" t="n">
        <v>14.31</v>
      </c>
      <c r="C18" s="58" t="n">
        <v>1</v>
      </c>
      <c r="D18" s="54"/>
    </row>
    <row r="19" customFormat="false" ht="13.8" hidden="false" customHeight="false" outlineLevel="0" collapsed="false">
      <c r="A19" s="0" t="s">
        <v>242</v>
      </c>
      <c r="B19" s="55" t="n">
        <f aca="false">Selling_Price_Frozen!B16</f>
        <v>13.8876724734964</v>
      </c>
      <c r="C19" s="37" t="n">
        <v>2</v>
      </c>
      <c r="D19" s="54"/>
    </row>
    <row r="20" customFormat="false" ht="13.8" hidden="false" customHeight="false" outlineLevel="0" collapsed="false">
      <c r="A20" s="0" t="s">
        <v>243</v>
      </c>
      <c r="B20" s="55" t="n">
        <f aca="false">Selling_Price_Frozen!B14</f>
        <v>12.9970548110104</v>
      </c>
      <c r="C20" s="37" t="n">
        <v>2</v>
      </c>
      <c r="D20" s="54"/>
    </row>
    <row r="21" customFormat="false" ht="13.8" hidden="false" customHeight="false" outlineLevel="0" collapsed="false">
      <c r="A21" s="0" t="s">
        <v>244</v>
      </c>
      <c r="B21" s="53" t="n">
        <v>13.2535709925528</v>
      </c>
      <c r="C21" s="58" t="n">
        <v>1</v>
      </c>
      <c r="D21" s="54"/>
    </row>
    <row r="22" customFormat="false" ht="13.8" hidden="false" customHeight="false" outlineLevel="0" collapsed="false">
      <c r="A22" s="0" t="s">
        <v>245</v>
      </c>
      <c r="B22" s="53" t="n">
        <v>14.2316317737112</v>
      </c>
      <c r="C22" s="37" t="n">
        <v>2</v>
      </c>
      <c r="D22" s="54"/>
    </row>
    <row r="23" customFormat="false" ht="13.8" hidden="false" customHeight="false" outlineLevel="0" collapsed="false">
      <c r="A23" s="0" t="s">
        <v>246</v>
      </c>
      <c r="B23" s="53" t="n">
        <v>11.9199859436831</v>
      </c>
      <c r="C23" s="58" t="n">
        <v>1</v>
      </c>
      <c r="D23" s="54"/>
    </row>
    <row r="24" customFormat="false" ht="13.8" hidden="false" customHeight="false" outlineLevel="0" collapsed="false">
      <c r="A24" s="0" t="s">
        <v>247</v>
      </c>
      <c r="B24" s="53" t="n">
        <v>12.2014686371547</v>
      </c>
      <c r="C24" s="58" t="n">
        <v>1</v>
      </c>
      <c r="D24" s="54"/>
    </row>
    <row r="25" customFormat="false" ht="13.8" hidden="false" customHeight="false" outlineLevel="0" collapsed="false">
      <c r="A25" s="0" t="s">
        <v>248</v>
      </c>
      <c r="B25" s="53" t="n">
        <v>11.5411798676203</v>
      </c>
      <c r="C25" s="58" t="n">
        <v>1</v>
      </c>
      <c r="D25" s="54"/>
    </row>
    <row r="26" customFormat="false" ht="13.8" hidden="false" customHeight="false" outlineLevel="0" collapsed="false">
      <c r="A26" s="0" t="s">
        <v>249</v>
      </c>
      <c r="B26" s="53" t="n">
        <v>10.0525962552228</v>
      </c>
      <c r="C26" s="37" t="n">
        <v>2</v>
      </c>
      <c r="D26" s="54"/>
    </row>
    <row r="27" customFormat="false" ht="13.8" hidden="false" customHeight="false" outlineLevel="0" collapsed="false">
      <c r="A27" s="0" t="s">
        <v>250</v>
      </c>
      <c r="B27" s="55" t="n">
        <f aca="false">Selling_Price_Frozen!B26</f>
        <v>10.0525962552228</v>
      </c>
      <c r="C27" s="37" t="n">
        <v>2</v>
      </c>
      <c r="D27" s="54"/>
    </row>
    <row r="28" customFormat="false" ht="13.8" hidden="false" customHeight="false" outlineLevel="0" collapsed="false">
      <c r="A28" s="0" t="s">
        <v>251</v>
      </c>
      <c r="B28" s="53" t="n">
        <v>9.93353284444301</v>
      </c>
      <c r="C28" s="37" t="n">
        <v>2</v>
      </c>
      <c r="D28" s="54"/>
    </row>
    <row r="29" customFormat="false" ht="13.8" hidden="false" customHeight="false" outlineLevel="0" collapsed="false">
      <c r="A29" s="0" t="s">
        <v>252</v>
      </c>
      <c r="B29" s="53" t="n">
        <v>10.200015842839</v>
      </c>
      <c r="C29" s="37" t="n">
        <v>2</v>
      </c>
      <c r="D29" s="54"/>
    </row>
    <row r="30" customFormat="false" ht="13.8" hidden="false" customHeight="false" outlineLevel="0" collapsed="false">
      <c r="A30" s="0" t="s">
        <v>253</v>
      </c>
      <c r="B30" s="53" t="n">
        <v>11.5558557628012</v>
      </c>
      <c r="C30" s="58" t="n">
        <v>1</v>
      </c>
      <c r="D30" s="54"/>
    </row>
    <row r="31" customFormat="false" ht="13.8" hidden="false" customHeight="false" outlineLevel="0" collapsed="false">
      <c r="A31" s="0" t="s">
        <v>254</v>
      </c>
      <c r="B31" s="55" t="n">
        <f aca="false">Selling_Price_Frozen!B35</f>
        <v>10.1999983359819</v>
      </c>
      <c r="C31" s="37" t="n">
        <v>2</v>
      </c>
      <c r="D31" s="54"/>
    </row>
    <row r="32" customFormat="false" ht="13.8" hidden="false" customHeight="false" outlineLevel="0" collapsed="false">
      <c r="A32" s="0" t="s">
        <v>836</v>
      </c>
      <c r="B32" s="53" t="n">
        <v>8.84289781240635</v>
      </c>
      <c r="C32" s="58" t="n">
        <v>1</v>
      </c>
      <c r="D32" s="54"/>
    </row>
    <row r="33" customFormat="false" ht="13.8" hidden="false" customHeight="false" outlineLevel="0" collapsed="false">
      <c r="A33" s="0" t="s">
        <v>255</v>
      </c>
      <c r="B33" s="53" t="n">
        <v>8.68818285228597</v>
      </c>
      <c r="C33" s="58" t="n">
        <v>1</v>
      </c>
      <c r="D33" s="54"/>
    </row>
    <row r="34" customFormat="false" ht="13.8" hidden="false" customHeight="false" outlineLevel="0" collapsed="false">
      <c r="A34" s="0" t="s">
        <v>837</v>
      </c>
      <c r="B34" s="53" t="n">
        <v>7.37292708370805</v>
      </c>
      <c r="C34" s="58" t="n">
        <v>1</v>
      </c>
      <c r="D34" s="54"/>
    </row>
    <row r="35" customFormat="false" ht="13.8" hidden="false" customHeight="false" outlineLevel="0" collapsed="false">
      <c r="A35" s="0" t="s">
        <v>256</v>
      </c>
      <c r="B35" s="53" t="n">
        <v>10.1999983359819</v>
      </c>
      <c r="C35" s="37" t="n">
        <v>2</v>
      </c>
      <c r="D35" s="54"/>
    </row>
    <row r="36" customFormat="false" ht="13.8" hidden="false" customHeight="false" outlineLevel="0" collapsed="false">
      <c r="A36" s="0" t="s">
        <v>257</v>
      </c>
      <c r="B36" s="53" t="n">
        <v>8.83694484579025</v>
      </c>
      <c r="C36" s="37" t="n">
        <v>2</v>
      </c>
      <c r="D36" s="54"/>
    </row>
    <row r="37" customFormat="false" ht="13.8" hidden="false" customHeight="false" outlineLevel="0" collapsed="false">
      <c r="A37" s="0" t="s">
        <v>258</v>
      </c>
      <c r="B37" s="53" t="n">
        <v>7.8039094303547</v>
      </c>
      <c r="C37" s="37" t="n">
        <v>2</v>
      </c>
      <c r="D37" s="54"/>
    </row>
    <row r="38" customFormat="false" ht="13.8" hidden="false" customHeight="false" outlineLevel="0" collapsed="false">
      <c r="A38" s="0" t="s">
        <v>259</v>
      </c>
      <c r="B38" s="53" t="n">
        <v>9.71395736118098</v>
      </c>
      <c r="C38" s="37" t="n">
        <v>2</v>
      </c>
      <c r="D38" s="54"/>
    </row>
    <row r="39" customFormat="false" ht="13.8" hidden="false" customHeight="false" outlineLevel="0" collapsed="false">
      <c r="A39" s="0" t="s">
        <v>260</v>
      </c>
      <c r="B39" s="53" t="n">
        <v>10.080123030403</v>
      </c>
      <c r="C39" s="37" t="n">
        <v>2</v>
      </c>
      <c r="D39" s="54"/>
    </row>
    <row r="40" customFormat="false" ht="13.8" hidden="false" customHeight="false" outlineLevel="0" collapsed="false">
      <c r="A40" s="0" t="s">
        <v>261</v>
      </c>
      <c r="B40" s="55" t="n">
        <f aca="false">Selling_Price_Frozen!B41</f>
        <v>10.3000678886626</v>
      </c>
      <c r="C40" s="37" t="n">
        <v>2</v>
      </c>
      <c r="D40" s="54"/>
    </row>
    <row r="41" customFormat="false" ht="13.8" hidden="false" customHeight="false" outlineLevel="0" collapsed="false">
      <c r="A41" s="0" t="s">
        <v>262</v>
      </c>
      <c r="B41" s="53" t="n">
        <v>10.3000678886626</v>
      </c>
      <c r="C41" s="37" t="n">
        <v>2</v>
      </c>
      <c r="D41" s="54"/>
    </row>
    <row r="42" customFormat="false" ht="13.8" hidden="false" customHeight="false" outlineLevel="0" collapsed="false">
      <c r="A42" s="0" t="s">
        <v>263</v>
      </c>
      <c r="B42" s="53" t="n">
        <v>8</v>
      </c>
      <c r="C42" s="37" t="n">
        <v>2</v>
      </c>
      <c r="D42" s="54"/>
    </row>
    <row r="43" customFormat="false" ht="13.8" hidden="false" customHeight="false" outlineLevel="0" collapsed="false">
      <c r="A43" s="0" t="s">
        <v>264</v>
      </c>
      <c r="B43" s="53" t="n">
        <v>9.74598917676357</v>
      </c>
      <c r="C43" s="37" t="n">
        <v>2</v>
      </c>
      <c r="D43" s="54"/>
    </row>
    <row r="44" customFormat="false" ht="13.8" hidden="false" customHeight="false" outlineLevel="0" collapsed="false">
      <c r="A44" s="0" t="s">
        <v>265</v>
      </c>
      <c r="B44" s="53" t="n">
        <v>8.99816940696832</v>
      </c>
      <c r="C44" s="37" t="n">
        <v>2</v>
      </c>
      <c r="D44" s="54"/>
    </row>
    <row r="45" customFormat="false" ht="13.8" hidden="false" customHeight="false" outlineLevel="0" collapsed="false">
      <c r="A45" s="0" t="s">
        <v>266</v>
      </c>
      <c r="B45" s="53" t="n">
        <v>9.29988851727982</v>
      </c>
      <c r="C45" s="37" t="n">
        <v>2</v>
      </c>
      <c r="D45" s="54"/>
    </row>
    <row r="46" customFormat="false" ht="13.8" hidden="false" customHeight="false" outlineLevel="0" collapsed="false">
      <c r="A46" s="0" t="s">
        <v>267</v>
      </c>
      <c r="B46" s="53" t="n">
        <v>9.25081858922266</v>
      </c>
      <c r="C46" s="37" t="n">
        <v>2</v>
      </c>
      <c r="D46" s="54"/>
    </row>
    <row r="47" customFormat="false" ht="13.8" hidden="false" customHeight="false" outlineLevel="0" collapsed="false">
      <c r="A47" s="0" t="s">
        <v>268</v>
      </c>
      <c r="B47" s="53" t="n">
        <v>11.2550129548271</v>
      </c>
      <c r="C47" s="37" t="n">
        <v>2</v>
      </c>
      <c r="D47" s="54"/>
    </row>
    <row r="48" customFormat="false" ht="13.8" hidden="false" customHeight="false" outlineLevel="0" collapsed="false">
      <c r="A48" s="0" t="s">
        <v>269</v>
      </c>
      <c r="B48" s="53" t="n">
        <v>12.8016946520862</v>
      </c>
      <c r="C48" s="37" t="n">
        <v>2</v>
      </c>
      <c r="D48" s="54"/>
    </row>
    <row r="49" customFormat="false" ht="13.8" hidden="false" customHeight="false" outlineLevel="0" collapsed="false">
      <c r="A49" s="0" t="s">
        <v>270</v>
      </c>
      <c r="B49" s="53" t="n">
        <v>11.5848168495595</v>
      </c>
      <c r="C49" s="37" t="n">
        <v>2</v>
      </c>
      <c r="D49" s="54"/>
    </row>
    <row r="50" customFormat="false" ht="13.8" hidden="false" customHeight="false" outlineLevel="0" collapsed="false">
      <c r="A50" s="0" t="s">
        <v>271</v>
      </c>
      <c r="B50" s="53" t="n">
        <v>9.2</v>
      </c>
      <c r="C50" s="37" t="n">
        <v>2</v>
      </c>
      <c r="D50" s="54"/>
    </row>
    <row r="51" customFormat="false" ht="13.8" hidden="false" customHeight="false" outlineLevel="0" collapsed="false">
      <c r="A51" s="0" t="s">
        <v>272</v>
      </c>
      <c r="B51" s="53" t="n">
        <v>9.08454659908965</v>
      </c>
      <c r="C51" s="37" t="n">
        <v>2</v>
      </c>
      <c r="D51" s="54"/>
    </row>
    <row r="52" customFormat="false" ht="13.8" hidden="false" customHeight="false" outlineLevel="0" collapsed="false">
      <c r="A52" s="0" t="s">
        <v>273</v>
      </c>
      <c r="B52" s="53" t="n">
        <v>9</v>
      </c>
      <c r="C52" s="37" t="n">
        <v>2</v>
      </c>
      <c r="D52" s="54"/>
    </row>
    <row r="53" customFormat="false" ht="13.8" hidden="false" customHeight="false" outlineLevel="0" collapsed="false">
      <c r="A53" s="0" t="s">
        <v>274</v>
      </c>
      <c r="B53" s="53" t="n">
        <v>7.95242248014541</v>
      </c>
      <c r="C53" s="37" t="n">
        <v>2</v>
      </c>
      <c r="D53" s="54"/>
    </row>
    <row r="54" customFormat="false" ht="13.8" hidden="false" customHeight="false" outlineLevel="0" collapsed="false">
      <c r="A54" s="0" t="s">
        <v>275</v>
      </c>
      <c r="B54" s="53" t="n">
        <v>7.03592913855615</v>
      </c>
      <c r="C54" s="37" t="n">
        <v>2</v>
      </c>
      <c r="D54" s="54"/>
    </row>
    <row r="55" customFormat="false" ht="13.8" hidden="false" customHeight="false" outlineLevel="0" collapsed="false">
      <c r="A55" s="0" t="s">
        <v>276</v>
      </c>
      <c r="B55" s="53" t="n">
        <v>8.80000021425296</v>
      </c>
      <c r="C55" s="37" t="n">
        <v>2</v>
      </c>
      <c r="D55" s="54"/>
    </row>
    <row r="56" customFormat="false" ht="13.8" hidden="false" customHeight="false" outlineLevel="0" collapsed="false">
      <c r="A56" s="0" t="s">
        <v>277</v>
      </c>
      <c r="B56" s="53" t="n">
        <v>8.74004000470644</v>
      </c>
      <c r="C56" s="37" t="n">
        <v>2</v>
      </c>
      <c r="D56" s="54"/>
    </row>
    <row r="57" customFormat="false" ht="13.8" hidden="false" customHeight="false" outlineLevel="0" collapsed="false">
      <c r="A57" s="0" t="s">
        <v>278</v>
      </c>
      <c r="B57" s="53" t="n">
        <v>9</v>
      </c>
      <c r="C57" s="37" t="n">
        <v>2</v>
      </c>
      <c r="D57" s="54"/>
    </row>
    <row r="58" customFormat="false" ht="13.8" hidden="false" customHeight="false" outlineLevel="0" collapsed="false">
      <c r="A58" s="0" t="s">
        <v>279</v>
      </c>
      <c r="B58" s="53" t="n">
        <v>2.11481713977846</v>
      </c>
      <c r="C58" s="37" t="n">
        <v>2</v>
      </c>
      <c r="D58" s="54"/>
    </row>
    <row r="59" customFormat="false" ht="13.8" hidden="false" customHeight="false" outlineLevel="0" collapsed="false">
      <c r="A59" s="0" t="s">
        <v>280</v>
      </c>
      <c r="B59" s="53" t="n">
        <v>3.16671320860095</v>
      </c>
      <c r="C59" s="37" t="n">
        <v>2</v>
      </c>
      <c r="D59" s="54"/>
    </row>
    <row r="60" customFormat="false" ht="13.8" hidden="false" customHeight="false" outlineLevel="0" collapsed="false">
      <c r="A60" s="0" t="s">
        <v>281</v>
      </c>
      <c r="B60" s="53" t="n">
        <v>1.89999897871297</v>
      </c>
      <c r="C60" s="37" t="n">
        <v>2</v>
      </c>
      <c r="D60" s="54"/>
    </row>
    <row r="61" customFormat="false" ht="13.8" hidden="false" customHeight="false" outlineLevel="0" collapsed="false">
      <c r="A61" s="0" t="s">
        <v>282</v>
      </c>
      <c r="B61" s="53" t="n">
        <v>1.53363961992134</v>
      </c>
      <c r="C61" s="37" t="n">
        <v>2</v>
      </c>
      <c r="D61" s="54"/>
    </row>
    <row r="62" customFormat="false" ht="13.8" hidden="false" customHeight="false" outlineLevel="0" collapsed="false">
      <c r="A62" s="0" t="s">
        <v>283</v>
      </c>
      <c r="B62" s="53" t="n">
        <v>2.81958817043993</v>
      </c>
      <c r="C62" s="37" t="n">
        <v>2</v>
      </c>
      <c r="D62" s="54"/>
    </row>
    <row r="63" customFormat="false" ht="13.8" hidden="false" customHeight="false" outlineLevel="0" collapsed="false">
      <c r="A63" s="0" t="s">
        <v>284</v>
      </c>
      <c r="B63" s="53" t="n">
        <v>2.71022844206627</v>
      </c>
      <c r="C63" s="37" t="n">
        <v>2</v>
      </c>
      <c r="D63" s="54"/>
    </row>
    <row r="64" customFormat="false" ht="13.8" hidden="false" customHeight="false" outlineLevel="0" collapsed="false">
      <c r="A64" s="0" t="s">
        <v>285</v>
      </c>
      <c r="B64" s="53" t="n">
        <v>2.27188879764837</v>
      </c>
      <c r="C64" s="37" t="n">
        <v>2</v>
      </c>
      <c r="D64" s="54"/>
    </row>
    <row r="65" customFormat="false" ht="13.8" hidden="false" customHeight="false" outlineLevel="0" collapsed="false">
      <c r="A65" s="0" t="s">
        <v>286</v>
      </c>
      <c r="B65" s="53" t="n">
        <v>4.98523517152458</v>
      </c>
      <c r="C65" s="37" t="n">
        <v>2</v>
      </c>
      <c r="D65" s="54"/>
    </row>
    <row r="66" customFormat="false" ht="13.8" hidden="false" customHeight="false" outlineLevel="0" collapsed="false">
      <c r="A66" s="0" t="s">
        <v>287</v>
      </c>
      <c r="B66" s="53" t="n">
        <v>11.4424046434494</v>
      </c>
      <c r="C66" s="37" t="n">
        <v>2</v>
      </c>
      <c r="D66" s="54"/>
    </row>
    <row r="67" customFormat="false" ht="13.8" hidden="false" customHeight="false" outlineLevel="0" collapsed="false">
      <c r="A67" s="0" t="s">
        <v>288</v>
      </c>
      <c r="B67" s="53" t="n">
        <v>12.4856486796785</v>
      </c>
      <c r="C67" s="37" t="n">
        <v>2</v>
      </c>
      <c r="D67" s="54"/>
    </row>
    <row r="68" customFormat="false" ht="13.8" hidden="false" customHeight="false" outlineLevel="0" collapsed="false">
      <c r="A68" s="0" t="s">
        <v>289</v>
      </c>
      <c r="B68" s="55" t="n">
        <f aca="false">Selling_Price_Frozen!B69</f>
        <v>1.29587315126043</v>
      </c>
      <c r="C68" s="37" t="n">
        <v>2</v>
      </c>
      <c r="D68" s="54"/>
    </row>
    <row r="69" customFormat="false" ht="13.8" hidden="false" customHeight="false" outlineLevel="0" collapsed="false">
      <c r="A69" s="0" t="s">
        <v>290</v>
      </c>
      <c r="B69" s="53" t="n">
        <v>1.29587315126043</v>
      </c>
      <c r="C69" s="37" t="n">
        <v>2</v>
      </c>
      <c r="D69" s="54"/>
    </row>
    <row r="70" customFormat="false" ht="13.8" hidden="false" customHeight="false" outlineLevel="0" collapsed="false">
      <c r="A70" s="0" t="s">
        <v>291</v>
      </c>
      <c r="B70" s="55" t="n">
        <f aca="false">Selling_Price_Frozen!B71*0.7</f>
        <v>1.49143762964914</v>
      </c>
      <c r="C70" s="37" t="n">
        <v>2</v>
      </c>
      <c r="D70" s="54"/>
    </row>
    <row r="71" customFormat="false" ht="13.8" hidden="false" customHeight="false" outlineLevel="0" collapsed="false">
      <c r="A71" s="0" t="s">
        <v>292</v>
      </c>
      <c r="B71" s="53" t="n">
        <v>2.13062518521306</v>
      </c>
      <c r="C71" s="37" t="n">
        <v>2</v>
      </c>
      <c r="D71" s="54"/>
    </row>
    <row r="72" customFormat="false" ht="13.8" hidden="false" customHeight="false" outlineLevel="0" collapsed="false">
      <c r="A72" s="0" t="s">
        <v>293</v>
      </c>
      <c r="B72" s="53" t="n">
        <v>1.65031428477997</v>
      </c>
      <c r="C72" s="37" t="n">
        <v>2</v>
      </c>
      <c r="D72" s="54"/>
    </row>
    <row r="73" customFormat="false" ht="13.8" hidden="false" customHeight="false" outlineLevel="0" collapsed="false">
      <c r="A73" s="0" t="s">
        <v>294</v>
      </c>
      <c r="B73" s="53" t="n">
        <v>7.00132656643328</v>
      </c>
      <c r="C73" s="37" t="n">
        <v>2</v>
      </c>
      <c r="D73" s="54"/>
    </row>
    <row r="74" customFormat="false" ht="13.8" hidden="false" customHeight="false" outlineLevel="0" collapsed="false">
      <c r="A74" s="0" t="s">
        <v>295</v>
      </c>
      <c r="B74" s="53" t="n">
        <v>8.9533901813064</v>
      </c>
      <c r="C74" s="37" t="n">
        <v>2</v>
      </c>
      <c r="D74" s="54"/>
    </row>
    <row r="75" customFormat="false" ht="13.8" hidden="false" customHeight="false" outlineLevel="0" collapsed="false">
      <c r="A75" s="0" t="s">
        <v>296</v>
      </c>
      <c r="B75" s="53" t="n">
        <v>13.4892893858968</v>
      </c>
      <c r="C75" s="37" t="n">
        <v>1</v>
      </c>
      <c r="D75" s="54"/>
    </row>
    <row r="76" customFormat="false" ht="13.8" hidden="false" customHeight="false" outlineLevel="0" collapsed="false">
      <c r="A76" s="0" t="s">
        <v>297</v>
      </c>
      <c r="B76" s="53" t="n">
        <v>11.3881206693956</v>
      </c>
      <c r="C76" s="58" t="n">
        <v>1</v>
      </c>
      <c r="D76" s="54"/>
    </row>
    <row r="77" customFormat="false" ht="13.8" hidden="false" customHeight="false" outlineLevel="0" collapsed="false">
      <c r="A77" s="0" t="s">
        <v>298</v>
      </c>
      <c r="B77" s="53" t="n">
        <v>14.9225707964963</v>
      </c>
      <c r="C77" s="58" t="n">
        <v>1</v>
      </c>
      <c r="D77" s="54"/>
    </row>
    <row r="78" customFormat="false" ht="13.8" hidden="false" customHeight="false" outlineLevel="0" collapsed="false">
      <c r="A78" s="0" t="s">
        <v>299</v>
      </c>
      <c r="B78" s="53" t="n">
        <v>11.209723620306</v>
      </c>
      <c r="C78" s="58" t="n">
        <v>1</v>
      </c>
      <c r="D78" s="54"/>
    </row>
    <row r="79" customFormat="false" ht="13.8" hidden="false" customHeight="false" outlineLevel="0" collapsed="false">
      <c r="A79" s="0" t="s">
        <v>300</v>
      </c>
      <c r="B79" s="53" t="n">
        <v>12.5756455083378</v>
      </c>
      <c r="C79" s="58" t="n">
        <v>1</v>
      </c>
      <c r="D79" s="54"/>
    </row>
    <row r="80" customFormat="false" ht="13.8" hidden="false" customHeight="false" outlineLevel="0" collapsed="false">
      <c r="A80" s="0" t="s">
        <v>301</v>
      </c>
      <c r="B80" s="53" t="n">
        <v>9.8500140490232</v>
      </c>
      <c r="C80" s="58" t="n">
        <v>1</v>
      </c>
      <c r="D80" s="54"/>
    </row>
    <row r="81" customFormat="false" ht="13.8" hidden="false" customHeight="false" outlineLevel="0" collapsed="false">
      <c r="A81" s="0" t="s">
        <v>302</v>
      </c>
      <c r="B81" s="53" t="n">
        <v>9.85000532354477</v>
      </c>
      <c r="C81" s="58" t="n">
        <v>1</v>
      </c>
      <c r="D81" s="54"/>
    </row>
    <row r="82" customFormat="false" ht="13.8" hidden="false" customHeight="false" outlineLevel="0" collapsed="false">
      <c r="A82" s="0" t="s">
        <v>303</v>
      </c>
      <c r="B82" s="53" t="n">
        <v>8.91913666406667</v>
      </c>
      <c r="C82" s="58" t="n">
        <v>1</v>
      </c>
      <c r="D82" s="54"/>
    </row>
    <row r="83" customFormat="false" ht="13.8" hidden="false" customHeight="false" outlineLevel="0" collapsed="false">
      <c r="A83" s="0" t="s">
        <v>304</v>
      </c>
      <c r="B83" s="53" t="n">
        <v>9.52967236690853</v>
      </c>
      <c r="C83" s="58" t="n">
        <v>1</v>
      </c>
      <c r="D83" s="54"/>
    </row>
    <row r="84" customFormat="false" ht="13.8" hidden="false" customHeight="false" outlineLevel="0" collapsed="false">
      <c r="A84" s="0" t="s">
        <v>305</v>
      </c>
      <c r="B84" s="53" t="n">
        <v>7.53427152317881</v>
      </c>
      <c r="C84" s="58" t="n">
        <v>1</v>
      </c>
      <c r="D84" s="54"/>
    </row>
    <row r="85" customFormat="false" ht="13.8" hidden="false" customHeight="false" outlineLevel="0" collapsed="false">
      <c r="A85" s="0" t="s">
        <v>306</v>
      </c>
      <c r="B85" s="53" t="n">
        <v>14.6502977321677</v>
      </c>
      <c r="C85" s="37" t="n">
        <v>2</v>
      </c>
      <c r="D85" s="54"/>
    </row>
    <row r="86" customFormat="false" ht="13.8" hidden="false" customHeight="false" outlineLevel="0" collapsed="false">
      <c r="A86" s="0" t="s">
        <v>307</v>
      </c>
      <c r="B86" s="53" t="n">
        <v>16.1640178311852</v>
      </c>
      <c r="C86" s="37" t="n">
        <v>2</v>
      </c>
      <c r="D86" s="54"/>
    </row>
    <row r="87" customFormat="false" ht="13.8" hidden="false" customHeight="false" outlineLevel="0" collapsed="false">
      <c r="A87" s="0" t="s">
        <v>308</v>
      </c>
      <c r="B87" s="53" t="n">
        <v>16.0900900900901</v>
      </c>
      <c r="C87" s="37" t="n">
        <v>2</v>
      </c>
      <c r="D87" s="54"/>
    </row>
    <row r="88" customFormat="false" ht="13.8" hidden="false" customHeight="false" outlineLevel="0" collapsed="false">
      <c r="A88" s="0" t="s">
        <v>309</v>
      </c>
      <c r="B88" s="53" t="n">
        <v>15.9157729188965</v>
      </c>
      <c r="C88" s="37" t="n">
        <v>2</v>
      </c>
      <c r="D88" s="54"/>
    </row>
    <row r="89" customFormat="false" ht="13.8" hidden="false" customHeight="false" outlineLevel="0" collapsed="false">
      <c r="A89" s="0" t="s">
        <v>310</v>
      </c>
      <c r="B89" s="55" t="n">
        <f aca="false">Selling_Price_Frozen!B88</f>
        <v>15.9157729188965</v>
      </c>
      <c r="C89" s="37" t="n">
        <v>2</v>
      </c>
      <c r="D89" s="54"/>
    </row>
    <row r="90" customFormat="false" ht="13.8" hidden="false" customHeight="false" outlineLevel="0" collapsed="false">
      <c r="A90" s="0" t="s">
        <v>311</v>
      </c>
      <c r="B90" s="53" t="n">
        <v>8.53501667781212</v>
      </c>
      <c r="C90" s="37" t="n">
        <v>1</v>
      </c>
      <c r="D90" s="54"/>
    </row>
    <row r="91" customFormat="false" ht="13.8" hidden="false" customHeight="false" outlineLevel="0" collapsed="false">
      <c r="A91" s="0" t="s">
        <v>312</v>
      </c>
      <c r="B91" s="55" t="n">
        <f aca="false">Selling_Price_Frozen!B92</f>
        <v>11.3885144243732</v>
      </c>
      <c r="C91" s="37" t="n">
        <v>2</v>
      </c>
      <c r="D91" s="54"/>
    </row>
    <row r="92" customFormat="false" ht="13.8" hidden="false" customHeight="false" outlineLevel="0" collapsed="false">
      <c r="A92" s="0" t="s">
        <v>313</v>
      </c>
      <c r="B92" s="53" t="n">
        <v>11.3885144243732</v>
      </c>
      <c r="C92" s="58" t="n">
        <v>1</v>
      </c>
      <c r="D92" s="54"/>
    </row>
    <row r="93" customFormat="false" ht="13.8" hidden="false" customHeight="false" outlineLevel="0" collapsed="false">
      <c r="A93" s="0" t="s">
        <v>314</v>
      </c>
      <c r="B93" s="53" t="n">
        <v>14.2700000000001</v>
      </c>
      <c r="C93" s="58" t="n">
        <v>1</v>
      </c>
      <c r="D93" s="54"/>
    </row>
    <row r="94" customFormat="false" ht="13.8" hidden="false" customHeight="false" outlineLevel="0" collapsed="false">
      <c r="A94" s="0" t="s">
        <v>315</v>
      </c>
      <c r="B94" s="53" t="n">
        <v>14.8899999999999</v>
      </c>
      <c r="C94" s="58" t="n">
        <v>1</v>
      </c>
      <c r="D94" s="54"/>
    </row>
    <row r="95" customFormat="false" ht="13.8" hidden="false" customHeight="false" outlineLevel="0" collapsed="false">
      <c r="A95" s="0" t="s">
        <v>316</v>
      </c>
      <c r="B95" s="55" t="n">
        <f aca="false">Selling_Price_Frozen!B96</f>
        <v>10.09628918746</v>
      </c>
      <c r="C95" s="37" t="n">
        <v>2</v>
      </c>
      <c r="D95" s="54"/>
    </row>
    <row r="96" customFormat="false" ht="13.8" hidden="false" customHeight="false" outlineLevel="0" collapsed="false">
      <c r="A96" s="0" t="s">
        <v>317</v>
      </c>
      <c r="B96" s="53" t="n">
        <v>10.09628918746</v>
      </c>
      <c r="C96" s="37" t="n">
        <v>2</v>
      </c>
      <c r="D96" s="54"/>
    </row>
    <row r="97" customFormat="false" ht="13.8" hidden="false" customHeight="false" outlineLevel="0" collapsed="false">
      <c r="A97" s="0" t="s">
        <v>318</v>
      </c>
      <c r="B97" s="55" t="e">
        <f aca="false">[1]Selling_Price_Fresh!B65+0.5</f>
        <v>#VALUE!</v>
      </c>
      <c r="C97" s="37" t="n">
        <v>2</v>
      </c>
      <c r="D97" s="54"/>
    </row>
    <row r="98" customFormat="false" ht="13.8" hidden="false" customHeight="false" outlineLevel="0" collapsed="false">
      <c r="A98" s="0" t="s">
        <v>319</v>
      </c>
      <c r="B98" s="55" t="n">
        <f aca="false">[1]Selling_Price_Fresh!B71+0.5</f>
        <v>0.5</v>
      </c>
      <c r="C98" s="37" t="n">
        <v>2</v>
      </c>
      <c r="D98" s="54"/>
    </row>
    <row r="99" customFormat="false" ht="13.8" hidden="false" customHeight="false" outlineLevel="0" collapsed="false">
      <c r="A99" s="0" t="s">
        <v>320</v>
      </c>
      <c r="B99" s="55" t="e">
        <f aca="false">[1]Selling_Price_Fresh!B66+0.5</f>
        <v>#VALUE!</v>
      </c>
      <c r="C99" s="37" t="n">
        <v>2</v>
      </c>
      <c r="D99" s="54"/>
    </row>
    <row r="100" customFormat="false" ht="13.8" hidden="false" customHeight="false" outlineLevel="0" collapsed="false">
      <c r="A100" s="0" t="s">
        <v>321</v>
      </c>
      <c r="B100" s="53" t="n">
        <v>7.23584318522722</v>
      </c>
      <c r="C100" s="37" t="n">
        <v>2</v>
      </c>
      <c r="D100" s="54"/>
    </row>
    <row r="101" customFormat="false" ht="13.8" hidden="false" customHeight="false" outlineLevel="0" collapsed="false">
      <c r="A101" s="0" t="s">
        <v>322</v>
      </c>
      <c r="B101" s="53" t="n">
        <v>7.36228336556005</v>
      </c>
      <c r="C101" s="37" t="n">
        <v>2</v>
      </c>
      <c r="D101" s="54"/>
    </row>
    <row r="102" customFormat="false" ht="13.8" hidden="false" customHeight="false" outlineLevel="0" collapsed="false">
      <c r="A102" s="0" t="s">
        <v>323</v>
      </c>
      <c r="B102" s="55" t="n">
        <f aca="false">Selling_Price_Frozen!B101</f>
        <v>7.36228336556005</v>
      </c>
      <c r="C102" s="37" t="n">
        <v>2</v>
      </c>
      <c r="D102" s="54"/>
    </row>
    <row r="103" customFormat="false" ht="13.8" hidden="false" customHeight="false" outlineLevel="0" collapsed="false">
      <c r="A103" s="0" t="s">
        <v>324</v>
      </c>
      <c r="B103" s="55" t="n">
        <f aca="false">[1]Selling_Price_Fresh!B75+0.5</f>
        <v>0.5</v>
      </c>
      <c r="C103" s="37" t="n">
        <v>2</v>
      </c>
      <c r="D103" s="54"/>
    </row>
    <row r="104" customFormat="false" ht="13.8" hidden="false" customHeight="false" outlineLevel="0" collapsed="false">
      <c r="A104" s="0" t="s">
        <v>325</v>
      </c>
      <c r="B104" s="53" t="n">
        <v>7.13680397655144</v>
      </c>
      <c r="C104" s="37" t="n">
        <v>1</v>
      </c>
      <c r="D104" s="54"/>
    </row>
    <row r="105" customFormat="false" ht="13.8" hidden="false" customHeight="false" outlineLevel="0" collapsed="false">
      <c r="A105" s="0" t="s">
        <v>326</v>
      </c>
      <c r="B105" s="53" t="n">
        <v>12.1708509093283</v>
      </c>
      <c r="C105" s="37" t="n">
        <v>2</v>
      </c>
      <c r="D105" s="54"/>
    </row>
    <row r="106" customFormat="false" ht="13.8" hidden="false" customHeight="false" outlineLevel="0" collapsed="false">
      <c r="A106" s="0" t="s">
        <v>327</v>
      </c>
      <c r="B106" s="53" t="n">
        <v>11.2752525778999</v>
      </c>
      <c r="C106" s="37" t="n">
        <v>2</v>
      </c>
      <c r="D106" s="54"/>
    </row>
    <row r="107" customFormat="false" ht="13.8" hidden="false" customHeight="false" outlineLevel="0" collapsed="false">
      <c r="A107" s="0" t="s">
        <v>328</v>
      </c>
      <c r="B107" s="53" t="n">
        <v>11.7</v>
      </c>
      <c r="C107" s="37" t="n">
        <v>2</v>
      </c>
      <c r="D107" s="54"/>
    </row>
    <row r="108" customFormat="false" ht="13.8" hidden="false" customHeight="false" outlineLevel="0" collapsed="false">
      <c r="A108" s="0" t="s">
        <v>329</v>
      </c>
      <c r="B108" s="53" t="n">
        <v>10.7894380482073</v>
      </c>
      <c r="C108" s="37" t="n">
        <v>2</v>
      </c>
      <c r="D108" s="54"/>
    </row>
    <row r="109" customFormat="false" ht="13.8" hidden="false" customHeight="false" outlineLevel="0" collapsed="false">
      <c r="A109" s="0" t="s">
        <v>330</v>
      </c>
      <c r="B109" s="53" t="n">
        <v>8.74200677636584</v>
      </c>
      <c r="C109" s="37" t="n">
        <v>2</v>
      </c>
      <c r="D109" s="54"/>
    </row>
    <row r="110" customFormat="false" ht="13.8" hidden="false" customHeight="false" outlineLevel="0" collapsed="false">
      <c r="A110" s="0" t="s">
        <v>331</v>
      </c>
      <c r="B110" s="53" t="n">
        <v>11.4892469608138</v>
      </c>
      <c r="C110" s="37" t="n">
        <v>2</v>
      </c>
      <c r="D110" s="54"/>
    </row>
    <row r="111" customFormat="false" ht="13.8" hidden="false" customHeight="false" outlineLevel="0" collapsed="false">
      <c r="A111" s="0" t="s">
        <v>332</v>
      </c>
      <c r="B111" s="53" t="n">
        <v>8.18630653266332</v>
      </c>
      <c r="C111" s="37" t="n">
        <v>2</v>
      </c>
      <c r="D111" s="54"/>
    </row>
    <row r="112" customFormat="false" ht="13.8" hidden="false" customHeight="false" outlineLevel="0" collapsed="false">
      <c r="A112" s="0" t="s">
        <v>333</v>
      </c>
      <c r="B112" s="55" t="n">
        <f aca="false">[1]Selling_Price_Fresh!B89+0.5</f>
        <v>0.5</v>
      </c>
      <c r="C112" s="37" t="n">
        <v>2</v>
      </c>
      <c r="D112" s="54"/>
    </row>
    <row r="113" customFormat="false" ht="13.8" hidden="false" customHeight="false" outlineLevel="0" collapsed="false">
      <c r="A113" s="0" t="s">
        <v>334</v>
      </c>
      <c r="B113" s="53" t="n">
        <v>7.70422787762637</v>
      </c>
      <c r="C113" s="37" t="n">
        <v>2</v>
      </c>
      <c r="D113" s="54"/>
    </row>
    <row r="114" customFormat="false" ht="13.8" hidden="false" customHeight="false" outlineLevel="0" collapsed="false">
      <c r="A114" s="0" t="s">
        <v>335</v>
      </c>
      <c r="B114" s="53" t="n">
        <v>7.70419363385186</v>
      </c>
      <c r="C114" s="37" t="n">
        <v>2</v>
      </c>
      <c r="D114" s="54"/>
    </row>
    <row r="115" customFormat="false" ht="13.8" hidden="false" customHeight="false" outlineLevel="0" collapsed="false">
      <c r="A115" s="0" t="s">
        <v>336</v>
      </c>
      <c r="B115" s="53" t="n">
        <v>7.79999836473051</v>
      </c>
      <c r="C115" s="37" t="n">
        <v>2</v>
      </c>
      <c r="D115" s="54"/>
    </row>
    <row r="116" customFormat="false" ht="13.8" hidden="false" customHeight="false" outlineLevel="0" collapsed="false">
      <c r="A116" s="0" t="s">
        <v>337</v>
      </c>
      <c r="B116" s="55" t="n">
        <f aca="false">Selling_Price_Frozen!B118</f>
        <v>7.71928571158564</v>
      </c>
      <c r="C116" s="37" t="n">
        <v>2</v>
      </c>
      <c r="D116" s="54"/>
    </row>
    <row r="117" customFormat="false" ht="13.8" hidden="false" customHeight="false" outlineLevel="0" collapsed="false">
      <c r="A117" s="0" t="s">
        <v>338</v>
      </c>
      <c r="B117" s="53" t="n">
        <v>7.74279459686061</v>
      </c>
      <c r="C117" s="37" t="n">
        <v>2</v>
      </c>
      <c r="D117" s="54"/>
    </row>
    <row r="118" customFormat="false" ht="13.8" hidden="false" customHeight="false" outlineLevel="0" collapsed="false">
      <c r="A118" s="0" t="s">
        <v>339</v>
      </c>
      <c r="B118" s="53" t="n">
        <v>7.71928571158564</v>
      </c>
      <c r="C118" s="37" t="n">
        <v>2</v>
      </c>
      <c r="D118" s="54"/>
    </row>
    <row r="119" customFormat="false" ht="13.8" hidden="false" customHeight="false" outlineLevel="0" collapsed="false">
      <c r="A119" s="0" t="s">
        <v>340</v>
      </c>
      <c r="B119" s="53" t="n">
        <v>6.96417049369308</v>
      </c>
      <c r="C119" s="37" t="n">
        <v>2</v>
      </c>
      <c r="D119" s="54"/>
    </row>
    <row r="120" customFormat="false" ht="13.8" hidden="false" customHeight="false" outlineLevel="0" collapsed="false">
      <c r="A120" s="0" t="s">
        <v>341</v>
      </c>
      <c r="B120" s="53" t="n">
        <v>6.64453080038227</v>
      </c>
      <c r="C120" s="37" t="n">
        <v>2</v>
      </c>
      <c r="D120" s="54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/>
  <cols>
    <col collapsed="false" hidden="false" max="1" min="1" style="0" width="20.246963562753"/>
    <col collapsed="false" hidden="false" max="2" min="2" style="0" width="37.919028340081"/>
    <col collapsed="false" hidden="false" max="3" min="3" style="0" width="28.9230769230769"/>
    <col collapsed="false" hidden="false" max="1025" min="4" style="0" width="8.57085020242915"/>
  </cols>
  <sheetData>
    <row r="1" customFormat="false" ht="13.8" hidden="false" customHeight="false" outlineLevel="0" collapsed="false">
      <c r="A1" s="27" t="s">
        <v>119</v>
      </c>
      <c r="B1" s="27" t="s">
        <v>838</v>
      </c>
      <c r="C1" s="27" t="s">
        <v>838</v>
      </c>
      <c r="O1" s="29" t="s">
        <v>224</v>
      </c>
    </row>
    <row r="2" customFormat="false" ht="13.8" hidden="false" customHeight="false" outlineLevel="0" collapsed="false">
      <c r="A2" s="32" t="s">
        <v>120</v>
      </c>
      <c r="B2" s="32" t="n">
        <v>0</v>
      </c>
    </row>
    <row r="3" customFormat="false" ht="13.8" hidden="false" customHeight="false" outlineLevel="0" collapsed="false">
      <c r="A3" s="32" t="s">
        <v>121</v>
      </c>
      <c r="B3" s="32" t="n">
        <v>0</v>
      </c>
    </row>
    <row r="4" customFormat="false" ht="13.8" hidden="false" customHeight="false" outlineLevel="0" collapsed="false">
      <c r="A4" s="32" t="s">
        <v>122</v>
      </c>
      <c r="B4" s="32" t="n">
        <v>0</v>
      </c>
    </row>
    <row r="5" customFormat="false" ht="13.8" hidden="false" customHeight="false" outlineLevel="0" collapsed="false">
      <c r="A5" s="32" t="s">
        <v>123</v>
      </c>
      <c r="B5" s="32" t="n">
        <v>0</v>
      </c>
    </row>
    <row r="6" customFormat="false" ht="13.8" hidden="false" customHeight="false" outlineLevel="0" collapsed="false">
      <c r="A6" s="32" t="s">
        <v>124</v>
      </c>
      <c r="B6" s="32" t="n">
        <v>0</v>
      </c>
    </row>
    <row r="7" customFormat="false" ht="13.8" hidden="false" customHeight="false" outlineLevel="0" collapsed="false">
      <c r="A7" s="32" t="s">
        <v>125</v>
      </c>
      <c r="B7" s="32" t="n">
        <v>0</v>
      </c>
    </row>
    <row r="8" customFormat="false" ht="13.8" hidden="false" customHeight="false" outlineLevel="0" collapsed="false">
      <c r="A8" s="32" t="s">
        <v>126</v>
      </c>
      <c r="B8" s="32" t="n">
        <v>0</v>
      </c>
    </row>
    <row r="9" customFormat="false" ht="13.8" hidden="false" customHeight="false" outlineLevel="0" collapsed="false">
      <c r="A9" s="32" t="s">
        <v>127</v>
      </c>
      <c r="B9" s="32" t="n">
        <v>0</v>
      </c>
    </row>
    <row r="10" customFormat="false" ht="13.8" hidden="false" customHeight="false" outlineLevel="0" collapsed="false">
      <c r="A10" s="32" t="s">
        <v>128</v>
      </c>
      <c r="B10" s="32" t="n">
        <v>0</v>
      </c>
    </row>
    <row r="11" customFormat="false" ht="13.8" hidden="false" customHeight="false" outlineLevel="0" collapsed="false">
      <c r="A11" s="32" t="s">
        <v>129</v>
      </c>
      <c r="B11" s="32" t="n">
        <v>0</v>
      </c>
    </row>
    <row r="12" customFormat="false" ht="13.8" hidden="false" customHeight="false" outlineLevel="0" collapsed="false">
      <c r="A12" s="32" t="s">
        <v>130</v>
      </c>
      <c r="B12" s="32" t="n">
        <v>0</v>
      </c>
    </row>
    <row r="13" customFormat="false" ht="13.8" hidden="false" customHeight="false" outlineLevel="0" collapsed="false">
      <c r="A13" s="32" t="s">
        <v>131</v>
      </c>
      <c r="B13" s="32" t="n">
        <v>0</v>
      </c>
    </row>
    <row r="14" customFormat="false" ht="13.8" hidden="false" customHeight="false" outlineLevel="0" collapsed="false">
      <c r="A14" s="32" t="s">
        <v>132</v>
      </c>
      <c r="B14" s="32" t="n">
        <v>0</v>
      </c>
    </row>
    <row r="15" customFormat="false" ht="13.8" hidden="false" customHeight="false" outlineLevel="0" collapsed="false">
      <c r="A15" s="32" t="s">
        <v>133</v>
      </c>
      <c r="B15" s="32" t="n">
        <v>0</v>
      </c>
    </row>
    <row r="16" customFormat="false" ht="13.8" hidden="false" customHeight="false" outlineLevel="0" collapsed="false">
      <c r="A16" s="32" t="s">
        <v>508</v>
      </c>
      <c r="B16" s="32" t="n">
        <v>0</v>
      </c>
    </row>
    <row r="17" customFormat="false" ht="13.8" hidden="false" customHeight="false" outlineLevel="0" collapsed="false">
      <c r="A17" s="32" t="s">
        <v>834</v>
      </c>
      <c r="B17" s="32" t="n">
        <v>0</v>
      </c>
    </row>
    <row r="18" customFormat="false" ht="13.8" hidden="false" customHeight="false" outlineLevel="0" collapsed="false">
      <c r="A18" s="32" t="s">
        <v>134</v>
      </c>
      <c r="B18" s="32" t="n">
        <v>0</v>
      </c>
    </row>
    <row r="19" customFormat="false" ht="13.8" hidden="false" customHeight="false" outlineLevel="0" collapsed="false">
      <c r="A19" s="32" t="s">
        <v>135</v>
      </c>
      <c r="B19" s="32" t="n">
        <v>0</v>
      </c>
    </row>
    <row r="20" customFormat="false" ht="13.8" hidden="false" customHeight="false" outlineLevel="0" collapsed="false">
      <c r="A20" s="32" t="s">
        <v>136</v>
      </c>
      <c r="B20" s="32" t="n">
        <v>0</v>
      </c>
    </row>
    <row r="21" customFormat="false" ht="13.8" hidden="false" customHeight="false" outlineLevel="0" collapsed="false">
      <c r="A21" s="32" t="s">
        <v>137</v>
      </c>
      <c r="B21" s="32" t="n">
        <v>0</v>
      </c>
    </row>
    <row r="22" customFormat="false" ht="13.8" hidden="false" customHeight="false" outlineLevel="0" collapsed="false">
      <c r="A22" s="32" t="s">
        <v>138</v>
      </c>
      <c r="B22" s="32" t="n">
        <v>0</v>
      </c>
    </row>
    <row r="23" customFormat="false" ht="13.8" hidden="false" customHeight="false" outlineLevel="0" collapsed="false">
      <c r="A23" s="32" t="s">
        <v>139</v>
      </c>
      <c r="B23" s="32" t="n">
        <v>0</v>
      </c>
    </row>
    <row r="24" customFormat="false" ht="13.8" hidden="false" customHeight="false" outlineLevel="0" collapsed="false">
      <c r="A24" s="32" t="s">
        <v>140</v>
      </c>
      <c r="B24" s="32" t="n">
        <v>0</v>
      </c>
    </row>
    <row r="25" customFormat="false" ht="13.8" hidden="false" customHeight="false" outlineLevel="0" collapsed="false">
      <c r="A25" s="32" t="s">
        <v>141</v>
      </c>
      <c r="B25" s="32" t="n">
        <v>0</v>
      </c>
    </row>
    <row r="26" customFormat="false" ht="13.8" hidden="false" customHeight="false" outlineLevel="0" collapsed="false">
      <c r="A26" s="32" t="s">
        <v>142</v>
      </c>
      <c r="B26" s="32" t="n">
        <v>0</v>
      </c>
    </row>
    <row r="27" customFormat="false" ht="13.8" hidden="false" customHeight="false" outlineLevel="0" collapsed="false">
      <c r="A27" s="32" t="s">
        <v>143</v>
      </c>
      <c r="B27" s="32" t="n">
        <v>0</v>
      </c>
    </row>
    <row r="28" customFormat="false" ht="13.8" hidden="false" customHeight="false" outlineLevel="0" collapsed="false">
      <c r="A28" s="32" t="s">
        <v>144</v>
      </c>
      <c r="B28" s="32" t="n">
        <v>0</v>
      </c>
    </row>
    <row r="29" customFormat="false" ht="13.8" hidden="false" customHeight="false" outlineLevel="0" collapsed="false">
      <c r="A29" s="32" t="s">
        <v>145</v>
      </c>
      <c r="B29" s="32" t="n">
        <v>0</v>
      </c>
    </row>
    <row r="30" customFormat="false" ht="13.8" hidden="false" customHeight="false" outlineLevel="0" collapsed="false">
      <c r="A30" s="32" t="s">
        <v>146</v>
      </c>
      <c r="B30" s="32" t="n">
        <v>0</v>
      </c>
    </row>
    <row r="31" customFormat="false" ht="13.8" hidden="false" customHeight="false" outlineLevel="0" collapsed="false">
      <c r="A31" s="32" t="s">
        <v>147</v>
      </c>
      <c r="B31" s="32" t="n">
        <v>0</v>
      </c>
    </row>
    <row r="32" customFormat="false" ht="13.8" hidden="false" customHeight="false" outlineLevel="0" collapsed="false">
      <c r="A32" s="32" t="s">
        <v>148</v>
      </c>
      <c r="B32" s="32" t="n">
        <v>0</v>
      </c>
    </row>
    <row r="33" customFormat="false" ht="13.8" hidden="false" customHeight="false" outlineLevel="0" collapsed="false">
      <c r="A33" s="32" t="s">
        <v>149</v>
      </c>
      <c r="B33" s="32" t="n">
        <v>0</v>
      </c>
    </row>
    <row r="34" customFormat="false" ht="13.8" hidden="false" customHeight="false" outlineLevel="0" collapsed="false">
      <c r="A34" s="32" t="s">
        <v>150</v>
      </c>
      <c r="B34" s="32" t="n">
        <v>0</v>
      </c>
    </row>
    <row r="35" customFormat="false" ht="13.8" hidden="false" customHeight="false" outlineLevel="0" collapsed="false">
      <c r="A35" s="32" t="s">
        <v>151</v>
      </c>
      <c r="B35" s="32" t="n">
        <v>0</v>
      </c>
    </row>
    <row r="36" customFormat="false" ht="13.8" hidden="false" customHeight="false" outlineLevel="0" collapsed="false">
      <c r="A36" s="32" t="s">
        <v>152</v>
      </c>
      <c r="B36" s="32" t="n">
        <v>0</v>
      </c>
    </row>
    <row r="37" customFormat="false" ht="13.8" hidden="false" customHeight="false" outlineLevel="0" collapsed="false">
      <c r="A37" s="32" t="s">
        <v>153</v>
      </c>
      <c r="B37" s="32" t="n">
        <v>0</v>
      </c>
    </row>
    <row r="38" customFormat="false" ht="13.8" hidden="false" customHeight="false" outlineLevel="0" collapsed="false">
      <c r="A38" s="32" t="s">
        <v>154</v>
      </c>
      <c r="B38" s="32" t="n">
        <v>0</v>
      </c>
    </row>
    <row r="39" customFormat="false" ht="13.8" hidden="false" customHeight="false" outlineLevel="0" collapsed="false">
      <c r="A39" s="32" t="s">
        <v>155</v>
      </c>
      <c r="B39" s="32" t="n">
        <v>0</v>
      </c>
    </row>
    <row r="40" customFormat="false" ht="13.8" hidden="false" customHeight="false" outlineLevel="0" collapsed="false">
      <c r="A40" s="32" t="s">
        <v>156</v>
      </c>
      <c r="B40" s="32" t="n">
        <v>0</v>
      </c>
    </row>
    <row r="41" customFormat="false" ht="13.8" hidden="false" customHeight="false" outlineLevel="0" collapsed="false">
      <c r="A41" s="32" t="s">
        <v>157</v>
      </c>
      <c r="B41" s="32" t="n">
        <v>0</v>
      </c>
    </row>
    <row r="42" customFormat="false" ht="13.8" hidden="false" customHeight="false" outlineLevel="0" collapsed="false">
      <c r="A42" s="32" t="s">
        <v>158</v>
      </c>
      <c r="B42" s="32" t="n">
        <v>0</v>
      </c>
    </row>
    <row r="43" customFormat="false" ht="13.8" hidden="false" customHeight="false" outlineLevel="0" collapsed="false">
      <c r="A43" s="32" t="s">
        <v>159</v>
      </c>
      <c r="B43" s="32" t="n">
        <v>0</v>
      </c>
    </row>
    <row r="44" customFormat="false" ht="13.8" hidden="false" customHeight="false" outlineLevel="0" collapsed="false">
      <c r="A44" s="32" t="s">
        <v>160</v>
      </c>
      <c r="B44" s="32" t="n">
        <v>0</v>
      </c>
    </row>
    <row r="45" customFormat="false" ht="13.8" hidden="false" customHeight="false" outlineLevel="0" collapsed="false">
      <c r="A45" s="32" t="s">
        <v>161</v>
      </c>
      <c r="B45" s="32" t="n">
        <v>0</v>
      </c>
    </row>
    <row r="46" customFormat="false" ht="13.8" hidden="false" customHeight="false" outlineLevel="0" collapsed="false">
      <c r="A46" s="32" t="s">
        <v>162</v>
      </c>
      <c r="B46" s="32" t="n">
        <v>0</v>
      </c>
    </row>
    <row r="47" customFormat="false" ht="13.8" hidden="false" customHeight="false" outlineLevel="0" collapsed="false">
      <c r="A47" s="32" t="s">
        <v>163</v>
      </c>
      <c r="B47" s="32" t="n">
        <v>0</v>
      </c>
    </row>
    <row r="48" customFormat="false" ht="13.8" hidden="false" customHeight="false" outlineLevel="0" collapsed="false">
      <c r="A48" s="32" t="s">
        <v>164</v>
      </c>
      <c r="B48" s="32" t="n">
        <v>0</v>
      </c>
    </row>
    <row r="49" customFormat="false" ht="13.8" hidden="false" customHeight="false" outlineLevel="0" collapsed="false">
      <c r="A49" s="32" t="s">
        <v>165</v>
      </c>
      <c r="B49" s="32" t="n">
        <v>0</v>
      </c>
    </row>
    <row r="50" customFormat="false" ht="13.8" hidden="false" customHeight="false" outlineLevel="0" collapsed="false">
      <c r="A50" s="32" t="s">
        <v>166</v>
      </c>
      <c r="B50" s="32" t="n">
        <v>0</v>
      </c>
    </row>
    <row r="51" customFormat="false" ht="13.8" hidden="false" customHeight="false" outlineLevel="0" collapsed="false">
      <c r="A51" s="32" t="s">
        <v>167</v>
      </c>
      <c r="B51" s="32" t="n">
        <v>0</v>
      </c>
    </row>
    <row r="52" customFormat="false" ht="13.8" hidden="false" customHeight="false" outlineLevel="0" collapsed="false">
      <c r="A52" s="32" t="s">
        <v>168</v>
      </c>
      <c r="B52" s="32" t="n">
        <v>0</v>
      </c>
    </row>
    <row r="53" customFormat="false" ht="13.8" hidden="false" customHeight="false" outlineLevel="0" collapsed="false">
      <c r="A53" s="32" t="s">
        <v>169</v>
      </c>
      <c r="B53" s="32" t="n">
        <v>0</v>
      </c>
    </row>
    <row r="54" customFormat="false" ht="13.8" hidden="false" customHeight="false" outlineLevel="0" collapsed="false">
      <c r="A54" s="32" t="s">
        <v>170</v>
      </c>
      <c r="B54" s="32" t="n">
        <v>0</v>
      </c>
    </row>
    <row r="55" customFormat="false" ht="13.8" hidden="false" customHeight="false" outlineLevel="0" collapsed="false">
      <c r="A55" s="32" t="s">
        <v>171</v>
      </c>
      <c r="B55" s="32" t="n">
        <v>0</v>
      </c>
    </row>
    <row r="56" customFormat="false" ht="13.8" hidden="false" customHeight="false" outlineLevel="0" collapsed="false">
      <c r="A56" s="32" t="s">
        <v>172</v>
      </c>
      <c r="B56" s="32" t="n">
        <v>0</v>
      </c>
    </row>
    <row r="57" customFormat="false" ht="13.8" hidden="false" customHeight="false" outlineLevel="0" collapsed="false">
      <c r="A57" s="32" t="s">
        <v>173</v>
      </c>
      <c r="B57" s="32" t="n">
        <v>0</v>
      </c>
    </row>
    <row r="58" customFormat="false" ht="13.8" hidden="false" customHeight="false" outlineLevel="0" collapsed="false">
      <c r="A58" s="32" t="s">
        <v>174</v>
      </c>
      <c r="B58" s="32" t="n">
        <v>0</v>
      </c>
    </row>
    <row r="59" customFormat="false" ht="13.8" hidden="false" customHeight="false" outlineLevel="0" collapsed="false">
      <c r="A59" s="32" t="s">
        <v>175</v>
      </c>
      <c r="B59" s="32" t="n">
        <v>0</v>
      </c>
    </row>
    <row r="60" customFormat="false" ht="13.8" hidden="false" customHeight="false" outlineLevel="0" collapsed="false">
      <c r="A60" s="32" t="s">
        <v>176</v>
      </c>
      <c r="B60" s="32" t="n">
        <v>0</v>
      </c>
    </row>
    <row r="61" customFormat="false" ht="13.8" hidden="false" customHeight="false" outlineLevel="0" collapsed="false">
      <c r="A61" s="32" t="s">
        <v>177</v>
      </c>
      <c r="B61" s="32" t="n">
        <v>0</v>
      </c>
    </row>
    <row r="62" customFormat="false" ht="13.8" hidden="false" customHeight="false" outlineLevel="0" collapsed="false">
      <c r="A62" s="32" t="s">
        <v>178</v>
      </c>
      <c r="B62" s="32" t="n">
        <v>0</v>
      </c>
    </row>
    <row r="63" customFormat="false" ht="13.8" hidden="false" customHeight="false" outlineLevel="0" collapsed="false">
      <c r="A63" s="32" t="s">
        <v>179</v>
      </c>
      <c r="B63" s="32" t="n">
        <v>0</v>
      </c>
    </row>
    <row r="64" customFormat="false" ht="13.8" hidden="false" customHeight="false" outlineLevel="0" collapsed="false">
      <c r="A64" s="32" t="s">
        <v>180</v>
      </c>
      <c r="B64" s="32" t="n">
        <v>0</v>
      </c>
    </row>
    <row r="65" customFormat="false" ht="13.8" hidden="false" customHeight="false" outlineLevel="0" collapsed="false">
      <c r="A65" s="32" t="s">
        <v>181</v>
      </c>
      <c r="B65" s="32" t="n">
        <v>0</v>
      </c>
    </row>
    <row r="66" customFormat="false" ht="13.8" hidden="false" customHeight="false" outlineLevel="0" collapsed="false">
      <c r="A66" s="32" t="s">
        <v>182</v>
      </c>
      <c r="B66" s="32" t="n">
        <v>0</v>
      </c>
    </row>
    <row r="67" customFormat="false" ht="13.8" hidden="false" customHeight="false" outlineLevel="0" collapsed="false">
      <c r="A67" s="32" t="s">
        <v>183</v>
      </c>
      <c r="B67" s="32" t="n">
        <v>0</v>
      </c>
    </row>
    <row r="68" customFormat="false" ht="13.8" hidden="false" customHeight="false" outlineLevel="0" collapsed="false">
      <c r="A68" s="32" t="s">
        <v>184</v>
      </c>
      <c r="B68" s="32" t="n">
        <v>0</v>
      </c>
    </row>
    <row r="69" customFormat="false" ht="13.8" hidden="false" customHeight="false" outlineLevel="0" collapsed="false">
      <c r="A69" s="32" t="s">
        <v>185</v>
      </c>
      <c r="B69" s="32" t="n">
        <v>0</v>
      </c>
    </row>
    <row r="70" customFormat="false" ht="13.8" hidden="false" customHeight="false" outlineLevel="0" collapsed="false">
      <c r="A70" s="32" t="s">
        <v>186</v>
      </c>
      <c r="B70" s="32" t="n">
        <v>0</v>
      </c>
    </row>
    <row r="71" customFormat="false" ht="13.8" hidden="false" customHeight="false" outlineLevel="0" collapsed="false">
      <c r="A71" s="32" t="s">
        <v>187</v>
      </c>
      <c r="B71" s="32" t="n">
        <v>0</v>
      </c>
    </row>
    <row r="72" customFormat="false" ht="13.8" hidden="false" customHeight="false" outlineLevel="0" collapsed="false">
      <c r="A72" s="32" t="s">
        <v>188</v>
      </c>
      <c r="B72" s="32" t="n">
        <v>0</v>
      </c>
    </row>
    <row r="73" customFormat="false" ht="13.8" hidden="false" customHeight="false" outlineLevel="0" collapsed="false">
      <c r="A73" s="32" t="s">
        <v>189</v>
      </c>
      <c r="B73" s="32" t="n">
        <v>0</v>
      </c>
    </row>
    <row r="74" customFormat="false" ht="13.8" hidden="false" customHeight="false" outlineLevel="0" collapsed="false">
      <c r="A74" s="32" t="s">
        <v>190</v>
      </c>
      <c r="B74" s="32" t="n">
        <v>0</v>
      </c>
    </row>
    <row r="75" customFormat="false" ht="13.8" hidden="false" customHeight="false" outlineLevel="0" collapsed="false">
      <c r="A75" s="32" t="s">
        <v>191</v>
      </c>
      <c r="B75" s="32" t="n">
        <v>0</v>
      </c>
    </row>
    <row r="76" customFormat="false" ht="13.8" hidden="false" customHeight="false" outlineLevel="0" collapsed="false">
      <c r="A76" s="32" t="s">
        <v>192</v>
      </c>
      <c r="B76" s="32" t="n">
        <v>0</v>
      </c>
    </row>
    <row r="77" customFormat="false" ht="13.8" hidden="false" customHeight="false" outlineLevel="0" collapsed="false">
      <c r="A77" s="32" t="s">
        <v>193</v>
      </c>
      <c r="B77" s="32" t="n">
        <v>0</v>
      </c>
    </row>
    <row r="78" customFormat="false" ht="13.8" hidden="false" customHeight="false" outlineLevel="0" collapsed="false">
      <c r="A78" s="32" t="s">
        <v>194</v>
      </c>
      <c r="B78" s="32" t="n">
        <v>0</v>
      </c>
    </row>
    <row r="79" customFormat="false" ht="13.8" hidden="false" customHeight="false" outlineLevel="0" collapsed="false">
      <c r="A79" s="32" t="s">
        <v>195</v>
      </c>
      <c r="B79" s="32" t="n">
        <v>0</v>
      </c>
    </row>
    <row r="80" customFormat="false" ht="13.8" hidden="false" customHeight="false" outlineLevel="0" collapsed="false">
      <c r="A80" s="32" t="s">
        <v>196</v>
      </c>
      <c r="B80" s="32" t="n">
        <v>0</v>
      </c>
    </row>
    <row r="81" customFormat="false" ht="13.8" hidden="false" customHeight="false" outlineLevel="0" collapsed="false">
      <c r="A81" s="32" t="s">
        <v>197</v>
      </c>
      <c r="B81" s="32" t="n">
        <v>0</v>
      </c>
    </row>
    <row r="82" customFormat="false" ht="13.8" hidden="false" customHeight="false" outlineLevel="0" collapsed="false">
      <c r="A82" s="32" t="s">
        <v>198</v>
      </c>
      <c r="B82" s="32" t="n">
        <v>0</v>
      </c>
    </row>
    <row r="83" customFormat="false" ht="13.8" hidden="false" customHeight="false" outlineLevel="0" collapsed="false">
      <c r="A83" s="32" t="s">
        <v>199</v>
      </c>
      <c r="B83" s="32" t="n">
        <v>0</v>
      </c>
    </row>
    <row r="84" customFormat="false" ht="13.8" hidden="false" customHeight="false" outlineLevel="0" collapsed="false">
      <c r="A84" s="32" t="s">
        <v>200</v>
      </c>
      <c r="B84" s="32" t="n">
        <v>0</v>
      </c>
    </row>
    <row r="85" customFormat="false" ht="13.8" hidden="false" customHeight="false" outlineLevel="0" collapsed="false">
      <c r="A85" s="32" t="s">
        <v>201</v>
      </c>
      <c r="B85" s="32" t="n">
        <v>0</v>
      </c>
    </row>
    <row r="86" customFormat="false" ht="13.8" hidden="false" customHeight="false" outlineLevel="0" collapsed="false">
      <c r="A86" s="32" t="s">
        <v>202</v>
      </c>
      <c r="B86" s="32" t="n">
        <v>0</v>
      </c>
    </row>
    <row r="87" customFormat="false" ht="13.8" hidden="false" customHeight="false" outlineLevel="0" collapsed="false">
      <c r="A87" s="32" t="s">
        <v>203</v>
      </c>
      <c r="B87" s="32" t="n">
        <v>0</v>
      </c>
    </row>
    <row r="88" customFormat="false" ht="13.8" hidden="false" customHeight="false" outlineLevel="0" collapsed="false">
      <c r="A88" s="32" t="s">
        <v>204</v>
      </c>
      <c r="B88" s="32" t="n">
        <v>0</v>
      </c>
    </row>
    <row r="89" customFormat="false" ht="13.8" hidden="false" customHeight="false" outlineLevel="0" collapsed="false">
      <c r="A89" s="32" t="s">
        <v>205</v>
      </c>
      <c r="B89" s="32" t="n">
        <v>0</v>
      </c>
    </row>
    <row r="90" customFormat="false" ht="13.8" hidden="false" customHeight="false" outlineLevel="0" collapsed="false">
      <c r="A90" s="32" t="s">
        <v>206</v>
      </c>
      <c r="B90" s="32" t="n">
        <v>0</v>
      </c>
    </row>
    <row r="91" customFormat="false" ht="13.8" hidden="false" customHeight="false" outlineLevel="0" collapsed="false">
      <c r="A91" s="32" t="s">
        <v>207</v>
      </c>
      <c r="B91" s="32" t="n">
        <v>0</v>
      </c>
    </row>
    <row r="92" customFormat="false" ht="13.8" hidden="false" customHeight="false" outlineLevel="0" collapsed="false">
      <c r="A92" s="32" t="s">
        <v>208</v>
      </c>
      <c r="B92" s="32" t="n">
        <v>0</v>
      </c>
    </row>
    <row r="93" customFormat="false" ht="13.8" hidden="false" customHeight="false" outlineLevel="0" collapsed="false">
      <c r="A93" s="32" t="s">
        <v>209</v>
      </c>
      <c r="B93" s="32" t="n">
        <v>0</v>
      </c>
    </row>
    <row r="94" customFormat="false" ht="13.8" hidden="false" customHeight="false" outlineLevel="0" collapsed="false">
      <c r="A94" s="32" t="s">
        <v>210</v>
      </c>
      <c r="B94" s="32" t="n">
        <v>0</v>
      </c>
    </row>
    <row r="95" customFormat="false" ht="13.8" hidden="false" customHeight="false" outlineLevel="0" collapsed="false">
      <c r="A95" s="32" t="s">
        <v>211</v>
      </c>
      <c r="B95" s="32" t="n">
        <v>0</v>
      </c>
    </row>
    <row r="96" customFormat="false" ht="13.8" hidden="false" customHeight="false" outlineLevel="0" collapsed="false">
      <c r="A96" s="32" t="s">
        <v>212</v>
      </c>
      <c r="B96" s="32" t="n">
        <v>0</v>
      </c>
    </row>
    <row r="97" customFormat="false" ht="13.8" hidden="false" customHeight="false" outlineLevel="0" collapsed="false">
      <c r="A97" s="32" t="s">
        <v>213</v>
      </c>
      <c r="B97" s="32" t="n">
        <v>0</v>
      </c>
    </row>
    <row r="98" customFormat="false" ht="13.8" hidden="false" customHeight="false" outlineLevel="0" collapsed="false">
      <c r="A98" s="32"/>
      <c r="B98" s="32"/>
    </row>
    <row r="99" customFormat="false" ht="13.8" hidden="false" customHeight="false" outlineLevel="0" collapsed="false">
      <c r="A99" s="32"/>
      <c r="B99" s="32"/>
    </row>
    <row r="100" customFormat="false" ht="13.8" hidden="false" customHeight="false" outlineLevel="0" collapsed="false">
      <c r="A100" s="32"/>
      <c r="B100" s="32"/>
    </row>
    <row r="101" customFormat="false" ht="13.8" hidden="false" customHeight="false" outlineLevel="0" collapsed="false">
      <c r="A101" s="32"/>
      <c r="B101" s="32"/>
    </row>
    <row r="102" customFormat="false" ht="13.8" hidden="false" customHeight="false" outlineLevel="0" collapsed="false">
      <c r="A102" s="32"/>
      <c r="B102" s="32"/>
    </row>
    <row r="103" customFormat="false" ht="13.8" hidden="false" customHeight="false" outlineLevel="0" collapsed="false">
      <c r="A103" s="32"/>
      <c r="B103" s="32"/>
    </row>
    <row r="104" customFormat="false" ht="13.8" hidden="false" customHeight="false" outlineLevel="0" collapsed="false">
      <c r="A104" s="32"/>
      <c r="B104" s="32"/>
    </row>
    <row r="105" customFormat="false" ht="13.8" hidden="false" customHeight="false" outlineLevel="0" collapsed="false">
      <c r="A105" s="32"/>
      <c r="B105" s="32"/>
    </row>
    <row r="106" customFormat="false" ht="13.8" hidden="false" customHeight="false" outlineLevel="0" collapsed="false">
      <c r="A106" s="32"/>
      <c r="B106" s="32"/>
    </row>
    <row r="107" customFormat="false" ht="13.8" hidden="false" customHeight="false" outlineLevel="0" collapsed="false">
      <c r="A107" s="32"/>
      <c r="B107" s="32"/>
    </row>
    <row r="108" customFormat="false" ht="13.8" hidden="false" customHeight="false" outlineLevel="0" collapsed="false">
      <c r="A108" s="32"/>
      <c r="B108" s="32"/>
    </row>
    <row r="109" customFormat="false" ht="13.8" hidden="false" customHeight="false" outlineLevel="0" collapsed="false">
      <c r="A109" s="32"/>
      <c r="B109" s="32"/>
    </row>
    <row r="110" customFormat="false" ht="13.8" hidden="false" customHeight="false" outlineLevel="0" collapsed="false">
      <c r="A110" s="32"/>
      <c r="B110" s="32"/>
    </row>
    <row r="111" customFormat="false" ht="13.8" hidden="false" customHeight="false" outlineLevel="0" collapsed="false">
      <c r="A111" s="32"/>
      <c r="B111" s="32"/>
    </row>
    <row r="112" customFormat="false" ht="13.8" hidden="false" customHeight="false" outlineLevel="0" collapsed="false">
      <c r="A112" s="32"/>
      <c r="B112" s="32"/>
    </row>
    <row r="113" customFormat="false" ht="13.8" hidden="false" customHeight="false" outlineLevel="0" collapsed="false">
      <c r="A113" s="32"/>
      <c r="B113" s="32"/>
    </row>
    <row r="114" customFormat="false" ht="13.8" hidden="false" customHeight="false" outlineLevel="0" collapsed="false">
      <c r="A114" s="32"/>
      <c r="B114" s="32"/>
    </row>
    <row r="115" customFormat="false" ht="13.8" hidden="false" customHeight="false" outlineLevel="0" collapsed="false">
      <c r="A115" s="32"/>
      <c r="B115" s="32"/>
    </row>
    <row r="116" customFormat="false" ht="13.8" hidden="false" customHeight="false" outlineLevel="0" collapsed="false">
      <c r="A116" s="32"/>
      <c r="B116" s="32"/>
    </row>
    <row r="117" customFormat="false" ht="13.8" hidden="false" customHeight="false" outlineLevel="0" collapsed="false">
      <c r="A117" s="32"/>
      <c r="B117" s="32"/>
    </row>
    <row r="118" customFormat="false" ht="13.8" hidden="false" customHeight="false" outlineLevel="0" collapsed="false">
      <c r="A118" s="32"/>
      <c r="B118" s="32"/>
    </row>
    <row r="119" customFormat="false" ht="13.8" hidden="false" customHeight="false" outlineLevel="0" collapsed="false">
      <c r="A119" s="32"/>
      <c r="B119" s="32"/>
    </row>
    <row r="120" customFormat="false" ht="13.8" hidden="false" customHeight="false" outlineLevel="0" collapsed="false">
      <c r="A120" s="32"/>
      <c r="B120" s="32"/>
    </row>
    <row r="121" customFormat="false" ht="13.8" hidden="false" customHeight="false" outlineLevel="0" collapsed="false">
      <c r="A121" s="32"/>
      <c r="B121" s="32"/>
    </row>
    <row r="122" customFormat="false" ht="13.8" hidden="false" customHeight="false" outlineLevel="0" collapsed="false">
      <c r="A122" s="32"/>
      <c r="B122" s="32"/>
    </row>
    <row r="123" customFormat="false" ht="13.8" hidden="false" customHeight="false" outlineLevel="0" collapsed="false">
      <c r="A123" s="32"/>
      <c r="B123" s="32"/>
    </row>
    <row r="124" customFormat="false" ht="13.8" hidden="false" customHeight="false" outlineLevel="0" collapsed="false">
      <c r="A124" s="32"/>
      <c r="B124" s="32"/>
    </row>
    <row r="125" customFormat="false" ht="13.8" hidden="false" customHeight="false" outlineLevel="0" collapsed="false">
      <c r="A125" s="32"/>
      <c r="B125" s="32"/>
    </row>
    <row r="126" customFormat="false" ht="13.8" hidden="false" customHeight="false" outlineLevel="0" collapsed="false">
      <c r="A126" s="32"/>
      <c r="B126" s="32"/>
    </row>
    <row r="127" customFormat="false" ht="13.8" hidden="false" customHeight="false" outlineLevel="0" collapsed="false">
      <c r="A127" s="32"/>
      <c r="B127" s="32"/>
    </row>
    <row r="128" customFormat="false" ht="13.8" hidden="false" customHeight="false" outlineLevel="0" collapsed="false">
      <c r="A128" s="32"/>
      <c r="B128" s="32"/>
    </row>
    <row r="129" customFormat="false" ht="13.8" hidden="false" customHeight="false" outlineLevel="0" collapsed="false">
      <c r="A129" s="32"/>
      <c r="B129" s="32"/>
    </row>
    <row r="130" customFormat="false" ht="13.8" hidden="false" customHeight="false" outlineLevel="0" collapsed="false">
      <c r="A130" s="32"/>
      <c r="B130" s="32"/>
    </row>
    <row r="131" customFormat="false" ht="13.8" hidden="false" customHeight="false" outlineLevel="0" collapsed="false">
      <c r="A131" s="32"/>
      <c r="B131" s="32"/>
    </row>
    <row r="132" customFormat="false" ht="13.8" hidden="false" customHeight="false" outlineLevel="0" collapsed="false">
      <c r="A132" s="32"/>
      <c r="B132" s="32"/>
    </row>
    <row r="133" customFormat="false" ht="13.8" hidden="false" customHeight="false" outlineLevel="0" collapsed="false">
      <c r="A133" s="32"/>
      <c r="B133" s="32"/>
    </row>
    <row r="134" customFormat="false" ht="13.8" hidden="false" customHeight="false" outlineLevel="0" collapsed="false">
      <c r="A134" s="32"/>
      <c r="B134" s="32"/>
    </row>
    <row r="135" customFormat="false" ht="13.8" hidden="false" customHeight="false" outlineLevel="0" collapsed="false">
      <c r="A135" s="32"/>
      <c r="B135" s="32"/>
    </row>
    <row r="136" customFormat="false" ht="13.8" hidden="false" customHeight="false" outlineLevel="0" collapsed="false">
      <c r="A136" s="32"/>
      <c r="B136" s="32"/>
    </row>
    <row r="137" customFormat="false" ht="13.8" hidden="false" customHeight="false" outlineLevel="0" collapsed="false">
      <c r="A137" s="32"/>
      <c r="B137" s="32"/>
    </row>
    <row r="138" customFormat="false" ht="13.8" hidden="false" customHeight="false" outlineLevel="0" collapsed="false">
      <c r="A138" s="32"/>
      <c r="B138" s="32"/>
    </row>
    <row r="139" customFormat="false" ht="13.8" hidden="false" customHeight="false" outlineLevel="0" collapsed="false">
      <c r="A139" s="32"/>
      <c r="B139" s="32"/>
    </row>
    <row r="140" customFormat="false" ht="13.8" hidden="false" customHeight="false" outlineLevel="0" collapsed="false">
      <c r="A140" s="32"/>
      <c r="B140" s="32"/>
    </row>
    <row r="141" customFormat="false" ht="13.8" hidden="false" customHeight="false" outlineLevel="0" collapsed="false">
      <c r="A141" s="32"/>
      <c r="B141" s="32"/>
    </row>
    <row r="142" customFormat="false" ht="13.8" hidden="false" customHeight="false" outlineLevel="0" collapsed="false">
      <c r="A142" s="32"/>
      <c r="B142" s="32"/>
    </row>
    <row r="143" customFormat="false" ht="13.8" hidden="false" customHeight="false" outlineLevel="0" collapsed="false">
      <c r="A143" s="32"/>
      <c r="B143" s="32"/>
    </row>
    <row r="144" customFormat="false" ht="13.8" hidden="false" customHeight="false" outlineLevel="0" collapsed="false">
      <c r="A144" s="32"/>
      <c r="B144" s="32"/>
    </row>
    <row r="145" customFormat="false" ht="13.8" hidden="false" customHeight="false" outlineLevel="0" collapsed="false">
      <c r="A145" s="32"/>
      <c r="B145" s="32"/>
    </row>
    <row r="146" customFormat="false" ht="13.8" hidden="false" customHeight="false" outlineLevel="0" collapsed="false">
      <c r="A146" s="32"/>
      <c r="B146" s="32"/>
    </row>
    <row r="147" customFormat="false" ht="13.8" hidden="false" customHeight="false" outlineLevel="0" collapsed="false">
      <c r="A147" s="32"/>
      <c r="B147" s="32"/>
    </row>
    <row r="148" customFormat="false" ht="13.8" hidden="false" customHeight="false" outlineLevel="0" collapsed="false">
      <c r="A148" s="32"/>
      <c r="B148" s="32"/>
    </row>
    <row r="149" customFormat="false" ht="13.8" hidden="false" customHeight="false" outlineLevel="0" collapsed="false">
      <c r="A149" s="32"/>
      <c r="B149" s="32"/>
    </row>
    <row r="150" customFormat="false" ht="13.8" hidden="false" customHeight="false" outlineLevel="0" collapsed="false">
      <c r="A150" s="32"/>
      <c r="B150" s="32"/>
    </row>
    <row r="151" customFormat="false" ht="13.8" hidden="false" customHeight="false" outlineLevel="0" collapsed="false">
      <c r="A151" s="32"/>
      <c r="B151" s="32"/>
    </row>
    <row r="152" customFormat="false" ht="13.8" hidden="false" customHeight="false" outlineLevel="0" collapsed="false">
      <c r="A152" s="32"/>
      <c r="B152" s="32"/>
    </row>
    <row r="153" customFormat="false" ht="13.8" hidden="false" customHeight="false" outlineLevel="0" collapsed="false">
      <c r="A153" s="32"/>
      <c r="B153" s="32"/>
    </row>
    <row r="154" customFormat="false" ht="13.8" hidden="false" customHeight="false" outlineLevel="0" collapsed="false">
      <c r="A154" s="32"/>
      <c r="B154" s="32"/>
    </row>
    <row r="155" customFormat="false" ht="13.8" hidden="false" customHeight="false" outlineLevel="0" collapsed="false">
      <c r="A155" s="32"/>
      <c r="B155" s="32"/>
    </row>
    <row r="156" customFormat="false" ht="13.8" hidden="false" customHeight="false" outlineLevel="0" collapsed="false">
      <c r="A156" s="32"/>
      <c r="B156" s="32"/>
    </row>
    <row r="157" customFormat="false" ht="13.8" hidden="false" customHeight="false" outlineLevel="0" collapsed="false">
      <c r="A157" s="32"/>
      <c r="B157" s="32"/>
    </row>
    <row r="158" customFormat="false" ht="13.8" hidden="false" customHeight="false" outlineLevel="0" collapsed="false">
      <c r="A158" s="32"/>
      <c r="B158" s="32"/>
    </row>
    <row r="159" customFormat="false" ht="13.8" hidden="false" customHeight="false" outlineLevel="0" collapsed="false">
      <c r="A159" s="32"/>
      <c r="B159" s="32"/>
    </row>
    <row r="160" customFormat="false" ht="13.8" hidden="false" customHeight="false" outlineLevel="0" collapsed="false">
      <c r="A160" s="32"/>
      <c r="B160" s="32"/>
    </row>
    <row r="161" customFormat="false" ht="13.8" hidden="false" customHeight="false" outlineLevel="0" collapsed="false">
      <c r="A161" s="32"/>
      <c r="B161" s="32"/>
    </row>
    <row r="162" customFormat="false" ht="13.8" hidden="false" customHeight="false" outlineLevel="0" collapsed="false">
      <c r="A162" s="32"/>
      <c r="B162" s="32"/>
    </row>
    <row r="163" customFormat="false" ht="13.8" hidden="false" customHeight="false" outlineLevel="0" collapsed="false">
      <c r="A163" s="32"/>
      <c r="B163" s="32"/>
    </row>
    <row r="164" customFormat="false" ht="13.8" hidden="false" customHeight="false" outlineLevel="0" collapsed="false">
      <c r="A164" s="32"/>
      <c r="B164" s="32"/>
    </row>
    <row r="165" customFormat="false" ht="13.8" hidden="false" customHeight="false" outlineLevel="0" collapsed="false">
      <c r="A165" s="32"/>
      <c r="B165" s="32"/>
    </row>
    <row r="166" customFormat="false" ht="13.8" hidden="false" customHeight="false" outlineLevel="0" collapsed="false">
      <c r="A166" s="32"/>
      <c r="B166" s="32"/>
    </row>
    <row r="167" customFormat="false" ht="13.8" hidden="false" customHeight="false" outlineLevel="0" collapsed="false">
      <c r="A167" s="32"/>
      <c r="B167" s="32"/>
    </row>
    <row r="168" customFormat="false" ht="13.8" hidden="false" customHeight="false" outlineLevel="0" collapsed="false">
      <c r="A168" s="32"/>
      <c r="B168" s="32"/>
    </row>
    <row r="169" customFormat="false" ht="13.8" hidden="false" customHeight="false" outlineLevel="0" collapsed="false">
      <c r="A169" s="32"/>
      <c r="B169" s="32"/>
    </row>
  </sheetData>
  <autoFilter ref="A1:O169"/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/>
  <cols>
    <col collapsed="false" hidden="false" max="1" min="1" style="0" width="19.9230769230769"/>
    <col collapsed="false" hidden="false" max="2" min="2" style="0" width="34.5991902834008"/>
    <col collapsed="false" hidden="false" max="3" min="3" style="0" width="30.1012145748988"/>
    <col collapsed="false" hidden="false" max="1025" min="4" style="0" width="8.57085020242915"/>
  </cols>
  <sheetData>
    <row r="1" customFormat="false" ht="13.8" hidden="false" customHeight="false" outlineLevel="0" collapsed="false">
      <c r="A1" s="27" t="s">
        <v>119</v>
      </c>
      <c r="B1" s="27" t="s">
        <v>839</v>
      </c>
      <c r="N1" s="29" t="s">
        <v>224</v>
      </c>
    </row>
    <row r="2" customFormat="false" ht="13.8" hidden="false" customHeight="false" outlineLevel="0" collapsed="false">
      <c r="A2" s="31" t="s">
        <v>225</v>
      </c>
      <c r="B2" s="31" t="n">
        <v>0</v>
      </c>
    </row>
    <row r="3" customFormat="false" ht="13.8" hidden="false" customHeight="false" outlineLevel="0" collapsed="false">
      <c r="A3" s="31" t="s">
        <v>226</v>
      </c>
      <c r="B3" s="31" t="n">
        <v>0</v>
      </c>
    </row>
    <row r="4" customFormat="false" ht="13.8" hidden="false" customHeight="false" outlineLevel="0" collapsed="false">
      <c r="A4" s="31" t="s">
        <v>227</v>
      </c>
      <c r="B4" s="31" t="n">
        <v>0</v>
      </c>
    </row>
    <row r="5" customFormat="false" ht="13.8" hidden="false" customHeight="false" outlineLevel="0" collapsed="false">
      <c r="A5" s="31" t="s">
        <v>228</v>
      </c>
      <c r="B5" s="31" t="n">
        <v>0</v>
      </c>
    </row>
    <row r="6" customFormat="false" ht="13.8" hidden="false" customHeight="false" outlineLevel="0" collapsed="false">
      <c r="A6" s="31" t="s">
        <v>229</v>
      </c>
      <c r="B6" s="31" t="n">
        <v>0</v>
      </c>
    </row>
    <row r="7" customFormat="false" ht="13.8" hidden="false" customHeight="false" outlineLevel="0" collapsed="false">
      <c r="A7" s="31" t="s">
        <v>230</v>
      </c>
      <c r="B7" s="31" t="n">
        <v>0</v>
      </c>
    </row>
    <row r="8" customFormat="false" ht="13.8" hidden="false" customHeight="false" outlineLevel="0" collapsed="false">
      <c r="A8" s="31" t="s">
        <v>231</v>
      </c>
      <c r="B8" s="31" t="n">
        <v>0</v>
      </c>
    </row>
    <row r="9" customFormat="false" ht="13.8" hidden="false" customHeight="false" outlineLevel="0" collapsed="false">
      <c r="A9" s="0" t="s">
        <v>232</v>
      </c>
      <c r="B9" s="31" t="n">
        <v>0</v>
      </c>
    </row>
    <row r="10" customFormat="false" ht="13.8" hidden="false" customHeight="false" outlineLevel="0" collapsed="false">
      <c r="A10" s="0" t="s">
        <v>233</v>
      </c>
      <c r="B10" s="31" t="n">
        <v>0</v>
      </c>
    </row>
    <row r="11" customFormat="false" ht="13.8" hidden="false" customHeight="false" outlineLevel="0" collapsed="false">
      <c r="A11" s="0" t="s">
        <v>234</v>
      </c>
      <c r="B11" s="31" t="n">
        <v>0</v>
      </c>
    </row>
    <row r="12" customFormat="false" ht="13.8" hidden="false" customHeight="false" outlineLevel="0" collapsed="false">
      <c r="A12" s="0" t="s">
        <v>235</v>
      </c>
      <c r="B12" s="31" t="n">
        <v>0</v>
      </c>
    </row>
    <row r="13" customFormat="false" ht="13.8" hidden="false" customHeight="false" outlineLevel="0" collapsed="false">
      <c r="A13" s="0" t="s">
        <v>236</v>
      </c>
      <c r="B13" s="31" t="n">
        <v>0</v>
      </c>
    </row>
    <row r="14" customFormat="false" ht="13.8" hidden="false" customHeight="false" outlineLevel="0" collapsed="false">
      <c r="A14" s="0" t="s">
        <v>237</v>
      </c>
      <c r="B14" s="31" t="n">
        <v>0</v>
      </c>
    </row>
    <row r="15" customFormat="false" ht="13.8" hidden="false" customHeight="false" outlineLevel="0" collapsed="false">
      <c r="A15" s="0" t="s">
        <v>238</v>
      </c>
      <c r="B15" s="31" t="n">
        <v>0</v>
      </c>
    </row>
    <row r="16" customFormat="false" ht="13.8" hidden="false" customHeight="false" outlineLevel="0" collapsed="false">
      <c r="A16" s="0" t="s">
        <v>239</v>
      </c>
      <c r="B16" s="31" t="n">
        <v>0</v>
      </c>
    </row>
    <row r="17" customFormat="false" ht="13.8" hidden="false" customHeight="false" outlineLevel="0" collapsed="false">
      <c r="A17" s="0" t="s">
        <v>240</v>
      </c>
      <c r="B17" s="31" t="n">
        <v>0</v>
      </c>
    </row>
    <row r="18" customFormat="false" ht="13.8" hidden="false" customHeight="false" outlineLevel="0" collapsed="false">
      <c r="A18" s="0" t="s">
        <v>241</v>
      </c>
      <c r="B18" s="31" t="n">
        <v>0</v>
      </c>
    </row>
    <row r="19" customFormat="false" ht="13.8" hidden="false" customHeight="false" outlineLevel="0" collapsed="false">
      <c r="A19" s="0" t="s">
        <v>242</v>
      </c>
      <c r="B19" s="31" t="n">
        <v>0</v>
      </c>
    </row>
    <row r="20" customFormat="false" ht="13.8" hidden="false" customHeight="false" outlineLevel="0" collapsed="false">
      <c r="A20" s="0" t="s">
        <v>243</v>
      </c>
      <c r="B20" s="31" t="n">
        <v>0</v>
      </c>
    </row>
    <row r="21" customFormat="false" ht="13.8" hidden="false" customHeight="false" outlineLevel="0" collapsed="false">
      <c r="A21" s="0" t="s">
        <v>244</v>
      </c>
      <c r="B21" s="31" t="n">
        <v>0</v>
      </c>
    </row>
    <row r="22" customFormat="false" ht="13.8" hidden="false" customHeight="false" outlineLevel="0" collapsed="false">
      <c r="A22" s="0" t="s">
        <v>245</v>
      </c>
      <c r="B22" s="31" t="n">
        <v>0</v>
      </c>
    </row>
    <row r="23" customFormat="false" ht="13.8" hidden="false" customHeight="false" outlineLevel="0" collapsed="false">
      <c r="A23" s="0" t="s">
        <v>246</v>
      </c>
      <c r="B23" s="31" t="n">
        <v>0</v>
      </c>
    </row>
    <row r="24" customFormat="false" ht="13.8" hidden="false" customHeight="false" outlineLevel="0" collapsed="false">
      <c r="A24" s="0" t="s">
        <v>247</v>
      </c>
      <c r="B24" s="31" t="n">
        <v>0</v>
      </c>
    </row>
    <row r="25" customFormat="false" ht="13.8" hidden="false" customHeight="false" outlineLevel="0" collapsed="false">
      <c r="A25" s="0" t="s">
        <v>248</v>
      </c>
      <c r="B25" s="31" t="n">
        <v>0</v>
      </c>
    </row>
    <row r="26" customFormat="false" ht="13.8" hidden="false" customHeight="false" outlineLevel="0" collapsed="false">
      <c r="A26" s="0" t="s">
        <v>249</v>
      </c>
      <c r="B26" s="31" t="n">
        <v>0</v>
      </c>
    </row>
    <row r="27" customFormat="false" ht="13.8" hidden="false" customHeight="false" outlineLevel="0" collapsed="false">
      <c r="A27" s="0" t="s">
        <v>250</v>
      </c>
      <c r="B27" s="31" t="n">
        <v>0</v>
      </c>
    </row>
    <row r="28" customFormat="false" ht="13.8" hidden="false" customHeight="false" outlineLevel="0" collapsed="false">
      <c r="A28" s="0" t="s">
        <v>251</v>
      </c>
      <c r="B28" s="31" t="n">
        <v>0</v>
      </c>
    </row>
    <row r="29" customFormat="false" ht="13.8" hidden="false" customHeight="false" outlineLevel="0" collapsed="false">
      <c r="A29" s="0" t="s">
        <v>252</v>
      </c>
      <c r="B29" s="31" t="n">
        <v>0</v>
      </c>
    </row>
    <row r="30" customFormat="false" ht="13.8" hidden="false" customHeight="false" outlineLevel="0" collapsed="false">
      <c r="A30" s="0" t="s">
        <v>253</v>
      </c>
      <c r="B30" s="31" t="n">
        <v>0</v>
      </c>
    </row>
    <row r="31" customFormat="false" ht="13.8" hidden="false" customHeight="false" outlineLevel="0" collapsed="false">
      <c r="A31" s="0" t="s">
        <v>254</v>
      </c>
      <c r="B31" s="31" t="n">
        <v>0</v>
      </c>
    </row>
    <row r="32" customFormat="false" ht="13.8" hidden="false" customHeight="false" outlineLevel="0" collapsed="false">
      <c r="A32" s="0" t="s">
        <v>836</v>
      </c>
      <c r="B32" s="31" t="n">
        <v>0</v>
      </c>
    </row>
    <row r="33" customFormat="false" ht="13.8" hidden="false" customHeight="false" outlineLevel="0" collapsed="false">
      <c r="A33" s="0" t="s">
        <v>255</v>
      </c>
      <c r="B33" s="31" t="n">
        <v>0</v>
      </c>
    </row>
    <row r="34" customFormat="false" ht="13.8" hidden="false" customHeight="false" outlineLevel="0" collapsed="false">
      <c r="A34" s="0" t="s">
        <v>837</v>
      </c>
      <c r="B34" s="31" t="n">
        <v>0</v>
      </c>
    </row>
    <row r="35" customFormat="false" ht="13.8" hidden="false" customHeight="false" outlineLevel="0" collapsed="false">
      <c r="A35" s="0" t="s">
        <v>256</v>
      </c>
      <c r="B35" s="31" t="n">
        <v>0</v>
      </c>
    </row>
    <row r="36" customFormat="false" ht="13.8" hidden="false" customHeight="false" outlineLevel="0" collapsed="false">
      <c r="A36" s="0" t="s">
        <v>257</v>
      </c>
      <c r="B36" s="31" t="n">
        <v>0</v>
      </c>
    </row>
    <row r="37" customFormat="false" ht="13.8" hidden="false" customHeight="false" outlineLevel="0" collapsed="false">
      <c r="A37" s="0" t="s">
        <v>258</v>
      </c>
      <c r="B37" s="31" t="n">
        <v>0</v>
      </c>
    </row>
    <row r="38" customFormat="false" ht="13.8" hidden="false" customHeight="false" outlineLevel="0" collapsed="false">
      <c r="A38" s="0" t="s">
        <v>259</v>
      </c>
      <c r="B38" s="31" t="n">
        <v>0</v>
      </c>
    </row>
    <row r="39" customFormat="false" ht="13.8" hidden="false" customHeight="false" outlineLevel="0" collapsed="false">
      <c r="A39" s="0" t="s">
        <v>260</v>
      </c>
      <c r="B39" s="31" t="n">
        <v>0</v>
      </c>
    </row>
    <row r="40" customFormat="false" ht="13.8" hidden="false" customHeight="false" outlineLevel="0" collapsed="false">
      <c r="A40" s="0" t="s">
        <v>261</v>
      </c>
      <c r="B40" s="31" t="n">
        <v>0</v>
      </c>
    </row>
    <row r="41" customFormat="false" ht="13.8" hidden="false" customHeight="false" outlineLevel="0" collapsed="false">
      <c r="A41" s="0" t="s">
        <v>262</v>
      </c>
      <c r="B41" s="31" t="n">
        <v>0</v>
      </c>
    </row>
    <row r="42" customFormat="false" ht="13.8" hidden="false" customHeight="false" outlineLevel="0" collapsed="false">
      <c r="A42" s="0" t="s">
        <v>263</v>
      </c>
      <c r="B42" s="31" t="n">
        <v>0</v>
      </c>
    </row>
    <row r="43" customFormat="false" ht="13.8" hidden="false" customHeight="false" outlineLevel="0" collapsed="false">
      <c r="A43" s="0" t="s">
        <v>264</v>
      </c>
      <c r="B43" s="31" t="n">
        <v>0</v>
      </c>
    </row>
    <row r="44" customFormat="false" ht="13.8" hidden="false" customHeight="false" outlineLevel="0" collapsed="false">
      <c r="A44" s="0" t="s">
        <v>265</v>
      </c>
      <c r="B44" s="31" t="n">
        <v>0</v>
      </c>
    </row>
    <row r="45" customFormat="false" ht="13.8" hidden="false" customHeight="false" outlineLevel="0" collapsed="false">
      <c r="A45" s="0" t="s">
        <v>266</v>
      </c>
      <c r="B45" s="31" t="n">
        <v>0</v>
      </c>
    </row>
    <row r="46" customFormat="false" ht="13.8" hidden="false" customHeight="false" outlineLevel="0" collapsed="false">
      <c r="A46" s="0" t="s">
        <v>267</v>
      </c>
      <c r="B46" s="31" t="n">
        <v>0</v>
      </c>
    </row>
    <row r="47" customFormat="false" ht="13.8" hidden="false" customHeight="false" outlineLevel="0" collapsed="false">
      <c r="A47" s="0" t="s">
        <v>268</v>
      </c>
      <c r="B47" s="31" t="n">
        <v>0</v>
      </c>
    </row>
    <row r="48" customFormat="false" ht="13.8" hidden="false" customHeight="false" outlineLevel="0" collapsed="false">
      <c r="A48" s="0" t="s">
        <v>269</v>
      </c>
      <c r="B48" s="31" t="n">
        <v>0</v>
      </c>
    </row>
    <row r="49" customFormat="false" ht="13.8" hidden="false" customHeight="false" outlineLevel="0" collapsed="false">
      <c r="A49" s="0" t="s">
        <v>270</v>
      </c>
      <c r="B49" s="31" t="n">
        <v>0</v>
      </c>
    </row>
    <row r="50" customFormat="false" ht="13.8" hidden="false" customHeight="false" outlineLevel="0" collapsed="false">
      <c r="A50" s="0" t="s">
        <v>271</v>
      </c>
      <c r="B50" s="31" t="n">
        <v>0</v>
      </c>
    </row>
    <row r="51" customFormat="false" ht="13.8" hidden="false" customHeight="false" outlineLevel="0" collapsed="false">
      <c r="A51" s="0" t="s">
        <v>272</v>
      </c>
      <c r="B51" s="31" t="n">
        <v>0</v>
      </c>
    </row>
    <row r="52" customFormat="false" ht="13.8" hidden="false" customHeight="false" outlineLevel="0" collapsed="false">
      <c r="A52" s="0" t="s">
        <v>273</v>
      </c>
      <c r="B52" s="31" t="n">
        <v>0</v>
      </c>
    </row>
    <row r="53" customFormat="false" ht="13.8" hidden="false" customHeight="false" outlineLevel="0" collapsed="false">
      <c r="A53" s="0" t="s">
        <v>274</v>
      </c>
      <c r="B53" s="31" t="n">
        <v>0</v>
      </c>
    </row>
    <row r="54" customFormat="false" ht="13.8" hidden="false" customHeight="false" outlineLevel="0" collapsed="false">
      <c r="A54" s="0" t="s">
        <v>275</v>
      </c>
      <c r="B54" s="31" t="n">
        <v>0</v>
      </c>
    </row>
    <row r="55" customFormat="false" ht="13.8" hidden="false" customHeight="false" outlineLevel="0" collapsed="false">
      <c r="A55" s="0" t="s">
        <v>276</v>
      </c>
      <c r="B55" s="31" t="n">
        <v>0</v>
      </c>
    </row>
    <row r="56" customFormat="false" ht="13.8" hidden="false" customHeight="false" outlineLevel="0" collapsed="false">
      <c r="A56" s="0" t="s">
        <v>277</v>
      </c>
      <c r="B56" s="31" t="n">
        <v>0</v>
      </c>
    </row>
    <row r="57" customFormat="false" ht="13.8" hidden="false" customHeight="false" outlineLevel="0" collapsed="false">
      <c r="A57" s="0" t="s">
        <v>278</v>
      </c>
      <c r="B57" s="31" t="n">
        <v>0</v>
      </c>
    </row>
    <row r="58" customFormat="false" ht="13.8" hidden="false" customHeight="false" outlineLevel="0" collapsed="false">
      <c r="A58" s="0" t="s">
        <v>279</v>
      </c>
      <c r="B58" s="31" t="n">
        <v>0</v>
      </c>
    </row>
    <row r="59" customFormat="false" ht="13.8" hidden="false" customHeight="false" outlineLevel="0" collapsed="false">
      <c r="A59" s="0" t="s">
        <v>280</v>
      </c>
      <c r="B59" s="31" t="n">
        <v>0</v>
      </c>
    </row>
    <row r="60" customFormat="false" ht="13.8" hidden="false" customHeight="false" outlineLevel="0" collapsed="false">
      <c r="A60" s="0" t="s">
        <v>281</v>
      </c>
      <c r="B60" s="31" t="n">
        <v>0</v>
      </c>
    </row>
    <row r="61" customFormat="false" ht="13.8" hidden="false" customHeight="false" outlineLevel="0" collapsed="false">
      <c r="A61" s="0" t="s">
        <v>282</v>
      </c>
      <c r="B61" s="31" t="n">
        <v>0</v>
      </c>
    </row>
    <row r="62" customFormat="false" ht="13.8" hidden="false" customHeight="false" outlineLevel="0" collapsed="false">
      <c r="A62" s="0" t="s">
        <v>283</v>
      </c>
      <c r="B62" s="31" t="n">
        <v>0</v>
      </c>
    </row>
    <row r="63" customFormat="false" ht="13.8" hidden="false" customHeight="false" outlineLevel="0" collapsed="false">
      <c r="A63" s="0" t="s">
        <v>284</v>
      </c>
      <c r="B63" s="31" t="n">
        <v>0</v>
      </c>
    </row>
    <row r="64" customFormat="false" ht="13.8" hidden="false" customHeight="false" outlineLevel="0" collapsed="false">
      <c r="A64" s="0" t="s">
        <v>285</v>
      </c>
      <c r="B64" s="31" t="n">
        <v>0</v>
      </c>
    </row>
    <row r="65" customFormat="false" ht="13.8" hidden="false" customHeight="false" outlineLevel="0" collapsed="false">
      <c r="A65" s="0" t="s">
        <v>286</v>
      </c>
      <c r="B65" s="31" t="n">
        <v>0</v>
      </c>
    </row>
    <row r="66" customFormat="false" ht="13.8" hidden="false" customHeight="false" outlineLevel="0" collapsed="false">
      <c r="A66" s="0" t="s">
        <v>287</v>
      </c>
      <c r="B66" s="31" t="n">
        <v>0</v>
      </c>
    </row>
    <row r="67" customFormat="false" ht="13.8" hidden="false" customHeight="false" outlineLevel="0" collapsed="false">
      <c r="A67" s="0" t="s">
        <v>288</v>
      </c>
      <c r="B67" s="31" t="n">
        <v>0</v>
      </c>
    </row>
    <row r="68" customFormat="false" ht="13.8" hidden="false" customHeight="false" outlineLevel="0" collapsed="false">
      <c r="A68" s="0" t="s">
        <v>289</v>
      </c>
      <c r="B68" s="31" t="n">
        <v>0</v>
      </c>
    </row>
    <row r="69" customFormat="false" ht="13.8" hidden="false" customHeight="false" outlineLevel="0" collapsed="false">
      <c r="A69" s="0" t="s">
        <v>290</v>
      </c>
      <c r="B69" s="31" t="n">
        <v>0</v>
      </c>
    </row>
    <row r="70" customFormat="false" ht="13.8" hidden="false" customHeight="false" outlineLevel="0" collapsed="false">
      <c r="A70" s="0" t="s">
        <v>291</v>
      </c>
      <c r="B70" s="31" t="n">
        <v>0</v>
      </c>
    </row>
    <row r="71" customFormat="false" ht="13.8" hidden="false" customHeight="false" outlineLevel="0" collapsed="false">
      <c r="A71" s="0" t="s">
        <v>292</v>
      </c>
      <c r="B71" s="31" t="n">
        <v>0</v>
      </c>
    </row>
    <row r="72" customFormat="false" ht="13.8" hidden="false" customHeight="false" outlineLevel="0" collapsed="false">
      <c r="A72" s="0" t="s">
        <v>293</v>
      </c>
      <c r="B72" s="31" t="n">
        <v>0</v>
      </c>
    </row>
    <row r="73" customFormat="false" ht="13.8" hidden="false" customHeight="false" outlineLevel="0" collapsed="false">
      <c r="A73" s="0" t="s">
        <v>294</v>
      </c>
      <c r="B73" s="31" t="n">
        <v>0</v>
      </c>
    </row>
    <row r="74" customFormat="false" ht="13.8" hidden="false" customHeight="false" outlineLevel="0" collapsed="false">
      <c r="A74" s="0" t="s">
        <v>295</v>
      </c>
      <c r="B74" s="31" t="n">
        <v>0</v>
      </c>
    </row>
    <row r="75" customFormat="false" ht="13.8" hidden="false" customHeight="false" outlineLevel="0" collapsed="false">
      <c r="A75" s="0" t="s">
        <v>296</v>
      </c>
      <c r="B75" s="31" t="n">
        <v>0</v>
      </c>
    </row>
    <row r="76" customFormat="false" ht="13.8" hidden="false" customHeight="false" outlineLevel="0" collapsed="false">
      <c r="A76" s="0" t="s">
        <v>297</v>
      </c>
      <c r="B76" s="31" t="n">
        <v>0</v>
      </c>
    </row>
    <row r="77" customFormat="false" ht="13.8" hidden="false" customHeight="false" outlineLevel="0" collapsed="false">
      <c r="A77" s="0" t="s">
        <v>298</v>
      </c>
      <c r="B77" s="31" t="n">
        <v>0</v>
      </c>
    </row>
    <row r="78" customFormat="false" ht="13.8" hidden="false" customHeight="false" outlineLevel="0" collapsed="false">
      <c r="A78" s="0" t="s">
        <v>299</v>
      </c>
      <c r="B78" s="31" t="n">
        <v>0</v>
      </c>
    </row>
    <row r="79" customFormat="false" ht="13.8" hidden="false" customHeight="false" outlineLevel="0" collapsed="false">
      <c r="A79" s="0" t="s">
        <v>300</v>
      </c>
      <c r="B79" s="31" t="n">
        <v>0</v>
      </c>
    </row>
    <row r="80" customFormat="false" ht="13.8" hidden="false" customHeight="false" outlineLevel="0" collapsed="false">
      <c r="A80" s="0" t="s">
        <v>301</v>
      </c>
      <c r="B80" s="31" t="n">
        <v>0</v>
      </c>
    </row>
    <row r="81" customFormat="false" ht="13.8" hidden="false" customHeight="false" outlineLevel="0" collapsed="false">
      <c r="A81" s="0" t="s">
        <v>302</v>
      </c>
      <c r="B81" s="31" t="n">
        <v>0</v>
      </c>
    </row>
    <row r="82" customFormat="false" ht="13.8" hidden="false" customHeight="false" outlineLevel="0" collapsed="false">
      <c r="A82" s="0" t="s">
        <v>303</v>
      </c>
      <c r="B82" s="31" t="n">
        <v>0</v>
      </c>
    </row>
    <row r="83" customFormat="false" ht="13.8" hidden="false" customHeight="false" outlineLevel="0" collapsed="false">
      <c r="A83" s="0" t="s">
        <v>304</v>
      </c>
      <c r="B83" s="31" t="n">
        <v>0</v>
      </c>
    </row>
    <row r="84" customFormat="false" ht="13.8" hidden="false" customHeight="false" outlineLevel="0" collapsed="false">
      <c r="A84" s="0" t="s">
        <v>305</v>
      </c>
      <c r="B84" s="31" t="n">
        <v>0</v>
      </c>
    </row>
    <row r="85" customFormat="false" ht="13.8" hidden="false" customHeight="false" outlineLevel="0" collapsed="false">
      <c r="A85" s="0" t="s">
        <v>306</v>
      </c>
      <c r="B85" s="31" t="n">
        <v>0</v>
      </c>
    </row>
    <row r="86" customFormat="false" ht="13.8" hidden="false" customHeight="false" outlineLevel="0" collapsed="false">
      <c r="A86" s="0" t="s">
        <v>307</v>
      </c>
      <c r="B86" s="31" t="n">
        <v>0</v>
      </c>
    </row>
    <row r="87" customFormat="false" ht="13.8" hidden="false" customHeight="false" outlineLevel="0" collapsed="false">
      <c r="A87" s="0" t="s">
        <v>308</v>
      </c>
      <c r="B87" s="31" t="n">
        <v>0</v>
      </c>
    </row>
    <row r="88" customFormat="false" ht="13.8" hidden="false" customHeight="false" outlineLevel="0" collapsed="false">
      <c r="A88" s="0" t="s">
        <v>309</v>
      </c>
      <c r="B88" s="31" t="n">
        <v>0</v>
      </c>
    </row>
    <row r="89" customFormat="false" ht="13.8" hidden="false" customHeight="false" outlineLevel="0" collapsed="false">
      <c r="A89" s="0" t="s">
        <v>310</v>
      </c>
      <c r="B89" s="31" t="n">
        <v>0</v>
      </c>
    </row>
    <row r="90" customFormat="false" ht="13.8" hidden="false" customHeight="false" outlineLevel="0" collapsed="false">
      <c r="A90" s="0" t="s">
        <v>311</v>
      </c>
      <c r="B90" s="31" t="n">
        <v>0</v>
      </c>
    </row>
    <row r="91" customFormat="false" ht="13.8" hidden="false" customHeight="false" outlineLevel="0" collapsed="false">
      <c r="A91" s="0" t="s">
        <v>312</v>
      </c>
      <c r="B91" s="31" t="n">
        <v>0</v>
      </c>
    </row>
    <row r="92" customFormat="false" ht="13.8" hidden="false" customHeight="false" outlineLevel="0" collapsed="false">
      <c r="A92" s="0" t="s">
        <v>313</v>
      </c>
      <c r="B92" s="31" t="n">
        <v>0</v>
      </c>
    </row>
    <row r="93" customFormat="false" ht="13.8" hidden="false" customHeight="false" outlineLevel="0" collapsed="false">
      <c r="A93" s="0" t="s">
        <v>314</v>
      </c>
      <c r="B93" s="31" t="n">
        <v>0</v>
      </c>
    </row>
    <row r="94" customFormat="false" ht="13.8" hidden="false" customHeight="false" outlineLevel="0" collapsed="false">
      <c r="A94" s="0" t="s">
        <v>315</v>
      </c>
      <c r="B94" s="31" t="n">
        <v>0</v>
      </c>
    </row>
    <row r="95" customFormat="false" ht="13.8" hidden="false" customHeight="false" outlineLevel="0" collapsed="false">
      <c r="A95" s="0" t="s">
        <v>316</v>
      </c>
      <c r="B95" s="31" t="n">
        <v>0</v>
      </c>
    </row>
    <row r="96" customFormat="false" ht="13.8" hidden="false" customHeight="false" outlineLevel="0" collapsed="false">
      <c r="A96" s="0" t="s">
        <v>317</v>
      </c>
      <c r="B96" s="31" t="n">
        <v>0</v>
      </c>
    </row>
    <row r="97" customFormat="false" ht="13.8" hidden="false" customHeight="false" outlineLevel="0" collapsed="false">
      <c r="A97" s="0" t="s">
        <v>318</v>
      </c>
      <c r="B97" s="31" t="n">
        <v>0</v>
      </c>
    </row>
    <row r="98" customFormat="false" ht="13.8" hidden="false" customHeight="false" outlineLevel="0" collapsed="false">
      <c r="A98" s="0" t="s">
        <v>319</v>
      </c>
      <c r="B98" s="31" t="n">
        <v>0</v>
      </c>
    </row>
    <row r="99" customFormat="false" ht="13.8" hidden="false" customHeight="false" outlineLevel="0" collapsed="false">
      <c r="A99" s="0" t="s">
        <v>320</v>
      </c>
      <c r="B99" s="31" t="n">
        <v>0</v>
      </c>
    </row>
    <row r="100" customFormat="false" ht="13.8" hidden="false" customHeight="false" outlineLevel="0" collapsed="false">
      <c r="A100" s="0" t="s">
        <v>321</v>
      </c>
      <c r="B100" s="31" t="n">
        <v>0</v>
      </c>
    </row>
    <row r="101" customFormat="false" ht="13.8" hidden="false" customHeight="false" outlineLevel="0" collapsed="false">
      <c r="A101" s="0" t="s">
        <v>322</v>
      </c>
      <c r="B101" s="31" t="n">
        <v>0</v>
      </c>
    </row>
    <row r="102" customFormat="false" ht="13.8" hidden="false" customHeight="false" outlineLevel="0" collapsed="false">
      <c r="A102" s="0" t="s">
        <v>323</v>
      </c>
      <c r="B102" s="31" t="n">
        <v>0</v>
      </c>
    </row>
    <row r="103" customFormat="false" ht="13.8" hidden="false" customHeight="false" outlineLevel="0" collapsed="false">
      <c r="A103" s="0" t="s">
        <v>324</v>
      </c>
      <c r="B103" s="31" t="n">
        <v>0</v>
      </c>
    </row>
    <row r="104" customFormat="false" ht="13.8" hidden="false" customHeight="false" outlineLevel="0" collapsed="false">
      <c r="A104" s="0" t="s">
        <v>325</v>
      </c>
      <c r="B104" s="31" t="n">
        <v>0</v>
      </c>
    </row>
    <row r="105" customFormat="false" ht="13.8" hidden="false" customHeight="false" outlineLevel="0" collapsed="false">
      <c r="A105" s="0" t="s">
        <v>326</v>
      </c>
      <c r="B105" s="31" t="n">
        <v>0</v>
      </c>
    </row>
    <row r="106" customFormat="false" ht="13.8" hidden="false" customHeight="false" outlineLevel="0" collapsed="false">
      <c r="A106" s="0" t="s">
        <v>327</v>
      </c>
      <c r="B106" s="31" t="n">
        <v>0</v>
      </c>
    </row>
    <row r="107" customFormat="false" ht="13.8" hidden="false" customHeight="false" outlineLevel="0" collapsed="false">
      <c r="A107" s="0" t="s">
        <v>328</v>
      </c>
      <c r="B107" s="31" t="n">
        <v>0</v>
      </c>
    </row>
    <row r="108" customFormat="false" ht="13.8" hidden="false" customHeight="false" outlineLevel="0" collapsed="false">
      <c r="A108" s="0" t="s">
        <v>329</v>
      </c>
      <c r="B108" s="31" t="n">
        <v>0</v>
      </c>
    </row>
    <row r="109" customFormat="false" ht="13.8" hidden="false" customHeight="false" outlineLevel="0" collapsed="false">
      <c r="A109" s="0" t="s">
        <v>330</v>
      </c>
      <c r="B109" s="31" t="n">
        <v>0</v>
      </c>
    </row>
    <row r="110" customFormat="false" ht="13.8" hidden="false" customHeight="false" outlineLevel="0" collapsed="false">
      <c r="A110" s="0" t="s">
        <v>331</v>
      </c>
      <c r="B110" s="31" t="n">
        <v>0</v>
      </c>
    </row>
    <row r="111" customFormat="false" ht="13.8" hidden="false" customHeight="false" outlineLevel="0" collapsed="false">
      <c r="A111" s="0" t="s">
        <v>332</v>
      </c>
      <c r="B111" s="31" t="n">
        <v>0</v>
      </c>
    </row>
    <row r="112" customFormat="false" ht="13.8" hidden="false" customHeight="false" outlineLevel="0" collapsed="false">
      <c r="A112" s="0" t="s">
        <v>333</v>
      </c>
      <c r="B112" s="31" t="n">
        <v>0</v>
      </c>
    </row>
    <row r="113" customFormat="false" ht="13.8" hidden="false" customHeight="false" outlineLevel="0" collapsed="false">
      <c r="A113" s="0" t="s">
        <v>334</v>
      </c>
      <c r="B113" s="31" t="n">
        <v>0</v>
      </c>
    </row>
    <row r="114" customFormat="false" ht="13.8" hidden="false" customHeight="false" outlineLevel="0" collapsed="false">
      <c r="A114" s="0" t="s">
        <v>335</v>
      </c>
      <c r="B114" s="31" t="n">
        <v>0</v>
      </c>
    </row>
    <row r="115" customFormat="false" ht="13.8" hidden="false" customHeight="false" outlineLevel="0" collapsed="false">
      <c r="A115" s="0" t="s">
        <v>336</v>
      </c>
      <c r="B115" s="31" t="n">
        <v>0</v>
      </c>
    </row>
    <row r="116" customFormat="false" ht="13.8" hidden="false" customHeight="false" outlineLevel="0" collapsed="false">
      <c r="A116" s="0" t="s">
        <v>337</v>
      </c>
      <c r="B116" s="31" t="n">
        <v>0</v>
      </c>
    </row>
    <row r="117" customFormat="false" ht="13.8" hidden="false" customHeight="false" outlineLevel="0" collapsed="false">
      <c r="A117" s="0" t="s">
        <v>338</v>
      </c>
      <c r="B117" s="31" t="n">
        <v>0</v>
      </c>
    </row>
    <row r="118" customFormat="false" ht="13.8" hidden="false" customHeight="false" outlineLevel="0" collapsed="false">
      <c r="A118" s="0" t="s">
        <v>339</v>
      </c>
      <c r="B118" s="31" t="n">
        <v>0</v>
      </c>
    </row>
    <row r="119" customFormat="false" ht="13.8" hidden="false" customHeight="false" outlineLevel="0" collapsed="false">
      <c r="A119" s="0" t="s">
        <v>340</v>
      </c>
      <c r="B119" s="31" t="n">
        <v>0</v>
      </c>
    </row>
    <row r="120" customFormat="false" ht="13.8" hidden="false" customHeight="false" outlineLevel="0" collapsed="false">
      <c r="A120" s="0" t="s">
        <v>341</v>
      </c>
      <c r="B120" s="31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1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/>
  <cols>
    <col collapsed="false" hidden="false" max="1" min="1" style="0" width="20.246963562753"/>
    <col collapsed="false" hidden="false" max="2" min="2" style="59" width="29.4574898785425"/>
    <col collapsed="false" hidden="false" max="3" min="3" style="0" width="29.4574898785425"/>
    <col collapsed="false" hidden="false" max="1025" min="4" style="0" width="8.57085020242915"/>
  </cols>
  <sheetData>
    <row r="1" customFormat="false" ht="13.8" hidden="false" customHeight="false" outlineLevel="0" collapsed="false">
      <c r="A1" s="27" t="s">
        <v>119</v>
      </c>
      <c r="B1" s="60" t="s">
        <v>840</v>
      </c>
      <c r="N1" s="29" t="s">
        <v>224</v>
      </c>
    </row>
    <row r="2" customFormat="false" ht="13.8" hidden="false" customHeight="false" outlineLevel="0" collapsed="false">
      <c r="A2" s="32" t="s">
        <v>120</v>
      </c>
      <c r="B2" s="59" t="n">
        <v>0.00656830217645807</v>
      </c>
    </row>
    <row r="3" customFormat="false" ht="13.8" hidden="false" customHeight="false" outlineLevel="0" collapsed="false">
      <c r="A3" s="32" t="s">
        <v>121</v>
      </c>
      <c r="B3" s="59" t="n">
        <v>0.00656830217645807</v>
      </c>
    </row>
    <row r="4" customFormat="false" ht="13.8" hidden="false" customHeight="false" outlineLevel="0" collapsed="false">
      <c r="A4" s="32" t="s">
        <v>122</v>
      </c>
      <c r="B4" s="59" t="n">
        <v>0.00492622663234355</v>
      </c>
    </row>
    <row r="5" customFormat="false" ht="13.8" hidden="false" customHeight="false" outlineLevel="0" collapsed="false">
      <c r="A5" s="32" t="s">
        <v>123</v>
      </c>
      <c r="B5" s="59" t="n">
        <v>0.00656830217645807</v>
      </c>
    </row>
    <row r="6" customFormat="false" ht="13.8" hidden="false" customHeight="false" outlineLevel="0" collapsed="false">
      <c r="A6" s="32" t="s">
        <v>124</v>
      </c>
      <c r="B6" s="59" t="n">
        <v>0.00656830217645807</v>
      </c>
    </row>
    <row r="7" customFormat="false" ht="13.8" hidden="false" customHeight="false" outlineLevel="0" collapsed="false">
      <c r="A7" s="32" t="s">
        <v>125</v>
      </c>
      <c r="B7" s="59" t="n">
        <v>0.00656830217645807</v>
      </c>
    </row>
    <row r="8" customFormat="false" ht="13.8" hidden="false" customHeight="false" outlineLevel="0" collapsed="false">
      <c r="A8" s="32" t="s">
        <v>126</v>
      </c>
      <c r="B8" s="59" t="n">
        <v>0.00656830217645807</v>
      </c>
    </row>
    <row r="9" customFormat="false" ht="13.8" hidden="false" customHeight="false" outlineLevel="0" collapsed="false">
      <c r="A9" s="32" t="s">
        <v>127</v>
      </c>
      <c r="B9" s="59" t="n">
        <v>0.00656830217645807</v>
      </c>
    </row>
    <row r="10" customFormat="false" ht="13.8" hidden="false" customHeight="false" outlineLevel="0" collapsed="false">
      <c r="A10" s="32" t="s">
        <v>128</v>
      </c>
      <c r="B10" s="59" t="n">
        <v>0.00492622663234355</v>
      </c>
    </row>
    <row r="11" customFormat="false" ht="13.8" hidden="false" customHeight="false" outlineLevel="0" collapsed="false">
      <c r="A11" s="32" t="s">
        <v>129</v>
      </c>
      <c r="B11" s="59" t="n">
        <v>0.00656830217645807</v>
      </c>
    </row>
    <row r="12" customFormat="false" ht="13.8" hidden="false" customHeight="false" outlineLevel="0" collapsed="false">
      <c r="A12" s="32" t="s">
        <v>130</v>
      </c>
      <c r="B12" s="59" t="n">
        <v>0.0112599465882138</v>
      </c>
    </row>
    <row r="13" customFormat="false" ht="13.8" hidden="false" customHeight="false" outlineLevel="0" collapsed="false">
      <c r="A13" s="32" t="s">
        <v>131</v>
      </c>
      <c r="B13" s="59" t="n">
        <v>0.0112599465882138</v>
      </c>
    </row>
    <row r="14" customFormat="false" ht="13.8" hidden="false" customHeight="false" outlineLevel="0" collapsed="false">
      <c r="A14" s="32" t="s">
        <v>132</v>
      </c>
      <c r="B14" s="59" t="n">
        <v>0.0127471093451477</v>
      </c>
    </row>
    <row r="15" customFormat="false" ht="13.8" hidden="false" customHeight="false" outlineLevel="0" collapsed="false">
      <c r="A15" s="32" t="s">
        <v>133</v>
      </c>
      <c r="B15" s="59" t="n">
        <v>0.0102270177912932</v>
      </c>
    </row>
    <row r="16" customFormat="false" ht="13.8" hidden="false" customHeight="false" outlineLevel="0" collapsed="false">
      <c r="A16" s="32" t="s">
        <v>508</v>
      </c>
      <c r="B16" s="59" t="n">
        <v>0.00737551086564225</v>
      </c>
    </row>
    <row r="17" customFormat="false" ht="13.8" hidden="false" customHeight="false" outlineLevel="0" collapsed="false">
      <c r="A17" s="32" t="s">
        <v>834</v>
      </c>
      <c r="B17" s="59" t="n">
        <v>0.00697930573649617</v>
      </c>
    </row>
    <row r="18" customFormat="false" ht="13.8" hidden="false" customHeight="false" outlineLevel="0" collapsed="false">
      <c r="A18" s="32" t="s">
        <v>134</v>
      </c>
      <c r="B18" s="59" t="n">
        <v>0.00900795727057106</v>
      </c>
    </row>
    <row r="19" customFormat="false" ht="13.8" hidden="false" customHeight="false" outlineLevel="0" collapsed="false">
      <c r="A19" s="32" t="s">
        <v>135</v>
      </c>
      <c r="B19" s="59" t="n">
        <v>0.00818905206415551</v>
      </c>
    </row>
    <row r="20" customFormat="false" ht="13.8" hidden="false" customHeight="false" outlineLevel="0" collapsed="false">
      <c r="A20" s="32" t="s">
        <v>136</v>
      </c>
      <c r="B20" s="59" t="n">
        <v>0.0112599465882138</v>
      </c>
    </row>
    <row r="21" customFormat="false" ht="13.8" hidden="false" customHeight="false" outlineLevel="0" collapsed="false">
      <c r="A21" s="32" t="s">
        <v>137</v>
      </c>
      <c r="B21" s="59" t="n">
        <v>0.0112599465882138</v>
      </c>
    </row>
    <row r="22" customFormat="false" ht="13.8" hidden="false" customHeight="false" outlineLevel="0" collapsed="false">
      <c r="A22" s="32" t="s">
        <v>138</v>
      </c>
      <c r="B22" s="59" t="n">
        <v>0.0112599465882138</v>
      </c>
    </row>
    <row r="23" customFormat="false" ht="13.8" hidden="false" customHeight="false" outlineLevel="0" collapsed="false">
      <c r="A23" s="32" t="s">
        <v>139</v>
      </c>
      <c r="B23" s="59" t="n">
        <v>0.0112599465882138</v>
      </c>
    </row>
    <row r="24" customFormat="false" ht="13.8" hidden="false" customHeight="false" outlineLevel="0" collapsed="false">
      <c r="A24" s="32" t="s">
        <v>140</v>
      </c>
      <c r="B24" s="59" t="n">
        <v>0.00938328882351152</v>
      </c>
    </row>
    <row r="25" customFormat="false" ht="13.8" hidden="false" customHeight="false" outlineLevel="0" collapsed="false">
      <c r="A25" s="32" t="s">
        <v>141</v>
      </c>
      <c r="B25" s="59" t="n">
        <v>0.0112599465882138</v>
      </c>
    </row>
    <row r="26" customFormat="false" ht="13.8" hidden="false" customHeight="false" outlineLevel="0" collapsed="false">
      <c r="A26" s="32" t="s">
        <v>142</v>
      </c>
      <c r="B26" s="59" t="n">
        <v>0.0112599465882138</v>
      </c>
    </row>
    <row r="27" customFormat="false" ht="13.8" hidden="false" customHeight="false" outlineLevel="0" collapsed="false">
      <c r="A27" s="32" t="s">
        <v>143</v>
      </c>
      <c r="B27" s="59" t="n">
        <v>0.0112599465882138</v>
      </c>
    </row>
    <row r="28" customFormat="false" ht="13.8" hidden="false" customHeight="false" outlineLevel="0" collapsed="false">
      <c r="A28" s="32" t="s">
        <v>144</v>
      </c>
      <c r="B28" s="59" t="n">
        <v>0.00919179313323578</v>
      </c>
    </row>
    <row r="29" customFormat="false" ht="13.8" hidden="false" customHeight="false" outlineLevel="0" collapsed="false">
      <c r="A29" s="32" t="s">
        <v>145</v>
      </c>
      <c r="B29" s="59" t="n">
        <v>0.0112599465882138</v>
      </c>
    </row>
    <row r="30" customFormat="false" ht="13.8" hidden="false" customHeight="false" outlineLevel="0" collapsed="false">
      <c r="A30" s="32" t="s">
        <v>146</v>
      </c>
      <c r="B30" s="59" t="n">
        <v>0.0112599465882138</v>
      </c>
    </row>
    <row r="31" customFormat="false" ht="13.8" hidden="false" customHeight="false" outlineLevel="0" collapsed="false">
      <c r="A31" s="32" t="s">
        <v>147</v>
      </c>
      <c r="B31" s="59" t="n">
        <v>0.0112599465882138</v>
      </c>
    </row>
    <row r="32" customFormat="false" ht="13.8" hidden="false" customHeight="false" outlineLevel="0" collapsed="false">
      <c r="A32" s="32" t="s">
        <v>148</v>
      </c>
      <c r="B32" s="59" t="n">
        <v>0.0112599465882138</v>
      </c>
    </row>
    <row r="33" customFormat="false" ht="13.8" hidden="false" customHeight="false" outlineLevel="0" collapsed="false">
      <c r="A33" s="32" t="s">
        <v>149</v>
      </c>
      <c r="B33" s="59" t="n">
        <v>0.0112599465882138</v>
      </c>
    </row>
    <row r="34" customFormat="false" ht="13.8" hidden="false" customHeight="false" outlineLevel="0" collapsed="false">
      <c r="A34" s="32" t="s">
        <v>150</v>
      </c>
      <c r="B34" s="59" t="n">
        <v>0.0112599465882138</v>
      </c>
    </row>
    <row r="35" customFormat="false" ht="13.8" hidden="false" customHeight="false" outlineLevel="0" collapsed="false">
      <c r="A35" s="32" t="s">
        <v>151</v>
      </c>
      <c r="B35" s="59" t="n">
        <v>0.0112599465882138</v>
      </c>
    </row>
    <row r="36" customFormat="false" ht="13.8" hidden="false" customHeight="false" outlineLevel="0" collapsed="false">
      <c r="A36" s="32" t="s">
        <v>152</v>
      </c>
      <c r="B36" s="59" t="n">
        <v>0.0135119359058566</v>
      </c>
    </row>
    <row r="37" customFormat="false" ht="13.8" hidden="false" customHeight="false" outlineLevel="0" collapsed="false">
      <c r="A37" s="32" t="s">
        <v>153</v>
      </c>
      <c r="B37" s="59" t="n">
        <v>0.0112599465882138</v>
      </c>
    </row>
    <row r="38" customFormat="false" ht="13.8" hidden="false" customHeight="false" outlineLevel="0" collapsed="false">
      <c r="A38" s="32" t="s">
        <v>154</v>
      </c>
      <c r="B38" s="59" t="n">
        <v>0.0112599465882138</v>
      </c>
    </row>
    <row r="39" customFormat="false" ht="13.8" hidden="false" customHeight="false" outlineLevel="0" collapsed="false">
      <c r="A39" s="32" t="s">
        <v>155</v>
      </c>
      <c r="B39" s="59" t="n">
        <v>0.0112599465882138</v>
      </c>
    </row>
    <row r="40" customFormat="false" ht="13.8" hidden="false" customHeight="false" outlineLevel="0" collapsed="false">
      <c r="A40" s="32" t="s">
        <v>156</v>
      </c>
      <c r="B40" s="59" t="n">
        <v>0.0112599465882138</v>
      </c>
    </row>
    <row r="41" customFormat="false" ht="13.8" hidden="false" customHeight="false" outlineLevel="0" collapsed="false">
      <c r="A41" s="32" t="s">
        <v>157</v>
      </c>
      <c r="B41" s="59" t="n">
        <v>0.00900795727057106</v>
      </c>
    </row>
    <row r="42" customFormat="false" ht="13.8" hidden="false" customHeight="false" outlineLevel="0" collapsed="false">
      <c r="A42" s="32" t="s">
        <v>158</v>
      </c>
      <c r="B42" s="59" t="n">
        <v>0.0112599465882138</v>
      </c>
    </row>
    <row r="43" customFormat="false" ht="13.8" hidden="false" customHeight="false" outlineLevel="0" collapsed="false">
      <c r="A43" s="32" t="s">
        <v>159</v>
      </c>
      <c r="B43" s="59" t="n">
        <v>0.0112599465882138</v>
      </c>
    </row>
    <row r="44" customFormat="false" ht="13.8" hidden="false" customHeight="false" outlineLevel="0" collapsed="false">
      <c r="A44" s="32" t="s">
        <v>160</v>
      </c>
      <c r="B44" s="59" t="n">
        <v>0.0112599465882138</v>
      </c>
    </row>
    <row r="45" customFormat="false" ht="13.8" hidden="false" customHeight="false" outlineLevel="0" collapsed="false">
      <c r="A45" s="32" t="s">
        <v>161</v>
      </c>
      <c r="B45" s="59" t="n">
        <v>0.0225198931764277</v>
      </c>
    </row>
    <row r="46" customFormat="false" ht="13.8" hidden="false" customHeight="false" outlineLevel="0" collapsed="false">
      <c r="A46" s="32" t="s">
        <v>162</v>
      </c>
      <c r="B46" s="59" t="n">
        <v>0.0112599465882138</v>
      </c>
    </row>
    <row r="47" customFormat="false" ht="13.8" hidden="false" customHeight="false" outlineLevel="0" collapsed="false">
      <c r="A47" s="32" t="s">
        <v>163</v>
      </c>
      <c r="B47" s="59" t="n">
        <v>0.00844495994116037</v>
      </c>
    </row>
    <row r="48" customFormat="false" ht="13.8" hidden="false" customHeight="false" outlineLevel="0" collapsed="false">
      <c r="A48" s="32" t="s">
        <v>164</v>
      </c>
      <c r="B48" s="59" t="n">
        <v>0.0112599465882138</v>
      </c>
    </row>
    <row r="49" customFormat="false" ht="13.8" hidden="false" customHeight="false" outlineLevel="0" collapsed="false">
      <c r="A49" s="32" t="s">
        <v>165</v>
      </c>
      <c r="B49" s="59" t="n">
        <v>0.00772741432524478</v>
      </c>
    </row>
    <row r="50" customFormat="false" ht="13.8" hidden="false" customHeight="false" outlineLevel="0" collapsed="false">
      <c r="A50" s="32" t="s">
        <v>166</v>
      </c>
      <c r="B50" s="59" t="n">
        <v>0.0102629721507157</v>
      </c>
    </row>
    <row r="51" customFormat="false" ht="13.8" hidden="false" customHeight="false" outlineLevel="0" collapsed="false">
      <c r="A51" s="32" t="s">
        <v>167</v>
      </c>
      <c r="B51" s="59" t="n">
        <v>0.00895677569517009</v>
      </c>
    </row>
    <row r="52" customFormat="false" ht="13.8" hidden="false" customHeight="false" outlineLevel="0" collapsed="false">
      <c r="A52" s="32" t="s">
        <v>168</v>
      </c>
      <c r="B52" s="59" t="n">
        <v>0.00733069439336838</v>
      </c>
    </row>
    <row r="53" customFormat="false" ht="13.8" hidden="false" customHeight="false" outlineLevel="0" collapsed="false">
      <c r="A53" s="32" t="s">
        <v>169</v>
      </c>
      <c r="B53" s="59" t="n">
        <v>0.00739673668520052</v>
      </c>
    </row>
    <row r="54" customFormat="false" ht="13.8" hidden="false" customHeight="false" outlineLevel="0" collapsed="false">
      <c r="A54" s="32" t="s">
        <v>170</v>
      </c>
      <c r="B54" s="59" t="n">
        <v>0.00764942023655831</v>
      </c>
    </row>
    <row r="55" customFormat="false" ht="13.8" hidden="false" customHeight="false" outlineLevel="0" collapsed="false">
      <c r="A55" s="32" t="s">
        <v>171</v>
      </c>
      <c r="B55" s="59" t="n">
        <v>0.00764942023655831</v>
      </c>
    </row>
    <row r="56" customFormat="false" ht="13.8" hidden="false" customHeight="false" outlineLevel="0" collapsed="false">
      <c r="A56" s="32" t="s">
        <v>172</v>
      </c>
      <c r="B56" s="59" t="n">
        <v>0.00788196261174968</v>
      </c>
    </row>
    <row r="57" customFormat="false" ht="13.8" hidden="false" customHeight="false" outlineLevel="0" collapsed="false">
      <c r="A57" s="32" t="s">
        <v>173</v>
      </c>
      <c r="B57" s="59" t="n">
        <v>0.0113682153054082</v>
      </c>
    </row>
    <row r="58" customFormat="false" ht="13.8" hidden="false" customHeight="false" outlineLevel="0" collapsed="false">
      <c r="A58" s="32" t="s">
        <v>174</v>
      </c>
      <c r="B58" s="59" t="n">
        <v>0.00995197299463344</v>
      </c>
    </row>
    <row r="59" customFormat="false" ht="13.8" hidden="false" customHeight="false" outlineLevel="0" collapsed="false">
      <c r="A59" s="32" t="s">
        <v>175</v>
      </c>
      <c r="B59" s="59" t="n">
        <v>0.00937882271745559</v>
      </c>
    </row>
    <row r="60" customFormat="false" ht="13.8" hidden="false" customHeight="false" outlineLevel="0" collapsed="false">
      <c r="A60" s="32" t="s">
        <v>176</v>
      </c>
      <c r="B60" s="59" t="n">
        <v>0.00750663105880922</v>
      </c>
    </row>
    <row r="61" customFormat="false" ht="13.8" hidden="false" customHeight="false" outlineLevel="0" collapsed="false">
      <c r="A61" s="32" t="s">
        <v>177</v>
      </c>
      <c r="B61" s="59" t="n">
        <v>0.00909457224432656</v>
      </c>
    </row>
    <row r="62" customFormat="false" ht="13.8" hidden="false" customHeight="false" outlineLevel="0" collapsed="false">
      <c r="A62" s="32" t="s">
        <v>178</v>
      </c>
      <c r="B62" s="59" t="n">
        <v>0.00909457224432656</v>
      </c>
    </row>
    <row r="63" customFormat="false" ht="13.8" hidden="false" customHeight="false" outlineLevel="0" collapsed="false">
      <c r="A63" s="32" t="s">
        <v>179</v>
      </c>
      <c r="B63" s="59" t="n">
        <v>0.00909457224432656</v>
      </c>
    </row>
    <row r="64" customFormat="false" ht="13.8" hidden="false" customHeight="false" outlineLevel="0" collapsed="false">
      <c r="A64" s="32" t="s">
        <v>180</v>
      </c>
      <c r="B64" s="59" t="n">
        <v>0.0106628282085358</v>
      </c>
    </row>
    <row r="65" customFormat="false" ht="13.8" hidden="false" customHeight="false" outlineLevel="0" collapsed="false">
      <c r="A65" s="32" t="s">
        <v>181</v>
      </c>
      <c r="B65" s="59" t="n">
        <v>0.0107481308342041</v>
      </c>
    </row>
    <row r="66" customFormat="false" ht="13.8" hidden="false" customHeight="false" outlineLevel="0" collapsed="false">
      <c r="A66" s="32" t="s">
        <v>182</v>
      </c>
      <c r="B66" s="59" t="n">
        <v>0.0107481308342041</v>
      </c>
    </row>
    <row r="67" customFormat="false" ht="13.8" hidden="false" customHeight="false" outlineLevel="0" collapsed="false">
      <c r="A67" s="32" t="s">
        <v>183</v>
      </c>
      <c r="B67" s="59" t="n">
        <v>0.00902514802872101</v>
      </c>
    </row>
    <row r="68" customFormat="false" ht="13.8" hidden="false" customHeight="false" outlineLevel="0" collapsed="false">
      <c r="A68" s="32" t="s">
        <v>184</v>
      </c>
      <c r="B68" s="59" t="n">
        <v>0.00902514802872101</v>
      </c>
    </row>
    <row r="69" customFormat="false" ht="13.8" hidden="false" customHeight="false" outlineLevel="0" collapsed="false">
      <c r="A69" s="32" t="s">
        <v>185</v>
      </c>
      <c r="B69" s="59" t="n">
        <v>0.00895677569517009</v>
      </c>
    </row>
    <row r="70" customFormat="false" ht="13.8" hidden="false" customHeight="false" outlineLevel="0" collapsed="false">
      <c r="A70" s="32" t="s">
        <v>186</v>
      </c>
      <c r="B70" s="59" t="n">
        <v>0.0111537206770043</v>
      </c>
    </row>
    <row r="71" customFormat="false" ht="13.8" hidden="false" customHeight="false" outlineLevel="0" collapsed="false">
      <c r="A71" s="32" t="s">
        <v>187</v>
      </c>
      <c r="B71" s="59" t="n">
        <v>0.0107481308342041</v>
      </c>
    </row>
    <row r="72" customFormat="false" ht="13.8" hidden="false" customHeight="false" outlineLevel="0" collapsed="false">
      <c r="A72" s="32" t="s">
        <v>188</v>
      </c>
      <c r="B72" s="59" t="n">
        <v>0.0107481308342041</v>
      </c>
    </row>
    <row r="73" customFormat="false" ht="13.8" hidden="false" customHeight="false" outlineLevel="0" collapsed="false">
      <c r="A73" s="32" t="s">
        <v>189</v>
      </c>
      <c r="B73" s="59" t="n">
        <v>0.0107481308342041</v>
      </c>
    </row>
    <row r="74" customFormat="false" ht="13.8" hidden="false" customHeight="false" outlineLevel="0" collapsed="false">
      <c r="A74" s="32" t="s">
        <v>190</v>
      </c>
      <c r="B74" s="59" t="n">
        <v>0.0107481308342041</v>
      </c>
    </row>
    <row r="75" customFormat="false" ht="13.8" hidden="false" customHeight="false" outlineLevel="0" collapsed="false">
      <c r="A75" s="32" t="s">
        <v>191</v>
      </c>
      <c r="B75" s="59" t="n">
        <v>0.0107481308342041</v>
      </c>
    </row>
    <row r="76" customFormat="false" ht="13.8" hidden="false" customHeight="false" outlineLevel="0" collapsed="false">
      <c r="A76" s="32" t="s">
        <v>192</v>
      </c>
      <c r="B76" s="59" t="n">
        <v>0.0107481308342041</v>
      </c>
    </row>
    <row r="77" customFormat="false" ht="13.8" hidden="false" customHeight="false" outlineLevel="0" collapsed="false">
      <c r="A77" s="32" t="s">
        <v>193</v>
      </c>
      <c r="B77" s="59" t="n">
        <v>0.0107481308342041</v>
      </c>
    </row>
    <row r="78" customFormat="false" ht="13.8" hidden="false" customHeight="false" outlineLevel="0" collapsed="false">
      <c r="A78" s="32" t="s">
        <v>194</v>
      </c>
      <c r="B78" s="59" t="n">
        <v>0.0107481308342041</v>
      </c>
    </row>
    <row r="79" customFormat="false" ht="13.8" hidden="false" customHeight="false" outlineLevel="0" collapsed="false">
      <c r="A79" s="32" t="s">
        <v>195</v>
      </c>
      <c r="B79" s="59" t="n">
        <v>0.00853642160117294</v>
      </c>
    </row>
    <row r="80" customFormat="false" ht="13.8" hidden="false" customHeight="false" outlineLevel="0" collapsed="false">
      <c r="A80" s="32" t="s">
        <v>196</v>
      </c>
      <c r="B80" s="59" t="n">
        <v>0.00710086721779251</v>
      </c>
    </row>
    <row r="81" customFormat="false" ht="13.8" hidden="false" customHeight="false" outlineLevel="0" collapsed="false">
      <c r="A81" s="32" t="s">
        <v>197</v>
      </c>
      <c r="B81" s="59" t="n">
        <v>0.0112599465882138</v>
      </c>
    </row>
    <row r="82" customFormat="false" ht="13.8" hidden="false" customHeight="false" outlineLevel="0" collapsed="false">
      <c r="A82" s="32" t="s">
        <v>198</v>
      </c>
      <c r="B82" s="59" t="n">
        <v>0.0112599465882138</v>
      </c>
    </row>
    <row r="83" customFormat="false" ht="13.8" hidden="false" customHeight="false" outlineLevel="0" collapsed="false">
      <c r="A83" s="32" t="s">
        <v>199</v>
      </c>
      <c r="B83" s="59" t="n">
        <v>0.0112599465882138</v>
      </c>
    </row>
    <row r="84" customFormat="false" ht="13.8" hidden="false" customHeight="false" outlineLevel="0" collapsed="false">
      <c r="A84" s="32" t="s">
        <v>200</v>
      </c>
      <c r="B84" s="59" t="n">
        <v>0.0102363150801944</v>
      </c>
    </row>
    <row r="85" customFormat="false" ht="13.8" hidden="false" customHeight="false" outlineLevel="0" collapsed="false">
      <c r="A85" s="32" t="s">
        <v>201</v>
      </c>
      <c r="B85" s="59" t="n">
        <v>0.0112599465882138</v>
      </c>
    </row>
    <row r="86" customFormat="false" ht="13.8" hidden="false" customHeight="false" outlineLevel="0" collapsed="false">
      <c r="A86" s="32" t="s">
        <v>202</v>
      </c>
      <c r="B86" s="59" t="n">
        <v>0.0128685103865301</v>
      </c>
    </row>
    <row r="87" customFormat="false" ht="13.8" hidden="false" customHeight="false" outlineLevel="0" collapsed="false">
      <c r="A87" s="32" t="s">
        <v>203</v>
      </c>
      <c r="B87" s="59" t="n">
        <v>0.007502463023796</v>
      </c>
    </row>
    <row r="88" customFormat="false" ht="13.8" hidden="false" customHeight="false" outlineLevel="0" collapsed="false">
      <c r="A88" s="32" t="s">
        <v>204</v>
      </c>
      <c r="B88" s="59" t="n">
        <v>0.00818905206415551</v>
      </c>
    </row>
    <row r="89" customFormat="false" ht="13.8" hidden="false" customHeight="false" outlineLevel="0" collapsed="false">
      <c r="A89" s="32" t="s">
        <v>205</v>
      </c>
      <c r="B89" s="59" t="n">
        <v>0.00794819759168035</v>
      </c>
    </row>
    <row r="90" customFormat="false" ht="13.8" hidden="false" customHeight="false" outlineLevel="0" collapsed="false">
      <c r="A90" s="32" t="s">
        <v>206</v>
      </c>
      <c r="B90" s="59" t="n">
        <v>0.0112505711122869</v>
      </c>
    </row>
    <row r="91" customFormat="false" ht="13.8" hidden="false" customHeight="false" outlineLevel="0" collapsed="false">
      <c r="A91" s="32" t="s">
        <v>207</v>
      </c>
      <c r="B91" s="59" t="n">
        <v>0.0112505711122869</v>
      </c>
    </row>
    <row r="92" customFormat="false" ht="13.8" hidden="false" customHeight="false" outlineLevel="0" collapsed="false">
      <c r="A92" s="32" t="s">
        <v>208</v>
      </c>
      <c r="B92" s="59" t="n">
        <v>0.00900195596659333</v>
      </c>
    </row>
    <row r="93" customFormat="false" ht="13.8" hidden="false" customHeight="false" outlineLevel="0" collapsed="false">
      <c r="A93" s="32" t="s">
        <v>209</v>
      </c>
      <c r="B93" s="59" t="n">
        <v>0.00900195596659333</v>
      </c>
    </row>
    <row r="94" customFormat="false" ht="13.8" hidden="false" customHeight="false" outlineLevel="0" collapsed="false">
      <c r="A94" s="32" t="s">
        <v>210</v>
      </c>
      <c r="B94" s="59" t="n">
        <v>0.00900795727057106</v>
      </c>
    </row>
    <row r="95" customFormat="false" ht="13.8" hidden="false" customHeight="false" outlineLevel="0" collapsed="false">
      <c r="A95" s="32" t="s">
        <v>211</v>
      </c>
      <c r="B95" s="59" t="n">
        <v>0.0142081344961689</v>
      </c>
    </row>
    <row r="96" customFormat="false" ht="13.8" hidden="false" customHeight="false" outlineLevel="0" collapsed="false">
      <c r="A96" s="32" t="s">
        <v>212</v>
      </c>
      <c r="B96" s="59" t="n">
        <v>0.0102363150801944</v>
      </c>
    </row>
    <row r="97" customFormat="false" ht="13.8" hidden="false" customHeight="false" outlineLevel="0" collapsed="false">
      <c r="A97" s="32" t="s">
        <v>213</v>
      </c>
      <c r="B97" s="59" t="n">
        <v>0.0118525753560146</v>
      </c>
    </row>
    <row r="98" customFormat="false" ht="13.8" hidden="false" customHeight="false" outlineLevel="0" collapsed="false">
      <c r="A98" s="32"/>
    </row>
    <row r="99" customFormat="false" ht="13.8" hidden="false" customHeight="false" outlineLevel="0" collapsed="false">
      <c r="A99" s="32"/>
    </row>
    <row r="100" customFormat="false" ht="13.8" hidden="false" customHeight="false" outlineLevel="0" collapsed="false">
      <c r="A100" s="32"/>
    </row>
    <row r="101" customFormat="false" ht="13.8" hidden="false" customHeight="false" outlineLevel="0" collapsed="false">
      <c r="A101" s="32"/>
    </row>
    <row r="102" customFormat="false" ht="13.8" hidden="false" customHeight="false" outlineLevel="0" collapsed="false">
      <c r="A102" s="32"/>
    </row>
    <row r="103" customFormat="false" ht="13.8" hidden="false" customHeight="false" outlineLevel="0" collapsed="false">
      <c r="A103" s="32"/>
    </row>
    <row r="104" customFormat="false" ht="13.8" hidden="false" customHeight="false" outlineLevel="0" collapsed="false">
      <c r="A104" s="32"/>
    </row>
    <row r="105" customFormat="false" ht="13.8" hidden="false" customHeight="false" outlineLevel="0" collapsed="false">
      <c r="A105" s="32"/>
    </row>
    <row r="106" customFormat="false" ht="13.8" hidden="false" customHeight="false" outlineLevel="0" collapsed="false">
      <c r="A106" s="32"/>
    </row>
    <row r="107" customFormat="false" ht="13.8" hidden="false" customHeight="false" outlineLevel="0" collapsed="false">
      <c r="A107" s="32"/>
    </row>
    <row r="108" customFormat="false" ht="13.8" hidden="false" customHeight="false" outlineLevel="0" collapsed="false">
      <c r="A108" s="32"/>
    </row>
    <row r="109" customFormat="false" ht="13.8" hidden="false" customHeight="false" outlineLevel="0" collapsed="false">
      <c r="A109" s="32"/>
    </row>
    <row r="110" customFormat="false" ht="13.8" hidden="false" customHeight="false" outlineLevel="0" collapsed="false">
      <c r="A110" s="32"/>
    </row>
    <row r="111" customFormat="false" ht="13.8" hidden="false" customHeight="false" outlineLevel="0" collapsed="false">
      <c r="A111" s="32"/>
    </row>
    <row r="112" customFormat="false" ht="13.8" hidden="false" customHeight="false" outlineLevel="0" collapsed="false">
      <c r="A112" s="32"/>
    </row>
    <row r="113" customFormat="false" ht="13.8" hidden="false" customHeight="false" outlineLevel="0" collapsed="false">
      <c r="A113" s="32"/>
    </row>
    <row r="114" customFormat="false" ht="13.8" hidden="false" customHeight="false" outlineLevel="0" collapsed="false">
      <c r="A114" s="32"/>
    </row>
    <row r="115" customFormat="false" ht="13.8" hidden="false" customHeight="false" outlineLevel="0" collapsed="false">
      <c r="A115" s="32"/>
    </row>
    <row r="116" customFormat="false" ht="13.8" hidden="false" customHeight="false" outlineLevel="0" collapsed="false">
      <c r="A116" s="32"/>
    </row>
    <row r="117" customFormat="false" ht="13.8" hidden="false" customHeight="false" outlineLevel="0" collapsed="false">
      <c r="A117" s="32"/>
    </row>
    <row r="118" customFormat="false" ht="13.8" hidden="false" customHeight="false" outlineLevel="0" collapsed="false">
      <c r="A118" s="32"/>
    </row>
    <row r="119" customFormat="false" ht="13.8" hidden="false" customHeight="false" outlineLevel="0" collapsed="false">
      <c r="A119" s="32"/>
    </row>
    <row r="120" customFormat="false" ht="13.8" hidden="false" customHeight="false" outlineLevel="0" collapsed="false">
      <c r="A120" s="32"/>
    </row>
    <row r="121" customFormat="false" ht="13.8" hidden="false" customHeight="false" outlineLevel="0" collapsed="false">
      <c r="A121" s="32"/>
    </row>
    <row r="122" customFormat="false" ht="13.8" hidden="false" customHeight="false" outlineLevel="0" collapsed="false">
      <c r="A122" s="32"/>
    </row>
    <row r="123" customFormat="false" ht="13.8" hidden="false" customHeight="false" outlineLevel="0" collapsed="false">
      <c r="A123" s="32"/>
    </row>
    <row r="124" customFormat="false" ht="13.8" hidden="false" customHeight="false" outlineLevel="0" collapsed="false">
      <c r="A124" s="32"/>
    </row>
    <row r="125" customFormat="false" ht="13.8" hidden="false" customHeight="false" outlineLevel="0" collapsed="false">
      <c r="A125" s="32"/>
    </row>
    <row r="126" customFormat="false" ht="13.8" hidden="false" customHeight="false" outlineLevel="0" collapsed="false">
      <c r="A126" s="32"/>
    </row>
    <row r="127" customFormat="false" ht="13.8" hidden="false" customHeight="false" outlineLevel="0" collapsed="false">
      <c r="A127" s="32"/>
    </row>
    <row r="128" customFormat="false" ht="13.8" hidden="false" customHeight="false" outlineLevel="0" collapsed="false">
      <c r="A128" s="32"/>
    </row>
    <row r="129" customFormat="false" ht="13.8" hidden="false" customHeight="false" outlineLevel="0" collapsed="false">
      <c r="A129" s="32"/>
    </row>
    <row r="130" customFormat="false" ht="13.8" hidden="false" customHeight="false" outlineLevel="0" collapsed="false">
      <c r="A130" s="32"/>
    </row>
    <row r="131" customFormat="false" ht="13.8" hidden="false" customHeight="false" outlineLevel="0" collapsed="false">
      <c r="A131" s="32"/>
    </row>
    <row r="132" customFormat="false" ht="13.8" hidden="false" customHeight="false" outlineLevel="0" collapsed="false">
      <c r="A132" s="32"/>
    </row>
    <row r="133" customFormat="false" ht="13.8" hidden="false" customHeight="false" outlineLevel="0" collapsed="false">
      <c r="A133" s="32"/>
    </row>
    <row r="134" customFormat="false" ht="13.8" hidden="false" customHeight="false" outlineLevel="0" collapsed="false">
      <c r="A134" s="32"/>
    </row>
    <row r="135" customFormat="false" ht="13.8" hidden="false" customHeight="false" outlineLevel="0" collapsed="false">
      <c r="A135" s="32"/>
    </row>
    <row r="136" customFormat="false" ht="13.8" hidden="false" customHeight="false" outlineLevel="0" collapsed="false">
      <c r="A136" s="32"/>
    </row>
    <row r="137" customFormat="false" ht="13.8" hidden="false" customHeight="false" outlineLevel="0" collapsed="false">
      <c r="A137" s="32"/>
    </row>
    <row r="138" customFormat="false" ht="13.8" hidden="false" customHeight="false" outlineLevel="0" collapsed="false">
      <c r="A138" s="32"/>
    </row>
    <row r="139" customFormat="false" ht="13.8" hidden="false" customHeight="false" outlineLevel="0" collapsed="false">
      <c r="A139" s="32"/>
    </row>
    <row r="140" customFormat="false" ht="13.8" hidden="false" customHeight="false" outlineLevel="0" collapsed="false">
      <c r="A140" s="32"/>
    </row>
    <row r="141" customFormat="false" ht="13.8" hidden="false" customHeight="false" outlineLevel="0" collapsed="false">
      <c r="A141" s="32"/>
    </row>
    <row r="142" customFormat="false" ht="13.8" hidden="false" customHeight="false" outlineLevel="0" collapsed="false">
      <c r="A142" s="32"/>
    </row>
    <row r="143" customFormat="false" ht="13.8" hidden="false" customHeight="false" outlineLevel="0" collapsed="false">
      <c r="A143" s="32"/>
    </row>
    <row r="144" customFormat="false" ht="13.8" hidden="false" customHeight="false" outlineLevel="0" collapsed="false">
      <c r="A144" s="32"/>
    </row>
    <row r="145" customFormat="false" ht="13.8" hidden="false" customHeight="false" outlineLevel="0" collapsed="false">
      <c r="A145" s="32"/>
    </row>
    <row r="146" customFormat="false" ht="13.8" hidden="false" customHeight="false" outlineLevel="0" collapsed="false">
      <c r="A146" s="32"/>
    </row>
    <row r="147" customFormat="false" ht="13.8" hidden="false" customHeight="false" outlineLevel="0" collapsed="false">
      <c r="A147" s="32"/>
    </row>
    <row r="148" customFormat="false" ht="13.8" hidden="false" customHeight="false" outlineLevel="0" collapsed="false">
      <c r="A148" s="32"/>
    </row>
    <row r="149" customFormat="false" ht="13.8" hidden="false" customHeight="false" outlineLevel="0" collapsed="false">
      <c r="A149" s="32"/>
    </row>
    <row r="150" customFormat="false" ht="13.8" hidden="false" customHeight="false" outlineLevel="0" collapsed="false">
      <c r="A150" s="32"/>
    </row>
    <row r="151" customFormat="false" ht="13.8" hidden="false" customHeight="false" outlineLevel="0" collapsed="false">
      <c r="A151" s="32"/>
    </row>
    <row r="152" customFormat="false" ht="13.8" hidden="false" customHeight="false" outlineLevel="0" collapsed="false">
      <c r="A152" s="32"/>
    </row>
    <row r="153" customFormat="false" ht="13.8" hidden="false" customHeight="false" outlineLevel="0" collapsed="false">
      <c r="A153" s="32"/>
    </row>
    <row r="154" customFormat="false" ht="13.8" hidden="false" customHeight="false" outlineLevel="0" collapsed="false">
      <c r="A154" s="32"/>
    </row>
    <row r="155" customFormat="false" ht="13.8" hidden="false" customHeight="false" outlineLevel="0" collapsed="false">
      <c r="A155" s="32"/>
    </row>
    <row r="156" customFormat="false" ht="13.8" hidden="false" customHeight="false" outlineLevel="0" collapsed="false">
      <c r="A156" s="32"/>
    </row>
    <row r="157" customFormat="false" ht="13.8" hidden="false" customHeight="false" outlineLevel="0" collapsed="false">
      <c r="A157" s="32"/>
    </row>
    <row r="158" customFormat="false" ht="13.8" hidden="false" customHeight="false" outlineLevel="0" collapsed="false">
      <c r="A158" s="32"/>
    </row>
    <row r="159" customFormat="false" ht="13.8" hidden="false" customHeight="false" outlineLevel="0" collapsed="false">
      <c r="A159" s="32"/>
    </row>
    <row r="160" customFormat="false" ht="13.8" hidden="false" customHeight="false" outlineLevel="0" collapsed="false">
      <c r="A160" s="32"/>
    </row>
    <row r="161" customFormat="false" ht="13.8" hidden="false" customHeight="false" outlineLevel="0" collapsed="false">
      <c r="A161" s="32"/>
    </row>
    <row r="162" customFormat="false" ht="13.8" hidden="false" customHeight="false" outlineLevel="0" collapsed="false">
      <c r="A162" s="32"/>
    </row>
    <row r="163" customFormat="false" ht="13.8" hidden="false" customHeight="false" outlineLevel="0" collapsed="false">
      <c r="A163" s="32"/>
    </row>
    <row r="164" customFormat="false" ht="13.8" hidden="false" customHeight="false" outlineLevel="0" collapsed="false">
      <c r="A164" s="32"/>
    </row>
    <row r="165" customFormat="false" ht="13.8" hidden="false" customHeight="false" outlineLevel="0" collapsed="false">
      <c r="A165" s="32"/>
    </row>
    <row r="166" customFormat="false" ht="13.8" hidden="false" customHeight="false" outlineLevel="0" collapsed="false">
      <c r="A166" s="32"/>
    </row>
    <row r="167" customFormat="false" ht="13.8" hidden="false" customHeight="false" outlineLevel="0" collapsed="false">
      <c r="A167" s="32"/>
    </row>
    <row r="168" customFormat="false" ht="13.8" hidden="false" customHeight="false" outlineLevel="0" collapsed="false">
      <c r="A168" s="32"/>
    </row>
    <row r="169" customFormat="false" ht="13.8" hidden="false" customHeight="false" outlineLevel="0" collapsed="false">
      <c r="A169" s="32"/>
    </row>
  </sheetData>
  <autoFilter ref="A1:N169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O1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RowHeight="13.8"/>
  <cols>
    <col collapsed="false" hidden="false" max="1" min="1" style="0" width="19.9230769230769"/>
    <col collapsed="false" hidden="false" max="3" min="2" style="0" width="30.3157894736842"/>
    <col collapsed="false" hidden="false" max="1025" min="4" style="0" width="8.57085020242915"/>
  </cols>
  <sheetData>
    <row r="1" customFormat="false" ht="13.8" hidden="false" customHeight="false" outlineLevel="0" collapsed="false">
      <c r="A1" s="27" t="s">
        <v>119</v>
      </c>
      <c r="B1" s="27" t="s">
        <v>841</v>
      </c>
      <c r="O1" s="29" t="s">
        <v>224</v>
      </c>
    </row>
    <row r="2" customFormat="false" ht="13.8" hidden="false" customHeight="false" outlineLevel="0" collapsed="false">
      <c r="A2" s="31" t="s">
        <v>225</v>
      </c>
      <c r="B2" s="59" t="n">
        <v>0.00656830217645807</v>
      </c>
    </row>
    <row r="3" customFormat="false" ht="13.8" hidden="false" customHeight="false" outlineLevel="0" collapsed="false">
      <c r="A3" s="31" t="s">
        <v>226</v>
      </c>
      <c r="B3" s="59" t="n">
        <v>0.00643951193770399</v>
      </c>
    </row>
    <row r="4" customFormat="false" ht="13.8" hidden="false" customHeight="false" outlineLevel="0" collapsed="false">
      <c r="A4" s="31" t="s">
        <v>227</v>
      </c>
      <c r="B4" s="59" t="n">
        <v>0.00525464174116645</v>
      </c>
    </row>
    <row r="5" customFormat="false" ht="13.8" hidden="false" customHeight="false" outlineLevel="0" collapsed="false">
      <c r="A5" s="31" t="s">
        <v>228</v>
      </c>
      <c r="B5" s="59" t="n">
        <v>0.00656830217645807</v>
      </c>
    </row>
    <row r="6" customFormat="false" ht="13.8" hidden="false" customHeight="false" outlineLevel="0" collapsed="false">
      <c r="A6" s="31" t="s">
        <v>229</v>
      </c>
      <c r="B6" s="59" t="n">
        <v>0.00656830217645807</v>
      </c>
    </row>
    <row r="7" customFormat="false" ht="13.8" hidden="false" customHeight="false" outlineLevel="0" collapsed="false">
      <c r="A7" s="31" t="s">
        <v>230</v>
      </c>
      <c r="B7" s="59" t="n">
        <v>0.00656830217645807</v>
      </c>
    </row>
    <row r="8" customFormat="false" ht="13.8" hidden="false" customHeight="false" outlineLevel="0" collapsed="false">
      <c r="A8" s="31" t="s">
        <v>231</v>
      </c>
      <c r="B8" s="59" t="n">
        <v>0.00656830217645807</v>
      </c>
    </row>
    <row r="9" customFormat="false" ht="13.8" hidden="false" customHeight="false" outlineLevel="0" collapsed="false">
      <c r="A9" s="0" t="s">
        <v>232</v>
      </c>
      <c r="B9" s="59" t="n">
        <v>0.00656830217645807</v>
      </c>
    </row>
    <row r="10" customFormat="false" ht="13.8" hidden="false" customHeight="false" outlineLevel="0" collapsed="false">
      <c r="A10" s="0" t="s">
        <v>233</v>
      </c>
      <c r="B10" s="59" t="n">
        <v>0.00656830217645807</v>
      </c>
    </row>
    <row r="11" customFormat="false" ht="13.8" hidden="false" customHeight="false" outlineLevel="0" collapsed="false">
      <c r="A11" s="0" t="s">
        <v>234</v>
      </c>
      <c r="B11" s="59" t="n">
        <v>0.00656830217645807</v>
      </c>
    </row>
    <row r="12" customFormat="false" ht="13.8" hidden="false" customHeight="false" outlineLevel="0" collapsed="false">
      <c r="A12" s="0" t="s">
        <v>235</v>
      </c>
      <c r="B12" s="59" t="n">
        <v>0.00656830217645807</v>
      </c>
    </row>
    <row r="13" customFormat="false" ht="13.8" hidden="false" customHeight="false" outlineLevel="0" collapsed="false">
      <c r="A13" s="0" t="s">
        <v>236</v>
      </c>
      <c r="B13" s="59" t="n">
        <v>0.00656830217645807</v>
      </c>
    </row>
    <row r="14" customFormat="false" ht="13.8" hidden="false" customHeight="false" outlineLevel="0" collapsed="false">
      <c r="A14" s="0" t="s">
        <v>237</v>
      </c>
      <c r="B14" s="59" t="n">
        <v>0.00656830217645807</v>
      </c>
    </row>
    <row r="15" customFormat="false" ht="13.8" hidden="false" customHeight="false" outlineLevel="0" collapsed="false">
      <c r="A15" s="0" t="s">
        <v>238</v>
      </c>
      <c r="B15" s="59" t="n">
        <v>0.00643951193770399</v>
      </c>
    </row>
    <row r="16" customFormat="false" ht="13.8" hidden="false" customHeight="false" outlineLevel="0" collapsed="false">
      <c r="A16" s="0" t="s">
        <v>239</v>
      </c>
      <c r="B16" s="59" t="n">
        <v>0.00656830217645807</v>
      </c>
    </row>
    <row r="17" customFormat="false" ht="13.8" hidden="false" customHeight="false" outlineLevel="0" collapsed="false">
      <c r="A17" s="0" t="s">
        <v>240</v>
      </c>
      <c r="B17" s="59" t="n">
        <v>0.00656830217645807</v>
      </c>
    </row>
    <row r="18" customFormat="false" ht="13.8" hidden="false" customHeight="false" outlineLevel="0" collapsed="false">
      <c r="A18" s="0" t="s">
        <v>241</v>
      </c>
      <c r="B18" s="59" t="n">
        <v>0.00656830217645807</v>
      </c>
    </row>
    <row r="19" customFormat="false" ht="13.8" hidden="false" customHeight="false" outlineLevel="0" collapsed="false">
      <c r="A19" s="0" t="s">
        <v>242</v>
      </c>
      <c r="B19" s="59" t="n">
        <v>0.00656830217645807</v>
      </c>
    </row>
    <row r="20" customFormat="false" ht="13.8" hidden="false" customHeight="false" outlineLevel="0" collapsed="false">
      <c r="A20" s="0" t="s">
        <v>243</v>
      </c>
      <c r="B20" s="59" t="n">
        <v>0.00656830217645807</v>
      </c>
    </row>
    <row r="21" customFormat="false" ht="13.8" hidden="false" customHeight="false" outlineLevel="0" collapsed="false">
      <c r="A21" s="0" t="s">
        <v>244</v>
      </c>
      <c r="B21" s="59" t="n">
        <v>0.00643951193770399</v>
      </c>
    </row>
    <row r="22" customFormat="false" ht="13.8" hidden="false" customHeight="false" outlineLevel="0" collapsed="false">
      <c r="A22" s="0" t="s">
        <v>245</v>
      </c>
      <c r="B22" s="59" t="n">
        <v>0.00656830217645807</v>
      </c>
    </row>
    <row r="23" customFormat="false" ht="13.8" hidden="false" customHeight="false" outlineLevel="0" collapsed="false">
      <c r="A23" s="0" t="s">
        <v>246</v>
      </c>
      <c r="B23" s="59" t="n">
        <v>0.00656830217645807</v>
      </c>
    </row>
    <row r="24" customFormat="false" ht="13.8" hidden="false" customHeight="false" outlineLevel="0" collapsed="false">
      <c r="A24" s="0" t="s">
        <v>247</v>
      </c>
      <c r="B24" s="59" t="n">
        <v>0.00656830217645807</v>
      </c>
    </row>
    <row r="25" customFormat="false" ht="13.8" hidden="false" customHeight="false" outlineLevel="0" collapsed="false">
      <c r="A25" s="0" t="s">
        <v>248</v>
      </c>
      <c r="B25" s="59" t="n">
        <v>0.0112599465882138</v>
      </c>
    </row>
    <row r="26" customFormat="false" ht="13.8" hidden="false" customHeight="false" outlineLevel="0" collapsed="false">
      <c r="A26" s="0" t="s">
        <v>249</v>
      </c>
      <c r="B26" s="59" t="n">
        <v>0.0112599465882138</v>
      </c>
    </row>
    <row r="27" customFormat="false" ht="13.8" hidden="false" customHeight="false" outlineLevel="0" collapsed="false">
      <c r="A27" s="0" t="s">
        <v>250</v>
      </c>
      <c r="B27" s="59" t="n">
        <v>0.0112599465882138</v>
      </c>
    </row>
    <row r="28" customFormat="false" ht="13.8" hidden="false" customHeight="false" outlineLevel="0" collapsed="false">
      <c r="A28" s="0" t="s">
        <v>251</v>
      </c>
      <c r="B28" s="59" t="n">
        <v>0.0112599465882138</v>
      </c>
    </row>
    <row r="29" customFormat="false" ht="13.8" hidden="false" customHeight="false" outlineLevel="0" collapsed="false">
      <c r="A29" s="0" t="s">
        <v>252</v>
      </c>
      <c r="B29" s="59" t="n">
        <v>0.0102363150801944</v>
      </c>
    </row>
    <row r="30" customFormat="false" ht="13.8" hidden="false" customHeight="false" outlineLevel="0" collapsed="false">
      <c r="A30" s="0" t="s">
        <v>253</v>
      </c>
      <c r="B30" s="59" t="n">
        <v>0.0112599465882138</v>
      </c>
    </row>
    <row r="31" customFormat="false" ht="13.8" hidden="false" customHeight="false" outlineLevel="0" collapsed="false">
      <c r="A31" s="0" t="s">
        <v>254</v>
      </c>
      <c r="B31" s="59" t="n">
        <v>0.0102270177912932</v>
      </c>
    </row>
    <row r="32" customFormat="false" ht="13.8" hidden="false" customHeight="false" outlineLevel="0" collapsed="false">
      <c r="A32" s="0" t="s">
        <v>836</v>
      </c>
      <c r="B32" s="59" t="n">
        <v>0.00697930573649617</v>
      </c>
    </row>
    <row r="33" customFormat="false" ht="13.8" hidden="false" customHeight="false" outlineLevel="0" collapsed="false">
      <c r="A33" s="0" t="s">
        <v>255</v>
      </c>
      <c r="B33" s="59" t="n">
        <v>0.00900795727057106</v>
      </c>
    </row>
    <row r="34" customFormat="false" ht="13.8" hidden="false" customHeight="false" outlineLevel="0" collapsed="false">
      <c r="A34" s="0" t="s">
        <v>837</v>
      </c>
      <c r="B34" s="59" t="n">
        <v>0.00737551086564225</v>
      </c>
    </row>
    <row r="35" customFormat="false" ht="13.8" hidden="false" customHeight="false" outlineLevel="0" collapsed="false">
      <c r="A35" s="0" t="s">
        <v>256</v>
      </c>
      <c r="B35" s="59" t="n">
        <v>0.00900795727057106</v>
      </c>
    </row>
    <row r="36" customFormat="false" ht="13.8" hidden="false" customHeight="false" outlineLevel="0" collapsed="false">
      <c r="A36" s="0" t="s">
        <v>257</v>
      </c>
      <c r="B36" s="59" t="n">
        <v>0.00818905206415551</v>
      </c>
    </row>
    <row r="37" customFormat="false" ht="13.8" hidden="false" customHeight="false" outlineLevel="0" collapsed="false">
      <c r="A37" s="0" t="s">
        <v>258</v>
      </c>
      <c r="B37" s="59" t="n">
        <v>0.0112599465882138</v>
      </c>
    </row>
    <row r="38" customFormat="false" ht="13.8" hidden="false" customHeight="false" outlineLevel="0" collapsed="false">
      <c r="A38" s="0" t="s">
        <v>259</v>
      </c>
      <c r="B38" s="59" t="n">
        <v>0.0112599465882138</v>
      </c>
    </row>
    <row r="39" customFormat="false" ht="13.8" hidden="false" customHeight="false" outlineLevel="0" collapsed="false">
      <c r="A39" s="0" t="s">
        <v>260</v>
      </c>
      <c r="B39" s="59" t="n">
        <v>0.0112599465882138</v>
      </c>
    </row>
    <row r="40" customFormat="false" ht="13.8" hidden="false" customHeight="false" outlineLevel="0" collapsed="false">
      <c r="A40" s="0" t="s">
        <v>261</v>
      </c>
      <c r="B40" s="59" t="n">
        <v>0.00938328882351152</v>
      </c>
    </row>
    <row r="41" customFormat="false" ht="13.8" hidden="false" customHeight="false" outlineLevel="0" collapsed="false">
      <c r="A41" s="0" t="s">
        <v>262</v>
      </c>
      <c r="B41" s="59" t="n">
        <v>0.00938328882351152</v>
      </c>
    </row>
    <row r="42" customFormat="false" ht="13.8" hidden="false" customHeight="false" outlineLevel="0" collapsed="false">
      <c r="A42" s="0" t="s">
        <v>263</v>
      </c>
      <c r="B42" s="59" t="n">
        <v>0.0112599465882138</v>
      </c>
    </row>
    <row r="43" customFormat="false" ht="13.8" hidden="false" customHeight="false" outlineLevel="0" collapsed="false">
      <c r="A43" s="0" t="s">
        <v>264</v>
      </c>
      <c r="B43" s="59" t="n">
        <v>0.0112599465882138</v>
      </c>
    </row>
    <row r="44" customFormat="false" ht="13.8" hidden="false" customHeight="false" outlineLevel="0" collapsed="false">
      <c r="A44" s="0" t="s">
        <v>265</v>
      </c>
      <c r="B44" s="59" t="n">
        <v>0.0112599465882138</v>
      </c>
    </row>
    <row r="45" customFormat="false" ht="13.8" hidden="false" customHeight="false" outlineLevel="0" collapsed="false">
      <c r="A45" s="0" t="s">
        <v>266</v>
      </c>
      <c r="B45" s="59" t="n">
        <v>0.0112599465882138</v>
      </c>
    </row>
    <row r="46" customFormat="false" ht="13.8" hidden="false" customHeight="false" outlineLevel="0" collapsed="false">
      <c r="A46" s="0" t="s">
        <v>267</v>
      </c>
      <c r="B46" s="59" t="n">
        <v>0.0112599465882138</v>
      </c>
    </row>
    <row r="47" customFormat="false" ht="13.8" hidden="false" customHeight="false" outlineLevel="0" collapsed="false">
      <c r="A47" s="0" t="s">
        <v>268</v>
      </c>
      <c r="B47" s="59" t="n">
        <v>0.0112599465882138</v>
      </c>
    </row>
    <row r="48" customFormat="false" ht="13.8" hidden="false" customHeight="false" outlineLevel="0" collapsed="false">
      <c r="A48" s="0" t="s">
        <v>269</v>
      </c>
      <c r="B48" s="59" t="n">
        <v>0.00919179313323578</v>
      </c>
    </row>
    <row r="49" customFormat="false" ht="13.8" hidden="false" customHeight="false" outlineLevel="0" collapsed="false">
      <c r="A49" s="0" t="s">
        <v>270</v>
      </c>
      <c r="B49" s="59" t="n">
        <v>0.0112599465882138</v>
      </c>
    </row>
    <row r="50" customFormat="false" ht="13.8" hidden="false" customHeight="false" outlineLevel="0" collapsed="false">
      <c r="A50" s="0" t="s">
        <v>271</v>
      </c>
      <c r="B50" s="59" t="n">
        <v>0.0112599465882138</v>
      </c>
    </row>
    <row r="51" customFormat="false" ht="13.8" hidden="false" customHeight="false" outlineLevel="0" collapsed="false">
      <c r="A51" s="0" t="s">
        <v>272</v>
      </c>
      <c r="B51" s="59" t="n">
        <v>0.0112599465882138</v>
      </c>
    </row>
    <row r="52" customFormat="false" ht="13.8" hidden="false" customHeight="false" outlineLevel="0" collapsed="false">
      <c r="A52" s="0" t="s">
        <v>273</v>
      </c>
      <c r="B52" s="59" t="n">
        <v>0.0130929611490858</v>
      </c>
    </row>
    <row r="53" customFormat="false" ht="13.8" hidden="false" customHeight="false" outlineLevel="0" collapsed="false">
      <c r="A53" s="0" t="s">
        <v>274</v>
      </c>
      <c r="B53" s="59" t="n">
        <v>0.0112599465882138</v>
      </c>
    </row>
    <row r="54" customFormat="false" ht="13.8" hidden="false" customHeight="false" outlineLevel="0" collapsed="false">
      <c r="A54" s="0" t="s">
        <v>275</v>
      </c>
      <c r="B54" s="59" t="n">
        <v>0.0113736834224382</v>
      </c>
    </row>
    <row r="55" customFormat="false" ht="13.8" hidden="false" customHeight="false" outlineLevel="0" collapsed="false">
      <c r="A55" s="0" t="s">
        <v>276</v>
      </c>
      <c r="B55" s="59" t="n">
        <v>0.0112599465882138</v>
      </c>
    </row>
    <row r="56" customFormat="false" ht="13.8" hidden="false" customHeight="false" outlineLevel="0" collapsed="false">
      <c r="A56" s="0" t="s">
        <v>277</v>
      </c>
      <c r="B56" s="59" t="n">
        <v>0.0112599465882138</v>
      </c>
    </row>
    <row r="57" customFormat="false" ht="13.8" hidden="false" customHeight="false" outlineLevel="0" collapsed="false">
      <c r="A57" s="0" t="s">
        <v>278</v>
      </c>
      <c r="B57" s="59" t="n">
        <v>0.00912968642287608</v>
      </c>
    </row>
    <row r="58" customFormat="false" ht="13.8" hidden="false" customHeight="false" outlineLevel="0" collapsed="false">
      <c r="A58" s="0" t="s">
        <v>279</v>
      </c>
      <c r="B58" s="59" t="n">
        <v>0.0135119359058566</v>
      </c>
    </row>
    <row r="59" customFormat="false" ht="13.8" hidden="false" customHeight="false" outlineLevel="0" collapsed="false">
      <c r="A59" s="0" t="s">
        <v>280</v>
      </c>
      <c r="B59" s="59" t="n">
        <v>0.0112599465882138</v>
      </c>
    </row>
    <row r="60" customFormat="false" ht="13.8" hidden="false" customHeight="false" outlineLevel="0" collapsed="false">
      <c r="A60" s="0" t="s">
        <v>281</v>
      </c>
      <c r="B60" s="59" t="n">
        <v>0.00900795727057106</v>
      </c>
    </row>
    <row r="61" customFormat="false" ht="13.8" hidden="false" customHeight="false" outlineLevel="0" collapsed="false">
      <c r="A61" s="0" t="s">
        <v>282</v>
      </c>
      <c r="B61" s="59" t="n">
        <v>0.0112599465882138</v>
      </c>
    </row>
    <row r="62" customFormat="false" ht="13.8" hidden="false" customHeight="false" outlineLevel="0" collapsed="false">
      <c r="A62" s="0" t="s">
        <v>283</v>
      </c>
      <c r="B62" s="59" t="n">
        <v>0.0112599465882138</v>
      </c>
    </row>
    <row r="63" customFormat="false" ht="13.8" hidden="false" customHeight="false" outlineLevel="0" collapsed="false">
      <c r="A63" s="0" t="s">
        <v>284</v>
      </c>
      <c r="B63" s="59" t="n">
        <v>0.0112599465882138</v>
      </c>
    </row>
    <row r="64" customFormat="false" ht="13.8" hidden="false" customHeight="false" outlineLevel="0" collapsed="false">
      <c r="A64" s="0" t="s">
        <v>285</v>
      </c>
      <c r="B64" s="59" t="n">
        <v>0.0135119359058566</v>
      </c>
    </row>
    <row r="65" customFormat="false" ht="13.8" hidden="false" customHeight="false" outlineLevel="0" collapsed="false">
      <c r="A65" s="0" t="s">
        <v>286</v>
      </c>
      <c r="B65" s="59" t="n">
        <v>0.0112599465882138</v>
      </c>
    </row>
    <row r="66" customFormat="false" ht="13.8" hidden="false" customHeight="false" outlineLevel="0" collapsed="false">
      <c r="A66" s="0" t="s">
        <v>287</v>
      </c>
      <c r="B66" s="59" t="n">
        <v>0.0135119359058566</v>
      </c>
    </row>
    <row r="67" customFormat="false" ht="13.8" hidden="false" customHeight="false" outlineLevel="0" collapsed="false">
      <c r="A67" s="0" t="s">
        <v>288</v>
      </c>
      <c r="B67" s="59" t="n">
        <v>0.0112599465882138</v>
      </c>
    </row>
    <row r="68" customFormat="false" ht="13.8" hidden="false" customHeight="false" outlineLevel="0" collapsed="false">
      <c r="A68" s="0" t="s">
        <v>289</v>
      </c>
      <c r="B68" s="59" t="n">
        <v>0.0112599465882138</v>
      </c>
    </row>
    <row r="69" customFormat="false" ht="13.8" hidden="false" customHeight="false" outlineLevel="0" collapsed="false">
      <c r="A69" s="0" t="s">
        <v>290</v>
      </c>
      <c r="B69" s="59" t="n">
        <v>0.0112599465882138</v>
      </c>
    </row>
    <row r="70" customFormat="false" ht="13.8" hidden="false" customHeight="false" outlineLevel="0" collapsed="false">
      <c r="A70" s="0" t="s">
        <v>291</v>
      </c>
      <c r="B70" s="59" t="n">
        <v>0.0135119359058566</v>
      </c>
    </row>
    <row r="71" customFormat="false" ht="13.8" hidden="false" customHeight="false" outlineLevel="0" collapsed="false">
      <c r="A71" s="0" t="s">
        <v>292</v>
      </c>
      <c r="B71" s="59" t="n">
        <v>0.0112599465882138</v>
      </c>
    </row>
    <row r="72" customFormat="false" ht="13.8" hidden="false" customHeight="false" outlineLevel="0" collapsed="false">
      <c r="A72" s="0" t="s">
        <v>293</v>
      </c>
      <c r="B72" s="59" t="n">
        <v>0.00900795727057106</v>
      </c>
    </row>
    <row r="73" customFormat="false" ht="13.8" hidden="false" customHeight="false" outlineLevel="0" collapsed="false">
      <c r="A73" s="0" t="s">
        <v>294</v>
      </c>
      <c r="B73" s="59" t="n">
        <v>0.0112599465882138</v>
      </c>
    </row>
    <row r="74" customFormat="false" ht="13.8" hidden="false" customHeight="false" outlineLevel="0" collapsed="false">
      <c r="A74" s="0" t="s">
        <v>295</v>
      </c>
      <c r="B74" s="59" t="n">
        <v>0.0112599465882138</v>
      </c>
    </row>
    <row r="75" customFormat="false" ht="13.8" hidden="false" customHeight="false" outlineLevel="0" collapsed="false">
      <c r="A75" s="0" t="s">
        <v>296</v>
      </c>
      <c r="B75" s="59" t="n">
        <v>0.0139093457854406</v>
      </c>
    </row>
    <row r="76" customFormat="false" ht="13.8" hidden="false" customHeight="false" outlineLevel="0" collapsed="false">
      <c r="A76" s="0" t="s">
        <v>297</v>
      </c>
      <c r="B76" s="59" t="n">
        <v>0.0098524532646871</v>
      </c>
    </row>
    <row r="77" customFormat="false" ht="13.8" hidden="false" customHeight="false" outlineLevel="0" collapsed="false">
      <c r="A77" s="0" t="s">
        <v>298</v>
      </c>
      <c r="B77" s="59" t="n">
        <v>0.0101050802714739</v>
      </c>
    </row>
    <row r="78" customFormat="false" ht="13.8" hidden="false" customHeight="false" outlineLevel="0" collapsed="false">
      <c r="A78" s="0" t="s">
        <v>299</v>
      </c>
      <c r="B78" s="59" t="n">
        <v>0.0098524532646871</v>
      </c>
    </row>
    <row r="79" customFormat="false" ht="13.8" hidden="false" customHeight="false" outlineLevel="0" collapsed="false">
      <c r="A79" s="0" t="s">
        <v>300</v>
      </c>
      <c r="B79" s="59" t="n">
        <v>0.0123155665808589</v>
      </c>
    </row>
    <row r="80" customFormat="false" ht="13.8" hidden="false" customHeight="false" outlineLevel="0" collapsed="false">
      <c r="A80" s="0" t="s">
        <v>301</v>
      </c>
      <c r="B80" s="59" t="n">
        <v>0.0101050802714739</v>
      </c>
    </row>
    <row r="81" customFormat="false" ht="13.8" hidden="false" customHeight="false" outlineLevel="0" collapsed="false">
      <c r="A81" s="0" t="s">
        <v>302</v>
      </c>
      <c r="B81" s="59" t="n">
        <v>0.0102310002748568</v>
      </c>
    </row>
    <row r="82" customFormat="false" ht="13.8" hidden="false" customHeight="false" outlineLevel="0" collapsed="false">
      <c r="A82" s="0" t="s">
        <v>303</v>
      </c>
      <c r="B82" s="59" t="n">
        <v>0.00917930428386997</v>
      </c>
    </row>
    <row r="83" customFormat="false" ht="13.8" hidden="false" customHeight="false" outlineLevel="0" collapsed="false">
      <c r="A83" s="0" t="s">
        <v>304</v>
      </c>
      <c r="B83" s="59" t="n">
        <v>0.00917930428386997</v>
      </c>
    </row>
    <row r="84" customFormat="false" ht="13.8" hidden="false" customHeight="false" outlineLevel="0" collapsed="false">
      <c r="A84" s="0" t="s">
        <v>305</v>
      </c>
      <c r="B84" s="59" t="n">
        <v>0.00788196261174968</v>
      </c>
    </row>
    <row r="85" customFormat="false" ht="13.8" hidden="false" customHeight="false" outlineLevel="0" collapsed="false">
      <c r="A85" s="0" t="s">
        <v>306</v>
      </c>
      <c r="B85" s="59" t="n">
        <v>0.0138766947389959</v>
      </c>
    </row>
    <row r="86" customFormat="false" ht="13.8" hidden="false" customHeight="false" outlineLevel="0" collapsed="false">
      <c r="A86" s="0" t="s">
        <v>307</v>
      </c>
      <c r="B86" s="59" t="n">
        <v>0.0134965113214892</v>
      </c>
    </row>
    <row r="87" customFormat="false" ht="13.8" hidden="false" customHeight="false" outlineLevel="0" collapsed="false">
      <c r="A87" s="0" t="s">
        <v>308</v>
      </c>
      <c r="B87" s="59" t="n">
        <v>0.00887608402224063</v>
      </c>
    </row>
    <row r="88" customFormat="false" ht="13.8" hidden="false" customHeight="false" outlineLevel="0" collapsed="false">
      <c r="A88" s="0" t="s">
        <v>309</v>
      </c>
      <c r="B88" s="59" t="n">
        <v>0.00899767421432612</v>
      </c>
    </row>
    <row r="89" customFormat="false" ht="13.8" hidden="false" customHeight="false" outlineLevel="0" collapsed="false">
      <c r="A89" s="0" t="s">
        <v>310</v>
      </c>
      <c r="B89" s="59" t="n">
        <v>0.00899767421432612</v>
      </c>
    </row>
    <row r="90" customFormat="false" ht="13.8" hidden="false" customHeight="false" outlineLevel="0" collapsed="false">
      <c r="A90" s="0" t="s">
        <v>311</v>
      </c>
      <c r="B90" s="59" t="n">
        <v>0.00793486168968089</v>
      </c>
    </row>
    <row r="91" customFormat="false" ht="13.8" hidden="false" customHeight="false" outlineLevel="0" collapsed="false">
      <c r="A91" s="0" t="s">
        <v>312</v>
      </c>
      <c r="B91" s="59" t="n">
        <v>0.0101050802714739</v>
      </c>
    </row>
    <row r="92" customFormat="false" ht="13.8" hidden="false" customHeight="false" outlineLevel="0" collapsed="false">
      <c r="A92" s="0" t="s">
        <v>313</v>
      </c>
      <c r="B92" s="59" t="n">
        <v>0.0098524532646871</v>
      </c>
    </row>
    <row r="93" customFormat="false" ht="13.8" hidden="false" customHeight="false" outlineLevel="0" collapsed="false">
      <c r="A93" s="0" t="s">
        <v>314</v>
      </c>
      <c r="B93" s="59" t="n">
        <v>0.0098524532646871</v>
      </c>
    </row>
    <row r="94" customFormat="false" ht="13.8" hidden="false" customHeight="false" outlineLevel="0" collapsed="false">
      <c r="A94" s="0" t="s">
        <v>315</v>
      </c>
      <c r="B94" s="59" t="n">
        <v>0.0098524532646871</v>
      </c>
    </row>
    <row r="95" customFormat="false" ht="13.8" hidden="false" customHeight="false" outlineLevel="0" collapsed="false">
      <c r="A95" s="0" t="s">
        <v>316</v>
      </c>
      <c r="B95" s="59" t="n">
        <v>0.00920790024737112</v>
      </c>
    </row>
    <row r="96" customFormat="false" ht="13.8" hidden="false" customHeight="false" outlineLevel="0" collapsed="false">
      <c r="A96" s="0" t="s">
        <v>317</v>
      </c>
      <c r="B96" s="59" t="n">
        <v>0.00769222115655467</v>
      </c>
    </row>
    <row r="97" customFormat="false" ht="13.8" hidden="false" customHeight="false" outlineLevel="0" collapsed="false">
      <c r="A97" s="0" t="s">
        <v>318</v>
      </c>
      <c r="B97" s="59" t="n">
        <v>0.0109980873652321</v>
      </c>
    </row>
    <row r="98" customFormat="false" ht="13.8" hidden="false" customHeight="false" outlineLevel="0" collapsed="false">
      <c r="A98" s="0" t="s">
        <v>319</v>
      </c>
      <c r="B98" s="59" t="n">
        <v>0.0102808207979344</v>
      </c>
    </row>
    <row r="99" customFormat="false" ht="13.8" hidden="false" customHeight="false" outlineLevel="0" collapsed="false">
      <c r="A99" s="0" t="s">
        <v>320</v>
      </c>
      <c r="B99" s="59" t="n">
        <v>0.0109980873652321</v>
      </c>
    </row>
    <row r="100" customFormat="false" ht="13.8" hidden="false" customHeight="false" outlineLevel="0" collapsed="false">
      <c r="A100" s="0" t="s">
        <v>321</v>
      </c>
      <c r="B100" s="59" t="n">
        <v>0.00902514802872101</v>
      </c>
    </row>
    <row r="101" customFormat="false" ht="13.8" hidden="false" customHeight="false" outlineLevel="0" collapsed="false">
      <c r="A101" s="0" t="s">
        <v>322</v>
      </c>
      <c r="B101" s="59" t="n">
        <v>0.00902514802872101</v>
      </c>
    </row>
    <row r="102" customFormat="false" ht="13.8" hidden="false" customHeight="false" outlineLevel="0" collapsed="false">
      <c r="A102" s="0" t="s">
        <v>323</v>
      </c>
      <c r="B102" s="59" t="n">
        <v>0.00895677569517009</v>
      </c>
    </row>
    <row r="103" customFormat="false" ht="13.8" hidden="false" customHeight="false" outlineLevel="0" collapsed="false">
      <c r="A103" s="0" t="s">
        <v>324</v>
      </c>
      <c r="B103" s="59" t="n">
        <v>0.0102808207979344</v>
      </c>
    </row>
    <row r="104" customFormat="false" ht="13.8" hidden="false" customHeight="false" outlineLevel="0" collapsed="false">
      <c r="A104" s="0" t="s">
        <v>325</v>
      </c>
      <c r="B104" s="59" t="n">
        <v>0.00853642160117294</v>
      </c>
    </row>
    <row r="105" customFormat="false" ht="13.8" hidden="false" customHeight="false" outlineLevel="0" collapsed="false">
      <c r="A105" s="0" t="s">
        <v>326</v>
      </c>
      <c r="B105" s="59" t="n">
        <v>0.0112599465882138</v>
      </c>
    </row>
    <row r="106" customFormat="false" ht="13.8" hidden="false" customHeight="false" outlineLevel="0" collapsed="false">
      <c r="A106" s="0" t="s">
        <v>327</v>
      </c>
      <c r="B106" s="59" t="n">
        <v>0.0112599465882138</v>
      </c>
    </row>
    <row r="107" customFormat="false" ht="13.8" hidden="false" customHeight="false" outlineLevel="0" collapsed="false">
      <c r="A107" s="0" t="s">
        <v>328</v>
      </c>
      <c r="B107" s="59" t="n">
        <v>0.0112599465882138</v>
      </c>
    </row>
    <row r="108" customFormat="false" ht="13.8" hidden="false" customHeight="false" outlineLevel="0" collapsed="false">
      <c r="A108" s="0" t="s">
        <v>329</v>
      </c>
      <c r="B108" s="59" t="n">
        <v>0.0112599465882138</v>
      </c>
    </row>
    <row r="109" customFormat="false" ht="13.8" hidden="false" customHeight="false" outlineLevel="0" collapsed="false">
      <c r="A109" s="0" t="s">
        <v>330</v>
      </c>
      <c r="B109" s="59" t="n">
        <v>0.0112599465882138</v>
      </c>
    </row>
    <row r="110" customFormat="false" ht="13.8" hidden="false" customHeight="false" outlineLevel="0" collapsed="false">
      <c r="A110" s="0" t="s">
        <v>331</v>
      </c>
      <c r="B110" s="59" t="n">
        <v>0.0112599465882138</v>
      </c>
    </row>
    <row r="111" customFormat="false" ht="13.8" hidden="false" customHeight="false" outlineLevel="0" collapsed="false">
      <c r="A111" s="0" t="s">
        <v>332</v>
      </c>
      <c r="B111" s="59" t="n">
        <v>0.007502463023796</v>
      </c>
    </row>
    <row r="112" customFormat="false" ht="13.8" hidden="false" customHeight="false" outlineLevel="0" collapsed="false">
      <c r="A112" s="0" t="s">
        <v>333</v>
      </c>
      <c r="B112" s="59" t="n">
        <v>0.00794819759168035</v>
      </c>
    </row>
    <row r="113" customFormat="false" ht="13.8" hidden="false" customHeight="false" outlineLevel="0" collapsed="false">
      <c r="A113" s="0" t="s">
        <v>334</v>
      </c>
      <c r="B113" s="59" t="n">
        <v>0.0112505711122869</v>
      </c>
    </row>
    <row r="114" customFormat="false" ht="13.8" hidden="false" customHeight="false" outlineLevel="0" collapsed="false">
      <c r="A114" s="0" t="s">
        <v>335</v>
      </c>
      <c r="B114" s="59" t="n">
        <v>0.0112505711122869</v>
      </c>
    </row>
    <row r="115" customFormat="false" ht="13.8" hidden="false" customHeight="false" outlineLevel="0" collapsed="false">
      <c r="A115" s="0" t="s">
        <v>336</v>
      </c>
      <c r="B115" s="59" t="n">
        <v>0.011499519919878</v>
      </c>
    </row>
    <row r="116" customFormat="false" ht="13.8" hidden="false" customHeight="false" outlineLevel="0" collapsed="false">
      <c r="A116" s="0" t="s">
        <v>337</v>
      </c>
      <c r="B116" s="59" t="n">
        <v>0.00900195596659333</v>
      </c>
    </row>
    <row r="117" customFormat="false" ht="13.8" hidden="false" customHeight="false" outlineLevel="0" collapsed="false">
      <c r="A117" s="0" t="s">
        <v>338</v>
      </c>
      <c r="B117" s="59" t="n">
        <v>0.00900195596659333</v>
      </c>
    </row>
    <row r="118" customFormat="false" ht="13.8" hidden="false" customHeight="false" outlineLevel="0" collapsed="false">
      <c r="A118" s="0" t="s">
        <v>339</v>
      </c>
      <c r="B118" s="59" t="n">
        <v>0.0142081344961689</v>
      </c>
    </row>
    <row r="119" customFormat="false" ht="13.8" hidden="false" customHeight="false" outlineLevel="0" collapsed="false">
      <c r="A119" s="0" t="s">
        <v>340</v>
      </c>
      <c r="B119" s="59" t="n">
        <v>0.0102363150801944</v>
      </c>
    </row>
    <row r="120" customFormat="false" ht="13.8" hidden="false" customHeight="false" outlineLevel="0" collapsed="false">
      <c r="A120" s="0" t="s">
        <v>341</v>
      </c>
      <c r="B120" s="59" t="n">
        <v>0.0118525753560146</v>
      </c>
    </row>
  </sheetData>
  <hyperlinks>
    <hyperlink ref="O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7" colorId="64" zoomScale="100" zoomScaleNormal="100" zoomScalePageLayoutView="100" workbookViewId="0">
      <selection pane="topLeft" activeCell="B34" activeCellId="0" sqref="B34"/>
    </sheetView>
  </sheetViews>
  <sheetFormatPr defaultRowHeight="13.8"/>
  <cols>
    <col collapsed="false" hidden="false" max="1" min="1" style="0" width="20.1376518218623"/>
    <col collapsed="false" hidden="false" max="3" min="2" style="0" width="34.17004048583"/>
    <col collapsed="false" hidden="false" max="1025" min="4" style="0" width="8.57085020242915"/>
  </cols>
  <sheetData>
    <row r="1" customFormat="false" ht="14.95" hidden="false" customHeight="false" outlineLevel="0" collapsed="false">
      <c r="A1" s="27" t="s">
        <v>119</v>
      </c>
      <c r="B1" s="27" t="s">
        <v>842</v>
      </c>
      <c r="G1" s="0" t="s">
        <v>843</v>
      </c>
      <c r="N1" s="29" t="s">
        <v>224</v>
      </c>
    </row>
    <row r="2" customFormat="false" ht="13.8" hidden="false" customHeight="false" outlineLevel="0" collapsed="false">
      <c r="A2" s="61" t="n">
        <v>1</v>
      </c>
      <c r="B2" s="54" t="n">
        <v>0.58</v>
      </c>
      <c r="G2" s="0" t="s">
        <v>844</v>
      </c>
    </row>
    <row r="3" customFormat="false" ht="13.8" hidden="false" customHeight="false" outlineLevel="0" collapsed="false">
      <c r="A3" s="61" t="n">
        <v>2</v>
      </c>
      <c r="B3" s="54" t="n">
        <v>0.59</v>
      </c>
      <c r="G3" s="0" t="s">
        <v>845</v>
      </c>
    </row>
    <row r="4" customFormat="false" ht="13.8" hidden="false" customHeight="false" outlineLevel="0" collapsed="false">
      <c r="A4" s="61" t="n">
        <v>3</v>
      </c>
      <c r="B4" s="54" t="n">
        <v>0.6</v>
      </c>
    </row>
    <row r="5" customFormat="false" ht="13.8" hidden="false" customHeight="false" outlineLevel="0" collapsed="false">
      <c r="A5" s="61" t="n">
        <v>4</v>
      </c>
      <c r="B5" s="54" t="n">
        <v>0.61</v>
      </c>
    </row>
    <row r="6" customFormat="false" ht="13.8" hidden="false" customHeight="false" outlineLevel="0" collapsed="false">
      <c r="A6" s="61" t="n">
        <v>5</v>
      </c>
      <c r="B6" s="54" t="n">
        <v>0.62</v>
      </c>
    </row>
    <row r="7" customFormat="false" ht="13.8" hidden="false" customHeight="false" outlineLevel="0" collapsed="false">
      <c r="A7" s="61" t="n">
        <v>6</v>
      </c>
      <c r="B7" s="54" t="n">
        <v>0.63</v>
      </c>
    </row>
    <row r="8" customFormat="false" ht="13.8" hidden="false" customHeight="false" outlineLevel="0" collapsed="false">
      <c r="A8" s="61" t="n">
        <v>7</v>
      </c>
      <c r="B8" s="54" t="n">
        <v>0.64</v>
      </c>
    </row>
    <row r="9" customFormat="false" ht="13.8" hidden="false" customHeight="false" outlineLevel="0" collapsed="false">
      <c r="A9" s="61" t="n">
        <v>8</v>
      </c>
      <c r="B9" s="54" t="n">
        <v>0.65</v>
      </c>
    </row>
    <row r="10" customFormat="false" ht="13.8" hidden="false" customHeight="false" outlineLevel="0" collapsed="false">
      <c r="A10" s="61" t="n">
        <v>9</v>
      </c>
      <c r="B10" s="54" t="n">
        <v>0.66</v>
      </c>
    </row>
    <row r="11" customFormat="false" ht="13.8" hidden="false" customHeight="false" outlineLevel="0" collapsed="false">
      <c r="A11" s="61" t="n">
        <v>10</v>
      </c>
      <c r="B11" s="54" t="n">
        <v>0.67</v>
      </c>
    </row>
    <row r="12" customFormat="false" ht="13.8" hidden="false" customHeight="false" outlineLevel="0" collapsed="false">
      <c r="A12" s="61" t="n">
        <v>11</v>
      </c>
      <c r="B12" s="54" t="n">
        <v>0.68</v>
      </c>
    </row>
    <row r="13" customFormat="false" ht="13.8" hidden="false" customHeight="false" outlineLevel="0" collapsed="false">
      <c r="A13" s="61" t="n">
        <v>12</v>
      </c>
      <c r="B13" s="54" t="n">
        <v>0.69</v>
      </c>
    </row>
    <row r="14" customFormat="false" ht="13.8" hidden="false" customHeight="false" outlineLevel="0" collapsed="false">
      <c r="A14" s="61" t="n">
        <v>13</v>
      </c>
      <c r="B14" s="54" t="n">
        <v>0.7</v>
      </c>
    </row>
    <row r="15" customFormat="false" ht="13.8" hidden="false" customHeight="false" outlineLevel="0" collapsed="false">
      <c r="A15" s="61" t="n">
        <v>14</v>
      </c>
      <c r="B15" s="54" t="n">
        <v>0.71</v>
      </c>
    </row>
    <row r="16" customFormat="false" ht="13.8" hidden="false" customHeight="false" outlineLevel="0" collapsed="false">
      <c r="A16" s="61" t="n">
        <v>15</v>
      </c>
      <c r="B16" s="54" t="n">
        <v>0.72</v>
      </c>
    </row>
    <row r="17" customFormat="false" ht="13.8" hidden="false" customHeight="false" outlineLevel="0" collapsed="false">
      <c r="A17" s="61" t="n">
        <v>16</v>
      </c>
      <c r="B17" s="54" t="n">
        <v>0.73</v>
      </c>
    </row>
    <row r="18" customFormat="false" ht="13.8" hidden="false" customHeight="false" outlineLevel="0" collapsed="false">
      <c r="A18" s="61" t="n">
        <v>17</v>
      </c>
      <c r="B18" s="54" t="n">
        <v>0.74</v>
      </c>
    </row>
    <row r="19" customFormat="false" ht="13.8" hidden="false" customHeight="false" outlineLevel="0" collapsed="false">
      <c r="A19" s="61" t="n">
        <v>18</v>
      </c>
      <c r="B19" s="54" t="n">
        <v>0.75</v>
      </c>
    </row>
    <row r="20" customFormat="false" ht="13.8" hidden="false" customHeight="false" outlineLevel="0" collapsed="false">
      <c r="A20" s="61" t="n">
        <v>19</v>
      </c>
      <c r="B20" s="54" t="n">
        <v>0.76</v>
      </c>
    </row>
    <row r="21" customFormat="false" ht="13.8" hidden="false" customHeight="false" outlineLevel="0" collapsed="false">
      <c r="A21" s="61" t="n">
        <v>20</v>
      </c>
      <c r="B21" s="54" t="n">
        <v>0.77</v>
      </c>
    </row>
    <row r="22" customFormat="false" ht="13.8" hidden="false" customHeight="false" outlineLevel="0" collapsed="false">
      <c r="A22" s="61" t="n">
        <v>21</v>
      </c>
      <c r="B22" s="54" t="n">
        <v>0.78</v>
      </c>
    </row>
    <row r="23" customFormat="false" ht="13.8" hidden="false" customHeight="false" outlineLevel="0" collapsed="false">
      <c r="A23" s="61" t="n">
        <v>22</v>
      </c>
      <c r="B23" s="54" t="n">
        <v>0.79</v>
      </c>
    </row>
    <row r="24" customFormat="false" ht="13.8" hidden="false" customHeight="false" outlineLevel="0" collapsed="false">
      <c r="A24" s="61" t="n">
        <v>23</v>
      </c>
      <c r="B24" s="54" t="n">
        <v>0.8</v>
      </c>
    </row>
    <row r="25" customFormat="false" ht="13.8" hidden="false" customHeight="false" outlineLevel="0" collapsed="false">
      <c r="A25" s="61" t="n">
        <v>24</v>
      </c>
      <c r="B25" s="54" t="n">
        <v>0.81</v>
      </c>
    </row>
    <row r="26" customFormat="false" ht="13.8" hidden="false" customHeight="false" outlineLevel="0" collapsed="false">
      <c r="A26" s="61" t="n">
        <v>25</v>
      </c>
      <c r="B26" s="54" t="n">
        <v>0.82</v>
      </c>
    </row>
    <row r="27" customFormat="false" ht="13.8" hidden="false" customHeight="false" outlineLevel="0" collapsed="false">
      <c r="A27" s="61" t="n">
        <v>26</v>
      </c>
      <c r="B27" s="54" t="n">
        <v>0.83</v>
      </c>
    </row>
    <row r="28" customFormat="false" ht="13.8" hidden="false" customHeight="false" outlineLevel="0" collapsed="false">
      <c r="A28" s="61" t="n">
        <v>27</v>
      </c>
      <c r="B28" s="54" t="n">
        <v>0.84</v>
      </c>
    </row>
    <row r="29" customFormat="false" ht="13.8" hidden="false" customHeight="false" outlineLevel="0" collapsed="false">
      <c r="A29" s="61" t="n">
        <v>28</v>
      </c>
      <c r="B29" s="54" t="n">
        <v>0.85</v>
      </c>
    </row>
    <row r="30" customFormat="false" ht="13.8" hidden="false" customHeight="false" outlineLevel="0" collapsed="false">
      <c r="A30" s="61" t="n">
        <v>29</v>
      </c>
      <c r="B30" s="54" t="n">
        <v>0.86</v>
      </c>
    </row>
    <row r="31" customFormat="false" ht="13.8" hidden="false" customHeight="false" outlineLevel="0" collapsed="false">
      <c r="A31" s="61" t="n">
        <v>30</v>
      </c>
      <c r="B31" s="54" t="n">
        <v>0.87</v>
      </c>
    </row>
    <row r="32" customFormat="false" ht="13.8" hidden="false" customHeight="false" outlineLevel="0" collapsed="false">
      <c r="A32" s="61" t="n">
        <v>31</v>
      </c>
      <c r="B32" s="54" t="n">
        <v>0.88</v>
      </c>
    </row>
    <row r="33" customFormat="false" ht="13.8" hidden="false" customHeight="false" outlineLevel="0" collapsed="false">
      <c r="A33" s="61" t="n">
        <v>32</v>
      </c>
      <c r="B33" s="54" t="n">
        <v>0.89</v>
      </c>
    </row>
    <row r="34" customFormat="false" ht="13.8" hidden="false" customHeight="false" outlineLevel="0" collapsed="false">
      <c r="A34" s="61" t="n">
        <v>33</v>
      </c>
      <c r="B34" s="54" t="n">
        <v>0.9</v>
      </c>
    </row>
    <row r="35" customFormat="false" ht="13.8" hidden="false" customHeight="false" outlineLevel="0" collapsed="false">
      <c r="A35" s="61" t="n">
        <v>34</v>
      </c>
      <c r="B35" s="54" t="n">
        <v>1.9</v>
      </c>
    </row>
    <row r="36" customFormat="false" ht="13.8" hidden="false" customHeight="false" outlineLevel="0" collapsed="false">
      <c r="A36" s="61" t="n">
        <v>35</v>
      </c>
      <c r="B36" s="54" t="n">
        <v>2.9</v>
      </c>
    </row>
    <row r="37" customFormat="false" ht="13.8" hidden="false" customHeight="false" outlineLevel="0" collapsed="false">
      <c r="A37" s="61" t="n">
        <v>36</v>
      </c>
      <c r="B37" s="54" t="n">
        <v>3.9</v>
      </c>
    </row>
  </sheetData>
  <autoFilter ref="A1:C216"/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7" activeCellId="0" sqref="A37"/>
    </sheetView>
  </sheetViews>
  <sheetFormatPr defaultRowHeight="13.8"/>
  <cols>
    <col collapsed="false" hidden="false" max="1" min="1" style="0" width="20.1376518218623"/>
    <col collapsed="false" hidden="false" max="3" min="2" style="0" width="24.1012145748988"/>
    <col collapsed="false" hidden="false" max="1025" min="4" style="0" width="8.57085020242915"/>
  </cols>
  <sheetData>
    <row r="1" customFormat="false" ht="13.8" hidden="false" customHeight="false" outlineLevel="0" collapsed="false">
      <c r="A1" s="27" t="s">
        <v>119</v>
      </c>
      <c r="B1" s="27" t="s">
        <v>846</v>
      </c>
      <c r="N1" s="29" t="s">
        <v>224</v>
      </c>
    </row>
    <row r="2" customFormat="false" ht="13.8" hidden="false" customHeight="false" outlineLevel="0" collapsed="false">
      <c r="A2" s="61" t="n">
        <v>1</v>
      </c>
      <c r="B2" s="62" t="n">
        <v>0.00212289743768514</v>
      </c>
    </row>
    <row r="3" customFormat="false" ht="13.8" hidden="false" customHeight="false" outlineLevel="0" collapsed="false">
      <c r="A3" s="61" t="n">
        <v>2</v>
      </c>
      <c r="B3" s="62" t="n">
        <v>0.00194412712714323</v>
      </c>
    </row>
    <row r="4" customFormat="false" ht="13.8" hidden="false" customHeight="false" outlineLevel="0" collapsed="false">
      <c r="A4" s="61" t="n">
        <v>3</v>
      </c>
      <c r="B4" s="62" t="n">
        <v>0.00478092471556524</v>
      </c>
    </row>
    <row r="5" customFormat="false" ht="13.8" hidden="false" customHeight="false" outlineLevel="0" collapsed="false">
      <c r="A5" s="61" t="n">
        <v>4</v>
      </c>
      <c r="B5" s="62" t="n">
        <v>0.00227187269647006</v>
      </c>
    </row>
    <row r="6" customFormat="false" ht="13.8" hidden="false" customHeight="false" outlineLevel="0" collapsed="false">
      <c r="A6" s="61" t="n">
        <v>5</v>
      </c>
      <c r="B6" s="62" t="n">
        <v>0.00173556176484434</v>
      </c>
    </row>
    <row r="7" customFormat="false" ht="13.8" hidden="false" customHeight="false" outlineLevel="0" collapsed="false">
      <c r="A7" s="61" t="n">
        <v>6</v>
      </c>
      <c r="B7" s="62" t="n">
        <v>0.0221177290142807</v>
      </c>
    </row>
    <row r="8" customFormat="false" ht="13.8" hidden="false" customHeight="false" outlineLevel="0" collapsed="false">
      <c r="A8" s="61" t="n">
        <v>7</v>
      </c>
      <c r="B8" s="62" t="n">
        <v>0.00927609427609428</v>
      </c>
    </row>
    <row r="9" customFormat="false" ht="13.8" hidden="false" customHeight="false" outlineLevel="0" collapsed="false">
      <c r="A9" s="61" t="n">
        <v>8</v>
      </c>
      <c r="B9" s="62" t="n">
        <v>0.0145323388311097</v>
      </c>
    </row>
    <row r="10" customFormat="false" ht="13.8" hidden="false" customHeight="false" outlineLevel="0" collapsed="false">
      <c r="A10" s="61" t="n">
        <v>9</v>
      </c>
      <c r="B10" s="62" t="n">
        <v>0.00637</v>
      </c>
    </row>
    <row r="11" customFormat="false" ht="13.8" hidden="false" customHeight="false" outlineLevel="0" collapsed="false">
      <c r="A11" s="61" t="n">
        <v>10</v>
      </c>
      <c r="B11" s="62" t="n">
        <v>0.00697196129936083</v>
      </c>
    </row>
    <row r="12" customFormat="false" ht="13.8" hidden="false" customHeight="false" outlineLevel="0" collapsed="false">
      <c r="A12" s="61" t="n">
        <v>11</v>
      </c>
      <c r="B12" s="62" t="n">
        <v>0.00637</v>
      </c>
    </row>
    <row r="13" customFormat="false" ht="13.8" hidden="false" customHeight="false" outlineLevel="0" collapsed="false">
      <c r="A13" s="61" t="n">
        <v>12</v>
      </c>
      <c r="B13" s="62" t="n">
        <v>0.00697196129936083</v>
      </c>
    </row>
    <row r="14" customFormat="false" ht="13.8" hidden="false" customHeight="false" outlineLevel="0" collapsed="false">
      <c r="A14" s="61" t="n">
        <v>13</v>
      </c>
      <c r="B14" s="62" t="n">
        <v>0.0256519612993608</v>
      </c>
    </row>
    <row r="15" customFormat="false" ht="13.8" hidden="false" customHeight="false" outlineLevel="0" collapsed="false">
      <c r="A15" s="61" t="n">
        <v>14</v>
      </c>
      <c r="B15" s="62" t="n">
        <v>0.00697196129936083</v>
      </c>
    </row>
    <row r="16" customFormat="false" ht="13.8" hidden="false" customHeight="false" outlineLevel="0" collapsed="false">
      <c r="A16" s="61" t="n">
        <v>15</v>
      </c>
      <c r="B16" s="62" t="n">
        <v>0.0143019612993608</v>
      </c>
    </row>
    <row r="17" customFormat="false" ht="13.8" hidden="false" customHeight="false" outlineLevel="0" collapsed="false">
      <c r="A17" s="61" t="n">
        <v>16</v>
      </c>
      <c r="B17" s="62" t="n">
        <v>0.0159483597883598</v>
      </c>
    </row>
    <row r="18" customFormat="false" ht="13.8" hidden="false" customHeight="false" outlineLevel="0" collapsed="false">
      <c r="A18" s="61" t="n">
        <v>17</v>
      </c>
      <c r="B18" s="62" t="n">
        <v>0.0117619612993608</v>
      </c>
    </row>
    <row r="19" customFormat="false" ht="13.8" hidden="false" customHeight="false" outlineLevel="0" collapsed="false">
      <c r="A19" s="61" t="n">
        <v>18</v>
      </c>
      <c r="B19" s="62" t="n">
        <v>0.01116</v>
      </c>
    </row>
    <row r="20" customFormat="false" ht="13.8" hidden="false" customHeight="false" outlineLevel="0" collapsed="false">
      <c r="A20" s="61" t="n">
        <v>19</v>
      </c>
      <c r="B20" s="62" t="n">
        <v>0.0117619612993608</v>
      </c>
    </row>
    <row r="21" customFormat="false" ht="13.8" hidden="false" customHeight="false" outlineLevel="0" collapsed="false">
      <c r="A21" s="61" t="n">
        <v>20</v>
      </c>
      <c r="B21" s="62" t="n">
        <v>0.0304419612993608</v>
      </c>
    </row>
    <row r="22" customFormat="false" ht="13.8" hidden="false" customHeight="false" outlineLevel="0" collapsed="false">
      <c r="A22" s="61" t="n">
        <v>21</v>
      </c>
      <c r="B22" s="62" t="n">
        <v>0.0165519612993608</v>
      </c>
    </row>
    <row r="23" customFormat="false" ht="13.8" hidden="false" customHeight="false" outlineLevel="0" collapsed="false">
      <c r="A23" s="61" t="n">
        <v>22</v>
      </c>
      <c r="B23" s="62" t="n">
        <v>0.0332619612993608</v>
      </c>
    </row>
    <row r="24" customFormat="false" ht="13.8" hidden="false" customHeight="false" outlineLevel="0" collapsed="false">
      <c r="A24" s="61" t="n">
        <v>23</v>
      </c>
      <c r="B24" s="62" t="n">
        <v>0.00194412712714323</v>
      </c>
    </row>
    <row r="25" customFormat="false" ht="13.8" hidden="false" customHeight="false" outlineLevel="0" collapsed="false">
      <c r="A25" s="61" t="n">
        <v>24</v>
      </c>
      <c r="B25" s="62" t="n">
        <v>0.000867780882422171</v>
      </c>
    </row>
    <row r="26" customFormat="false" ht="13.8" hidden="false" customHeight="false" outlineLevel="0" collapsed="false">
      <c r="A26" s="61" t="n">
        <v>25</v>
      </c>
      <c r="B26" s="62" t="n">
        <v>0.0036281179138322</v>
      </c>
    </row>
    <row r="27" customFormat="false" ht="13.8" hidden="false" customHeight="false" outlineLevel="0" collapsed="false">
      <c r="A27" s="61" t="n">
        <v>26</v>
      </c>
      <c r="B27" s="62" t="n">
        <v>0.00238095238095238</v>
      </c>
    </row>
    <row r="28" customFormat="false" ht="13.8" hidden="false" customHeight="false" outlineLevel="0" collapsed="false">
      <c r="A28" s="61" t="n">
        <v>27</v>
      </c>
      <c r="B28" s="62" t="n">
        <v>0.0119444444444444</v>
      </c>
    </row>
    <row r="29" customFormat="false" ht="13.8" hidden="false" customHeight="false" outlineLevel="0" collapsed="false">
      <c r="A29" s="61" t="n">
        <v>28</v>
      </c>
      <c r="B29" s="62" t="n">
        <v>0.0150408838570296</v>
      </c>
    </row>
    <row r="30" customFormat="false" ht="13.8" hidden="false" customHeight="false" outlineLevel="0" collapsed="false">
      <c r="A30" s="61" t="n">
        <v>29</v>
      </c>
      <c r="B30" s="62" t="n">
        <v>0.0131663835894195</v>
      </c>
    </row>
    <row r="31" customFormat="false" ht="13.8" hidden="false" customHeight="false" outlineLevel="0" collapsed="false">
      <c r="A31" s="61" t="n">
        <v>30</v>
      </c>
      <c r="B31" s="62" t="n">
        <v>0.00783527696793003</v>
      </c>
    </row>
    <row r="32" customFormat="false" ht="13.8" hidden="false" customHeight="false" outlineLevel="0" collapsed="false">
      <c r="A32" s="61" t="n">
        <v>31</v>
      </c>
      <c r="B32" s="62" t="n">
        <v>0.00881944444444444</v>
      </c>
    </row>
    <row r="33" customFormat="false" ht="13.8" hidden="false" customHeight="false" outlineLevel="0" collapsed="false">
      <c r="A33" s="61" t="n">
        <v>32</v>
      </c>
      <c r="B33" s="62" t="n">
        <v>0.0137634444444444</v>
      </c>
    </row>
    <row r="34" customFormat="false" ht="13.8" hidden="false" customHeight="false" outlineLevel="0" collapsed="false">
      <c r="A34" s="61" t="n">
        <v>33</v>
      </c>
      <c r="B34" s="62" t="n">
        <v>0.0233708838570296</v>
      </c>
    </row>
    <row r="35" customFormat="false" ht="13.8" hidden="false" customHeight="false" outlineLevel="0" collapsed="false">
      <c r="A35" s="61" t="n">
        <v>34</v>
      </c>
      <c r="B35" s="62" t="n">
        <v>0.0223708838570296</v>
      </c>
    </row>
    <row r="36" customFormat="false" ht="13.8" hidden="false" customHeight="false" outlineLevel="0" collapsed="false">
      <c r="A36" s="61" t="n">
        <v>35</v>
      </c>
      <c r="B36" s="63" t="n">
        <v>0.005</v>
      </c>
    </row>
    <row r="37" customFormat="false" ht="13.8" hidden="false" customHeight="false" outlineLevel="0" collapsed="false">
      <c r="A37" s="61" t="n">
        <v>36</v>
      </c>
      <c r="B37" s="63" t="n">
        <v>0.013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37"/>
  <sheetViews>
    <sheetView windowProtection="false" showFormulas="false" showGridLines="true" showRowColHeaders="true" showZeros="true" rightToLeft="false" tabSelected="false" showOutlineSymbols="true" defaultGridColor="true" view="normal" topLeftCell="A17" colorId="64" zoomScale="100" zoomScaleNormal="100" zoomScalePageLayoutView="100" workbookViewId="0">
      <selection pane="topLeft" activeCell="B34" activeCellId="0" sqref="B34"/>
    </sheetView>
  </sheetViews>
  <sheetFormatPr defaultRowHeight="13.8"/>
  <cols>
    <col collapsed="false" hidden="false" max="1" min="1" style="0" width="20.1376518218623"/>
    <col collapsed="false" hidden="false" max="2" min="2" style="64" width="36.7408906882591"/>
    <col collapsed="false" hidden="false" max="3" min="3" style="0" width="36.7408906882591"/>
    <col collapsed="false" hidden="false" max="1025" min="4" style="0" width="8.57085020242915"/>
  </cols>
  <sheetData>
    <row r="1" customFormat="false" ht="14.95" hidden="false" customHeight="false" outlineLevel="0" collapsed="false">
      <c r="A1" s="27" t="s">
        <v>119</v>
      </c>
      <c r="B1" s="27"/>
      <c r="L1" s="29" t="s">
        <v>224</v>
      </c>
      <c r="N1" s="29"/>
    </row>
    <row r="2" customFormat="false" ht="13.8" hidden="false" customHeight="false" outlineLevel="0" collapsed="false">
      <c r="A2" s="61" t="n">
        <v>1</v>
      </c>
      <c r="B2" s="54" t="n">
        <v>0.8</v>
      </c>
    </row>
    <row r="3" customFormat="false" ht="13.8" hidden="false" customHeight="false" outlineLevel="0" collapsed="false">
      <c r="A3" s="61" t="n">
        <v>2</v>
      </c>
      <c r="B3" s="54" t="n">
        <v>0.81</v>
      </c>
    </row>
    <row r="4" customFormat="false" ht="13.8" hidden="false" customHeight="false" outlineLevel="0" collapsed="false">
      <c r="A4" s="61" t="n">
        <v>3</v>
      </c>
      <c r="B4" s="54" t="n">
        <v>0.82</v>
      </c>
    </row>
    <row r="5" customFormat="false" ht="13.8" hidden="false" customHeight="false" outlineLevel="0" collapsed="false">
      <c r="A5" s="61" t="n">
        <v>4</v>
      </c>
      <c r="B5" s="54" t="n">
        <v>0.83</v>
      </c>
    </row>
    <row r="6" customFormat="false" ht="13.8" hidden="false" customHeight="false" outlineLevel="0" collapsed="false">
      <c r="A6" s="61" t="n">
        <v>5</v>
      </c>
      <c r="B6" s="54" t="n">
        <v>0.84</v>
      </c>
    </row>
    <row r="7" customFormat="false" ht="13.8" hidden="false" customHeight="false" outlineLevel="0" collapsed="false">
      <c r="A7" s="61" t="n">
        <v>6</v>
      </c>
      <c r="B7" s="54" t="n">
        <v>0.85</v>
      </c>
    </row>
    <row r="8" customFormat="false" ht="13.8" hidden="false" customHeight="false" outlineLevel="0" collapsed="false">
      <c r="A8" s="61" t="n">
        <v>7</v>
      </c>
      <c r="B8" s="54" t="n">
        <v>0.86</v>
      </c>
    </row>
    <row r="9" customFormat="false" ht="13.8" hidden="false" customHeight="false" outlineLevel="0" collapsed="false">
      <c r="A9" s="61" t="n">
        <v>8</v>
      </c>
      <c r="B9" s="54" t="n">
        <v>0.87</v>
      </c>
    </row>
    <row r="10" customFormat="false" ht="13.8" hidden="false" customHeight="false" outlineLevel="0" collapsed="false">
      <c r="A10" s="61" t="n">
        <v>9</v>
      </c>
      <c r="B10" s="54" t="n">
        <v>0.88</v>
      </c>
    </row>
    <row r="11" customFormat="false" ht="13.8" hidden="false" customHeight="false" outlineLevel="0" collapsed="false">
      <c r="A11" s="61" t="n">
        <v>10</v>
      </c>
      <c r="B11" s="54" t="n">
        <v>0.89</v>
      </c>
    </row>
    <row r="12" customFormat="false" ht="13.8" hidden="false" customHeight="false" outlineLevel="0" collapsed="false">
      <c r="A12" s="61" t="n">
        <v>11</v>
      </c>
      <c r="B12" s="54" t="n">
        <v>0.9</v>
      </c>
    </row>
    <row r="13" customFormat="false" ht="13.8" hidden="false" customHeight="false" outlineLevel="0" collapsed="false">
      <c r="A13" s="61" t="n">
        <v>12</v>
      </c>
      <c r="B13" s="54" t="n">
        <v>0.91</v>
      </c>
    </row>
    <row r="14" customFormat="false" ht="13.8" hidden="false" customHeight="false" outlineLevel="0" collapsed="false">
      <c r="A14" s="61" t="n">
        <v>13</v>
      </c>
      <c r="B14" s="54" t="n">
        <v>0.92</v>
      </c>
    </row>
    <row r="15" customFormat="false" ht="13.8" hidden="false" customHeight="false" outlineLevel="0" collapsed="false">
      <c r="A15" s="61" t="n">
        <v>14</v>
      </c>
      <c r="B15" s="54" t="n">
        <v>0.93</v>
      </c>
    </row>
    <row r="16" customFormat="false" ht="13.8" hidden="false" customHeight="false" outlineLevel="0" collapsed="false">
      <c r="A16" s="61" t="n">
        <v>15</v>
      </c>
      <c r="B16" s="54" t="n">
        <v>0.94</v>
      </c>
    </row>
    <row r="17" customFormat="false" ht="13.8" hidden="false" customHeight="false" outlineLevel="0" collapsed="false">
      <c r="A17" s="61" t="n">
        <v>16</v>
      </c>
      <c r="B17" s="54" t="n">
        <v>0.95</v>
      </c>
    </row>
    <row r="18" customFormat="false" ht="13.8" hidden="false" customHeight="false" outlineLevel="0" collapsed="false">
      <c r="A18" s="61" t="n">
        <v>17</v>
      </c>
      <c r="B18" s="54" t="n">
        <v>0.96</v>
      </c>
    </row>
    <row r="19" customFormat="false" ht="13.8" hidden="false" customHeight="false" outlineLevel="0" collapsed="false">
      <c r="A19" s="61" t="n">
        <v>18</v>
      </c>
      <c r="B19" s="54" t="n">
        <v>0.97</v>
      </c>
    </row>
    <row r="20" customFormat="false" ht="13.8" hidden="false" customHeight="false" outlineLevel="0" collapsed="false">
      <c r="A20" s="61" t="n">
        <v>19</v>
      </c>
      <c r="B20" s="54" t="n">
        <v>0.98</v>
      </c>
    </row>
    <row r="21" customFormat="false" ht="13.8" hidden="false" customHeight="false" outlineLevel="0" collapsed="false">
      <c r="A21" s="61" t="n">
        <v>20</v>
      </c>
      <c r="B21" s="54" t="n">
        <v>0.99</v>
      </c>
    </row>
    <row r="22" customFormat="false" ht="13.8" hidden="false" customHeight="false" outlineLevel="0" collapsed="false">
      <c r="A22" s="61" t="n">
        <v>21</v>
      </c>
      <c r="B22" s="54" t="n">
        <v>1</v>
      </c>
    </row>
    <row r="23" customFormat="false" ht="13.8" hidden="false" customHeight="false" outlineLevel="0" collapsed="false">
      <c r="A23" s="61" t="n">
        <v>22</v>
      </c>
      <c r="B23" s="54" t="n">
        <v>1.01</v>
      </c>
    </row>
    <row r="24" customFormat="false" ht="13.8" hidden="false" customHeight="false" outlineLevel="0" collapsed="false">
      <c r="A24" s="61" t="n">
        <v>23</v>
      </c>
      <c r="B24" s="54" t="n">
        <v>1.02</v>
      </c>
    </row>
    <row r="25" customFormat="false" ht="13.8" hidden="false" customHeight="false" outlineLevel="0" collapsed="false">
      <c r="A25" s="61" t="n">
        <v>24</v>
      </c>
      <c r="B25" s="54" t="n">
        <v>1.03</v>
      </c>
    </row>
    <row r="26" customFormat="false" ht="13.8" hidden="false" customHeight="false" outlineLevel="0" collapsed="false">
      <c r="A26" s="61" t="n">
        <v>25</v>
      </c>
      <c r="B26" s="54" t="n">
        <v>1.04</v>
      </c>
    </row>
    <row r="27" customFormat="false" ht="13.8" hidden="false" customHeight="false" outlineLevel="0" collapsed="false">
      <c r="A27" s="61" t="n">
        <v>26</v>
      </c>
      <c r="B27" s="54" t="n">
        <v>1.05</v>
      </c>
    </row>
    <row r="28" customFormat="false" ht="13.8" hidden="false" customHeight="false" outlineLevel="0" collapsed="false">
      <c r="A28" s="61" t="n">
        <v>27</v>
      </c>
      <c r="B28" s="54" t="n">
        <v>1.06</v>
      </c>
    </row>
    <row r="29" customFormat="false" ht="13.8" hidden="false" customHeight="false" outlineLevel="0" collapsed="false">
      <c r="A29" s="61" t="n">
        <v>28</v>
      </c>
      <c r="B29" s="54" t="n">
        <v>1.07</v>
      </c>
    </row>
    <row r="30" customFormat="false" ht="13.8" hidden="false" customHeight="false" outlineLevel="0" collapsed="false">
      <c r="A30" s="61" t="n">
        <v>29</v>
      </c>
      <c r="B30" s="54" t="n">
        <v>1.08</v>
      </c>
    </row>
    <row r="31" customFormat="false" ht="13.8" hidden="false" customHeight="false" outlineLevel="0" collapsed="false">
      <c r="A31" s="61" t="n">
        <v>30</v>
      </c>
      <c r="B31" s="54" t="n">
        <v>1.09</v>
      </c>
    </row>
    <row r="32" customFormat="false" ht="13.8" hidden="false" customHeight="false" outlineLevel="0" collapsed="false">
      <c r="A32" s="61" t="n">
        <v>31</v>
      </c>
      <c r="B32" s="54" t="n">
        <v>1.1</v>
      </c>
    </row>
    <row r="33" customFormat="false" ht="13.8" hidden="false" customHeight="false" outlineLevel="0" collapsed="false">
      <c r="A33" s="61" t="n">
        <v>32</v>
      </c>
      <c r="B33" s="54" t="n">
        <v>1.11</v>
      </c>
    </row>
    <row r="34" customFormat="false" ht="13.8" hidden="false" customHeight="false" outlineLevel="0" collapsed="false">
      <c r="A34" s="61" t="n">
        <v>33</v>
      </c>
      <c r="B34" s="54" t="n">
        <v>1.12</v>
      </c>
    </row>
    <row r="35" customFormat="false" ht="13.8" hidden="false" customHeight="false" outlineLevel="0" collapsed="false">
      <c r="A35" s="61" t="n">
        <v>34</v>
      </c>
      <c r="B35" s="54" t="n">
        <v>1.13</v>
      </c>
    </row>
    <row r="36" customFormat="false" ht="13.8" hidden="false" customHeight="false" outlineLevel="0" collapsed="false">
      <c r="A36" s="61" t="n">
        <v>35</v>
      </c>
      <c r="B36" s="54" t="n">
        <v>1.14</v>
      </c>
    </row>
    <row r="37" customFormat="false" ht="13.8" hidden="false" customHeight="false" outlineLevel="0" collapsed="false">
      <c r="A37" s="61" t="n">
        <v>36</v>
      </c>
      <c r="B37" s="54" t="n">
        <v>1.15</v>
      </c>
    </row>
  </sheetData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H2"/>
  <sheetViews>
    <sheetView windowProtection="false" showFormulas="false" showGridLines="true" showRowColHeaders="true" showZeros="true" rightToLeft="false" tabSelected="false" showOutlineSymbols="true" defaultGridColor="true" view="normal" topLeftCell="K1" colorId="64" zoomScale="100" zoomScaleNormal="100" zoomScalePageLayoutView="100" workbookViewId="0">
      <selection pane="topLeft" activeCell="Z2" activeCellId="0" sqref="Z2"/>
    </sheetView>
  </sheetViews>
  <sheetFormatPr defaultRowHeight="13.8"/>
  <cols>
    <col collapsed="false" hidden="true" max="1" min="1" style="61" width="0"/>
    <col collapsed="false" hidden="false" max="2" min="2" style="61" width="11.3562753036437"/>
    <col collapsed="false" hidden="false" max="3" min="3" style="61" width="17.8906882591093"/>
    <col collapsed="false" hidden="false" max="4" min="4" style="65" width="29.7773279352227"/>
    <col collapsed="false" hidden="false" max="5" min="5" style="66" width="11.1417004048583"/>
    <col collapsed="false" hidden="false" max="6" min="6" style="52" width="17.5668016194332"/>
    <col collapsed="false" hidden="false" max="1018" min="7" style="52" width="8.57085020242915"/>
    <col collapsed="false" hidden="false" max="1022" min="1019" style="52" width="9.10526315789474"/>
    <col collapsed="false" hidden="false" max="1025" min="1023" style="0" width="9.10526315789474"/>
  </cols>
  <sheetData>
    <row r="1" customFormat="false" ht="13.8" hidden="false" customHeight="false" outlineLevel="0" collapsed="false">
      <c r="A1" s="61" t="s">
        <v>847</v>
      </c>
      <c r="B1" s="61" t="s">
        <v>848</v>
      </c>
      <c r="C1" s="0"/>
      <c r="D1" s="0"/>
      <c r="E1" s="0"/>
      <c r="F1" s="0"/>
      <c r="G1" s="0"/>
      <c r="H1" s="0"/>
      <c r="I1" s="29" t="s">
        <v>224</v>
      </c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X1" s="0"/>
      <c r="Y1" s="0"/>
      <c r="Z1" s="0"/>
      <c r="AA1" s="0"/>
      <c r="AB1" s="0"/>
      <c r="AC1" s="0"/>
      <c r="AD1" s="0"/>
      <c r="AE1" s="0"/>
      <c r="AF1" s="0"/>
      <c r="AG1" s="0"/>
      <c r="AH1" s="0"/>
    </row>
    <row r="2" customFormat="false" ht="13.8" hidden="false" customHeight="false" outlineLevel="0" collapsed="false">
      <c r="A2" s="67" t="n">
        <v>1</v>
      </c>
      <c r="B2" s="67" t="n">
        <v>1</v>
      </c>
      <c r="C2" s="67" t="n">
        <v>1</v>
      </c>
      <c r="D2" s="67" t="n">
        <v>2</v>
      </c>
      <c r="E2" s="67" t="n">
        <v>3</v>
      </c>
      <c r="F2" s="67" t="n">
        <v>4</v>
      </c>
      <c r="G2" s="67" t="n">
        <v>5</v>
      </c>
      <c r="H2" s="67" t="n">
        <v>6</v>
      </c>
      <c r="I2" s="67" t="n">
        <v>7</v>
      </c>
      <c r="J2" s="67" t="n">
        <v>8</v>
      </c>
      <c r="K2" s="67" t="n">
        <v>9</v>
      </c>
      <c r="L2" s="67" t="n">
        <v>10</v>
      </c>
      <c r="M2" s="67" t="n">
        <v>11</v>
      </c>
      <c r="N2" s="67" t="n">
        <v>12</v>
      </c>
      <c r="O2" s="67" t="n">
        <v>13</v>
      </c>
      <c r="P2" s="67" t="n">
        <v>14</v>
      </c>
      <c r="Q2" s="67" t="n">
        <v>15</v>
      </c>
      <c r="R2" s="67" t="n">
        <v>16</v>
      </c>
      <c r="S2" s="67" t="n">
        <v>17</v>
      </c>
      <c r="T2" s="67" t="n">
        <v>18</v>
      </c>
      <c r="U2" s="67" t="n">
        <v>19</v>
      </c>
      <c r="V2" s="67" t="n">
        <v>20</v>
      </c>
      <c r="W2" s="67" t="n">
        <v>21</v>
      </c>
      <c r="X2" s="67" t="n">
        <v>22</v>
      </c>
      <c r="Y2" s="67" t="n">
        <v>23</v>
      </c>
      <c r="Z2" s="67" t="n">
        <v>25</v>
      </c>
      <c r="AA2" s="67" t="n">
        <v>26</v>
      </c>
      <c r="AB2" s="67" t="n">
        <v>27</v>
      </c>
      <c r="AC2" s="67" t="n">
        <v>28</v>
      </c>
      <c r="AD2" s="67" t="n">
        <v>29</v>
      </c>
      <c r="AE2" s="67" t="n">
        <v>30</v>
      </c>
      <c r="AF2" s="67" t="n">
        <v>31</v>
      </c>
      <c r="AG2" s="67" t="n">
        <v>32</v>
      </c>
      <c r="AH2" s="67" t="n">
        <v>33</v>
      </c>
    </row>
  </sheetData>
  <autoFilter ref="A1:G2"/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H2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5"/>
  <cols>
    <col collapsed="false" hidden="false" max="1" min="1" style="52" width="10.6032388663968"/>
    <col collapsed="false" hidden="false" max="2" min="2" style="52" width="18.2105263157895"/>
    <col collapsed="false" hidden="false" max="3" min="3" style="0" width="21.2105263157895"/>
    <col collapsed="false" hidden="false" max="4" min="4" style="0" width="17.5668016194332"/>
    <col collapsed="false" hidden="false" max="5" min="5" style="68" width="11.7813765182186"/>
    <col collapsed="false" hidden="false" max="6" min="6" style="69" width="27.1012145748988"/>
    <col collapsed="false" hidden="false" max="7" min="7" style="69" width="29.9919028340081"/>
    <col collapsed="false" hidden="false" max="8" min="8" style="0" width="17.1376518218624"/>
    <col collapsed="false" hidden="false" max="9" min="9" style="0" width="17.5668016194332"/>
    <col collapsed="false" hidden="false" max="10" min="10" style="0" width="11.4615384615385"/>
    <col collapsed="false" hidden="false" max="1025" min="11" style="0" width="9.10526315789474"/>
  </cols>
  <sheetData>
    <row r="1" s="73" customFormat="true" ht="25.2" hidden="false" customHeight="false" outlineLevel="0" collapsed="false">
      <c r="A1" s="70" t="s">
        <v>849</v>
      </c>
      <c r="B1" s="70" t="s">
        <v>850</v>
      </c>
      <c r="C1" s="70" t="s">
        <v>851</v>
      </c>
      <c r="D1" s="70" t="s">
        <v>852</v>
      </c>
      <c r="E1" s="71" t="s">
        <v>853</v>
      </c>
      <c r="F1" s="72" t="s">
        <v>854</v>
      </c>
      <c r="G1" s="72" t="s">
        <v>855</v>
      </c>
      <c r="H1" s="70"/>
    </row>
    <row r="2" customFormat="false" ht="15" hidden="false" customHeight="false" outlineLevel="0" collapsed="false">
      <c r="A2" s="52" t="s">
        <v>856</v>
      </c>
      <c r="B2" s="52" t="s">
        <v>857</v>
      </c>
      <c r="C2" s="0" t="s">
        <v>858</v>
      </c>
      <c r="D2" s="0" t="s">
        <v>859</v>
      </c>
      <c r="E2" s="68" t="s">
        <v>860</v>
      </c>
      <c r="F2" s="74" t="n">
        <v>1.6</v>
      </c>
      <c r="G2" s="74" t="n">
        <v>2.3</v>
      </c>
    </row>
    <row r="3" customFormat="false" ht="15" hidden="false" customHeight="false" outlineLevel="0" collapsed="false">
      <c r="A3" s="52" t="s">
        <v>861</v>
      </c>
      <c r="B3" s="52" t="s">
        <v>120</v>
      </c>
      <c r="C3" s="0" t="s">
        <v>862</v>
      </c>
      <c r="D3" s="0" t="s">
        <v>859</v>
      </c>
      <c r="E3" s="68" t="s">
        <v>860</v>
      </c>
      <c r="F3" s="74" t="n">
        <v>1.6</v>
      </c>
      <c r="G3" s="74" t="n">
        <v>2.3</v>
      </c>
    </row>
    <row r="4" customFormat="false" ht="15" hidden="false" customHeight="false" outlineLevel="0" collapsed="false">
      <c r="A4" s="52" t="s">
        <v>863</v>
      </c>
      <c r="B4" s="52" t="s">
        <v>225</v>
      </c>
      <c r="C4" s="0" t="s">
        <v>864</v>
      </c>
      <c r="D4" s="0" t="s">
        <v>859</v>
      </c>
      <c r="E4" s="68" t="s">
        <v>860</v>
      </c>
      <c r="F4" s="74" t="n">
        <v>1.6</v>
      </c>
      <c r="G4" s="74" t="n">
        <v>2.3</v>
      </c>
    </row>
    <row r="5" customFormat="false" ht="15" hidden="false" customHeight="false" outlineLevel="0" collapsed="false">
      <c r="A5" s="52" t="s">
        <v>865</v>
      </c>
      <c r="B5" s="52" t="s">
        <v>866</v>
      </c>
      <c r="C5" s="0" t="s">
        <v>867</v>
      </c>
      <c r="D5" s="0" t="s">
        <v>868</v>
      </c>
      <c r="E5" s="68" t="s">
        <v>869</v>
      </c>
      <c r="F5" s="74" t="n">
        <v>1.6</v>
      </c>
      <c r="G5" s="74" t="n">
        <v>1.7</v>
      </c>
    </row>
    <row r="6" customFormat="false" ht="15" hidden="false" customHeight="false" outlineLevel="0" collapsed="false">
      <c r="A6" s="52" t="s">
        <v>870</v>
      </c>
      <c r="B6" s="52" t="s">
        <v>871</v>
      </c>
      <c r="C6" s="0" t="s">
        <v>872</v>
      </c>
      <c r="D6" s="0" t="s">
        <v>873</v>
      </c>
      <c r="E6" s="68" t="s">
        <v>860</v>
      </c>
      <c r="F6" s="74" t="n">
        <v>1.6</v>
      </c>
      <c r="G6" s="74" t="n">
        <v>2.3</v>
      </c>
    </row>
    <row r="7" customFormat="false" ht="15" hidden="false" customHeight="false" outlineLevel="0" collapsed="false">
      <c r="A7" s="52" t="s">
        <v>874</v>
      </c>
      <c r="B7" s="52" t="s">
        <v>434</v>
      </c>
      <c r="C7" s="0" t="s">
        <v>875</v>
      </c>
      <c r="D7" s="0" t="s">
        <v>873</v>
      </c>
      <c r="E7" s="68" t="s">
        <v>860</v>
      </c>
      <c r="F7" s="74" t="n">
        <v>1.6</v>
      </c>
      <c r="G7" s="74" t="n">
        <v>2.3</v>
      </c>
    </row>
    <row r="8" customFormat="false" ht="15" hidden="false" customHeight="false" outlineLevel="0" collapsed="false">
      <c r="A8" s="52" t="s">
        <v>876</v>
      </c>
      <c r="B8" s="52" t="s">
        <v>344</v>
      </c>
      <c r="C8" s="0" t="s">
        <v>877</v>
      </c>
      <c r="D8" s="0" t="s">
        <v>873</v>
      </c>
      <c r="E8" s="68" t="s">
        <v>860</v>
      </c>
      <c r="F8" s="74" t="n">
        <v>1.6</v>
      </c>
      <c r="G8" s="74" t="n">
        <v>2.3</v>
      </c>
    </row>
    <row r="9" customFormat="false" ht="15" hidden="false" customHeight="false" outlineLevel="0" collapsed="false">
      <c r="A9" s="52" t="s">
        <v>878</v>
      </c>
      <c r="B9" s="52" t="s">
        <v>436</v>
      </c>
      <c r="C9" s="0" t="s">
        <v>879</v>
      </c>
      <c r="D9" s="0" t="s">
        <v>873</v>
      </c>
      <c r="E9" s="68" t="s">
        <v>860</v>
      </c>
      <c r="F9" s="74" t="n">
        <v>1.6</v>
      </c>
      <c r="G9" s="74" t="n">
        <v>2.3</v>
      </c>
    </row>
    <row r="10" customFormat="false" ht="15" hidden="false" customHeight="false" outlineLevel="0" collapsed="false">
      <c r="A10" s="52" t="s">
        <v>880</v>
      </c>
      <c r="B10" s="52" t="s">
        <v>226</v>
      </c>
      <c r="C10" s="0" t="s">
        <v>881</v>
      </c>
      <c r="D10" s="0" t="s">
        <v>873</v>
      </c>
      <c r="E10" s="68" t="s">
        <v>860</v>
      </c>
      <c r="F10" s="74" t="n">
        <v>1.6</v>
      </c>
      <c r="G10" s="74" t="n">
        <v>2.3</v>
      </c>
    </row>
    <row r="11" customFormat="false" ht="15" hidden="false" customHeight="false" outlineLevel="0" collapsed="false">
      <c r="A11" s="52" t="s">
        <v>882</v>
      </c>
      <c r="B11" s="52" t="s">
        <v>883</v>
      </c>
      <c r="C11" s="0" t="s">
        <v>884</v>
      </c>
      <c r="D11" s="0" t="s">
        <v>873</v>
      </c>
      <c r="E11" s="68" t="s">
        <v>860</v>
      </c>
      <c r="F11" s="74" t="n">
        <v>1.6</v>
      </c>
      <c r="G11" s="74" t="n">
        <v>2.3</v>
      </c>
    </row>
    <row r="12" customFormat="false" ht="15" hidden="false" customHeight="false" outlineLevel="0" collapsed="false">
      <c r="A12" s="52" t="s">
        <v>885</v>
      </c>
      <c r="B12" s="52" t="s">
        <v>886</v>
      </c>
      <c r="C12" s="0" t="s">
        <v>887</v>
      </c>
      <c r="D12" s="0" t="s">
        <v>873</v>
      </c>
      <c r="E12" s="68" t="s">
        <v>860</v>
      </c>
      <c r="F12" s="74" t="n">
        <v>1.6</v>
      </c>
      <c r="G12" s="74" t="n">
        <v>2.3</v>
      </c>
    </row>
    <row r="13" customFormat="false" ht="15" hidden="false" customHeight="false" outlineLevel="0" collapsed="false">
      <c r="A13" s="52" t="s">
        <v>888</v>
      </c>
      <c r="B13" s="52" t="s">
        <v>215</v>
      </c>
      <c r="C13" s="0" t="s">
        <v>889</v>
      </c>
      <c r="D13" s="0" t="s">
        <v>873</v>
      </c>
      <c r="E13" s="68" t="s">
        <v>860</v>
      </c>
      <c r="F13" s="74" t="n">
        <v>1.6</v>
      </c>
      <c r="G13" s="74" t="n">
        <v>2.3</v>
      </c>
    </row>
    <row r="14" customFormat="false" ht="15" hidden="false" customHeight="false" outlineLevel="0" collapsed="false">
      <c r="A14" s="52" t="s">
        <v>890</v>
      </c>
      <c r="B14" s="52" t="s">
        <v>227</v>
      </c>
      <c r="C14" s="0" t="s">
        <v>891</v>
      </c>
      <c r="D14" s="0" t="s">
        <v>873</v>
      </c>
      <c r="E14" s="68" t="s">
        <v>860</v>
      </c>
      <c r="F14" s="74" t="n">
        <v>1.6</v>
      </c>
      <c r="G14" s="74" t="n">
        <v>2.3</v>
      </c>
    </row>
    <row r="15" customFormat="false" ht="15" hidden="false" customHeight="false" outlineLevel="0" collapsed="false">
      <c r="A15" s="52" t="s">
        <v>892</v>
      </c>
      <c r="B15" s="52" t="s">
        <v>441</v>
      </c>
      <c r="C15" s="0" t="s">
        <v>893</v>
      </c>
      <c r="D15" s="0" t="s">
        <v>873</v>
      </c>
      <c r="E15" s="68" t="s">
        <v>860</v>
      </c>
      <c r="F15" s="74" t="n">
        <v>1.6</v>
      </c>
      <c r="G15" s="74" t="n">
        <v>2.3</v>
      </c>
    </row>
    <row r="16" customFormat="false" ht="15" hidden="false" customHeight="false" outlineLevel="0" collapsed="false">
      <c r="A16" s="52" t="s">
        <v>894</v>
      </c>
      <c r="B16" s="52" t="s">
        <v>228</v>
      </c>
      <c r="C16" s="0" t="s">
        <v>895</v>
      </c>
      <c r="D16" s="0" t="s">
        <v>873</v>
      </c>
      <c r="E16" s="68" t="s">
        <v>860</v>
      </c>
      <c r="F16" s="74" t="n">
        <v>1.6</v>
      </c>
      <c r="G16" s="74" t="n">
        <v>2.3</v>
      </c>
    </row>
    <row r="17" customFormat="false" ht="15" hidden="false" customHeight="false" outlineLevel="0" collapsed="false">
      <c r="A17" s="52" t="s">
        <v>896</v>
      </c>
      <c r="B17" s="52" t="s">
        <v>229</v>
      </c>
      <c r="C17" s="0" t="s">
        <v>897</v>
      </c>
      <c r="D17" s="0" t="s">
        <v>873</v>
      </c>
      <c r="E17" s="68" t="s">
        <v>860</v>
      </c>
      <c r="F17" s="74" t="n">
        <v>1.6</v>
      </c>
      <c r="G17" s="74" t="n">
        <v>2.3</v>
      </c>
    </row>
    <row r="18" customFormat="false" ht="15" hidden="false" customHeight="false" outlineLevel="0" collapsed="false">
      <c r="A18" s="52" t="s">
        <v>898</v>
      </c>
      <c r="B18" s="52" t="s">
        <v>445</v>
      </c>
      <c r="C18" s="0" t="s">
        <v>899</v>
      </c>
      <c r="D18" s="0" t="s">
        <v>873</v>
      </c>
      <c r="E18" s="68" t="s">
        <v>860</v>
      </c>
      <c r="F18" s="74" t="n">
        <v>1.6</v>
      </c>
      <c r="G18" s="74" t="n">
        <v>2.3</v>
      </c>
    </row>
    <row r="19" customFormat="false" ht="15" hidden="false" customHeight="false" outlineLevel="0" collapsed="false">
      <c r="A19" s="52" t="s">
        <v>900</v>
      </c>
      <c r="B19" s="52" t="s">
        <v>230</v>
      </c>
      <c r="C19" s="0" t="s">
        <v>901</v>
      </c>
      <c r="D19" s="0" t="s">
        <v>873</v>
      </c>
      <c r="E19" s="68" t="s">
        <v>860</v>
      </c>
      <c r="F19" s="74" t="n">
        <v>1.6</v>
      </c>
      <c r="G19" s="74" t="n">
        <v>2.3</v>
      </c>
    </row>
    <row r="20" customFormat="false" ht="15" hidden="false" customHeight="false" outlineLevel="0" collapsed="false">
      <c r="A20" s="52" t="s">
        <v>902</v>
      </c>
      <c r="B20" s="52" t="s">
        <v>903</v>
      </c>
      <c r="C20" s="0" t="s">
        <v>904</v>
      </c>
      <c r="D20" s="0" t="s">
        <v>873</v>
      </c>
      <c r="E20" s="68" t="s">
        <v>860</v>
      </c>
      <c r="F20" s="74" t="n">
        <v>1.6</v>
      </c>
      <c r="G20" s="74" t="n">
        <v>2.3</v>
      </c>
    </row>
    <row r="21" customFormat="false" ht="15" hidden="false" customHeight="false" outlineLevel="0" collapsed="false">
      <c r="A21" s="52" t="s">
        <v>905</v>
      </c>
      <c r="B21" s="52" t="s">
        <v>121</v>
      </c>
      <c r="C21" s="0" t="s">
        <v>906</v>
      </c>
      <c r="D21" s="0" t="s">
        <v>873</v>
      </c>
      <c r="E21" s="68" t="s">
        <v>860</v>
      </c>
      <c r="F21" s="74" t="n">
        <v>1.6</v>
      </c>
      <c r="G21" s="74" t="n">
        <v>2.3</v>
      </c>
    </row>
    <row r="22" customFormat="false" ht="15" hidden="false" customHeight="false" outlineLevel="0" collapsed="false">
      <c r="A22" s="52" t="s">
        <v>907</v>
      </c>
      <c r="B22" s="52" t="s">
        <v>231</v>
      </c>
      <c r="C22" s="0" t="s">
        <v>908</v>
      </c>
      <c r="D22" s="0" t="s">
        <v>873</v>
      </c>
      <c r="E22" s="68" t="s">
        <v>860</v>
      </c>
      <c r="F22" s="74" t="n">
        <v>1.6</v>
      </c>
      <c r="G22" s="74" t="n">
        <v>2.3</v>
      </c>
    </row>
    <row r="23" customFormat="false" ht="15" hidden="false" customHeight="false" outlineLevel="0" collapsed="false">
      <c r="A23" s="52" t="s">
        <v>909</v>
      </c>
      <c r="B23" s="52" t="s">
        <v>910</v>
      </c>
      <c r="C23" s="0" t="s">
        <v>911</v>
      </c>
      <c r="D23" s="0" t="s">
        <v>873</v>
      </c>
      <c r="E23" s="68" t="s">
        <v>860</v>
      </c>
      <c r="F23" s="74" t="n">
        <v>1.6</v>
      </c>
      <c r="G23" s="74" t="n">
        <v>2.3</v>
      </c>
    </row>
    <row r="24" customFormat="false" ht="15" hidden="false" customHeight="false" outlineLevel="0" collapsed="false">
      <c r="A24" s="52" t="s">
        <v>912</v>
      </c>
      <c r="B24" s="52" t="s">
        <v>913</v>
      </c>
      <c r="C24" s="0" t="s">
        <v>914</v>
      </c>
      <c r="D24" s="0" t="s">
        <v>915</v>
      </c>
      <c r="E24" s="68" t="s">
        <v>869</v>
      </c>
      <c r="F24" s="74" t="n">
        <v>1.6</v>
      </c>
      <c r="G24" s="74" t="n">
        <v>1.75</v>
      </c>
    </row>
    <row r="25" customFormat="false" ht="15" hidden="false" customHeight="false" outlineLevel="0" collapsed="false">
      <c r="A25" s="52" t="s">
        <v>916</v>
      </c>
      <c r="B25" s="52" t="s">
        <v>917</v>
      </c>
      <c r="C25" s="0" t="s">
        <v>918</v>
      </c>
      <c r="D25" s="0" t="s">
        <v>915</v>
      </c>
      <c r="E25" s="68" t="s">
        <v>869</v>
      </c>
      <c r="F25" s="74" t="n">
        <v>1.6</v>
      </c>
      <c r="G25" s="74" t="n">
        <v>1.75</v>
      </c>
    </row>
    <row r="26" customFormat="false" ht="15" hidden="false" customHeight="false" outlineLevel="0" collapsed="false">
      <c r="A26" s="52" t="s">
        <v>919</v>
      </c>
      <c r="B26" s="52" t="s">
        <v>920</v>
      </c>
      <c r="C26" s="0" t="s">
        <v>921</v>
      </c>
      <c r="D26" s="0" t="s">
        <v>915</v>
      </c>
      <c r="E26" s="68" t="s">
        <v>869</v>
      </c>
      <c r="F26" s="74" t="n">
        <v>1.6</v>
      </c>
      <c r="G26" s="74" t="n">
        <v>1.75</v>
      </c>
    </row>
    <row r="27" customFormat="false" ht="15" hidden="false" customHeight="false" outlineLevel="0" collapsed="false">
      <c r="A27" s="52" t="s">
        <v>922</v>
      </c>
      <c r="B27" s="52" t="s">
        <v>923</v>
      </c>
      <c r="C27" s="0" t="s">
        <v>924</v>
      </c>
      <c r="D27" s="0" t="s">
        <v>915</v>
      </c>
      <c r="E27" s="68" t="s">
        <v>869</v>
      </c>
      <c r="F27" s="74" t="n">
        <v>1.6</v>
      </c>
      <c r="G27" s="74" t="n">
        <v>1.75</v>
      </c>
    </row>
    <row r="28" customFormat="false" ht="15" hidden="false" customHeight="false" outlineLevel="0" collapsed="false">
      <c r="A28" s="52" t="s">
        <v>925</v>
      </c>
      <c r="B28" s="52" t="s">
        <v>232</v>
      </c>
      <c r="C28" s="0" t="s">
        <v>926</v>
      </c>
      <c r="D28" s="0" t="s">
        <v>915</v>
      </c>
      <c r="E28" s="68" t="s">
        <v>869</v>
      </c>
      <c r="F28" s="74" t="n">
        <v>1.6</v>
      </c>
      <c r="G28" s="74" t="n">
        <v>1.75</v>
      </c>
    </row>
    <row r="29" customFormat="false" ht="15" hidden="false" customHeight="false" outlineLevel="0" collapsed="false">
      <c r="A29" s="52" t="s">
        <v>927</v>
      </c>
      <c r="B29" s="52" t="s">
        <v>928</v>
      </c>
      <c r="C29" s="0" t="s">
        <v>929</v>
      </c>
      <c r="D29" s="0" t="s">
        <v>930</v>
      </c>
      <c r="E29" s="68" t="s">
        <v>931</v>
      </c>
      <c r="F29" s="74" t="n">
        <v>1.8</v>
      </c>
      <c r="G29" s="74" t="n">
        <v>2</v>
      </c>
    </row>
    <row r="30" customFormat="false" ht="15" hidden="false" customHeight="false" outlineLevel="0" collapsed="false">
      <c r="A30" s="52" t="s">
        <v>932</v>
      </c>
      <c r="B30" s="52" t="s">
        <v>933</v>
      </c>
      <c r="C30" s="0" t="s">
        <v>934</v>
      </c>
      <c r="D30" s="0" t="s">
        <v>930</v>
      </c>
      <c r="E30" s="68" t="s">
        <v>931</v>
      </c>
      <c r="F30" s="74" t="n">
        <v>1.8</v>
      </c>
      <c r="G30" s="74" t="n">
        <v>2</v>
      </c>
    </row>
    <row r="31" customFormat="false" ht="15" hidden="false" customHeight="false" outlineLevel="0" collapsed="false">
      <c r="A31" s="52" t="s">
        <v>935</v>
      </c>
      <c r="B31" s="52" t="s">
        <v>122</v>
      </c>
      <c r="C31" s="0" t="s">
        <v>936</v>
      </c>
      <c r="D31" s="0" t="s">
        <v>930</v>
      </c>
      <c r="E31" s="68" t="s">
        <v>869</v>
      </c>
      <c r="F31" s="74" t="n">
        <v>1.6</v>
      </c>
      <c r="G31" s="74" t="n">
        <v>1.75</v>
      </c>
    </row>
    <row r="32" customFormat="false" ht="15" hidden="false" customHeight="false" outlineLevel="0" collapsed="false">
      <c r="A32" s="52" t="s">
        <v>937</v>
      </c>
      <c r="B32" s="52" t="s">
        <v>938</v>
      </c>
      <c r="C32" s="0" t="s">
        <v>939</v>
      </c>
      <c r="D32" s="0" t="s">
        <v>940</v>
      </c>
      <c r="E32" s="68" t="s">
        <v>860</v>
      </c>
      <c r="F32" s="74" t="n">
        <v>1.6</v>
      </c>
      <c r="G32" s="74" t="n">
        <v>2.3</v>
      </c>
    </row>
    <row r="33" customFormat="false" ht="15" hidden="false" customHeight="false" outlineLevel="0" collapsed="false">
      <c r="A33" s="52" t="s">
        <v>941</v>
      </c>
      <c r="B33" s="52" t="s">
        <v>214</v>
      </c>
      <c r="C33" s="0" t="s">
        <v>942</v>
      </c>
      <c r="D33" s="0" t="s">
        <v>940</v>
      </c>
      <c r="E33" s="68" t="s">
        <v>860</v>
      </c>
      <c r="F33" s="74" t="n">
        <v>1.6</v>
      </c>
      <c r="G33" s="74" t="n">
        <v>2.3</v>
      </c>
    </row>
    <row r="34" customFormat="false" ht="15" hidden="false" customHeight="false" outlineLevel="0" collapsed="false">
      <c r="A34" s="52" t="s">
        <v>943</v>
      </c>
      <c r="B34" s="52" t="s">
        <v>944</v>
      </c>
      <c r="C34" s="0" t="s">
        <v>945</v>
      </c>
      <c r="D34" s="0" t="s">
        <v>946</v>
      </c>
      <c r="E34" s="68" t="s">
        <v>860</v>
      </c>
      <c r="F34" s="74" t="n">
        <v>1.6</v>
      </c>
      <c r="G34" s="74" t="n">
        <v>2.3</v>
      </c>
    </row>
    <row r="35" customFormat="false" ht="15" hidden="false" customHeight="false" outlineLevel="0" collapsed="false">
      <c r="A35" s="52" t="s">
        <v>947</v>
      </c>
      <c r="B35" s="52" t="s">
        <v>948</v>
      </c>
      <c r="C35" s="0" t="s">
        <v>949</v>
      </c>
      <c r="D35" s="0" t="s">
        <v>946</v>
      </c>
      <c r="E35" s="68" t="s">
        <v>860</v>
      </c>
      <c r="F35" s="74" t="n">
        <v>1.6</v>
      </c>
      <c r="G35" s="74" t="n">
        <v>2.3</v>
      </c>
    </row>
    <row r="36" customFormat="false" ht="15" hidden="false" customHeight="false" outlineLevel="0" collapsed="false">
      <c r="A36" s="52" t="s">
        <v>950</v>
      </c>
      <c r="B36" s="52" t="s">
        <v>233</v>
      </c>
      <c r="C36" s="0" t="s">
        <v>951</v>
      </c>
      <c r="D36" s="0" t="s">
        <v>952</v>
      </c>
      <c r="E36" s="68" t="s">
        <v>860</v>
      </c>
      <c r="F36" s="74" t="n">
        <v>2.2</v>
      </c>
      <c r="G36" s="74" t="n">
        <v>2.4</v>
      </c>
    </row>
    <row r="37" customFormat="false" ht="15" hidden="false" customHeight="false" outlineLevel="0" collapsed="false">
      <c r="A37" s="52" t="s">
        <v>953</v>
      </c>
      <c r="B37" s="52" t="s">
        <v>954</v>
      </c>
      <c r="C37" s="0" t="s">
        <v>955</v>
      </c>
      <c r="D37" s="0" t="s">
        <v>952</v>
      </c>
      <c r="E37" s="68" t="s">
        <v>931</v>
      </c>
      <c r="F37" s="74" t="n">
        <v>1.6</v>
      </c>
      <c r="G37" s="74" t="n">
        <v>2.3</v>
      </c>
    </row>
    <row r="38" customFormat="false" ht="15" hidden="false" customHeight="false" outlineLevel="0" collapsed="false">
      <c r="A38" s="52" t="s">
        <v>956</v>
      </c>
      <c r="B38" s="52" t="s">
        <v>957</v>
      </c>
      <c r="C38" s="0" t="s">
        <v>958</v>
      </c>
      <c r="D38" s="0" t="s">
        <v>952</v>
      </c>
      <c r="E38" s="68" t="s">
        <v>931</v>
      </c>
      <c r="F38" s="74" t="n">
        <v>1.85</v>
      </c>
      <c r="G38" s="74" t="n">
        <v>2.35</v>
      </c>
    </row>
    <row r="39" customFormat="false" ht="15" hidden="false" customHeight="false" outlineLevel="0" collapsed="false">
      <c r="A39" s="52" t="s">
        <v>959</v>
      </c>
      <c r="B39" s="52" t="s">
        <v>960</v>
      </c>
      <c r="C39" s="0" t="s">
        <v>961</v>
      </c>
      <c r="D39" s="0" t="s">
        <v>952</v>
      </c>
      <c r="E39" s="68" t="s">
        <v>931</v>
      </c>
      <c r="F39" s="74" t="n">
        <v>1.85</v>
      </c>
      <c r="G39" s="74" t="n">
        <v>2.35</v>
      </c>
    </row>
    <row r="40" customFormat="false" ht="15" hidden="false" customHeight="false" outlineLevel="0" collapsed="false">
      <c r="A40" s="52" t="s">
        <v>962</v>
      </c>
      <c r="B40" s="52" t="s">
        <v>234</v>
      </c>
      <c r="C40" s="0" t="s">
        <v>963</v>
      </c>
      <c r="D40" s="0" t="s">
        <v>952</v>
      </c>
      <c r="E40" s="68" t="s">
        <v>860</v>
      </c>
      <c r="F40" s="74" t="n">
        <v>2.05</v>
      </c>
      <c r="G40" s="74" t="n">
        <v>2.4</v>
      </c>
    </row>
    <row r="41" customFormat="false" ht="15" hidden="false" customHeight="false" outlineLevel="0" collapsed="false">
      <c r="A41" s="52" t="s">
        <v>964</v>
      </c>
      <c r="B41" s="52" t="s">
        <v>348</v>
      </c>
      <c r="C41" s="0" t="s">
        <v>965</v>
      </c>
      <c r="D41" s="0" t="s">
        <v>952</v>
      </c>
      <c r="E41" s="68" t="s">
        <v>860</v>
      </c>
      <c r="F41" s="74" t="n">
        <v>2.05</v>
      </c>
      <c r="G41" s="74" t="n">
        <v>2.4</v>
      </c>
    </row>
    <row r="42" customFormat="false" ht="15" hidden="false" customHeight="false" outlineLevel="0" collapsed="false">
      <c r="A42" s="52" t="s">
        <v>966</v>
      </c>
      <c r="B42" s="52" t="s">
        <v>967</v>
      </c>
      <c r="C42" s="0" t="s">
        <v>968</v>
      </c>
      <c r="D42" s="0" t="s">
        <v>952</v>
      </c>
      <c r="E42" s="68" t="s">
        <v>869</v>
      </c>
      <c r="F42" s="74" t="n">
        <v>16</v>
      </c>
      <c r="G42" s="74" t="n">
        <v>1.75</v>
      </c>
    </row>
    <row r="43" customFormat="false" ht="15" hidden="false" customHeight="false" outlineLevel="0" collapsed="false">
      <c r="A43" s="52" t="s">
        <v>969</v>
      </c>
      <c r="B43" s="52" t="s">
        <v>970</v>
      </c>
      <c r="C43" s="0" t="s">
        <v>971</v>
      </c>
      <c r="D43" s="0" t="s">
        <v>952</v>
      </c>
      <c r="E43" s="68" t="s">
        <v>869</v>
      </c>
      <c r="F43" s="74" t="n">
        <v>16</v>
      </c>
      <c r="G43" s="74" t="n">
        <v>1.75</v>
      </c>
    </row>
    <row r="44" customFormat="false" ht="15" hidden="false" customHeight="false" outlineLevel="0" collapsed="false">
      <c r="A44" s="52" t="s">
        <v>972</v>
      </c>
      <c r="B44" s="52" t="s">
        <v>123</v>
      </c>
      <c r="C44" s="0" t="s">
        <v>973</v>
      </c>
      <c r="D44" s="0" t="s">
        <v>952</v>
      </c>
      <c r="E44" s="68" t="s">
        <v>860</v>
      </c>
      <c r="F44" s="74" t="n">
        <v>1.6</v>
      </c>
      <c r="G44" s="74" t="n">
        <v>2.3</v>
      </c>
    </row>
    <row r="45" customFormat="false" ht="15" hidden="false" customHeight="false" outlineLevel="0" collapsed="false">
      <c r="A45" s="52" t="s">
        <v>974</v>
      </c>
      <c r="B45" s="52" t="s">
        <v>235</v>
      </c>
      <c r="C45" s="0" t="s">
        <v>975</v>
      </c>
      <c r="D45" s="0" t="s">
        <v>952</v>
      </c>
      <c r="E45" s="68" t="s">
        <v>860</v>
      </c>
      <c r="F45" s="74" t="n">
        <v>1.6</v>
      </c>
      <c r="G45" s="74" t="n">
        <v>2.3</v>
      </c>
    </row>
    <row r="46" customFormat="false" ht="15" hidden="false" customHeight="false" outlineLevel="0" collapsed="false">
      <c r="A46" s="52" t="s">
        <v>976</v>
      </c>
      <c r="B46" s="52" t="s">
        <v>977</v>
      </c>
      <c r="C46" s="0" t="s">
        <v>978</v>
      </c>
      <c r="D46" s="0" t="s">
        <v>952</v>
      </c>
      <c r="E46" s="68" t="s">
        <v>860</v>
      </c>
      <c r="F46" s="74" t="n">
        <v>1.6</v>
      </c>
      <c r="G46" s="74" t="n">
        <v>2.3</v>
      </c>
    </row>
    <row r="47" customFormat="false" ht="15" hidden="false" customHeight="false" outlineLevel="0" collapsed="false">
      <c r="A47" s="52" t="s">
        <v>979</v>
      </c>
      <c r="B47" s="52" t="s">
        <v>980</v>
      </c>
      <c r="C47" s="0" t="s">
        <v>981</v>
      </c>
      <c r="D47" s="0" t="s">
        <v>952</v>
      </c>
      <c r="E47" s="68" t="s">
        <v>860</v>
      </c>
      <c r="F47" s="74" t="n">
        <v>1.6</v>
      </c>
      <c r="G47" s="74" t="n">
        <v>2.3</v>
      </c>
    </row>
    <row r="48" customFormat="false" ht="15" hidden="false" customHeight="false" outlineLevel="0" collapsed="false">
      <c r="A48" s="52" t="s">
        <v>982</v>
      </c>
      <c r="B48" s="52" t="s">
        <v>983</v>
      </c>
      <c r="C48" s="0" t="s">
        <v>984</v>
      </c>
      <c r="D48" s="0" t="s">
        <v>985</v>
      </c>
      <c r="E48" s="68" t="s">
        <v>869</v>
      </c>
      <c r="F48" s="74" t="n">
        <v>1.6</v>
      </c>
      <c r="G48" s="74" t="n">
        <v>1.95</v>
      </c>
    </row>
    <row r="49" customFormat="false" ht="15" hidden="false" customHeight="false" outlineLevel="0" collapsed="false">
      <c r="A49" s="52" t="s">
        <v>986</v>
      </c>
      <c r="B49" s="52" t="s">
        <v>987</v>
      </c>
      <c r="C49" s="0" t="s">
        <v>988</v>
      </c>
      <c r="D49" s="0" t="s">
        <v>985</v>
      </c>
      <c r="E49" s="68" t="s">
        <v>869</v>
      </c>
      <c r="F49" s="74" t="n">
        <v>1.6</v>
      </c>
      <c r="G49" s="74" t="n">
        <v>1.95</v>
      </c>
    </row>
    <row r="50" customFormat="false" ht="15" hidden="false" customHeight="false" outlineLevel="0" collapsed="false">
      <c r="A50" s="52" t="s">
        <v>989</v>
      </c>
      <c r="B50" s="52" t="s">
        <v>460</v>
      </c>
      <c r="C50" s="0" t="s">
        <v>990</v>
      </c>
      <c r="D50" s="0" t="s">
        <v>985</v>
      </c>
      <c r="E50" s="68" t="s">
        <v>869</v>
      </c>
      <c r="F50" s="74" t="n">
        <v>1.6</v>
      </c>
      <c r="G50" s="74" t="n">
        <v>1.95</v>
      </c>
    </row>
    <row r="51" customFormat="false" ht="15" hidden="false" customHeight="false" outlineLevel="0" collapsed="false">
      <c r="A51" s="52" t="s">
        <v>991</v>
      </c>
      <c r="B51" s="52" t="s">
        <v>462</v>
      </c>
      <c r="C51" s="0" t="s">
        <v>992</v>
      </c>
      <c r="D51" s="0" t="s">
        <v>993</v>
      </c>
      <c r="E51" s="68" t="s">
        <v>860</v>
      </c>
      <c r="F51" s="74" t="n">
        <v>1.6</v>
      </c>
      <c r="G51" s="74" t="n">
        <v>2.3</v>
      </c>
    </row>
    <row r="52" customFormat="false" ht="15" hidden="false" customHeight="false" outlineLevel="0" collapsed="false">
      <c r="A52" s="52" t="s">
        <v>994</v>
      </c>
      <c r="B52" s="52" t="s">
        <v>236</v>
      </c>
      <c r="C52" s="0" t="s">
        <v>995</v>
      </c>
      <c r="D52" s="0" t="s">
        <v>993</v>
      </c>
      <c r="E52" s="68" t="s">
        <v>860</v>
      </c>
      <c r="F52" s="74" t="n">
        <v>1.6</v>
      </c>
      <c r="G52" s="74" t="n">
        <v>2.3</v>
      </c>
    </row>
    <row r="53" customFormat="false" ht="15" hidden="false" customHeight="false" outlineLevel="0" collapsed="false">
      <c r="A53" s="52" t="s">
        <v>996</v>
      </c>
      <c r="B53" s="52" t="s">
        <v>124</v>
      </c>
      <c r="C53" s="0" t="s">
        <v>997</v>
      </c>
      <c r="D53" s="0" t="s">
        <v>993</v>
      </c>
      <c r="E53" s="68" t="s">
        <v>931</v>
      </c>
      <c r="F53" s="74" t="n">
        <v>1.8</v>
      </c>
      <c r="G53" s="74" t="n">
        <v>1.95</v>
      </c>
    </row>
    <row r="54" customFormat="false" ht="15" hidden="false" customHeight="false" outlineLevel="0" collapsed="false">
      <c r="A54" s="52" t="s">
        <v>998</v>
      </c>
      <c r="B54" s="52" t="s">
        <v>237</v>
      </c>
      <c r="C54" s="0" t="s">
        <v>999</v>
      </c>
      <c r="D54" s="0" t="s">
        <v>993</v>
      </c>
      <c r="E54" s="68" t="s">
        <v>931</v>
      </c>
      <c r="F54" s="74" t="n">
        <v>1.9</v>
      </c>
      <c r="G54" s="74" t="n">
        <v>2.4</v>
      </c>
    </row>
    <row r="55" customFormat="false" ht="15" hidden="false" customHeight="false" outlineLevel="0" collapsed="false">
      <c r="A55" s="52" t="s">
        <v>1000</v>
      </c>
      <c r="B55" s="52" t="s">
        <v>1001</v>
      </c>
      <c r="C55" s="0" t="s">
        <v>1002</v>
      </c>
      <c r="D55" s="0" t="s">
        <v>993</v>
      </c>
      <c r="E55" s="68" t="s">
        <v>860</v>
      </c>
      <c r="F55" s="74" t="n">
        <v>1.6</v>
      </c>
      <c r="G55" s="74" t="n">
        <v>2.3</v>
      </c>
    </row>
    <row r="56" customFormat="false" ht="15" hidden="false" customHeight="false" outlineLevel="0" collapsed="false">
      <c r="A56" s="52" t="s">
        <v>1003</v>
      </c>
      <c r="B56" s="52" t="s">
        <v>238</v>
      </c>
      <c r="C56" s="0" t="s">
        <v>1004</v>
      </c>
      <c r="D56" s="0" t="s">
        <v>993</v>
      </c>
      <c r="E56" s="68" t="s">
        <v>869</v>
      </c>
      <c r="F56" s="74" t="n">
        <v>1.6</v>
      </c>
      <c r="G56" s="74" t="n">
        <v>1.75</v>
      </c>
    </row>
    <row r="57" customFormat="false" ht="15" hidden="false" customHeight="false" outlineLevel="0" collapsed="false">
      <c r="A57" s="52" t="s">
        <v>1005</v>
      </c>
      <c r="B57" s="52" t="s">
        <v>125</v>
      </c>
      <c r="C57" s="0" t="s">
        <v>1006</v>
      </c>
      <c r="D57" s="0" t="s">
        <v>993</v>
      </c>
      <c r="E57" s="68" t="s">
        <v>860</v>
      </c>
      <c r="F57" s="74" t="n">
        <v>1.6</v>
      </c>
      <c r="G57" s="74" t="n">
        <v>2.3</v>
      </c>
    </row>
    <row r="58" customFormat="false" ht="15" hidden="false" customHeight="false" outlineLevel="0" collapsed="false">
      <c r="A58" s="52" t="s">
        <v>1007</v>
      </c>
      <c r="B58" s="52" t="s">
        <v>239</v>
      </c>
      <c r="C58" s="0" t="s">
        <v>1008</v>
      </c>
      <c r="D58" s="0" t="s">
        <v>993</v>
      </c>
      <c r="E58" s="68" t="s">
        <v>860</v>
      </c>
      <c r="F58" s="74" t="n">
        <v>1.6</v>
      </c>
      <c r="G58" s="74" t="n">
        <v>2.3</v>
      </c>
    </row>
    <row r="59" customFormat="false" ht="15" hidden="false" customHeight="false" outlineLevel="0" collapsed="false">
      <c r="A59" s="52" t="s">
        <v>1009</v>
      </c>
      <c r="B59" s="52" t="s">
        <v>1010</v>
      </c>
      <c r="C59" s="0" t="s">
        <v>1011</v>
      </c>
      <c r="D59" s="0" t="s">
        <v>993</v>
      </c>
      <c r="E59" s="68" t="s">
        <v>860</v>
      </c>
      <c r="F59" s="74" t="n">
        <v>2.05</v>
      </c>
      <c r="G59" s="74" t="n">
        <v>2.3</v>
      </c>
    </row>
    <row r="60" customFormat="false" ht="15" hidden="false" customHeight="false" outlineLevel="0" collapsed="false">
      <c r="A60" s="52" t="s">
        <v>1012</v>
      </c>
      <c r="B60" s="52" t="s">
        <v>1013</v>
      </c>
      <c r="C60" s="0" t="s">
        <v>1014</v>
      </c>
      <c r="D60" s="0" t="s">
        <v>993</v>
      </c>
      <c r="E60" s="68" t="s">
        <v>860</v>
      </c>
      <c r="F60" s="74" t="n">
        <v>2.05</v>
      </c>
      <c r="G60" s="74" t="n">
        <v>2.3</v>
      </c>
    </row>
    <row r="61" customFormat="false" ht="15" hidden="false" customHeight="false" outlineLevel="0" collapsed="false">
      <c r="A61" s="52" t="s">
        <v>1015</v>
      </c>
      <c r="B61" s="52" t="s">
        <v>471</v>
      </c>
      <c r="C61" s="0" t="s">
        <v>1016</v>
      </c>
      <c r="D61" s="0" t="s">
        <v>993</v>
      </c>
      <c r="E61" s="68" t="s">
        <v>860</v>
      </c>
      <c r="F61" s="74" t="n">
        <v>1.6</v>
      </c>
      <c r="G61" s="74" t="n">
        <v>2.3</v>
      </c>
    </row>
    <row r="62" customFormat="false" ht="15" hidden="false" customHeight="false" outlineLevel="0" collapsed="false">
      <c r="A62" s="52" t="s">
        <v>1017</v>
      </c>
      <c r="B62" s="52" t="s">
        <v>1018</v>
      </c>
      <c r="C62" s="0" t="s">
        <v>1019</v>
      </c>
      <c r="D62" s="0" t="s">
        <v>1020</v>
      </c>
      <c r="E62" s="68" t="s">
        <v>860</v>
      </c>
      <c r="F62" s="74" t="n">
        <v>1.6</v>
      </c>
      <c r="G62" s="74" t="n">
        <v>2.3</v>
      </c>
    </row>
    <row r="63" customFormat="false" ht="15" hidden="false" customHeight="false" outlineLevel="0" collapsed="false">
      <c r="A63" s="52" t="s">
        <v>1021</v>
      </c>
      <c r="B63" s="52" t="s">
        <v>1022</v>
      </c>
      <c r="C63" s="0" t="s">
        <v>1023</v>
      </c>
      <c r="D63" s="0" t="s">
        <v>1020</v>
      </c>
      <c r="E63" s="68" t="s">
        <v>860</v>
      </c>
      <c r="F63" s="74" t="n">
        <v>1.6</v>
      </c>
      <c r="G63" s="74" t="n">
        <v>2.3</v>
      </c>
    </row>
    <row r="64" customFormat="false" ht="15" hidden="false" customHeight="false" outlineLevel="0" collapsed="false">
      <c r="A64" s="52" t="s">
        <v>1024</v>
      </c>
      <c r="B64" s="52" t="s">
        <v>218</v>
      </c>
      <c r="C64" s="0" t="s">
        <v>1025</v>
      </c>
      <c r="D64" s="0" t="s">
        <v>1020</v>
      </c>
      <c r="E64" s="68" t="s">
        <v>860</v>
      </c>
      <c r="F64" s="74" t="n">
        <v>2.05</v>
      </c>
      <c r="G64" s="74" t="n">
        <v>2.3</v>
      </c>
    </row>
    <row r="65" customFormat="false" ht="15" hidden="false" customHeight="false" outlineLevel="0" collapsed="false">
      <c r="A65" s="52" t="s">
        <v>1026</v>
      </c>
      <c r="B65" s="52" t="s">
        <v>240</v>
      </c>
      <c r="C65" s="0" t="s">
        <v>1027</v>
      </c>
      <c r="D65" s="0" t="s">
        <v>1020</v>
      </c>
      <c r="E65" s="68" t="s">
        <v>860</v>
      </c>
      <c r="F65" s="74" t="n">
        <v>1.6</v>
      </c>
      <c r="G65" s="74" t="n">
        <v>2.3</v>
      </c>
    </row>
    <row r="66" customFormat="false" ht="15" hidden="false" customHeight="false" outlineLevel="0" collapsed="false">
      <c r="A66" s="52" t="s">
        <v>1028</v>
      </c>
      <c r="B66" s="52" t="s">
        <v>126</v>
      </c>
      <c r="C66" s="0" t="s">
        <v>1029</v>
      </c>
      <c r="D66" s="0" t="s">
        <v>1020</v>
      </c>
      <c r="E66" s="68" t="s">
        <v>860</v>
      </c>
      <c r="F66" s="74" t="n">
        <v>1.6</v>
      </c>
      <c r="G66" s="74" t="n">
        <v>2.3</v>
      </c>
    </row>
    <row r="67" customFormat="false" ht="15" hidden="false" customHeight="false" outlineLevel="0" collapsed="false">
      <c r="A67" s="52" t="s">
        <v>1030</v>
      </c>
      <c r="B67" s="52" t="s">
        <v>1031</v>
      </c>
      <c r="C67" s="0" t="s">
        <v>1032</v>
      </c>
      <c r="D67" s="0" t="s">
        <v>1020</v>
      </c>
      <c r="E67" s="68" t="s">
        <v>860</v>
      </c>
      <c r="F67" s="74" t="n">
        <v>1.6</v>
      </c>
      <c r="G67" s="74" t="n">
        <v>2.3</v>
      </c>
    </row>
    <row r="68" customFormat="false" ht="15" hidden="false" customHeight="false" outlineLevel="0" collapsed="false">
      <c r="A68" s="52" t="s">
        <v>1033</v>
      </c>
      <c r="B68" s="52" t="s">
        <v>241</v>
      </c>
      <c r="C68" s="0" t="s">
        <v>1034</v>
      </c>
      <c r="D68" s="0" t="s">
        <v>1020</v>
      </c>
      <c r="E68" s="68" t="s">
        <v>860</v>
      </c>
      <c r="F68" s="74" t="n">
        <v>1.6</v>
      </c>
      <c r="G68" s="74" t="n">
        <v>2.3</v>
      </c>
    </row>
    <row r="69" customFormat="false" ht="15" hidden="false" customHeight="false" outlineLevel="0" collapsed="false">
      <c r="A69" s="52" t="s">
        <v>1035</v>
      </c>
      <c r="B69" s="52" t="s">
        <v>1036</v>
      </c>
      <c r="C69" s="0" t="s">
        <v>1037</v>
      </c>
      <c r="D69" s="0" t="s">
        <v>1020</v>
      </c>
      <c r="E69" s="68" t="s">
        <v>860</v>
      </c>
      <c r="F69" s="74" t="n">
        <v>2.2</v>
      </c>
      <c r="G69" s="74" t="n">
        <v>2.4</v>
      </c>
    </row>
    <row r="70" customFormat="false" ht="15" hidden="false" customHeight="false" outlineLevel="0" collapsed="false">
      <c r="A70" s="52" t="s">
        <v>1038</v>
      </c>
      <c r="B70" s="52" t="s">
        <v>242</v>
      </c>
      <c r="C70" s="0" t="s">
        <v>1039</v>
      </c>
      <c r="D70" s="0" t="s">
        <v>1020</v>
      </c>
      <c r="E70" s="68" t="s">
        <v>860</v>
      </c>
      <c r="F70" s="74" t="n">
        <v>2.2</v>
      </c>
      <c r="G70" s="74" t="n">
        <v>2.4</v>
      </c>
    </row>
    <row r="71" customFormat="false" ht="15" hidden="false" customHeight="false" outlineLevel="0" collapsed="false">
      <c r="A71" s="52" t="s">
        <v>1040</v>
      </c>
      <c r="B71" s="52" t="s">
        <v>219</v>
      </c>
      <c r="C71" s="0" t="s">
        <v>1041</v>
      </c>
      <c r="D71" s="0" t="s">
        <v>1020</v>
      </c>
      <c r="E71" s="68" t="s">
        <v>860</v>
      </c>
      <c r="F71" s="74" t="n">
        <v>1.6</v>
      </c>
      <c r="G71" s="74" t="n">
        <v>2.3</v>
      </c>
    </row>
    <row r="72" customFormat="false" ht="15" hidden="false" customHeight="false" outlineLevel="0" collapsed="false">
      <c r="A72" s="75" t="s">
        <v>1042</v>
      </c>
      <c r="B72" s="52" t="s">
        <v>243</v>
      </c>
      <c r="C72" s="0" t="s">
        <v>1043</v>
      </c>
      <c r="D72" s="0" t="s">
        <v>1044</v>
      </c>
      <c r="E72" s="68" t="s">
        <v>860</v>
      </c>
      <c r="F72" s="74" t="n">
        <v>1.6</v>
      </c>
      <c r="G72" s="74" t="n">
        <v>2.3</v>
      </c>
    </row>
    <row r="73" customFormat="false" ht="15" hidden="false" customHeight="false" outlineLevel="0" collapsed="false">
      <c r="A73" s="75" t="s">
        <v>1045</v>
      </c>
      <c r="B73" s="52" t="s">
        <v>1046</v>
      </c>
      <c r="C73" s="0" t="s">
        <v>1047</v>
      </c>
      <c r="D73" s="0" t="s">
        <v>1044</v>
      </c>
      <c r="E73" s="68" t="s">
        <v>860</v>
      </c>
      <c r="F73" s="74" t="n">
        <v>1.6</v>
      </c>
      <c r="G73" s="74" t="n">
        <v>2.3</v>
      </c>
    </row>
    <row r="74" customFormat="false" ht="15" hidden="false" customHeight="false" outlineLevel="0" collapsed="false">
      <c r="A74" s="75" t="s">
        <v>1048</v>
      </c>
      <c r="B74" s="52" t="s">
        <v>1049</v>
      </c>
      <c r="C74" s="0" t="s">
        <v>1050</v>
      </c>
      <c r="D74" s="0" t="s">
        <v>1044</v>
      </c>
      <c r="E74" s="68" t="s">
        <v>860</v>
      </c>
      <c r="F74" s="74" t="n">
        <v>1.6</v>
      </c>
      <c r="G74" s="74" t="n">
        <v>2.3</v>
      </c>
    </row>
    <row r="75" customFormat="false" ht="15" hidden="false" customHeight="false" outlineLevel="0" collapsed="false">
      <c r="A75" s="75" t="s">
        <v>1051</v>
      </c>
      <c r="B75" s="52" t="s">
        <v>244</v>
      </c>
      <c r="C75" s="0" t="s">
        <v>1052</v>
      </c>
      <c r="D75" s="0" t="s">
        <v>1044</v>
      </c>
      <c r="E75" s="68" t="s">
        <v>869</v>
      </c>
      <c r="F75" s="74" t="n">
        <v>1.6</v>
      </c>
      <c r="G75" s="74" t="n">
        <v>1.8</v>
      </c>
    </row>
    <row r="76" customFormat="false" ht="15" hidden="false" customHeight="false" outlineLevel="0" collapsed="false">
      <c r="A76" s="75" t="s">
        <v>1053</v>
      </c>
      <c r="B76" s="52" t="s">
        <v>1054</v>
      </c>
      <c r="C76" s="0" t="s">
        <v>1055</v>
      </c>
      <c r="D76" s="0" t="s">
        <v>1044</v>
      </c>
      <c r="E76" s="68" t="s">
        <v>860</v>
      </c>
      <c r="F76" s="74" t="n">
        <v>1.6</v>
      </c>
      <c r="G76" s="74" t="n">
        <v>2.3</v>
      </c>
    </row>
    <row r="77" customFormat="false" ht="15" hidden="false" customHeight="false" outlineLevel="0" collapsed="false">
      <c r="A77" s="75" t="s">
        <v>1056</v>
      </c>
      <c r="B77" s="52" t="s">
        <v>1057</v>
      </c>
      <c r="C77" s="0" t="s">
        <v>1058</v>
      </c>
      <c r="D77" s="0" t="s">
        <v>1059</v>
      </c>
      <c r="E77" s="68" t="s">
        <v>860</v>
      </c>
      <c r="F77" s="74" t="n">
        <v>1.6</v>
      </c>
      <c r="G77" s="74" t="n">
        <v>2.3</v>
      </c>
    </row>
    <row r="78" customFormat="false" ht="15" hidden="false" customHeight="false" outlineLevel="0" collapsed="false">
      <c r="A78" s="75" t="s">
        <v>1060</v>
      </c>
      <c r="B78" s="52" t="s">
        <v>1061</v>
      </c>
      <c r="C78" s="0" t="s">
        <v>1062</v>
      </c>
      <c r="D78" s="0" t="s">
        <v>1059</v>
      </c>
      <c r="E78" s="68" t="s">
        <v>860</v>
      </c>
      <c r="F78" s="74" t="n">
        <v>1.6</v>
      </c>
      <c r="G78" s="74" t="n">
        <v>2.3</v>
      </c>
    </row>
    <row r="79" customFormat="false" ht="15" hidden="false" customHeight="false" outlineLevel="0" collapsed="false">
      <c r="A79" s="75" t="s">
        <v>1063</v>
      </c>
      <c r="B79" s="52" t="s">
        <v>1064</v>
      </c>
      <c r="C79" s="0" t="s">
        <v>1065</v>
      </c>
      <c r="D79" s="0" t="s">
        <v>1059</v>
      </c>
      <c r="E79" s="68" t="s">
        <v>860</v>
      </c>
      <c r="F79" s="74" t="n">
        <v>1.85</v>
      </c>
      <c r="G79" s="74" t="n">
        <v>2.3</v>
      </c>
    </row>
    <row r="80" customFormat="false" ht="15" hidden="false" customHeight="false" outlineLevel="0" collapsed="false">
      <c r="A80" s="75" t="s">
        <v>1066</v>
      </c>
      <c r="B80" s="52" t="s">
        <v>127</v>
      </c>
      <c r="C80" s="0" t="s">
        <v>1067</v>
      </c>
      <c r="D80" s="0" t="s">
        <v>1059</v>
      </c>
      <c r="E80" s="68" t="s">
        <v>869</v>
      </c>
      <c r="F80" s="74" t="n">
        <v>1.6</v>
      </c>
      <c r="G80" s="74" t="n">
        <v>1.9</v>
      </c>
    </row>
    <row r="81" customFormat="false" ht="15" hidden="false" customHeight="false" outlineLevel="0" collapsed="false">
      <c r="A81" s="75" t="s">
        <v>1068</v>
      </c>
      <c r="B81" s="52" t="s">
        <v>245</v>
      </c>
      <c r="C81" s="0" t="s">
        <v>1069</v>
      </c>
      <c r="D81" s="0" t="s">
        <v>1059</v>
      </c>
      <c r="E81" s="68" t="s">
        <v>860</v>
      </c>
      <c r="F81" s="74" t="n">
        <v>1.85</v>
      </c>
      <c r="G81" s="74" t="n">
        <v>2.3</v>
      </c>
    </row>
    <row r="82" customFormat="false" ht="15" hidden="false" customHeight="false" outlineLevel="0" collapsed="false">
      <c r="A82" s="75" t="s">
        <v>1070</v>
      </c>
      <c r="B82" s="52" t="s">
        <v>1071</v>
      </c>
      <c r="C82" s="0" t="s">
        <v>1072</v>
      </c>
      <c r="D82" s="0" t="s">
        <v>1059</v>
      </c>
      <c r="E82" s="68" t="s">
        <v>860</v>
      </c>
      <c r="F82" s="74" t="n">
        <v>1.6</v>
      </c>
      <c r="G82" s="74" t="n">
        <v>2.3</v>
      </c>
    </row>
    <row r="83" customFormat="false" ht="15" hidden="false" customHeight="false" outlineLevel="0" collapsed="false">
      <c r="A83" s="75" t="s">
        <v>1073</v>
      </c>
      <c r="B83" s="52" t="s">
        <v>1074</v>
      </c>
      <c r="C83" s="0" t="s">
        <v>1075</v>
      </c>
      <c r="D83" s="0" t="s">
        <v>1076</v>
      </c>
      <c r="E83" s="68" t="s">
        <v>860</v>
      </c>
      <c r="F83" s="74" t="n">
        <v>1.6</v>
      </c>
      <c r="G83" s="74" t="n">
        <v>2.3</v>
      </c>
    </row>
    <row r="84" customFormat="false" ht="15" hidden="false" customHeight="false" outlineLevel="0" collapsed="false">
      <c r="A84" s="75" t="s">
        <v>1077</v>
      </c>
      <c r="B84" s="52" t="s">
        <v>128</v>
      </c>
      <c r="C84" s="0" t="s">
        <v>1078</v>
      </c>
      <c r="D84" s="0" t="s">
        <v>1079</v>
      </c>
      <c r="E84" s="68" t="s">
        <v>931</v>
      </c>
      <c r="F84" s="74" t="n">
        <v>1.85</v>
      </c>
      <c r="G84" s="74" t="n">
        <v>2.15</v>
      </c>
    </row>
    <row r="85" customFormat="false" ht="15" hidden="false" customHeight="false" outlineLevel="0" collapsed="false">
      <c r="A85" s="75" t="s">
        <v>1080</v>
      </c>
      <c r="B85" s="52" t="s">
        <v>246</v>
      </c>
      <c r="C85" s="0" t="s">
        <v>1081</v>
      </c>
      <c r="D85" s="0" t="s">
        <v>1079</v>
      </c>
      <c r="E85" s="68" t="s">
        <v>869</v>
      </c>
      <c r="F85" s="74" t="n">
        <v>1.6</v>
      </c>
      <c r="G85" s="74" t="n">
        <v>1.75</v>
      </c>
    </row>
    <row r="86" customFormat="false" ht="15" hidden="false" customHeight="false" outlineLevel="0" collapsed="false">
      <c r="A86" s="75" t="s">
        <v>1082</v>
      </c>
      <c r="B86" s="52" t="s">
        <v>247</v>
      </c>
      <c r="C86" s="0" t="s">
        <v>1083</v>
      </c>
      <c r="D86" s="0" t="s">
        <v>1079</v>
      </c>
      <c r="E86" s="68" t="s">
        <v>931</v>
      </c>
      <c r="F86" s="74" t="n">
        <v>1.85</v>
      </c>
      <c r="G86" s="74" t="n">
        <v>2.15</v>
      </c>
    </row>
    <row r="87" customFormat="false" ht="15" hidden="false" customHeight="false" outlineLevel="0" collapsed="false">
      <c r="A87" s="75" t="s">
        <v>1084</v>
      </c>
      <c r="B87" s="52" t="s">
        <v>129</v>
      </c>
      <c r="C87" s="0" t="s">
        <v>1085</v>
      </c>
      <c r="D87" s="0" t="s">
        <v>1079</v>
      </c>
      <c r="E87" s="68" t="s">
        <v>860</v>
      </c>
      <c r="F87" s="74" t="n">
        <v>2.1</v>
      </c>
      <c r="G87" s="74" t="n">
        <v>2.25</v>
      </c>
    </row>
    <row r="88" customFormat="false" ht="15" hidden="false" customHeight="false" outlineLevel="0" collapsed="false">
      <c r="A88" s="75" t="s">
        <v>1086</v>
      </c>
      <c r="B88" s="52" t="s">
        <v>1087</v>
      </c>
      <c r="C88" s="0" t="s">
        <v>1088</v>
      </c>
      <c r="D88" s="0" t="s">
        <v>1089</v>
      </c>
      <c r="E88" s="68" t="s">
        <v>860</v>
      </c>
      <c r="F88" s="74" t="n">
        <v>1.6</v>
      </c>
      <c r="G88" s="74" t="n">
        <v>2.3</v>
      </c>
    </row>
    <row r="89" customFormat="false" ht="15" hidden="false" customHeight="false" outlineLevel="0" collapsed="false">
      <c r="A89" s="75" t="s">
        <v>1090</v>
      </c>
      <c r="B89" s="52" t="s">
        <v>248</v>
      </c>
      <c r="C89" s="0" t="s">
        <v>1091</v>
      </c>
      <c r="D89" s="0" t="s">
        <v>1089</v>
      </c>
      <c r="E89" s="68" t="s">
        <v>860</v>
      </c>
      <c r="F89" s="74" t="n">
        <v>1.6</v>
      </c>
      <c r="G89" s="74" t="n">
        <v>2.3</v>
      </c>
    </row>
    <row r="90" customFormat="false" ht="15" hidden="false" customHeight="false" outlineLevel="0" collapsed="false">
      <c r="A90" s="75" t="s">
        <v>1092</v>
      </c>
      <c r="B90" s="52" t="s">
        <v>130</v>
      </c>
      <c r="C90" s="0" t="s">
        <v>1093</v>
      </c>
      <c r="D90" s="0" t="s">
        <v>1089</v>
      </c>
      <c r="E90" s="68" t="s">
        <v>860</v>
      </c>
      <c r="F90" s="74" t="n">
        <v>1.95</v>
      </c>
      <c r="G90" s="74" t="n">
        <v>2.4</v>
      </c>
    </row>
    <row r="91" customFormat="false" ht="15" hidden="false" customHeight="false" outlineLevel="0" collapsed="false">
      <c r="A91" s="75" t="s">
        <v>1094</v>
      </c>
      <c r="B91" s="52" t="s">
        <v>249</v>
      </c>
      <c r="C91" s="0" t="s">
        <v>1095</v>
      </c>
      <c r="D91" s="0" t="s">
        <v>1089</v>
      </c>
      <c r="E91" s="68" t="s">
        <v>860</v>
      </c>
      <c r="F91" s="74" t="n">
        <v>1.6</v>
      </c>
      <c r="G91" s="74" t="n">
        <v>2.3</v>
      </c>
    </row>
    <row r="92" customFormat="false" ht="15" hidden="false" customHeight="false" outlineLevel="0" collapsed="false">
      <c r="A92" s="75" t="s">
        <v>1096</v>
      </c>
      <c r="B92" s="52" t="s">
        <v>1097</v>
      </c>
      <c r="C92" s="0" t="s">
        <v>1098</v>
      </c>
      <c r="D92" s="0" t="s">
        <v>1099</v>
      </c>
      <c r="E92" s="68" t="s">
        <v>869</v>
      </c>
      <c r="F92" s="74" t="n">
        <v>1.6</v>
      </c>
      <c r="G92" s="74" t="n">
        <v>1.65</v>
      </c>
    </row>
    <row r="93" customFormat="false" ht="15" hidden="false" customHeight="false" outlineLevel="0" collapsed="false">
      <c r="A93" s="75" t="s">
        <v>1100</v>
      </c>
      <c r="B93" s="52" t="s">
        <v>250</v>
      </c>
      <c r="C93" s="0" t="s">
        <v>1101</v>
      </c>
      <c r="D93" s="0" t="s">
        <v>1099</v>
      </c>
      <c r="E93" s="68" t="s">
        <v>860</v>
      </c>
      <c r="F93" s="74" t="n">
        <v>1.6</v>
      </c>
      <c r="G93" s="74" t="n">
        <v>2.3</v>
      </c>
    </row>
    <row r="94" customFormat="false" ht="15" hidden="false" customHeight="false" outlineLevel="0" collapsed="false">
      <c r="A94" s="75" t="s">
        <v>1102</v>
      </c>
      <c r="B94" s="52" t="s">
        <v>131</v>
      </c>
      <c r="C94" s="0" t="s">
        <v>1103</v>
      </c>
      <c r="D94" s="0" t="s">
        <v>1099</v>
      </c>
      <c r="E94" s="68" t="s">
        <v>860</v>
      </c>
      <c r="F94" s="74" t="n">
        <v>1.6</v>
      </c>
      <c r="G94" s="74" t="n">
        <v>2.3</v>
      </c>
    </row>
    <row r="95" customFormat="false" ht="15" hidden="false" customHeight="false" outlineLevel="0" collapsed="false">
      <c r="A95" s="75" t="s">
        <v>1104</v>
      </c>
      <c r="B95" s="52" t="s">
        <v>251</v>
      </c>
      <c r="C95" s="0" t="s">
        <v>1105</v>
      </c>
      <c r="D95" s="0" t="s">
        <v>1099</v>
      </c>
      <c r="E95" s="68" t="s">
        <v>860</v>
      </c>
      <c r="F95" s="74" t="n">
        <v>1.6</v>
      </c>
      <c r="G95" s="74" t="n">
        <v>2.3</v>
      </c>
    </row>
    <row r="96" customFormat="false" ht="15" hidden="false" customHeight="false" outlineLevel="0" collapsed="false">
      <c r="A96" s="75" t="s">
        <v>1106</v>
      </c>
      <c r="B96" s="52" t="s">
        <v>496</v>
      </c>
      <c r="C96" s="0" t="s">
        <v>1107</v>
      </c>
      <c r="D96" s="0" t="s">
        <v>1099</v>
      </c>
      <c r="E96" s="68" t="s">
        <v>860</v>
      </c>
      <c r="F96" s="74" t="n">
        <v>1.6</v>
      </c>
      <c r="G96" s="74" t="n">
        <v>2.3</v>
      </c>
    </row>
    <row r="97" customFormat="false" ht="15" hidden="false" customHeight="false" outlineLevel="0" collapsed="false">
      <c r="A97" s="75" t="s">
        <v>1108</v>
      </c>
      <c r="B97" s="52" t="s">
        <v>252</v>
      </c>
      <c r="C97" s="0" t="s">
        <v>1109</v>
      </c>
      <c r="D97" s="0" t="s">
        <v>1099</v>
      </c>
      <c r="E97" s="68" t="s">
        <v>860</v>
      </c>
      <c r="F97" s="74" t="n">
        <v>1.6</v>
      </c>
      <c r="G97" s="74" t="n">
        <v>2.3</v>
      </c>
    </row>
    <row r="98" customFormat="false" ht="15" hidden="false" customHeight="false" outlineLevel="0" collapsed="false">
      <c r="A98" s="75" t="s">
        <v>1110</v>
      </c>
      <c r="B98" s="52" t="s">
        <v>1111</v>
      </c>
      <c r="C98" s="0" t="s">
        <v>1112</v>
      </c>
      <c r="D98" s="0" t="s">
        <v>1113</v>
      </c>
      <c r="E98" s="68" t="s">
        <v>931</v>
      </c>
      <c r="F98" s="74" t="n">
        <v>1.65</v>
      </c>
      <c r="G98" s="74" t="n">
        <v>2.4</v>
      </c>
    </row>
    <row r="99" customFormat="false" ht="15" hidden="false" customHeight="false" outlineLevel="0" collapsed="false">
      <c r="A99" s="75" t="s">
        <v>1114</v>
      </c>
      <c r="B99" s="52" t="s">
        <v>253</v>
      </c>
      <c r="C99" s="0" t="s">
        <v>1115</v>
      </c>
      <c r="D99" s="0" t="s">
        <v>1116</v>
      </c>
      <c r="E99" s="68" t="s">
        <v>860</v>
      </c>
      <c r="F99" s="74" t="n">
        <v>1.6</v>
      </c>
      <c r="G99" s="74" t="n">
        <v>2.3</v>
      </c>
    </row>
    <row r="100" customFormat="false" ht="15" hidden="false" customHeight="false" outlineLevel="0" collapsed="false">
      <c r="A100" s="75" t="s">
        <v>1117</v>
      </c>
      <c r="B100" s="52" t="s">
        <v>1118</v>
      </c>
      <c r="C100" s="0" t="s">
        <v>1119</v>
      </c>
      <c r="D100" s="0" t="s">
        <v>1116</v>
      </c>
      <c r="E100" s="68" t="s">
        <v>860</v>
      </c>
      <c r="F100" s="74" t="n">
        <v>1.6</v>
      </c>
      <c r="G100" s="74" t="n">
        <v>2.3</v>
      </c>
    </row>
    <row r="101" customFormat="false" ht="15" hidden="false" customHeight="false" outlineLevel="0" collapsed="false">
      <c r="A101" s="75" t="s">
        <v>1120</v>
      </c>
      <c r="B101" s="52" t="s">
        <v>132</v>
      </c>
      <c r="C101" s="0" t="s">
        <v>1121</v>
      </c>
      <c r="D101" s="0" t="s">
        <v>1116</v>
      </c>
      <c r="E101" s="68" t="s">
        <v>931</v>
      </c>
      <c r="F101" s="74" t="n">
        <v>1.8</v>
      </c>
      <c r="G101" s="74" t="n">
        <v>2.15</v>
      </c>
    </row>
    <row r="102" customFormat="false" ht="15" hidden="false" customHeight="false" outlineLevel="0" collapsed="false">
      <c r="A102" s="75" t="s">
        <v>1122</v>
      </c>
      <c r="B102" s="52" t="s">
        <v>1123</v>
      </c>
      <c r="C102" s="0" t="s">
        <v>1124</v>
      </c>
      <c r="D102" s="0" t="s">
        <v>1116</v>
      </c>
      <c r="E102" s="68" t="s">
        <v>931</v>
      </c>
      <c r="F102" s="74" t="n">
        <v>1.8</v>
      </c>
      <c r="G102" s="74" t="n">
        <v>2.15</v>
      </c>
    </row>
    <row r="103" customFormat="false" ht="15" hidden="false" customHeight="false" outlineLevel="0" collapsed="false">
      <c r="A103" s="75" t="s">
        <v>1125</v>
      </c>
      <c r="B103" s="52" t="s">
        <v>1126</v>
      </c>
      <c r="C103" s="0" t="s">
        <v>1127</v>
      </c>
      <c r="D103" s="0" t="s">
        <v>1116</v>
      </c>
      <c r="E103" s="68" t="s">
        <v>860</v>
      </c>
      <c r="F103" s="74" t="n">
        <v>1.9</v>
      </c>
      <c r="G103" s="74" t="n">
        <v>2.15</v>
      </c>
    </row>
    <row r="104" customFormat="false" ht="15" hidden="false" customHeight="false" outlineLevel="0" collapsed="false">
      <c r="A104" s="75" t="s">
        <v>1128</v>
      </c>
      <c r="B104" s="52" t="s">
        <v>133</v>
      </c>
      <c r="C104" s="0" t="s">
        <v>1129</v>
      </c>
      <c r="D104" s="0" t="s">
        <v>1116</v>
      </c>
      <c r="E104" s="68" t="s">
        <v>860</v>
      </c>
      <c r="F104" s="74" t="n">
        <v>1.9</v>
      </c>
      <c r="G104" s="74" t="n">
        <v>2.15</v>
      </c>
    </row>
    <row r="105" customFormat="false" ht="15" hidden="false" customHeight="false" outlineLevel="0" collapsed="false">
      <c r="A105" s="75" t="s">
        <v>1130</v>
      </c>
      <c r="B105" s="52" t="s">
        <v>254</v>
      </c>
      <c r="C105" s="0" t="s">
        <v>1131</v>
      </c>
      <c r="D105" s="0" t="s">
        <v>1116</v>
      </c>
      <c r="E105" s="68" t="s">
        <v>860</v>
      </c>
      <c r="F105" s="74" t="n">
        <v>1.6</v>
      </c>
      <c r="G105" s="74" t="n">
        <v>2.3</v>
      </c>
    </row>
    <row r="106" customFormat="false" ht="15" hidden="false" customHeight="false" outlineLevel="0" collapsed="false">
      <c r="A106" s="75" t="s">
        <v>1132</v>
      </c>
      <c r="B106" s="52" t="s">
        <v>1133</v>
      </c>
      <c r="C106" s="0" t="s">
        <v>1134</v>
      </c>
      <c r="D106" s="0" t="s">
        <v>1116</v>
      </c>
      <c r="E106" s="68" t="s">
        <v>860</v>
      </c>
      <c r="F106" s="74" t="n">
        <v>1.9</v>
      </c>
      <c r="G106" s="74" t="n">
        <v>2.15</v>
      </c>
    </row>
    <row r="107" customFormat="false" ht="15" hidden="false" customHeight="false" outlineLevel="0" collapsed="false">
      <c r="A107" s="75" t="s">
        <v>1135</v>
      </c>
      <c r="B107" s="52" t="s">
        <v>1136</v>
      </c>
      <c r="C107" s="0" t="s">
        <v>1137</v>
      </c>
      <c r="D107" s="0" t="s">
        <v>1116</v>
      </c>
      <c r="E107" s="68" t="s">
        <v>869</v>
      </c>
      <c r="F107" s="74" t="n">
        <v>1.6</v>
      </c>
      <c r="G107" s="74" t="n">
        <v>1.75</v>
      </c>
    </row>
    <row r="108" customFormat="false" ht="15" hidden="false" customHeight="false" outlineLevel="0" collapsed="false">
      <c r="A108" s="75" t="s">
        <v>1138</v>
      </c>
      <c r="B108" s="52" t="s">
        <v>504</v>
      </c>
      <c r="C108" s="0" t="s">
        <v>1139</v>
      </c>
      <c r="D108" s="0" t="s">
        <v>1116</v>
      </c>
      <c r="E108" s="68" t="s">
        <v>860</v>
      </c>
      <c r="F108" s="74" t="n">
        <v>1.6</v>
      </c>
      <c r="G108" s="74" t="n">
        <v>2.3</v>
      </c>
    </row>
    <row r="109" customFormat="false" ht="15" hidden="false" customHeight="false" outlineLevel="0" collapsed="false">
      <c r="A109" s="75" t="s">
        <v>1140</v>
      </c>
      <c r="B109" s="52" t="s">
        <v>1141</v>
      </c>
      <c r="C109" s="0" t="s">
        <v>1142</v>
      </c>
      <c r="D109" s="0" t="s">
        <v>1143</v>
      </c>
      <c r="E109" s="68" t="s">
        <v>860</v>
      </c>
      <c r="F109" s="74" t="n">
        <v>1.6</v>
      </c>
      <c r="G109" s="74" t="n">
        <v>2.3</v>
      </c>
    </row>
    <row r="110" customFormat="false" ht="15" hidden="false" customHeight="false" outlineLevel="0" collapsed="false">
      <c r="A110" s="75" t="s">
        <v>1144</v>
      </c>
      <c r="B110" s="52" t="s">
        <v>1145</v>
      </c>
      <c r="C110" s="0" t="s">
        <v>1146</v>
      </c>
      <c r="D110" s="0" t="s">
        <v>1143</v>
      </c>
      <c r="E110" s="68" t="s">
        <v>860</v>
      </c>
      <c r="F110" s="74" t="n">
        <v>1.6</v>
      </c>
      <c r="G110" s="74" t="n">
        <v>2.3</v>
      </c>
    </row>
    <row r="111" customFormat="false" ht="15" hidden="false" customHeight="false" outlineLevel="0" collapsed="false">
      <c r="A111" s="75" t="s">
        <v>1147</v>
      </c>
      <c r="B111" s="52" t="s">
        <v>255</v>
      </c>
      <c r="C111" s="0" t="s">
        <v>1148</v>
      </c>
      <c r="D111" s="0" t="s">
        <v>1143</v>
      </c>
      <c r="E111" s="68" t="s">
        <v>860</v>
      </c>
      <c r="F111" s="74" t="n">
        <v>1.6</v>
      </c>
      <c r="G111" s="74" t="n">
        <v>2.3</v>
      </c>
    </row>
    <row r="112" customFormat="false" ht="15" hidden="false" customHeight="false" outlineLevel="0" collapsed="false">
      <c r="A112" s="75" t="s">
        <v>1149</v>
      </c>
      <c r="B112" s="52" t="s">
        <v>510</v>
      </c>
      <c r="C112" s="0" t="s">
        <v>1150</v>
      </c>
      <c r="D112" s="0" t="s">
        <v>1143</v>
      </c>
      <c r="E112" s="68" t="s">
        <v>860</v>
      </c>
      <c r="F112" s="74" t="n">
        <v>1.6</v>
      </c>
      <c r="G112" s="74" t="n">
        <v>2.3</v>
      </c>
    </row>
    <row r="113" customFormat="false" ht="15" hidden="false" customHeight="false" outlineLevel="0" collapsed="false">
      <c r="A113" s="75" t="s">
        <v>1151</v>
      </c>
      <c r="B113" s="52" t="s">
        <v>1152</v>
      </c>
      <c r="C113" s="0" t="s">
        <v>1153</v>
      </c>
      <c r="D113" s="0" t="s">
        <v>1143</v>
      </c>
      <c r="E113" s="68" t="s">
        <v>860</v>
      </c>
      <c r="F113" s="74" t="n">
        <v>1.6</v>
      </c>
      <c r="G113" s="74" t="n">
        <v>2.3</v>
      </c>
    </row>
    <row r="114" customFormat="false" ht="15" hidden="false" customHeight="false" outlineLevel="0" collapsed="false">
      <c r="A114" s="75" t="s">
        <v>1154</v>
      </c>
      <c r="B114" s="52" t="s">
        <v>512</v>
      </c>
      <c r="C114" s="0" t="s">
        <v>1155</v>
      </c>
      <c r="D114" s="0" t="s">
        <v>1143</v>
      </c>
      <c r="E114" s="68" t="s">
        <v>860</v>
      </c>
      <c r="F114" s="74" t="n">
        <v>1.6</v>
      </c>
      <c r="G114" s="74" t="n">
        <v>2.3</v>
      </c>
    </row>
    <row r="115" customFormat="false" ht="15" hidden="false" customHeight="false" outlineLevel="0" collapsed="false">
      <c r="A115" s="75" t="s">
        <v>1156</v>
      </c>
      <c r="B115" s="52" t="s">
        <v>1157</v>
      </c>
      <c r="C115" s="0" t="s">
        <v>1158</v>
      </c>
      <c r="D115" s="0" t="s">
        <v>1143</v>
      </c>
      <c r="E115" s="68" t="s">
        <v>860</v>
      </c>
      <c r="F115" s="74" t="n">
        <v>1.6</v>
      </c>
      <c r="G115" s="74" t="n">
        <v>2.3</v>
      </c>
    </row>
    <row r="116" customFormat="false" ht="15" hidden="false" customHeight="false" outlineLevel="0" collapsed="false">
      <c r="A116" s="75" t="s">
        <v>1159</v>
      </c>
      <c r="B116" s="52" t="s">
        <v>134</v>
      </c>
      <c r="C116" s="0" t="s">
        <v>1160</v>
      </c>
      <c r="D116" s="0" t="s">
        <v>1143</v>
      </c>
      <c r="E116" s="68" t="s">
        <v>931</v>
      </c>
      <c r="F116" s="74" t="n">
        <v>1.9</v>
      </c>
      <c r="G116" s="74" t="n">
        <v>2.2</v>
      </c>
    </row>
    <row r="117" customFormat="false" ht="15" hidden="false" customHeight="false" outlineLevel="0" collapsed="false">
      <c r="A117" s="75" t="s">
        <v>1161</v>
      </c>
      <c r="B117" s="52" t="s">
        <v>256</v>
      </c>
      <c r="C117" s="0" t="s">
        <v>1162</v>
      </c>
      <c r="D117" s="0" t="s">
        <v>1143</v>
      </c>
      <c r="E117" s="68" t="s">
        <v>869</v>
      </c>
      <c r="F117" s="74" t="n">
        <v>1.6</v>
      </c>
      <c r="G117" s="74" t="n">
        <v>1.75</v>
      </c>
    </row>
    <row r="118" customFormat="false" ht="15" hidden="false" customHeight="false" outlineLevel="0" collapsed="false">
      <c r="A118" s="75" t="s">
        <v>1163</v>
      </c>
      <c r="B118" s="52" t="s">
        <v>515</v>
      </c>
      <c r="C118" s="0" t="s">
        <v>1164</v>
      </c>
      <c r="D118" s="0" t="s">
        <v>1143</v>
      </c>
      <c r="E118" s="68" t="s">
        <v>869</v>
      </c>
      <c r="F118" s="74" t="n">
        <v>1.6</v>
      </c>
      <c r="G118" s="74" t="n">
        <v>1.75</v>
      </c>
    </row>
    <row r="119" customFormat="false" ht="15" hidden="false" customHeight="false" outlineLevel="0" collapsed="false">
      <c r="A119" s="75" t="s">
        <v>1165</v>
      </c>
      <c r="B119" s="52" t="s">
        <v>343</v>
      </c>
      <c r="C119" s="0" t="s">
        <v>1166</v>
      </c>
      <c r="D119" s="0" t="s">
        <v>1143</v>
      </c>
      <c r="E119" s="68" t="s">
        <v>931</v>
      </c>
      <c r="F119" s="74" t="n">
        <v>1.8</v>
      </c>
      <c r="G119" s="74" t="n">
        <v>2.15</v>
      </c>
    </row>
    <row r="120" customFormat="false" ht="15" hidden="false" customHeight="false" outlineLevel="0" collapsed="false">
      <c r="A120" s="75" t="s">
        <v>1167</v>
      </c>
      <c r="B120" s="52" t="s">
        <v>135</v>
      </c>
      <c r="C120" s="0" t="s">
        <v>1168</v>
      </c>
      <c r="D120" s="0" t="s">
        <v>1143</v>
      </c>
      <c r="E120" s="68" t="s">
        <v>931</v>
      </c>
      <c r="F120" s="74" t="n">
        <v>1.7</v>
      </c>
      <c r="G120" s="74" t="n">
        <v>1.95</v>
      </c>
    </row>
    <row r="121" customFormat="false" ht="15" hidden="false" customHeight="false" outlineLevel="0" collapsed="false">
      <c r="A121" s="75" t="s">
        <v>1169</v>
      </c>
      <c r="B121" s="52" t="s">
        <v>257</v>
      </c>
      <c r="C121" s="0" t="s">
        <v>1170</v>
      </c>
      <c r="D121" s="0" t="s">
        <v>1171</v>
      </c>
      <c r="E121" s="68" t="s">
        <v>860</v>
      </c>
      <c r="F121" s="74" t="n">
        <v>1.6</v>
      </c>
      <c r="G121" s="74" t="n">
        <v>2.3</v>
      </c>
    </row>
    <row r="122" customFormat="false" ht="15" hidden="false" customHeight="false" outlineLevel="0" collapsed="false">
      <c r="A122" s="75" t="s">
        <v>1172</v>
      </c>
      <c r="B122" s="52" t="s">
        <v>1173</v>
      </c>
      <c r="C122" s="0" t="s">
        <v>1170</v>
      </c>
      <c r="D122" s="0" t="s">
        <v>1171</v>
      </c>
      <c r="E122" s="68" t="s">
        <v>860</v>
      </c>
      <c r="F122" s="74" t="n">
        <v>1.6</v>
      </c>
      <c r="G122" s="74" t="n">
        <v>2.3</v>
      </c>
    </row>
    <row r="123" customFormat="false" ht="15" hidden="false" customHeight="false" outlineLevel="0" collapsed="false">
      <c r="A123" s="75" t="s">
        <v>1174</v>
      </c>
      <c r="B123" s="52" t="s">
        <v>1175</v>
      </c>
      <c r="C123" s="0" t="s">
        <v>1176</v>
      </c>
      <c r="D123" s="0" t="s">
        <v>1177</v>
      </c>
      <c r="E123" s="68" t="s">
        <v>860</v>
      </c>
      <c r="F123" s="74" t="n">
        <v>1.6</v>
      </c>
      <c r="G123" s="74" t="n">
        <v>2.3</v>
      </c>
    </row>
    <row r="124" customFormat="false" ht="15" hidden="false" customHeight="false" outlineLevel="0" collapsed="false">
      <c r="A124" s="75" t="s">
        <v>1178</v>
      </c>
      <c r="B124" s="52" t="s">
        <v>136</v>
      </c>
      <c r="C124" s="0" t="s">
        <v>1179</v>
      </c>
      <c r="D124" s="0" t="s">
        <v>1180</v>
      </c>
      <c r="E124" s="68" t="s">
        <v>860</v>
      </c>
      <c r="F124" s="74" t="n">
        <v>1.6</v>
      </c>
      <c r="G124" s="74" t="n">
        <v>2.3</v>
      </c>
    </row>
    <row r="125" customFormat="false" ht="15" hidden="false" customHeight="false" outlineLevel="0" collapsed="false">
      <c r="A125" s="52" t="s">
        <v>1181</v>
      </c>
      <c r="B125" s="52" t="s">
        <v>137</v>
      </c>
      <c r="C125" s="0" t="s">
        <v>1182</v>
      </c>
      <c r="D125" s="0" t="s">
        <v>1183</v>
      </c>
      <c r="E125" s="68" t="s">
        <v>869</v>
      </c>
      <c r="F125" s="74" t="n">
        <v>1.6</v>
      </c>
      <c r="G125" s="74" t="n">
        <v>1.75</v>
      </c>
    </row>
    <row r="126" customFormat="false" ht="15" hidden="false" customHeight="false" outlineLevel="0" collapsed="false">
      <c r="A126" s="52" t="s">
        <v>1184</v>
      </c>
      <c r="B126" s="52" t="s">
        <v>258</v>
      </c>
      <c r="C126" s="0" t="s">
        <v>1182</v>
      </c>
      <c r="D126" s="0" t="s">
        <v>1183</v>
      </c>
      <c r="E126" s="68" t="s">
        <v>869</v>
      </c>
      <c r="F126" s="74" t="n">
        <v>1.6</v>
      </c>
      <c r="G126" s="74" t="n">
        <v>1.75</v>
      </c>
    </row>
    <row r="127" customFormat="false" ht="15" hidden="false" customHeight="false" outlineLevel="0" collapsed="false">
      <c r="A127" s="52" t="s">
        <v>1185</v>
      </c>
      <c r="B127" s="52" t="s">
        <v>342</v>
      </c>
      <c r="C127" s="0" t="s">
        <v>1186</v>
      </c>
      <c r="D127" s="0" t="s">
        <v>1183</v>
      </c>
      <c r="E127" s="68" t="s">
        <v>869</v>
      </c>
      <c r="F127" s="74" t="n">
        <v>1.6</v>
      </c>
      <c r="G127" s="74" t="n">
        <v>1.75</v>
      </c>
    </row>
    <row r="128" customFormat="false" ht="15" hidden="false" customHeight="false" outlineLevel="0" collapsed="false">
      <c r="A128" s="52" t="s">
        <v>1187</v>
      </c>
      <c r="B128" s="52" t="s">
        <v>1188</v>
      </c>
      <c r="C128" s="0" t="s">
        <v>1189</v>
      </c>
      <c r="D128" s="0" t="s">
        <v>1183</v>
      </c>
      <c r="E128" s="68" t="s">
        <v>931</v>
      </c>
      <c r="F128" s="74" t="n">
        <v>1.8</v>
      </c>
      <c r="G128" s="74" t="n">
        <v>2.1</v>
      </c>
    </row>
    <row r="129" customFormat="false" ht="15" hidden="false" customHeight="false" outlineLevel="0" collapsed="false">
      <c r="A129" s="52" t="s">
        <v>1190</v>
      </c>
      <c r="B129" s="52" t="s">
        <v>138</v>
      </c>
      <c r="C129" s="0" t="s">
        <v>1191</v>
      </c>
      <c r="D129" s="0" t="s">
        <v>1183</v>
      </c>
      <c r="E129" s="68" t="s">
        <v>931</v>
      </c>
      <c r="F129" s="74" t="n">
        <v>1.8</v>
      </c>
      <c r="G129" s="74" t="n">
        <v>2.2</v>
      </c>
    </row>
    <row r="130" customFormat="false" ht="15" hidden="false" customHeight="false" outlineLevel="0" collapsed="false">
      <c r="A130" s="52" t="s">
        <v>1192</v>
      </c>
      <c r="B130" s="52" t="s">
        <v>259</v>
      </c>
      <c r="C130" s="0" t="s">
        <v>1191</v>
      </c>
      <c r="D130" s="0" t="s">
        <v>1183</v>
      </c>
      <c r="E130" s="68" t="s">
        <v>931</v>
      </c>
      <c r="F130" s="74" t="n">
        <v>1.8</v>
      </c>
      <c r="G130" s="74" t="n">
        <v>2.2</v>
      </c>
    </row>
    <row r="131" customFormat="false" ht="15" hidden="false" customHeight="false" outlineLevel="0" collapsed="false">
      <c r="A131" s="52" t="s">
        <v>1193</v>
      </c>
      <c r="B131" s="52" t="s">
        <v>521</v>
      </c>
      <c r="C131" s="0" t="s">
        <v>1194</v>
      </c>
      <c r="D131" s="0" t="s">
        <v>1183</v>
      </c>
      <c r="E131" s="68" t="s">
        <v>931</v>
      </c>
      <c r="F131" s="74" t="n">
        <v>1.8</v>
      </c>
      <c r="G131" s="74" t="n">
        <v>2.2</v>
      </c>
    </row>
    <row r="132" customFormat="false" ht="15" hidden="false" customHeight="false" outlineLevel="0" collapsed="false">
      <c r="A132" s="52" t="s">
        <v>1195</v>
      </c>
      <c r="B132" s="52" t="s">
        <v>1196</v>
      </c>
      <c r="C132" s="0" t="s">
        <v>1194</v>
      </c>
      <c r="D132" s="0" t="s">
        <v>1183</v>
      </c>
      <c r="E132" s="68" t="s">
        <v>931</v>
      </c>
      <c r="F132" s="74" t="n">
        <v>1.8</v>
      </c>
      <c r="G132" s="74" t="n">
        <v>2.2</v>
      </c>
    </row>
    <row r="133" customFormat="false" ht="15" hidden="false" customHeight="false" outlineLevel="0" collapsed="false">
      <c r="A133" s="52" t="s">
        <v>1197</v>
      </c>
      <c r="B133" s="52" t="s">
        <v>139</v>
      </c>
      <c r="C133" s="0" t="s">
        <v>1198</v>
      </c>
      <c r="D133" s="0" t="s">
        <v>1183</v>
      </c>
      <c r="E133" s="68" t="s">
        <v>869</v>
      </c>
      <c r="F133" s="74" t="n">
        <v>1.6</v>
      </c>
      <c r="G133" s="74" t="n">
        <v>2.2</v>
      </c>
    </row>
    <row r="134" customFormat="false" ht="15" hidden="false" customHeight="false" outlineLevel="0" collapsed="false">
      <c r="A134" s="52" t="s">
        <v>1199</v>
      </c>
      <c r="B134" s="52" t="s">
        <v>260</v>
      </c>
      <c r="C134" s="0" t="s">
        <v>1200</v>
      </c>
      <c r="D134" s="0" t="s">
        <v>1183</v>
      </c>
      <c r="E134" s="68" t="s">
        <v>869</v>
      </c>
      <c r="F134" s="74" t="n">
        <v>1.6</v>
      </c>
      <c r="G134" s="74" t="n">
        <v>1.75</v>
      </c>
    </row>
    <row r="135" customFormat="false" ht="15" hidden="false" customHeight="false" outlineLevel="0" collapsed="false">
      <c r="A135" s="52" t="s">
        <v>1201</v>
      </c>
      <c r="B135" s="52" t="s">
        <v>140</v>
      </c>
      <c r="C135" s="0" t="s">
        <v>1202</v>
      </c>
      <c r="D135" s="0" t="s">
        <v>1183</v>
      </c>
      <c r="E135" s="68" t="s">
        <v>869</v>
      </c>
      <c r="F135" s="74" t="n">
        <v>1.6</v>
      </c>
      <c r="G135" s="74" t="n">
        <v>2.2</v>
      </c>
    </row>
    <row r="136" customFormat="false" ht="15" hidden="false" customHeight="false" outlineLevel="0" collapsed="false">
      <c r="A136" s="52" t="s">
        <v>1203</v>
      </c>
      <c r="B136" s="52" t="s">
        <v>261</v>
      </c>
      <c r="C136" s="0" t="s">
        <v>1204</v>
      </c>
      <c r="D136" s="0" t="s">
        <v>1183</v>
      </c>
      <c r="E136" s="68" t="s">
        <v>869</v>
      </c>
      <c r="F136" s="74" t="n">
        <v>1.6</v>
      </c>
      <c r="G136" s="74" t="n">
        <v>2.2</v>
      </c>
    </row>
    <row r="137" customFormat="false" ht="15" hidden="false" customHeight="false" outlineLevel="0" collapsed="false">
      <c r="A137" s="52" t="s">
        <v>1205</v>
      </c>
      <c r="B137" s="52" t="s">
        <v>525</v>
      </c>
      <c r="C137" s="0" t="s">
        <v>1206</v>
      </c>
      <c r="D137" s="0" t="s">
        <v>1207</v>
      </c>
      <c r="E137" s="68" t="s">
        <v>869</v>
      </c>
      <c r="F137" s="74" t="n">
        <v>1.6</v>
      </c>
      <c r="G137" s="74" t="n">
        <v>2.15</v>
      </c>
    </row>
    <row r="138" customFormat="false" ht="15" hidden="false" customHeight="false" outlineLevel="0" collapsed="false">
      <c r="A138" s="52" t="s">
        <v>1208</v>
      </c>
      <c r="B138" s="52" t="s">
        <v>262</v>
      </c>
      <c r="C138" s="0" t="s">
        <v>1206</v>
      </c>
      <c r="D138" s="0" t="s">
        <v>1207</v>
      </c>
      <c r="E138" s="68" t="s">
        <v>869</v>
      </c>
      <c r="F138" s="74" t="n">
        <v>1.6</v>
      </c>
      <c r="G138" s="74" t="n">
        <v>2.15</v>
      </c>
    </row>
    <row r="139" customFormat="false" ht="15" hidden="false" customHeight="false" outlineLevel="0" collapsed="false">
      <c r="A139" s="52" t="s">
        <v>1209</v>
      </c>
      <c r="B139" s="52" t="s">
        <v>141</v>
      </c>
      <c r="C139" s="0" t="s">
        <v>1206</v>
      </c>
      <c r="D139" s="0" t="s">
        <v>1207</v>
      </c>
      <c r="E139" s="68" t="s">
        <v>869</v>
      </c>
      <c r="F139" s="74" t="n">
        <v>1.6</v>
      </c>
      <c r="G139" s="74" t="n">
        <v>2.15</v>
      </c>
    </row>
    <row r="140" customFormat="false" ht="15" hidden="false" customHeight="false" outlineLevel="0" collapsed="false">
      <c r="A140" s="52" t="s">
        <v>1210</v>
      </c>
      <c r="B140" s="52" t="s">
        <v>263</v>
      </c>
      <c r="C140" s="0" t="s">
        <v>1211</v>
      </c>
      <c r="D140" s="0" t="s">
        <v>1207</v>
      </c>
      <c r="E140" s="68" t="s">
        <v>869</v>
      </c>
      <c r="F140" s="74" t="n">
        <v>1.6</v>
      </c>
      <c r="G140" s="74" t="n">
        <v>2.15</v>
      </c>
    </row>
    <row r="141" customFormat="false" ht="15" hidden="false" customHeight="false" outlineLevel="0" collapsed="false">
      <c r="A141" s="52" t="s">
        <v>1212</v>
      </c>
      <c r="B141" s="52" t="s">
        <v>264</v>
      </c>
      <c r="C141" s="0" t="s">
        <v>1206</v>
      </c>
      <c r="D141" s="0" t="s">
        <v>1207</v>
      </c>
      <c r="E141" s="68" t="s">
        <v>869</v>
      </c>
      <c r="F141" s="74" t="n">
        <v>1.6</v>
      </c>
      <c r="G141" s="74" t="n">
        <v>2.15</v>
      </c>
    </row>
    <row r="142" customFormat="false" ht="15" hidden="false" customHeight="false" outlineLevel="0" collapsed="false">
      <c r="A142" s="52" t="s">
        <v>1213</v>
      </c>
      <c r="B142" s="52" t="s">
        <v>1214</v>
      </c>
      <c r="C142" s="0" t="s">
        <v>1206</v>
      </c>
      <c r="D142" s="0" t="s">
        <v>1207</v>
      </c>
      <c r="E142" s="68" t="s">
        <v>869</v>
      </c>
      <c r="F142" s="74" t="n">
        <v>1.6</v>
      </c>
      <c r="G142" s="74" t="n">
        <v>2.15</v>
      </c>
    </row>
    <row r="143" customFormat="false" ht="15" hidden="false" customHeight="false" outlineLevel="0" collapsed="false">
      <c r="A143" s="52" t="s">
        <v>1215</v>
      </c>
      <c r="B143" s="52" t="s">
        <v>1216</v>
      </c>
      <c r="C143" s="0" t="s">
        <v>1217</v>
      </c>
      <c r="D143" s="0" t="s">
        <v>1207</v>
      </c>
      <c r="E143" s="68" t="s">
        <v>869</v>
      </c>
      <c r="F143" s="74" t="n">
        <v>1.6</v>
      </c>
      <c r="G143" s="74" t="n">
        <v>2.15</v>
      </c>
    </row>
    <row r="144" customFormat="false" ht="15" hidden="false" customHeight="false" outlineLevel="0" collapsed="false">
      <c r="A144" s="52" t="s">
        <v>1218</v>
      </c>
      <c r="B144" s="52" t="s">
        <v>530</v>
      </c>
      <c r="C144" s="0" t="s">
        <v>1219</v>
      </c>
      <c r="D144" s="0" t="s">
        <v>1207</v>
      </c>
      <c r="E144" s="68" t="s">
        <v>869</v>
      </c>
      <c r="F144" s="74" t="n">
        <v>1.6</v>
      </c>
      <c r="G144" s="74" t="n">
        <v>2.15</v>
      </c>
    </row>
    <row r="145" customFormat="false" ht="15" hidden="false" customHeight="false" outlineLevel="0" collapsed="false">
      <c r="A145" s="52" t="s">
        <v>1220</v>
      </c>
      <c r="B145" s="52" t="s">
        <v>265</v>
      </c>
      <c r="C145" s="0" t="s">
        <v>1221</v>
      </c>
      <c r="D145" s="0" t="s">
        <v>1113</v>
      </c>
      <c r="E145" s="68" t="s">
        <v>931</v>
      </c>
      <c r="F145" s="74" t="n">
        <v>1.8</v>
      </c>
      <c r="G145" s="74" t="n">
        <v>2.25</v>
      </c>
    </row>
    <row r="146" customFormat="false" ht="15" hidden="false" customHeight="false" outlineLevel="0" collapsed="false">
      <c r="A146" s="52" t="s">
        <v>1222</v>
      </c>
      <c r="B146" s="52" t="s">
        <v>1223</v>
      </c>
      <c r="C146" s="0" t="s">
        <v>1221</v>
      </c>
      <c r="D146" s="0" t="s">
        <v>1113</v>
      </c>
      <c r="E146" s="68" t="s">
        <v>931</v>
      </c>
      <c r="F146" s="74" t="n">
        <v>1.8</v>
      </c>
      <c r="G146" s="74" t="n">
        <v>2.25</v>
      </c>
    </row>
    <row r="147" customFormat="false" ht="15" hidden="false" customHeight="false" outlineLevel="0" collapsed="false">
      <c r="A147" s="52" t="s">
        <v>1224</v>
      </c>
      <c r="B147" s="52" t="s">
        <v>532</v>
      </c>
      <c r="C147" s="0" t="s">
        <v>1225</v>
      </c>
      <c r="D147" s="0" t="s">
        <v>1113</v>
      </c>
      <c r="E147" s="68" t="s">
        <v>931</v>
      </c>
      <c r="F147" s="74" t="n">
        <v>1.8</v>
      </c>
      <c r="G147" s="74" t="n">
        <v>2.25</v>
      </c>
    </row>
    <row r="148" customFormat="false" ht="15" hidden="false" customHeight="false" outlineLevel="0" collapsed="false">
      <c r="A148" s="52" t="s">
        <v>1226</v>
      </c>
      <c r="B148" s="52" t="s">
        <v>266</v>
      </c>
      <c r="C148" s="0" t="s">
        <v>1227</v>
      </c>
      <c r="D148" s="0" t="s">
        <v>1113</v>
      </c>
      <c r="E148" s="68" t="s">
        <v>931</v>
      </c>
      <c r="F148" s="74" t="n">
        <v>1.8</v>
      </c>
      <c r="G148" s="74" t="n">
        <v>2.25</v>
      </c>
    </row>
    <row r="149" customFormat="false" ht="15" hidden="false" customHeight="false" outlineLevel="0" collapsed="false">
      <c r="A149" s="52" t="s">
        <v>1228</v>
      </c>
      <c r="B149" s="52" t="s">
        <v>142</v>
      </c>
      <c r="C149" s="0" t="s">
        <v>1229</v>
      </c>
      <c r="D149" s="0" t="s">
        <v>1113</v>
      </c>
      <c r="E149" s="68" t="s">
        <v>869</v>
      </c>
      <c r="F149" s="74" t="n">
        <v>1.6</v>
      </c>
      <c r="G149" s="74" t="n">
        <v>1.95</v>
      </c>
    </row>
    <row r="150" customFormat="false" ht="15" hidden="false" customHeight="false" outlineLevel="0" collapsed="false">
      <c r="A150" s="52" t="s">
        <v>1230</v>
      </c>
      <c r="B150" s="52" t="s">
        <v>267</v>
      </c>
      <c r="C150" s="0" t="s">
        <v>1231</v>
      </c>
      <c r="D150" s="0" t="s">
        <v>1113</v>
      </c>
      <c r="E150" s="68" t="s">
        <v>931</v>
      </c>
      <c r="F150" s="74" t="n">
        <v>1.8</v>
      </c>
      <c r="G150" s="74" t="n">
        <v>2.25</v>
      </c>
    </row>
    <row r="151" customFormat="false" ht="15" hidden="false" customHeight="false" outlineLevel="0" collapsed="false">
      <c r="A151" s="52" t="s">
        <v>1232</v>
      </c>
      <c r="B151" s="52" t="s">
        <v>1233</v>
      </c>
      <c r="C151" s="0" t="s">
        <v>1231</v>
      </c>
      <c r="D151" s="0" t="s">
        <v>1113</v>
      </c>
      <c r="E151" s="68" t="s">
        <v>931</v>
      </c>
      <c r="F151" s="74" t="n">
        <v>1.8</v>
      </c>
      <c r="G151" s="74" t="n">
        <v>2.25</v>
      </c>
    </row>
    <row r="152" customFormat="false" ht="15" hidden="false" customHeight="false" outlineLevel="0" collapsed="false">
      <c r="A152" s="52" t="s">
        <v>1234</v>
      </c>
      <c r="B152" s="52" t="s">
        <v>1235</v>
      </c>
      <c r="C152" s="0" t="s">
        <v>1236</v>
      </c>
      <c r="D152" s="0" t="s">
        <v>1113</v>
      </c>
      <c r="E152" s="68" t="s">
        <v>869</v>
      </c>
      <c r="F152" s="74" t="n">
        <v>1.6</v>
      </c>
      <c r="G152" s="74" t="n">
        <v>1.95</v>
      </c>
    </row>
    <row r="153" customFormat="false" ht="15" hidden="false" customHeight="false" outlineLevel="0" collapsed="false">
      <c r="A153" s="52" t="s">
        <v>1237</v>
      </c>
      <c r="B153" s="52" t="s">
        <v>1238</v>
      </c>
      <c r="C153" s="0" t="s">
        <v>1236</v>
      </c>
      <c r="D153" s="0" t="s">
        <v>1113</v>
      </c>
      <c r="E153" s="68" t="s">
        <v>869</v>
      </c>
      <c r="F153" s="74" t="n">
        <v>1.6</v>
      </c>
      <c r="G153" s="74" t="n">
        <v>1.95</v>
      </c>
    </row>
    <row r="154" customFormat="false" ht="15" hidden="false" customHeight="false" outlineLevel="0" collapsed="false">
      <c r="A154" s="52" t="s">
        <v>1239</v>
      </c>
      <c r="B154" s="52" t="s">
        <v>143</v>
      </c>
      <c r="C154" s="0" t="s">
        <v>1240</v>
      </c>
      <c r="D154" s="0" t="s">
        <v>1113</v>
      </c>
      <c r="E154" s="68" t="s">
        <v>931</v>
      </c>
      <c r="F154" s="74" t="n">
        <v>1.8</v>
      </c>
      <c r="G154" s="74" t="n">
        <v>2.25</v>
      </c>
    </row>
    <row r="155" customFormat="false" ht="15" hidden="false" customHeight="false" outlineLevel="0" collapsed="false">
      <c r="A155" s="52" t="s">
        <v>1241</v>
      </c>
      <c r="B155" s="52" t="s">
        <v>268</v>
      </c>
      <c r="C155" s="0" t="s">
        <v>1242</v>
      </c>
      <c r="D155" s="0" t="s">
        <v>1113</v>
      </c>
      <c r="E155" s="68" t="s">
        <v>931</v>
      </c>
      <c r="F155" s="74" t="n">
        <v>1.65</v>
      </c>
      <c r="G155" s="74" t="n">
        <v>2.4</v>
      </c>
    </row>
    <row r="156" customFormat="false" ht="15" hidden="false" customHeight="false" outlineLevel="0" collapsed="false">
      <c r="A156" s="52" t="s">
        <v>1243</v>
      </c>
      <c r="B156" s="52" t="s">
        <v>144</v>
      </c>
      <c r="C156" s="0" t="s">
        <v>1244</v>
      </c>
      <c r="D156" s="0" t="s">
        <v>1113</v>
      </c>
      <c r="E156" s="68" t="s">
        <v>869</v>
      </c>
      <c r="F156" s="74" t="n">
        <v>1.6</v>
      </c>
      <c r="G156" s="74" t="n">
        <v>1.65</v>
      </c>
    </row>
    <row r="157" customFormat="false" ht="15" hidden="false" customHeight="false" outlineLevel="0" collapsed="false">
      <c r="A157" s="52" t="s">
        <v>1245</v>
      </c>
      <c r="B157" s="52" t="s">
        <v>269</v>
      </c>
      <c r="C157" s="0" t="s">
        <v>1244</v>
      </c>
      <c r="D157" s="0" t="s">
        <v>1113</v>
      </c>
      <c r="E157" s="68" t="s">
        <v>869</v>
      </c>
      <c r="F157" s="74" t="n">
        <v>1.6</v>
      </c>
      <c r="G157" s="74" t="n">
        <v>1.65</v>
      </c>
    </row>
    <row r="158" customFormat="false" ht="15" hidden="false" customHeight="false" outlineLevel="0" collapsed="false">
      <c r="A158" s="52" t="s">
        <v>1246</v>
      </c>
      <c r="B158" s="52" t="s">
        <v>1247</v>
      </c>
      <c r="C158" s="0" t="s">
        <v>1248</v>
      </c>
      <c r="D158" s="0" t="s">
        <v>1113</v>
      </c>
      <c r="E158" s="68" t="s">
        <v>931</v>
      </c>
      <c r="F158" s="74" t="n">
        <v>1.8</v>
      </c>
      <c r="G158" s="74" t="n">
        <v>2.25</v>
      </c>
    </row>
    <row r="159" customFormat="false" ht="15" hidden="false" customHeight="false" outlineLevel="0" collapsed="false">
      <c r="A159" s="52" t="s">
        <v>1249</v>
      </c>
      <c r="B159" s="52" t="s">
        <v>1250</v>
      </c>
      <c r="C159" s="0" t="s">
        <v>1251</v>
      </c>
      <c r="D159" s="0" t="s">
        <v>1252</v>
      </c>
      <c r="E159" s="68" t="s">
        <v>931</v>
      </c>
      <c r="F159" s="74" t="n">
        <v>1.6</v>
      </c>
      <c r="G159" s="74" t="n">
        <v>2.25</v>
      </c>
    </row>
    <row r="160" customFormat="false" ht="15" hidden="false" customHeight="false" outlineLevel="0" collapsed="false">
      <c r="A160" s="52" t="s">
        <v>1253</v>
      </c>
      <c r="B160" s="52" t="s">
        <v>145</v>
      </c>
      <c r="C160" s="0" t="s">
        <v>1252</v>
      </c>
      <c r="D160" s="0" t="s">
        <v>1252</v>
      </c>
      <c r="E160" s="68" t="s">
        <v>931</v>
      </c>
      <c r="F160" s="74" t="n">
        <v>1.6</v>
      </c>
      <c r="G160" s="74" t="n">
        <v>2.25</v>
      </c>
    </row>
    <row r="161" customFormat="false" ht="15" hidden="false" customHeight="false" outlineLevel="0" collapsed="false">
      <c r="A161" s="52" t="s">
        <v>1254</v>
      </c>
      <c r="B161" s="52" t="s">
        <v>270</v>
      </c>
      <c r="C161" s="0" t="s">
        <v>1252</v>
      </c>
      <c r="D161" s="0" t="s">
        <v>1252</v>
      </c>
      <c r="E161" s="68" t="s">
        <v>931</v>
      </c>
      <c r="F161" s="74" t="n">
        <v>1.6</v>
      </c>
      <c r="G161" s="74" t="n">
        <v>2.25</v>
      </c>
    </row>
    <row r="162" customFormat="false" ht="15" hidden="false" customHeight="false" outlineLevel="0" collapsed="false">
      <c r="A162" s="52" t="s">
        <v>1255</v>
      </c>
      <c r="B162" s="52" t="s">
        <v>1256</v>
      </c>
      <c r="C162" s="0" t="s">
        <v>1257</v>
      </c>
      <c r="D162" s="0" t="s">
        <v>1252</v>
      </c>
      <c r="E162" s="68" t="s">
        <v>869</v>
      </c>
      <c r="F162" s="74" t="n">
        <v>1.6</v>
      </c>
      <c r="G162" s="74" t="n">
        <v>2</v>
      </c>
    </row>
    <row r="163" customFormat="false" ht="15" hidden="false" customHeight="false" outlineLevel="0" collapsed="false">
      <c r="A163" s="52" t="s">
        <v>1258</v>
      </c>
      <c r="B163" s="52" t="s">
        <v>1259</v>
      </c>
      <c r="C163" s="0" t="s">
        <v>1257</v>
      </c>
      <c r="D163" s="0" t="s">
        <v>1252</v>
      </c>
      <c r="E163" s="68" t="s">
        <v>869</v>
      </c>
      <c r="F163" s="74" t="n">
        <v>1.6</v>
      </c>
      <c r="G163" s="74" t="n">
        <v>2</v>
      </c>
    </row>
    <row r="164" customFormat="false" ht="15" hidden="false" customHeight="false" outlineLevel="0" collapsed="false">
      <c r="A164" s="52" t="s">
        <v>1260</v>
      </c>
      <c r="B164" s="52" t="s">
        <v>146</v>
      </c>
      <c r="C164" s="0" t="s">
        <v>1261</v>
      </c>
      <c r="D164" s="0" t="s">
        <v>1252</v>
      </c>
      <c r="E164" s="68" t="s">
        <v>931</v>
      </c>
      <c r="F164" s="74" t="n">
        <v>1.6</v>
      </c>
      <c r="G164" s="74" t="n">
        <v>2.25</v>
      </c>
    </row>
    <row r="165" customFormat="false" ht="15" hidden="false" customHeight="false" outlineLevel="0" collapsed="false">
      <c r="A165" s="52" t="s">
        <v>1262</v>
      </c>
      <c r="B165" s="52" t="s">
        <v>271</v>
      </c>
      <c r="C165" s="0" t="s">
        <v>1263</v>
      </c>
      <c r="D165" s="0" t="s">
        <v>1264</v>
      </c>
      <c r="E165" s="68" t="s">
        <v>1265</v>
      </c>
      <c r="F165" s="74" t="n">
        <v>1.6</v>
      </c>
      <c r="G165" s="74" t="n">
        <v>1.65</v>
      </c>
    </row>
    <row r="166" customFormat="false" ht="15" hidden="false" customHeight="false" outlineLevel="0" collapsed="false">
      <c r="A166" s="52" t="s">
        <v>1266</v>
      </c>
      <c r="B166" s="52" t="s">
        <v>147</v>
      </c>
      <c r="C166" s="0" t="s">
        <v>1267</v>
      </c>
      <c r="D166" s="0" t="s">
        <v>1264</v>
      </c>
      <c r="E166" s="68" t="s">
        <v>869</v>
      </c>
      <c r="F166" s="74" t="n">
        <v>1.6</v>
      </c>
      <c r="G166" s="74" t="n">
        <v>1.85</v>
      </c>
    </row>
    <row r="167" customFormat="false" ht="15" hidden="false" customHeight="false" outlineLevel="0" collapsed="false">
      <c r="A167" s="52" t="s">
        <v>1268</v>
      </c>
      <c r="B167" s="52" t="s">
        <v>148</v>
      </c>
      <c r="C167" s="0" t="s">
        <v>1269</v>
      </c>
      <c r="D167" s="0" t="s">
        <v>1264</v>
      </c>
      <c r="E167" s="68" t="s">
        <v>869</v>
      </c>
      <c r="F167" s="74" t="n">
        <v>1.6</v>
      </c>
      <c r="G167" s="74" t="n">
        <v>1.85</v>
      </c>
    </row>
    <row r="168" customFormat="false" ht="15" hidden="false" customHeight="false" outlineLevel="0" collapsed="false">
      <c r="A168" s="52" t="s">
        <v>1270</v>
      </c>
      <c r="B168" s="52" t="s">
        <v>272</v>
      </c>
      <c r="C168" s="0" t="s">
        <v>1271</v>
      </c>
      <c r="D168" s="0" t="s">
        <v>1264</v>
      </c>
      <c r="E168" s="68" t="s">
        <v>869</v>
      </c>
      <c r="F168" s="74" t="n">
        <v>1.6</v>
      </c>
      <c r="G168" s="74" t="n">
        <v>1.85</v>
      </c>
    </row>
    <row r="169" customFormat="false" ht="15" hidden="false" customHeight="false" outlineLevel="0" collapsed="false">
      <c r="A169" s="52" t="s">
        <v>1272</v>
      </c>
      <c r="B169" s="52" t="s">
        <v>149</v>
      </c>
      <c r="C169" s="0" t="s">
        <v>1271</v>
      </c>
      <c r="D169" s="0" t="s">
        <v>1264</v>
      </c>
      <c r="E169" s="68" t="s">
        <v>869</v>
      </c>
      <c r="F169" s="74" t="n">
        <v>1.6</v>
      </c>
      <c r="G169" s="74" t="n">
        <v>1.85</v>
      </c>
    </row>
    <row r="170" customFormat="false" ht="15" hidden="false" customHeight="false" outlineLevel="0" collapsed="false">
      <c r="A170" s="52" t="s">
        <v>1273</v>
      </c>
      <c r="B170" s="52" t="s">
        <v>542</v>
      </c>
      <c r="C170" s="0" t="s">
        <v>1274</v>
      </c>
      <c r="D170" s="0" t="s">
        <v>1264</v>
      </c>
      <c r="E170" s="68" t="s">
        <v>931</v>
      </c>
      <c r="F170" s="74" t="n">
        <v>1.8</v>
      </c>
      <c r="G170" s="74" t="n">
        <v>2.15</v>
      </c>
    </row>
    <row r="171" customFormat="false" ht="15" hidden="false" customHeight="false" outlineLevel="0" collapsed="false">
      <c r="A171" s="52" t="s">
        <v>1275</v>
      </c>
      <c r="B171" s="52" t="s">
        <v>273</v>
      </c>
      <c r="C171" s="0" t="s">
        <v>1274</v>
      </c>
      <c r="D171" s="0" t="s">
        <v>1264</v>
      </c>
      <c r="E171" s="68" t="s">
        <v>931</v>
      </c>
      <c r="F171" s="74" t="n">
        <v>1.6</v>
      </c>
      <c r="G171" s="74" t="n">
        <v>1.85</v>
      </c>
    </row>
    <row r="172" customFormat="false" ht="15" hidden="false" customHeight="false" outlineLevel="0" collapsed="false">
      <c r="A172" s="52" t="s">
        <v>1276</v>
      </c>
      <c r="B172" s="52" t="s">
        <v>1277</v>
      </c>
      <c r="C172" s="0" t="s">
        <v>1278</v>
      </c>
      <c r="D172" s="0" t="s">
        <v>1264</v>
      </c>
      <c r="E172" s="68" t="s">
        <v>869</v>
      </c>
      <c r="F172" s="74" t="n">
        <v>1.6</v>
      </c>
      <c r="G172" s="74" t="n">
        <v>1.85</v>
      </c>
    </row>
    <row r="173" customFormat="false" ht="15" hidden="false" customHeight="false" outlineLevel="0" collapsed="false">
      <c r="A173" s="52" t="s">
        <v>1279</v>
      </c>
      <c r="B173" s="52" t="s">
        <v>1280</v>
      </c>
      <c r="C173" s="0" t="s">
        <v>1278</v>
      </c>
      <c r="D173" s="0" t="s">
        <v>1264</v>
      </c>
      <c r="E173" s="68" t="s">
        <v>869</v>
      </c>
      <c r="F173" s="74" t="n">
        <v>1.6</v>
      </c>
      <c r="G173" s="74" t="n">
        <v>1.85</v>
      </c>
    </row>
    <row r="174" customFormat="false" ht="15" hidden="false" customHeight="false" outlineLevel="0" collapsed="false">
      <c r="A174" s="52" t="s">
        <v>1281</v>
      </c>
      <c r="B174" s="52" t="s">
        <v>150</v>
      </c>
      <c r="C174" s="0" t="s">
        <v>1278</v>
      </c>
      <c r="D174" s="0" t="s">
        <v>1264</v>
      </c>
      <c r="E174" s="68" t="s">
        <v>869</v>
      </c>
      <c r="F174" s="74" t="n">
        <v>1.6</v>
      </c>
      <c r="G174" s="74" t="n">
        <v>1.85</v>
      </c>
    </row>
    <row r="175" customFormat="false" ht="15" hidden="false" customHeight="false" outlineLevel="0" collapsed="false">
      <c r="A175" s="52" t="s">
        <v>1282</v>
      </c>
      <c r="B175" s="52" t="s">
        <v>274</v>
      </c>
      <c r="C175" s="0" t="s">
        <v>1278</v>
      </c>
      <c r="D175" s="0" t="s">
        <v>1264</v>
      </c>
      <c r="E175" s="68" t="s">
        <v>869</v>
      </c>
      <c r="F175" s="74" t="n">
        <v>1.6</v>
      </c>
      <c r="G175" s="74" t="n">
        <v>1.85</v>
      </c>
    </row>
    <row r="176" customFormat="false" ht="15" hidden="false" customHeight="false" outlineLevel="0" collapsed="false">
      <c r="A176" s="52" t="s">
        <v>1283</v>
      </c>
      <c r="B176" s="52" t="s">
        <v>1284</v>
      </c>
      <c r="C176" s="0" t="s">
        <v>1285</v>
      </c>
      <c r="D176" s="0" t="s">
        <v>1264</v>
      </c>
      <c r="E176" s="68" t="s">
        <v>1265</v>
      </c>
      <c r="F176" s="74" t="n">
        <v>1.75</v>
      </c>
      <c r="G176" s="74" t="n">
        <v>1.9</v>
      </c>
    </row>
    <row r="177" customFormat="false" ht="15" hidden="false" customHeight="false" outlineLevel="0" collapsed="false">
      <c r="A177" s="52" t="s">
        <v>1286</v>
      </c>
      <c r="B177" s="52" t="s">
        <v>1287</v>
      </c>
      <c r="C177" s="0" t="s">
        <v>1288</v>
      </c>
      <c r="D177" s="0" t="s">
        <v>1264</v>
      </c>
      <c r="E177" s="68" t="s">
        <v>1265</v>
      </c>
      <c r="F177" s="74" t="n">
        <v>1.6</v>
      </c>
      <c r="G177" s="74" t="n">
        <v>1.85</v>
      </c>
    </row>
    <row r="178" customFormat="false" ht="15" hidden="false" customHeight="false" outlineLevel="0" collapsed="false">
      <c r="A178" s="52" t="s">
        <v>1289</v>
      </c>
      <c r="B178" s="52" t="s">
        <v>1290</v>
      </c>
      <c r="C178" s="0" t="s">
        <v>1291</v>
      </c>
      <c r="D178" s="0" t="s">
        <v>1264</v>
      </c>
      <c r="E178" s="68" t="s">
        <v>1265</v>
      </c>
      <c r="F178" s="74" t="n">
        <v>1.6</v>
      </c>
      <c r="G178" s="74" t="n">
        <v>1.85</v>
      </c>
    </row>
    <row r="179" customFormat="false" ht="15" hidden="false" customHeight="false" outlineLevel="0" collapsed="false">
      <c r="A179" s="52" t="s">
        <v>1292</v>
      </c>
      <c r="B179" s="52" t="s">
        <v>275</v>
      </c>
      <c r="C179" s="0" t="s">
        <v>1293</v>
      </c>
      <c r="D179" s="0" t="s">
        <v>1264</v>
      </c>
      <c r="E179" s="68" t="s">
        <v>1265</v>
      </c>
      <c r="F179" s="74" t="n">
        <v>1.6</v>
      </c>
      <c r="G179" s="74" t="n">
        <v>1.85</v>
      </c>
    </row>
    <row r="180" customFormat="false" ht="15" hidden="false" customHeight="false" outlineLevel="0" collapsed="false">
      <c r="A180" s="52" t="s">
        <v>1294</v>
      </c>
      <c r="B180" s="52" t="s">
        <v>276</v>
      </c>
      <c r="C180" s="0" t="s">
        <v>1295</v>
      </c>
      <c r="D180" s="0" t="s">
        <v>1264</v>
      </c>
      <c r="E180" s="68" t="s">
        <v>1265</v>
      </c>
      <c r="F180" s="74" t="n">
        <v>1.75</v>
      </c>
      <c r="G180" s="74" t="n">
        <v>1.9</v>
      </c>
    </row>
    <row r="181" customFormat="false" ht="15" hidden="false" customHeight="false" outlineLevel="0" collapsed="false">
      <c r="A181" s="52" t="s">
        <v>1296</v>
      </c>
      <c r="B181" s="52" t="s">
        <v>151</v>
      </c>
      <c r="C181" s="0" t="s">
        <v>1297</v>
      </c>
      <c r="D181" s="0" t="s">
        <v>1264</v>
      </c>
      <c r="E181" s="68" t="s">
        <v>1265</v>
      </c>
      <c r="F181" s="74" t="n">
        <v>1.75</v>
      </c>
      <c r="G181" s="74" t="n">
        <v>1.9</v>
      </c>
    </row>
    <row r="182" customFormat="false" ht="15" hidden="false" customHeight="false" outlineLevel="0" collapsed="false">
      <c r="A182" s="52" t="s">
        <v>1298</v>
      </c>
      <c r="B182" s="52" t="s">
        <v>277</v>
      </c>
      <c r="C182" s="0" t="s">
        <v>1299</v>
      </c>
      <c r="D182" s="0" t="s">
        <v>1264</v>
      </c>
      <c r="E182" s="68" t="s">
        <v>1300</v>
      </c>
      <c r="F182" s="74" t="n">
        <v>1.85</v>
      </c>
      <c r="G182" s="74" t="n">
        <v>2</v>
      </c>
    </row>
    <row r="183" customFormat="false" ht="15" hidden="false" customHeight="false" outlineLevel="0" collapsed="false">
      <c r="A183" s="52" t="s">
        <v>1301</v>
      </c>
      <c r="B183" s="52" t="s">
        <v>1302</v>
      </c>
      <c r="C183" s="0" t="s">
        <v>1303</v>
      </c>
      <c r="D183" s="0" t="s">
        <v>1304</v>
      </c>
      <c r="E183" s="68" t="s">
        <v>931</v>
      </c>
      <c r="F183" s="74" t="n">
        <v>1.6</v>
      </c>
      <c r="G183" s="74" t="n">
        <v>2</v>
      </c>
    </row>
    <row r="184" customFormat="false" ht="15" hidden="false" customHeight="false" outlineLevel="0" collapsed="false">
      <c r="A184" s="52" t="s">
        <v>1305</v>
      </c>
      <c r="B184" s="52" t="s">
        <v>550</v>
      </c>
      <c r="C184" s="0" t="s">
        <v>1306</v>
      </c>
      <c r="D184" s="0" t="s">
        <v>1304</v>
      </c>
      <c r="E184" s="68" t="s">
        <v>931</v>
      </c>
      <c r="F184" s="74" t="n">
        <v>1.6</v>
      </c>
      <c r="G184" s="74" t="n">
        <v>2</v>
      </c>
    </row>
    <row r="185" customFormat="false" ht="15" hidden="false" customHeight="false" outlineLevel="0" collapsed="false">
      <c r="A185" s="52" t="s">
        <v>1307</v>
      </c>
      <c r="B185" s="52" t="s">
        <v>278</v>
      </c>
      <c r="C185" s="0" t="s">
        <v>1306</v>
      </c>
      <c r="D185" s="0" t="s">
        <v>1304</v>
      </c>
      <c r="E185" s="68" t="s">
        <v>931</v>
      </c>
      <c r="F185" s="74" t="n">
        <v>1.6</v>
      </c>
      <c r="G185" s="74" t="n">
        <v>2</v>
      </c>
    </row>
    <row r="186" customFormat="false" ht="15" hidden="false" customHeight="false" outlineLevel="0" collapsed="false">
      <c r="A186" s="52" t="s">
        <v>1308</v>
      </c>
      <c r="B186" s="52" t="s">
        <v>217</v>
      </c>
      <c r="C186" s="0" t="s">
        <v>1309</v>
      </c>
      <c r="D186" s="0" t="s">
        <v>1304</v>
      </c>
      <c r="E186" s="68" t="s">
        <v>931</v>
      </c>
      <c r="F186" s="74" t="n">
        <v>1.6</v>
      </c>
      <c r="G186" s="74" t="n">
        <v>2</v>
      </c>
    </row>
    <row r="187" customFormat="false" ht="15" hidden="false" customHeight="false" outlineLevel="0" collapsed="false">
      <c r="A187" s="52" t="s">
        <v>1310</v>
      </c>
      <c r="B187" s="52" t="s">
        <v>346</v>
      </c>
      <c r="C187" s="0" t="s">
        <v>1311</v>
      </c>
      <c r="D187" s="0" t="s">
        <v>1304</v>
      </c>
      <c r="E187" s="68" t="s">
        <v>931</v>
      </c>
      <c r="F187" s="74" t="n">
        <v>1.6</v>
      </c>
      <c r="G187" s="74" t="n">
        <v>2</v>
      </c>
    </row>
    <row r="188" customFormat="false" ht="15" hidden="false" customHeight="false" outlineLevel="0" collapsed="false">
      <c r="A188" s="52" t="s">
        <v>1312</v>
      </c>
      <c r="B188" s="52" t="s">
        <v>1313</v>
      </c>
      <c r="C188" s="0" t="s">
        <v>1314</v>
      </c>
      <c r="D188" s="0" t="s">
        <v>1304</v>
      </c>
      <c r="E188" s="68" t="s">
        <v>860</v>
      </c>
      <c r="F188" s="74" t="n">
        <v>1.9</v>
      </c>
      <c r="G188" s="74" t="n">
        <v>2.25</v>
      </c>
    </row>
    <row r="189" customFormat="false" ht="15" hidden="false" customHeight="false" outlineLevel="0" collapsed="false">
      <c r="A189" s="52" t="s">
        <v>1315</v>
      </c>
      <c r="B189" s="52" t="s">
        <v>1316</v>
      </c>
      <c r="C189" s="0" t="s">
        <v>1314</v>
      </c>
      <c r="D189" s="0" t="s">
        <v>1304</v>
      </c>
      <c r="E189" s="68" t="s">
        <v>860</v>
      </c>
      <c r="F189" s="74" t="n">
        <v>1.9</v>
      </c>
      <c r="G189" s="74" t="n">
        <v>2.25</v>
      </c>
    </row>
    <row r="190" customFormat="false" ht="15" hidden="false" customHeight="false" outlineLevel="0" collapsed="false">
      <c r="A190" s="52" t="s">
        <v>1317</v>
      </c>
      <c r="B190" s="52" t="s">
        <v>1318</v>
      </c>
      <c r="C190" s="0" t="s">
        <v>1319</v>
      </c>
      <c r="D190" s="0" t="s">
        <v>1304</v>
      </c>
      <c r="E190" s="68" t="s">
        <v>860</v>
      </c>
      <c r="F190" s="74" t="n">
        <v>2.05</v>
      </c>
      <c r="G190" s="74" t="n">
        <v>2.25</v>
      </c>
    </row>
    <row r="191" customFormat="false" ht="15" hidden="false" customHeight="false" outlineLevel="0" collapsed="false">
      <c r="A191" s="52" t="s">
        <v>1320</v>
      </c>
      <c r="B191" s="52" t="s">
        <v>326</v>
      </c>
      <c r="C191" s="0" t="s">
        <v>1321</v>
      </c>
      <c r="D191" s="0" t="s">
        <v>1304</v>
      </c>
      <c r="E191" s="68" t="s">
        <v>931</v>
      </c>
      <c r="F191" s="74" t="n">
        <v>1.65</v>
      </c>
      <c r="G191" s="74" t="n">
        <v>1.95</v>
      </c>
    </row>
    <row r="192" customFormat="false" ht="15" hidden="false" customHeight="false" outlineLevel="0" collapsed="false">
      <c r="A192" s="52" t="s">
        <v>1322</v>
      </c>
      <c r="B192" s="52" t="s">
        <v>197</v>
      </c>
      <c r="C192" s="0" t="s">
        <v>1323</v>
      </c>
      <c r="D192" s="0" t="s">
        <v>1304</v>
      </c>
      <c r="E192" s="68" t="s">
        <v>931</v>
      </c>
      <c r="F192" s="74" t="n">
        <v>1.8</v>
      </c>
      <c r="G192" s="74" t="n">
        <v>1.95</v>
      </c>
    </row>
    <row r="193" customFormat="false" ht="15" hidden="false" customHeight="false" outlineLevel="0" collapsed="false">
      <c r="A193" s="52" t="s">
        <v>1324</v>
      </c>
      <c r="B193" s="52" t="s">
        <v>327</v>
      </c>
      <c r="C193" s="0" t="s">
        <v>1325</v>
      </c>
      <c r="D193" s="0" t="s">
        <v>1304</v>
      </c>
      <c r="E193" s="68" t="s">
        <v>931</v>
      </c>
      <c r="F193" s="74" t="n">
        <v>1.65</v>
      </c>
      <c r="G193" s="74" t="n">
        <v>1.95</v>
      </c>
    </row>
    <row r="194" customFormat="false" ht="15" hidden="false" customHeight="false" outlineLevel="0" collapsed="false">
      <c r="A194" s="52" t="s">
        <v>1326</v>
      </c>
      <c r="B194" s="52" t="s">
        <v>198</v>
      </c>
      <c r="C194" s="0" t="s">
        <v>1327</v>
      </c>
      <c r="D194" s="0" t="s">
        <v>1304</v>
      </c>
      <c r="E194" s="68" t="s">
        <v>860</v>
      </c>
      <c r="F194" s="74" t="n">
        <v>1.9</v>
      </c>
      <c r="G194" s="74" t="n">
        <v>2.25</v>
      </c>
    </row>
    <row r="195" customFormat="false" ht="15" hidden="false" customHeight="false" outlineLevel="0" collapsed="false">
      <c r="A195" s="52" t="s">
        <v>1328</v>
      </c>
      <c r="B195" s="52" t="s">
        <v>328</v>
      </c>
      <c r="C195" s="0" t="s">
        <v>1329</v>
      </c>
      <c r="D195" s="0" t="s">
        <v>1330</v>
      </c>
      <c r="E195" s="68" t="s">
        <v>931</v>
      </c>
      <c r="F195" s="74" t="n">
        <v>1.6</v>
      </c>
      <c r="G195" s="74" t="n">
        <v>2.25</v>
      </c>
    </row>
    <row r="196" customFormat="false" ht="15" hidden="false" customHeight="false" outlineLevel="0" collapsed="false">
      <c r="A196" s="52" t="s">
        <v>1331</v>
      </c>
      <c r="B196" s="52" t="s">
        <v>1332</v>
      </c>
      <c r="C196" s="0" t="s">
        <v>1333</v>
      </c>
      <c r="D196" s="0" t="s">
        <v>1330</v>
      </c>
      <c r="E196" s="68" t="s">
        <v>869</v>
      </c>
      <c r="F196" s="74" t="n">
        <v>1.6</v>
      </c>
      <c r="G196" s="74" t="n">
        <v>1.8</v>
      </c>
    </row>
    <row r="197" customFormat="false" ht="15" hidden="false" customHeight="false" outlineLevel="0" collapsed="false">
      <c r="A197" s="52" t="s">
        <v>1334</v>
      </c>
      <c r="B197" s="52" t="s">
        <v>1335</v>
      </c>
      <c r="C197" s="0" t="s">
        <v>1333</v>
      </c>
      <c r="D197" s="0" t="s">
        <v>1330</v>
      </c>
      <c r="E197" s="68" t="s">
        <v>869</v>
      </c>
      <c r="F197" s="74" t="n">
        <v>1.6</v>
      </c>
      <c r="G197" s="74" t="n">
        <v>1.8</v>
      </c>
    </row>
    <row r="198" customFormat="false" ht="15" hidden="false" customHeight="false" outlineLevel="0" collapsed="false">
      <c r="A198" s="52" t="s">
        <v>1336</v>
      </c>
      <c r="B198" s="52" t="s">
        <v>794</v>
      </c>
      <c r="C198" s="0" t="s">
        <v>1337</v>
      </c>
      <c r="D198" s="0" t="s">
        <v>1330</v>
      </c>
      <c r="E198" s="68" t="s">
        <v>931</v>
      </c>
      <c r="F198" s="74" t="n">
        <v>1.85</v>
      </c>
      <c r="G198" s="74" t="n">
        <v>2.25</v>
      </c>
    </row>
    <row r="199" customFormat="false" ht="15" hidden="false" customHeight="false" outlineLevel="0" collapsed="false">
      <c r="A199" s="52" t="s">
        <v>1338</v>
      </c>
      <c r="B199" s="52" t="s">
        <v>345</v>
      </c>
      <c r="C199" s="0" t="s">
        <v>1337</v>
      </c>
      <c r="D199" s="0" t="s">
        <v>1330</v>
      </c>
      <c r="E199" s="68" t="s">
        <v>931</v>
      </c>
      <c r="F199" s="74" t="n">
        <v>1.85</v>
      </c>
      <c r="G199" s="74" t="n">
        <v>2.25</v>
      </c>
    </row>
    <row r="200" customFormat="false" ht="15" hidden="false" customHeight="false" outlineLevel="0" collapsed="false">
      <c r="A200" s="52" t="s">
        <v>1339</v>
      </c>
      <c r="B200" s="52" t="s">
        <v>796</v>
      </c>
      <c r="C200" s="0" t="s">
        <v>1340</v>
      </c>
      <c r="D200" s="0" t="s">
        <v>1330</v>
      </c>
      <c r="E200" s="68" t="s">
        <v>931</v>
      </c>
      <c r="F200" s="74" t="n">
        <v>1.85</v>
      </c>
      <c r="G200" s="74" t="n">
        <v>2.25</v>
      </c>
    </row>
    <row r="201" customFormat="false" ht="15" hidden="false" customHeight="false" outlineLevel="0" collapsed="false">
      <c r="A201" s="52" t="s">
        <v>1341</v>
      </c>
      <c r="B201" s="52" t="s">
        <v>1342</v>
      </c>
      <c r="C201" s="0" t="s">
        <v>1340</v>
      </c>
      <c r="D201" s="0" t="s">
        <v>1330</v>
      </c>
      <c r="E201" s="68" t="s">
        <v>931</v>
      </c>
      <c r="F201" s="74" t="n">
        <v>1.85</v>
      </c>
      <c r="G201" s="74" t="n">
        <v>2.25</v>
      </c>
    </row>
    <row r="202" customFormat="false" ht="15" hidden="false" customHeight="false" outlineLevel="0" collapsed="false">
      <c r="A202" s="52" t="s">
        <v>1343</v>
      </c>
      <c r="B202" s="52" t="s">
        <v>329</v>
      </c>
      <c r="C202" s="0" t="s">
        <v>1333</v>
      </c>
      <c r="D202" s="0" t="s">
        <v>1330</v>
      </c>
      <c r="E202" s="68" t="s">
        <v>869</v>
      </c>
      <c r="F202" s="74" t="n">
        <v>1.6</v>
      </c>
      <c r="G202" s="74" t="n">
        <v>1.8</v>
      </c>
    </row>
    <row r="203" customFormat="false" ht="15" hidden="false" customHeight="false" outlineLevel="0" collapsed="false">
      <c r="A203" s="52" t="s">
        <v>1344</v>
      </c>
      <c r="B203" s="52" t="s">
        <v>199</v>
      </c>
      <c r="C203" s="0" t="s">
        <v>1337</v>
      </c>
      <c r="D203" s="0" t="s">
        <v>1330</v>
      </c>
      <c r="E203" s="68" t="s">
        <v>869</v>
      </c>
      <c r="F203" s="74" t="n">
        <v>1.6</v>
      </c>
      <c r="G203" s="74" t="n">
        <v>1.8</v>
      </c>
    </row>
    <row r="204" customFormat="false" ht="15" hidden="false" customHeight="false" outlineLevel="0" collapsed="false">
      <c r="A204" s="52" t="s">
        <v>1345</v>
      </c>
      <c r="B204" s="52" t="s">
        <v>330</v>
      </c>
      <c r="C204" s="0" t="s">
        <v>1346</v>
      </c>
      <c r="D204" s="0" t="s">
        <v>1347</v>
      </c>
      <c r="E204" s="68" t="s">
        <v>931</v>
      </c>
      <c r="F204" s="74" t="n">
        <v>1.8</v>
      </c>
      <c r="G204" s="74" t="n">
        <v>2.25</v>
      </c>
    </row>
    <row r="205" customFormat="false" ht="15" hidden="false" customHeight="false" outlineLevel="0" collapsed="false">
      <c r="A205" s="52" t="s">
        <v>1348</v>
      </c>
      <c r="B205" s="52" t="s">
        <v>1349</v>
      </c>
      <c r="C205" s="0" t="s">
        <v>1346</v>
      </c>
      <c r="D205" s="0" t="s">
        <v>1347</v>
      </c>
      <c r="E205" s="68" t="s">
        <v>931</v>
      </c>
      <c r="F205" s="74" t="n">
        <v>1.8</v>
      </c>
      <c r="G205" s="74" t="n">
        <v>2.25</v>
      </c>
    </row>
    <row r="206" customFormat="false" ht="15" hidden="false" customHeight="false" outlineLevel="0" collapsed="false">
      <c r="A206" s="52" t="s">
        <v>1350</v>
      </c>
      <c r="B206" s="52" t="s">
        <v>801</v>
      </c>
      <c r="C206" s="0" t="s">
        <v>1351</v>
      </c>
      <c r="D206" s="0" t="s">
        <v>1347</v>
      </c>
      <c r="E206" s="68" t="s">
        <v>931</v>
      </c>
      <c r="F206" s="74" t="n">
        <v>1.8</v>
      </c>
      <c r="G206" s="74" t="n">
        <v>2.25</v>
      </c>
    </row>
    <row r="207" customFormat="false" ht="15" hidden="false" customHeight="false" outlineLevel="0" collapsed="false">
      <c r="A207" s="52" t="s">
        <v>1352</v>
      </c>
      <c r="B207" s="52" t="s">
        <v>1353</v>
      </c>
      <c r="C207" s="0" t="s">
        <v>1354</v>
      </c>
      <c r="D207" s="0" t="s">
        <v>1347</v>
      </c>
      <c r="E207" s="68" t="s">
        <v>931</v>
      </c>
      <c r="F207" s="74" t="n">
        <v>1.8</v>
      </c>
      <c r="G207" s="74" t="n">
        <v>2.25</v>
      </c>
    </row>
    <row r="208" customFormat="false" ht="15" hidden="false" customHeight="false" outlineLevel="0" collapsed="false">
      <c r="A208" s="52" t="s">
        <v>1355</v>
      </c>
      <c r="B208" s="52" t="s">
        <v>803</v>
      </c>
      <c r="C208" s="0" t="s">
        <v>1354</v>
      </c>
      <c r="D208" s="0" t="s">
        <v>1347</v>
      </c>
      <c r="E208" s="68" t="s">
        <v>931</v>
      </c>
      <c r="F208" s="74" t="n">
        <v>1.8</v>
      </c>
      <c r="G208" s="74" t="n">
        <v>2.25</v>
      </c>
    </row>
    <row r="209" customFormat="false" ht="15" hidden="false" customHeight="false" outlineLevel="0" collapsed="false">
      <c r="A209" s="52" t="s">
        <v>1356</v>
      </c>
      <c r="B209" s="52" t="s">
        <v>1357</v>
      </c>
      <c r="C209" s="0" t="s">
        <v>1358</v>
      </c>
      <c r="D209" s="0" t="s">
        <v>1359</v>
      </c>
      <c r="E209" s="68" t="s">
        <v>869</v>
      </c>
      <c r="F209" s="74" t="n">
        <v>1.65</v>
      </c>
      <c r="G209" s="74" t="n">
        <v>2.25</v>
      </c>
    </row>
    <row r="210" customFormat="false" ht="15" hidden="false" customHeight="false" outlineLevel="0" collapsed="false">
      <c r="A210" s="52" t="s">
        <v>1360</v>
      </c>
      <c r="B210" s="52" t="s">
        <v>200</v>
      </c>
      <c r="C210" s="0" t="s">
        <v>1361</v>
      </c>
      <c r="D210" s="0" t="s">
        <v>1359</v>
      </c>
      <c r="E210" s="68" t="s">
        <v>869</v>
      </c>
      <c r="F210" s="74" t="n">
        <v>1.65</v>
      </c>
      <c r="G210" s="74" t="n">
        <v>1.95</v>
      </c>
    </row>
    <row r="211" customFormat="false" ht="15" hidden="false" customHeight="false" outlineLevel="0" collapsed="false">
      <c r="A211" s="52" t="s">
        <v>1362</v>
      </c>
      <c r="B211" s="52" t="s">
        <v>1363</v>
      </c>
      <c r="C211" s="0" t="s">
        <v>1361</v>
      </c>
      <c r="D211" s="0" t="s">
        <v>1359</v>
      </c>
      <c r="E211" s="68" t="s">
        <v>869</v>
      </c>
      <c r="F211" s="74" t="n">
        <v>1.65</v>
      </c>
      <c r="G211" s="74" t="n">
        <v>1.95</v>
      </c>
    </row>
    <row r="212" customFormat="false" ht="15" hidden="false" customHeight="false" outlineLevel="0" collapsed="false">
      <c r="A212" s="52" t="s">
        <v>1364</v>
      </c>
      <c r="B212" s="52" t="s">
        <v>1365</v>
      </c>
      <c r="C212" s="0" t="s">
        <v>1366</v>
      </c>
      <c r="D212" s="0" t="s">
        <v>1359</v>
      </c>
      <c r="E212" s="68" t="s">
        <v>869</v>
      </c>
      <c r="F212" s="74" t="n">
        <v>1.65</v>
      </c>
      <c r="G212" s="74" t="n">
        <v>1.95</v>
      </c>
    </row>
    <row r="213" customFormat="false" ht="15" hidden="false" customHeight="false" outlineLevel="0" collapsed="false">
      <c r="A213" s="52" t="s">
        <v>1367</v>
      </c>
      <c r="B213" s="52" t="s">
        <v>806</v>
      </c>
      <c r="C213" s="0" t="s">
        <v>1368</v>
      </c>
      <c r="D213" s="0" t="s">
        <v>1359</v>
      </c>
      <c r="E213" s="68" t="s">
        <v>860</v>
      </c>
      <c r="F213" s="74" t="n">
        <v>1.9</v>
      </c>
      <c r="G213" s="74" t="n">
        <v>2.25</v>
      </c>
    </row>
    <row r="214" customFormat="false" ht="15" hidden="false" customHeight="false" outlineLevel="0" collapsed="false">
      <c r="A214" s="52" t="s">
        <v>1369</v>
      </c>
      <c r="B214" s="52" t="s">
        <v>347</v>
      </c>
      <c r="C214" s="0" t="s">
        <v>1370</v>
      </c>
      <c r="D214" s="0" t="s">
        <v>1359</v>
      </c>
      <c r="E214" s="68" t="s">
        <v>860</v>
      </c>
      <c r="F214" s="74" t="n">
        <v>2</v>
      </c>
      <c r="G214" s="74" t="n">
        <v>2.25</v>
      </c>
    </row>
    <row r="215" customFormat="false" ht="15" hidden="false" customHeight="false" outlineLevel="0" collapsed="false">
      <c r="A215" s="52" t="s">
        <v>1371</v>
      </c>
      <c r="B215" s="52" t="s">
        <v>201</v>
      </c>
      <c r="C215" s="0" t="s">
        <v>1372</v>
      </c>
      <c r="D215" s="0" t="s">
        <v>1359</v>
      </c>
      <c r="E215" s="68" t="s">
        <v>860</v>
      </c>
      <c r="F215" s="74" t="n">
        <v>2</v>
      </c>
      <c r="G215" s="74" t="n">
        <v>2.25</v>
      </c>
    </row>
    <row r="216" customFormat="false" ht="15" hidden="false" customHeight="false" outlineLevel="0" collapsed="false">
      <c r="A216" s="52" t="s">
        <v>1373</v>
      </c>
      <c r="B216" s="52" t="s">
        <v>331</v>
      </c>
      <c r="C216" s="0" t="s">
        <v>1372</v>
      </c>
      <c r="D216" s="0" t="s">
        <v>1359</v>
      </c>
      <c r="E216" s="68" t="s">
        <v>860</v>
      </c>
      <c r="F216" s="74" t="n">
        <v>2</v>
      </c>
      <c r="G216" s="74" t="n">
        <v>2.25</v>
      </c>
    </row>
    <row r="217" customFormat="false" ht="15" hidden="false" customHeight="false" outlineLevel="0" collapsed="false">
      <c r="A217" s="52" t="s">
        <v>1374</v>
      </c>
      <c r="B217" s="52" t="s">
        <v>1375</v>
      </c>
      <c r="C217" s="0" t="s">
        <v>1376</v>
      </c>
      <c r="D217" s="0" t="s">
        <v>1359</v>
      </c>
      <c r="E217" s="68" t="s">
        <v>860</v>
      </c>
      <c r="F217" s="74" t="n">
        <v>2</v>
      </c>
      <c r="G217" s="74" t="n">
        <v>2.25</v>
      </c>
    </row>
    <row r="218" customFormat="false" ht="15" hidden="false" customHeight="false" outlineLevel="0" collapsed="false">
      <c r="A218" s="52" t="s">
        <v>1377</v>
      </c>
      <c r="B218" s="52" t="s">
        <v>809</v>
      </c>
      <c r="C218" s="0" t="s">
        <v>1378</v>
      </c>
      <c r="D218" s="0" t="s">
        <v>1359</v>
      </c>
      <c r="E218" s="68" t="s">
        <v>860</v>
      </c>
      <c r="F218" s="74" t="n">
        <v>2</v>
      </c>
      <c r="G218" s="74" t="n">
        <v>2.25</v>
      </c>
    </row>
    <row r="219" customFormat="false" ht="15" hidden="false" customHeight="false" outlineLevel="0" collapsed="false">
      <c r="A219" s="52" t="s">
        <v>1379</v>
      </c>
      <c r="B219" s="52" t="s">
        <v>1380</v>
      </c>
      <c r="C219" s="0" t="s">
        <v>1378</v>
      </c>
      <c r="D219" s="0" t="s">
        <v>1359</v>
      </c>
      <c r="E219" s="68" t="s">
        <v>860</v>
      </c>
      <c r="F219" s="74" t="n">
        <v>2</v>
      </c>
      <c r="G219" s="74" t="n">
        <v>2.25</v>
      </c>
    </row>
    <row r="220" customFormat="false" ht="15" hidden="false" customHeight="false" outlineLevel="0" collapsed="false">
      <c r="A220" s="52" t="s">
        <v>1381</v>
      </c>
      <c r="B220" s="52" t="s">
        <v>202</v>
      </c>
      <c r="C220" s="0" t="s">
        <v>1382</v>
      </c>
      <c r="D220" s="0" t="s">
        <v>1359</v>
      </c>
      <c r="E220" s="68" t="s">
        <v>869</v>
      </c>
      <c r="F220" s="74" t="n">
        <v>1.65</v>
      </c>
      <c r="G220" s="74" t="n">
        <v>1.95</v>
      </c>
    </row>
    <row r="221" customFormat="false" ht="15" hidden="false" customHeight="false" outlineLevel="0" collapsed="false">
      <c r="A221" s="52" t="s">
        <v>1383</v>
      </c>
      <c r="B221" s="52" t="s">
        <v>1384</v>
      </c>
      <c r="C221" s="0" t="s">
        <v>1385</v>
      </c>
      <c r="D221" s="0" t="s">
        <v>1359</v>
      </c>
      <c r="E221" s="68" t="s">
        <v>869</v>
      </c>
      <c r="F221" s="74" t="n">
        <v>1.65</v>
      </c>
      <c r="G221" s="74" t="n">
        <v>1.95</v>
      </c>
    </row>
  </sheetData>
  <autoFilter ref="B1:H221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7.49797570850202"/>
    <col collapsed="false" hidden="false" max="2" min="2" style="0" width="15.2105263157895"/>
    <col collapsed="false" hidden="false" max="3" min="3" style="0" width="8.57085020242915"/>
    <col collapsed="false" hidden="false" max="4" min="4" style="0" width="12.5344129554656"/>
    <col collapsed="false" hidden="false" max="1025" min="5" style="0" width="8.57085020242915"/>
  </cols>
  <sheetData>
    <row r="1" customFormat="false" ht="15" hidden="false" customHeight="false" outlineLevel="0" collapsed="false">
      <c r="A1" s="76" t="s">
        <v>1386</v>
      </c>
      <c r="B1" s="76" t="s">
        <v>1387</v>
      </c>
      <c r="D1" s="0" t="s">
        <v>1388</v>
      </c>
      <c r="E1" s="0" t="n">
        <f aca="false">195+91</f>
        <v>286</v>
      </c>
      <c r="N1" s="29" t="s">
        <v>224</v>
      </c>
    </row>
    <row r="2" customFormat="false" ht="13.8" hidden="false" customHeight="false" outlineLevel="0" collapsed="false">
      <c r="A2" s="0" t="n">
        <v>1</v>
      </c>
      <c r="B2" s="77" t="n">
        <f aca="false">7.75*Available_Hour_Regular!$E$1</f>
        <v>2216.5</v>
      </c>
    </row>
    <row r="3" customFormat="false" ht="13.8" hidden="false" customHeight="false" outlineLevel="0" collapsed="false">
      <c r="A3" s="0" t="n">
        <v>2</v>
      </c>
      <c r="B3" s="77" t="n">
        <f aca="false">7.75*Available_Hour_Regular!$E$1</f>
        <v>2216.5</v>
      </c>
    </row>
    <row r="4" customFormat="false" ht="13.8" hidden="false" customHeight="false" outlineLevel="0" collapsed="false">
      <c r="A4" s="0" t="n">
        <v>3</v>
      </c>
      <c r="B4" s="77" t="n">
        <f aca="false">7.75*Available_Hour_Regular!$E$1</f>
        <v>2216.5</v>
      </c>
    </row>
    <row r="5" customFormat="false" ht="13.8" hidden="false" customHeight="false" outlineLevel="0" collapsed="false">
      <c r="A5" s="0" t="n">
        <v>4</v>
      </c>
      <c r="B5" s="77" t="n">
        <f aca="false">7.75*Available_Hour_Regular!$E$1</f>
        <v>2216.5</v>
      </c>
    </row>
    <row r="6" customFormat="false" ht="13.8" hidden="false" customHeight="false" outlineLevel="0" collapsed="false">
      <c r="B6" s="77"/>
    </row>
    <row r="7" customFormat="false" ht="13.8" hidden="false" customHeight="false" outlineLevel="0" collapsed="false">
      <c r="B7" s="77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2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6" activeCellId="0" sqref="I16"/>
    </sheetView>
  </sheetViews>
  <sheetFormatPr defaultRowHeight="13.8"/>
  <cols>
    <col collapsed="false" hidden="false" max="1" min="1" style="0" width="11.4615384615385"/>
    <col collapsed="false" hidden="false" max="1025" min="2" style="0" width="8.57085020242915"/>
  </cols>
  <sheetData>
    <row r="1" customFormat="false" ht="13.8" hidden="false" customHeight="false" outlineLevel="0" collapsed="false">
      <c r="A1" s="76" t="s">
        <v>1389</v>
      </c>
      <c r="B1" s="76" t="s">
        <v>1390</v>
      </c>
      <c r="N1" s="29" t="s">
        <v>224</v>
      </c>
    </row>
    <row r="2" customFormat="false" ht="13.8" hidden="false" customHeight="false" outlineLevel="0" collapsed="false">
      <c r="A2" s="0" t="n">
        <v>1.3</v>
      </c>
      <c r="B2" s="0" t="n">
        <v>0</v>
      </c>
      <c r="J2" s="78"/>
      <c r="K2" s="78"/>
      <c r="L2" s="78"/>
    </row>
    <row r="3" customFormat="false" ht="13.8" hidden="false" customHeight="false" outlineLevel="0" collapsed="false">
      <c r="A3" s="0" t="n">
        <v>1.35</v>
      </c>
      <c r="B3" s="0" t="n">
        <v>0</v>
      </c>
      <c r="J3" s="78"/>
      <c r="K3" s="78"/>
      <c r="L3" s="78"/>
    </row>
    <row r="4" customFormat="false" ht="13.8" hidden="false" customHeight="false" outlineLevel="0" collapsed="false">
      <c r="A4" s="0" t="n">
        <v>1.4</v>
      </c>
      <c r="B4" s="0" t="n">
        <v>0</v>
      </c>
      <c r="J4" s="78"/>
      <c r="K4" s="78"/>
      <c r="L4" s="78"/>
    </row>
    <row r="5" customFormat="false" ht="13.8" hidden="false" customHeight="false" outlineLevel="0" collapsed="false">
      <c r="A5" s="0" t="n">
        <v>1.45</v>
      </c>
      <c r="B5" s="0" t="n">
        <v>0</v>
      </c>
    </row>
    <row r="6" customFormat="false" ht="13.8" hidden="false" customHeight="false" outlineLevel="0" collapsed="false">
      <c r="A6" s="0" t="n">
        <v>1.5</v>
      </c>
      <c r="B6" s="0" t="n">
        <v>0</v>
      </c>
    </row>
    <row r="7" customFormat="false" ht="13.8" hidden="false" customHeight="false" outlineLevel="0" collapsed="false">
      <c r="A7" s="0" t="n">
        <v>1.55</v>
      </c>
      <c r="B7" s="0" t="n">
        <v>0</v>
      </c>
    </row>
    <row r="8" customFormat="false" ht="13.8" hidden="false" customHeight="false" outlineLevel="0" collapsed="false">
      <c r="A8" s="0" t="n">
        <v>1.6</v>
      </c>
      <c r="B8" s="0" t="n">
        <f aca="false">0.53/6</f>
        <v>0.0883333333333333</v>
      </c>
    </row>
    <row r="9" customFormat="false" ht="13.8" hidden="false" customHeight="false" outlineLevel="0" collapsed="false">
      <c r="A9" s="0" t="n">
        <v>1.65</v>
      </c>
      <c r="B9" s="0" t="n">
        <f aca="false">0.53/6</f>
        <v>0.0883333333333333</v>
      </c>
    </row>
    <row r="10" customFormat="false" ht="13.8" hidden="false" customHeight="false" outlineLevel="0" collapsed="false">
      <c r="A10" s="0" t="n">
        <v>1.7</v>
      </c>
      <c r="B10" s="0" t="n">
        <f aca="false">0.53/6</f>
        <v>0.0883333333333333</v>
      </c>
    </row>
    <row r="11" customFormat="false" ht="13.8" hidden="false" customHeight="false" outlineLevel="0" collapsed="false">
      <c r="A11" s="0" t="n">
        <v>1.75</v>
      </c>
      <c r="B11" s="0" t="n">
        <f aca="false">0.53/6</f>
        <v>0.0883333333333333</v>
      </c>
    </row>
    <row r="12" customFormat="false" ht="13.8" hidden="false" customHeight="false" outlineLevel="0" collapsed="false">
      <c r="A12" s="0" t="n">
        <v>1.8</v>
      </c>
      <c r="B12" s="0" t="n">
        <f aca="false">0.53/6</f>
        <v>0.0883333333333333</v>
      </c>
    </row>
    <row r="13" customFormat="false" ht="13.8" hidden="false" customHeight="false" outlineLevel="0" collapsed="false">
      <c r="A13" s="0" t="n">
        <v>1.85</v>
      </c>
      <c r="B13" s="0" t="n">
        <f aca="false">0.53/6</f>
        <v>0.0883333333333333</v>
      </c>
    </row>
    <row r="14" customFormat="false" ht="13.8" hidden="false" customHeight="false" outlineLevel="0" collapsed="false">
      <c r="A14" s="0" t="n">
        <v>1.9</v>
      </c>
      <c r="B14" s="0" t="n">
        <f aca="false">0.36/4</f>
        <v>0.09</v>
      </c>
    </row>
    <row r="15" customFormat="false" ht="13.8" hidden="false" customHeight="false" outlineLevel="0" collapsed="false">
      <c r="A15" s="0" t="n">
        <v>1.95</v>
      </c>
      <c r="B15" s="0" t="n">
        <f aca="false">0.36/4</f>
        <v>0.09</v>
      </c>
    </row>
    <row r="16" customFormat="false" ht="13.8" hidden="false" customHeight="false" outlineLevel="0" collapsed="false">
      <c r="A16" s="0" t="n">
        <v>2</v>
      </c>
      <c r="B16" s="0" t="n">
        <f aca="false">0.36/4</f>
        <v>0.09</v>
      </c>
    </row>
    <row r="17" customFormat="false" ht="13.8" hidden="false" customHeight="false" outlineLevel="0" collapsed="false">
      <c r="A17" s="0" t="n">
        <v>2.05</v>
      </c>
      <c r="B17" s="0" t="n">
        <f aca="false">0.36/4</f>
        <v>0.09</v>
      </c>
    </row>
    <row r="18" customFormat="false" ht="13.8" hidden="false" customHeight="false" outlineLevel="0" collapsed="false">
      <c r="A18" s="0" t="n">
        <v>2.1</v>
      </c>
      <c r="B18" s="0" t="n">
        <f aca="false">0.11/5</f>
        <v>0.022</v>
      </c>
    </row>
    <row r="19" customFormat="false" ht="13.8" hidden="false" customHeight="false" outlineLevel="0" collapsed="false">
      <c r="A19" s="0" t="n">
        <v>2.15</v>
      </c>
      <c r="B19" s="0" t="n">
        <f aca="false">0.11/5</f>
        <v>0.022</v>
      </c>
    </row>
    <row r="20" customFormat="false" ht="13.8" hidden="false" customHeight="false" outlineLevel="0" collapsed="false">
      <c r="A20" s="0" t="n">
        <v>2.2</v>
      </c>
      <c r="B20" s="0" t="n">
        <f aca="false">0.11/5</f>
        <v>0.022</v>
      </c>
    </row>
    <row r="21" customFormat="false" ht="13.8" hidden="false" customHeight="false" outlineLevel="0" collapsed="false">
      <c r="A21" s="0" t="n">
        <v>2.25</v>
      </c>
      <c r="B21" s="0" t="n">
        <f aca="false">0.11/5</f>
        <v>0.022</v>
      </c>
    </row>
    <row r="22" customFormat="false" ht="13.8" hidden="false" customHeight="false" outlineLevel="0" collapsed="false">
      <c r="A22" s="0" t="n">
        <v>2.3</v>
      </c>
      <c r="B22" s="0" t="n">
        <f aca="false">0.11/5</f>
        <v>0.022</v>
      </c>
    </row>
    <row r="23" customFormat="false" ht="13.8" hidden="false" customHeight="false" outlineLevel="0" collapsed="false">
      <c r="A23" s="0" t="n">
        <v>2.35</v>
      </c>
      <c r="B23" s="0" t="n">
        <v>0</v>
      </c>
    </row>
    <row r="24" customFormat="false" ht="13.8" hidden="false" customHeight="false" outlineLevel="0" collapsed="false">
      <c r="A24" s="0" t="n">
        <v>2.4</v>
      </c>
      <c r="B24" s="0" t="n">
        <v>0</v>
      </c>
    </row>
    <row r="25" customFormat="false" ht="13.8" hidden="false" customHeight="false" outlineLevel="0" collapsed="false">
      <c r="A25" s="0" t="n">
        <v>2.45</v>
      </c>
      <c r="B25" s="0" t="n">
        <v>0</v>
      </c>
    </row>
    <row r="26" customFormat="false" ht="13.8" hidden="false" customHeight="false" outlineLevel="0" collapsed="false">
      <c r="A26" s="0" t="n">
        <v>2.5</v>
      </c>
      <c r="B26" s="0" t="n">
        <v>0</v>
      </c>
    </row>
    <row r="27" customFormat="false" ht="13.8" hidden="false" customHeight="false" outlineLevel="0" collapsed="false">
      <c r="A27" s="0" t="n">
        <v>2.55</v>
      </c>
      <c r="B27" s="0" t="n">
        <v>0</v>
      </c>
    </row>
    <row r="28" customFormat="false" ht="13.8" hidden="false" customHeight="false" outlineLevel="0" collapsed="false">
      <c r="A28" s="0" t="n">
        <v>2.6</v>
      </c>
      <c r="B28" s="0" t="n">
        <v>0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L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RowHeight="15"/>
  <cols>
    <col collapsed="false" hidden="false" max="1" min="1" style="0" width="41.2388663967611"/>
    <col collapsed="false" hidden="false" max="2" min="2" style="0" width="25.8137651821862"/>
    <col collapsed="false" hidden="false" max="3" min="3" style="0" width="12.5344129554656"/>
    <col collapsed="false" hidden="false" max="1025" min="4" style="0" width="8.57085020242915"/>
  </cols>
  <sheetData>
    <row r="1" customFormat="false" ht="15" hidden="false" customHeight="false" outlineLevel="0" collapsed="false">
      <c r="A1" s="76" t="s">
        <v>1391</v>
      </c>
      <c r="B1" s="76" t="s">
        <v>1392</v>
      </c>
      <c r="L1" s="29" t="s">
        <v>224</v>
      </c>
    </row>
    <row r="2" customFormat="false" ht="13.8" hidden="false" customHeight="false" outlineLevel="0" collapsed="false">
      <c r="A2" s="76" t="s">
        <v>67</v>
      </c>
      <c r="B2" s="58" t="n">
        <v>96768</v>
      </c>
    </row>
    <row r="3" customFormat="false" ht="15" hidden="false" customHeight="false" outlineLevel="0" collapsed="false">
      <c r="A3" s="76" t="s">
        <v>69</v>
      </c>
      <c r="B3" s="58" t="n">
        <v>1433116</v>
      </c>
    </row>
    <row r="4" customFormat="false" ht="15" hidden="false" customHeight="false" outlineLevel="0" collapsed="false">
      <c r="A4" s="79" t="s">
        <v>1393</v>
      </c>
      <c r="B4" s="58" t="n">
        <v>87</v>
      </c>
    </row>
    <row r="5" customFormat="false" ht="15" hidden="false" customHeight="false" outlineLevel="0" collapsed="false">
      <c r="A5" s="76" t="s">
        <v>1394</v>
      </c>
      <c r="B5" s="80" t="n">
        <f aca="false">Common_Data!B4*7.75</f>
        <v>674.25</v>
      </c>
    </row>
    <row r="6" customFormat="false" ht="15" hidden="false" customHeight="false" outlineLevel="0" collapsed="false">
      <c r="A6" s="76" t="s">
        <v>1395</v>
      </c>
      <c r="B6" s="81" t="n">
        <f aca="false">Common_Data!B4*4</f>
        <v>348</v>
      </c>
    </row>
    <row r="7" customFormat="false" ht="15" hidden="false" customHeight="false" outlineLevel="0" collapsed="false">
      <c r="A7" s="76" t="s">
        <v>75</v>
      </c>
      <c r="B7" s="0" t="n">
        <v>0.0001</v>
      </c>
      <c r="C7" s="0" t="s">
        <v>1396</v>
      </c>
    </row>
    <row r="8" customFormat="false" ht="15" hidden="false" customHeight="false" outlineLevel="0" collapsed="false">
      <c r="A8" s="76" t="s">
        <v>76</v>
      </c>
      <c r="B8" s="0" t="n">
        <f aca="false">2000*9</f>
        <v>18000</v>
      </c>
    </row>
    <row r="9" customFormat="false" ht="15" hidden="false" customHeight="false" outlineLevel="0" collapsed="false">
      <c r="A9" s="76" t="s">
        <v>77</v>
      </c>
      <c r="B9" s="0" t="n">
        <v>0</v>
      </c>
    </row>
    <row r="10" customFormat="false" ht="15" hidden="false" customHeight="false" outlineLevel="0" collapsed="false">
      <c r="A10" s="76" t="s">
        <v>1397</v>
      </c>
    </row>
    <row r="11" customFormat="false" ht="15" hidden="false" customHeight="false" outlineLevel="0" collapsed="false">
      <c r="A11" s="76" t="s">
        <v>1398</v>
      </c>
      <c r="B11" s="82"/>
      <c r="C11" s="0" t="s">
        <v>1396</v>
      </c>
    </row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  <row r="81" customFormat="false" ht="13.8" hidden="false" customHeight="false" outlineLevel="0" collapsed="false"/>
    <row r="82" customFormat="false" ht="13.8" hidden="false" customHeight="false" outlineLevel="0" collapsed="false"/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/>
    <row r="86" customFormat="false" ht="13.8" hidden="false" customHeight="false" outlineLevel="0" collapsed="false"/>
    <row r="87" customFormat="false" ht="13.8" hidden="false" customHeight="false" outlineLevel="0" collapsed="false"/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/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/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/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/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/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/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/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/>
    <row r="118" customFormat="false" ht="13.8" hidden="false" customHeight="false" outlineLevel="0" collapsed="false"/>
    <row r="119" customFormat="false" ht="13.8" hidden="false" customHeight="false" outlineLevel="0" collapsed="false"/>
    <row r="120" customFormat="false" ht="13.8" hidden="false" customHeight="false" outlineLevel="0" collapsed="false"/>
    <row r="121" customFormat="false" ht="13.8" hidden="false" customHeight="false" outlineLevel="0" collapsed="false"/>
    <row r="122" customFormat="false" ht="13.8" hidden="false" customHeight="false" outlineLevel="0" collapsed="false"/>
    <row r="123" customFormat="false" ht="13.8" hidden="false" customHeight="false" outlineLevel="0" collapsed="false"/>
    <row r="124" customFormat="false" ht="13.8" hidden="false" customHeight="false" outlineLevel="0" collapsed="false"/>
    <row r="125" customFormat="false" ht="13.8" hidden="false" customHeight="false" outlineLevel="0" collapsed="false"/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/>
    <row r="129" customFormat="false" ht="13.8" hidden="false" customHeight="false" outlineLevel="0" collapsed="false"/>
    <row r="130" customFormat="false" ht="13.8" hidden="false" customHeight="false" outlineLevel="0" collapsed="false"/>
    <row r="131" customFormat="false" ht="13.8" hidden="false" customHeight="false" outlineLevel="0" collapsed="false"/>
    <row r="132" customFormat="false" ht="13.8" hidden="false" customHeight="false" outlineLevel="0" collapsed="false"/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/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/>
    <row r="148" customFormat="false" ht="13.8" hidden="false" customHeight="false" outlineLevel="0" collapsed="false"/>
    <row r="149" customFormat="false" ht="13.8" hidden="false" customHeight="false" outlineLevel="0" collapsed="false"/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/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/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/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/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</sheetData>
  <autoFilter ref="A13:D381"/>
  <hyperlinks>
    <hyperlink ref="L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8.57085020242915"/>
    <col collapsed="false" hidden="false" max="2" min="2" style="0" width="11.0323886639676"/>
    <col collapsed="false" hidden="false" max="1025" min="3" style="0" width="8.57085020242915"/>
  </cols>
  <sheetData>
    <row r="1" customFormat="false" ht="15" hidden="false" customHeight="false" outlineLevel="0" collapsed="false">
      <c r="A1" s="76" t="s">
        <v>1399</v>
      </c>
      <c r="B1" s="76" t="s">
        <v>87</v>
      </c>
      <c r="N1" s="29" t="s">
        <v>224</v>
      </c>
    </row>
    <row r="2" customFormat="false" ht="13.8" hidden="false" customHeight="false" outlineLevel="0" collapsed="false">
      <c r="A2" s="0" t="n">
        <v>1</v>
      </c>
      <c r="B2" s="0" t="n">
        <v>91368</v>
      </c>
      <c r="C2" s="0" t="n">
        <f aca="false">((12+9)*3888+3*3240)</f>
        <v>91368</v>
      </c>
    </row>
    <row r="3" customFormat="false" ht="13.8" hidden="false" customHeight="false" outlineLevel="0" collapsed="false">
      <c r="A3" s="0" t="n">
        <v>2</v>
      </c>
      <c r="B3" s="0" t="n">
        <v>91369</v>
      </c>
      <c r="C3" s="0" t="n">
        <f aca="false">((12+9)*3888+3*3240)</f>
        <v>91368</v>
      </c>
    </row>
    <row r="4" customFormat="false" ht="13.8" hidden="false" customHeight="false" outlineLevel="0" collapsed="false">
      <c r="A4" s="0" t="n">
        <v>3</v>
      </c>
      <c r="B4" s="0" t="n">
        <v>91370</v>
      </c>
      <c r="C4" s="0" t="n">
        <f aca="false">((12+9)*3888+3*3240)</f>
        <v>91368</v>
      </c>
    </row>
    <row r="5" customFormat="false" ht="13.8" hidden="false" customHeight="false" outlineLevel="0" collapsed="false">
      <c r="A5" s="0" t="n">
        <v>4</v>
      </c>
      <c r="B5" s="0" t="n">
        <v>91371</v>
      </c>
      <c r="C5" s="0" t="n">
        <f aca="false">((12+9)*3888+3*3240)</f>
        <v>91368</v>
      </c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N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6" activeCellId="0" sqref="A6"/>
    </sheetView>
  </sheetViews>
  <sheetFormatPr defaultRowHeight="15"/>
  <cols>
    <col collapsed="false" hidden="false" max="1" min="1" style="0" width="7.49797570850202"/>
    <col collapsed="false" hidden="false" max="2" min="2" style="0" width="15.2105263157895"/>
    <col collapsed="false" hidden="false" max="3" min="3" style="0" width="8.57085020242915"/>
    <col collapsed="false" hidden="false" max="4" min="4" style="0" width="19.6032388663968"/>
    <col collapsed="false" hidden="false" max="1025" min="5" style="0" width="8.57085020242915"/>
  </cols>
  <sheetData>
    <row r="1" customFormat="false" ht="15" hidden="false" customHeight="false" outlineLevel="0" collapsed="false">
      <c r="A1" s="76" t="s">
        <v>1386</v>
      </c>
      <c r="B1" s="76" t="s">
        <v>1387</v>
      </c>
      <c r="D1" s="0" t="s">
        <v>1400</v>
      </c>
      <c r="E1" s="0" t="n">
        <f aca="false">195</f>
        <v>195</v>
      </c>
      <c r="N1" s="29" t="s">
        <v>224</v>
      </c>
    </row>
    <row r="2" customFormat="false" ht="13.8" hidden="false" customHeight="false" outlineLevel="0" collapsed="false">
      <c r="A2" s="0" t="n">
        <v>1</v>
      </c>
      <c r="B2" s="77" t="n">
        <f aca="false">Available_Hour_Overtime!$E$1*4</f>
        <v>780</v>
      </c>
    </row>
    <row r="3" customFormat="false" ht="13.8" hidden="false" customHeight="false" outlineLevel="0" collapsed="false">
      <c r="A3" s="0" t="n">
        <v>2</v>
      </c>
      <c r="B3" s="77" t="n">
        <f aca="false">Available_Hour_Overtime!$E$1*4</f>
        <v>780</v>
      </c>
    </row>
    <row r="4" customFormat="false" ht="13.8" hidden="false" customHeight="false" outlineLevel="0" collapsed="false">
      <c r="A4" s="0" t="n">
        <v>3</v>
      </c>
      <c r="B4" s="77" t="n">
        <f aca="false">Available_Hour_Overtime!$E$1*4</f>
        <v>780</v>
      </c>
    </row>
    <row r="5" customFormat="false" ht="13.8" hidden="false" customHeight="false" outlineLevel="0" collapsed="false">
      <c r="A5" s="0" t="n">
        <v>4</v>
      </c>
      <c r="B5" s="77" t="n">
        <f aca="false">Available_Hour_Overtime!$E$1*4</f>
        <v>780</v>
      </c>
    </row>
    <row r="6" customFormat="false" ht="13.8" hidden="false" customHeight="false" outlineLevel="0" collapsed="false">
      <c r="B6" s="77"/>
    </row>
    <row r="7" customFormat="false" ht="13.8" hidden="false" customHeight="false" outlineLevel="0" collapsed="false">
      <c r="B7" s="77"/>
    </row>
  </sheetData>
  <hyperlinks>
    <hyperlink ref="N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I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8" activeCellId="0" sqref="C18"/>
    </sheetView>
  </sheetViews>
  <sheetFormatPr defaultRowHeight="15"/>
  <cols>
    <col collapsed="false" hidden="false" max="2" min="1" style="0" width="17.246963562753"/>
    <col collapsed="false" hidden="false" max="3" min="3" style="0" width="19.4939271255061"/>
    <col collapsed="false" hidden="false" max="1025" min="4" style="0" width="8.57085020242915"/>
  </cols>
  <sheetData>
    <row r="1" customFormat="false" ht="15" hidden="false" customHeight="false" outlineLevel="0" collapsed="false">
      <c r="A1" s="0" t="s">
        <v>1401</v>
      </c>
      <c r="B1" s="0" t="s">
        <v>1402</v>
      </c>
      <c r="C1" s="0" t="s">
        <v>1403</v>
      </c>
      <c r="D1" s="0" t="s">
        <v>93</v>
      </c>
      <c r="I1" s="29" t="s">
        <v>224</v>
      </c>
    </row>
    <row r="2" customFormat="false" ht="15" hidden="false" customHeight="false" outlineLevel="0" collapsed="false">
      <c r="A2" s="0" t="s">
        <v>251</v>
      </c>
      <c r="B2" s="0" t="s">
        <v>197</v>
      </c>
      <c r="C2" s="59" t="n">
        <v>0.0609984984984985</v>
      </c>
    </row>
    <row r="3" customFormat="false" ht="15" hidden="false" customHeight="false" outlineLevel="0" collapsed="false">
      <c r="A3" s="0" t="s">
        <v>274</v>
      </c>
      <c r="B3" s="0" t="s">
        <v>137</v>
      </c>
      <c r="C3" s="59" t="n">
        <v>0.0214491587908037</v>
      </c>
    </row>
    <row r="4" customFormat="false" ht="15" hidden="false" customHeight="false" outlineLevel="0" collapsed="false">
      <c r="A4" s="0" t="s">
        <v>277</v>
      </c>
      <c r="B4" s="0" t="s">
        <v>137</v>
      </c>
      <c r="C4" s="59" t="n">
        <v>0.0214491587908037</v>
      </c>
    </row>
    <row r="5" customFormat="false" ht="15" hidden="false" customHeight="false" outlineLevel="0" collapsed="false">
      <c r="A5" s="0" t="s">
        <v>267</v>
      </c>
      <c r="B5" s="0" t="s">
        <v>137</v>
      </c>
      <c r="C5" s="59" t="n">
        <v>0.0229495110756336</v>
      </c>
    </row>
    <row r="6" customFormat="false" ht="15" hidden="false" customHeight="false" outlineLevel="0" collapsed="false">
      <c r="A6" s="0" t="s">
        <v>257</v>
      </c>
      <c r="B6" s="0" t="s">
        <v>137</v>
      </c>
      <c r="C6" s="59" t="n">
        <v>0.0281463610776035</v>
      </c>
    </row>
    <row r="7" customFormat="false" ht="15" hidden="false" customHeight="false" outlineLevel="0" collapsed="false">
      <c r="A7" s="0" t="s">
        <v>271</v>
      </c>
      <c r="B7" s="0" t="s">
        <v>137</v>
      </c>
      <c r="C7" s="59" t="n">
        <v>0.0406615497076023</v>
      </c>
    </row>
    <row r="8" customFormat="false" ht="15" hidden="false" customHeight="false" outlineLevel="0" collapsed="false">
      <c r="A8" s="0" t="s">
        <v>272</v>
      </c>
      <c r="B8" s="0" t="s">
        <v>137</v>
      </c>
      <c r="C8" s="59" t="n">
        <v>0.0406615497076023</v>
      </c>
    </row>
    <row r="9" customFormat="false" ht="15" hidden="false" customHeight="false" outlineLevel="0" collapsed="false">
      <c r="A9" s="0" t="s">
        <v>268</v>
      </c>
      <c r="B9" s="0" t="s">
        <v>137</v>
      </c>
      <c r="C9" s="59" t="n">
        <v>0.0270734284204966</v>
      </c>
    </row>
    <row r="10" customFormat="false" ht="15" hidden="false" customHeight="false" outlineLevel="0" collapsed="false">
      <c r="A10" s="0" t="s">
        <v>269</v>
      </c>
      <c r="B10" s="0" t="s">
        <v>137</v>
      </c>
      <c r="C10" s="59" t="n">
        <v>0.0270734284204966</v>
      </c>
    </row>
    <row r="11" customFormat="false" ht="15" hidden="false" customHeight="false" outlineLevel="0" collapsed="false">
      <c r="A11" s="0" t="s">
        <v>270</v>
      </c>
      <c r="B11" s="0" t="s">
        <v>137</v>
      </c>
      <c r="C11" s="59" t="n">
        <v>0.0270734284204966</v>
      </c>
    </row>
    <row r="12" customFormat="false" ht="15" hidden="false" customHeight="false" outlineLevel="0" collapsed="false">
      <c r="A12" s="0" t="s">
        <v>131</v>
      </c>
      <c r="B12" s="0" t="s">
        <v>199</v>
      </c>
      <c r="C12" s="59" t="n">
        <v>0.635028248587571</v>
      </c>
    </row>
    <row r="13" customFormat="false" ht="15" hidden="false" customHeight="false" outlineLevel="0" collapsed="false">
      <c r="A13" s="0" t="s">
        <v>131</v>
      </c>
      <c r="B13" s="0" t="s">
        <v>201</v>
      </c>
      <c r="C13" s="59" t="n">
        <v>0.635028248587571</v>
      </c>
    </row>
    <row r="14" customFormat="false" ht="15" hidden="false" customHeight="false" outlineLevel="0" collapsed="false">
      <c r="A14" s="0" t="s">
        <v>142</v>
      </c>
      <c r="B14" s="0" t="s">
        <v>917</v>
      </c>
      <c r="C14" s="59" t="n">
        <v>0.298288955988654</v>
      </c>
    </row>
    <row r="15" customFormat="false" ht="15" hidden="false" customHeight="false" outlineLevel="0" collapsed="false">
      <c r="A15" s="0" t="s">
        <v>139</v>
      </c>
      <c r="B15" s="59" t="s">
        <v>471</v>
      </c>
      <c r="C15" s="59" t="n">
        <v>0.50075257612597</v>
      </c>
    </row>
    <row r="16" customFormat="false" ht="15" hidden="false" customHeight="false" outlineLevel="0" collapsed="false">
      <c r="A16" s="0" t="s">
        <v>147</v>
      </c>
      <c r="B16" s="59" t="s">
        <v>917</v>
      </c>
      <c r="C16" s="59" t="n">
        <v>0.358523506671655</v>
      </c>
    </row>
    <row r="17" customFormat="false" ht="15" hidden="false" customHeight="false" outlineLevel="0" collapsed="false">
      <c r="A17" s="0" t="s">
        <v>148</v>
      </c>
      <c r="B17" s="59" t="s">
        <v>917</v>
      </c>
      <c r="C17" s="59" t="n">
        <v>0.358523506671655</v>
      </c>
    </row>
    <row r="18" customFormat="false" ht="15" hidden="false" customHeight="false" outlineLevel="0" collapsed="false">
      <c r="A18" s="0" t="s">
        <v>145</v>
      </c>
      <c r="B18" s="59" t="s">
        <v>125</v>
      </c>
      <c r="C18" s="59" t="n">
        <v>0.382615156017831</v>
      </c>
    </row>
    <row r="19" customFormat="false" ht="15" hidden="false" customHeight="false" outlineLevel="0" collapsed="false">
      <c r="A19" s="0" t="s">
        <v>515</v>
      </c>
      <c r="B19" s="59" t="s">
        <v>121</v>
      </c>
      <c r="C19" s="59" t="n">
        <v>0.201109570041609</v>
      </c>
    </row>
  </sheetData>
  <hyperlinks>
    <hyperlink ref="I1" location="Information!A1" display="Go Back To Information Tab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2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33.1012145748988"/>
    <col collapsed="false" hidden="false" max="2" min="2" style="0" width="16.0688259109312"/>
    <col collapsed="false" hidden="false" max="3" min="3" style="0" width="13.497975708502"/>
    <col collapsed="false" hidden="false" max="1025" min="4" style="0" width="9.10526315789474"/>
  </cols>
  <sheetData>
    <row r="1" customFormat="false" ht="15" hidden="false" customHeight="false" outlineLevel="0" collapsed="false">
      <c r="A1" s="0" t="s">
        <v>1404</v>
      </c>
      <c r="B1" s="0" t="s">
        <v>1405</v>
      </c>
      <c r="C1" s="0" t="s">
        <v>93</v>
      </c>
    </row>
    <row r="2" customFormat="false" ht="15" hidden="false" customHeight="false" outlineLevel="0" collapsed="false">
      <c r="A2" s="0" t="s">
        <v>1406</v>
      </c>
    </row>
    <row r="3" customFormat="false" ht="15" hidden="false" customHeight="false" outlineLevel="0" collapsed="false">
      <c r="A3" s="0" t="s">
        <v>1407</v>
      </c>
    </row>
    <row r="4" customFormat="false" ht="15" hidden="false" customHeight="false" outlineLevel="0" collapsed="false">
      <c r="A4" s="0" t="s">
        <v>1408</v>
      </c>
    </row>
    <row r="5" customFormat="false" ht="15" hidden="false" customHeight="false" outlineLevel="0" collapsed="false">
      <c r="A5" s="0" t="s">
        <v>1409</v>
      </c>
    </row>
    <row r="6" customFormat="false" ht="15" hidden="false" customHeight="false" outlineLevel="0" collapsed="false">
      <c r="A6" s="0" t="s">
        <v>1410</v>
      </c>
    </row>
    <row r="7" customFormat="false" ht="15" hidden="false" customHeight="false" outlineLevel="0" collapsed="false">
      <c r="A7" s="0" t="s">
        <v>1411</v>
      </c>
    </row>
    <row r="8" customFormat="false" ht="15" hidden="false" customHeight="false" outlineLevel="0" collapsed="false">
      <c r="A8" s="0" t="s">
        <v>1412</v>
      </c>
    </row>
    <row r="9" customFormat="false" ht="15" hidden="false" customHeight="false" outlineLevel="0" collapsed="false">
      <c r="A9" s="0" t="s">
        <v>1413</v>
      </c>
    </row>
    <row r="10" customFormat="false" ht="15" hidden="false" customHeight="false" outlineLevel="0" collapsed="false">
      <c r="A10" s="0" t="s">
        <v>1414</v>
      </c>
    </row>
    <row r="11" customFormat="false" ht="15" hidden="false" customHeight="false" outlineLevel="0" collapsed="false">
      <c r="A11" s="0" t="s">
        <v>1415</v>
      </c>
    </row>
    <row r="12" customFormat="false" ht="15" hidden="false" customHeight="false" outlineLevel="0" collapsed="false">
      <c r="A12" s="0" t="s">
        <v>1416</v>
      </c>
    </row>
    <row r="13" customFormat="false" ht="15" hidden="false" customHeight="false" outlineLevel="0" collapsed="false">
      <c r="A13" s="0" t="s">
        <v>1417</v>
      </c>
    </row>
    <row r="14" customFormat="false" ht="15" hidden="false" customHeight="false" outlineLevel="0" collapsed="false">
      <c r="A14" s="0" t="s">
        <v>1418</v>
      </c>
    </row>
    <row r="15" customFormat="false" ht="15" hidden="false" customHeight="false" outlineLevel="0" collapsed="false">
      <c r="A15" s="0" t="s">
        <v>1419</v>
      </c>
    </row>
    <row r="16" customFormat="false" ht="15" hidden="false" customHeight="false" outlineLevel="0" collapsed="false">
      <c r="A16" s="0" t="s">
        <v>1420</v>
      </c>
    </row>
    <row r="17" customFormat="false" ht="15" hidden="false" customHeight="false" outlineLevel="0" collapsed="false">
      <c r="A17" s="0" t="s">
        <v>1421</v>
      </c>
    </row>
    <row r="18" customFormat="false" ht="15" hidden="false" customHeight="false" outlineLevel="0" collapsed="false">
      <c r="A18" s="0" t="s">
        <v>1422</v>
      </c>
    </row>
    <row r="19" customFormat="false" ht="15" hidden="false" customHeight="false" outlineLevel="0" collapsed="false">
      <c r="A19" s="0" t="s">
        <v>1423</v>
      </c>
    </row>
    <row r="20" customFormat="false" ht="15" hidden="false" customHeight="false" outlineLevel="0" collapsed="false">
      <c r="A20" s="0" t="s">
        <v>1424</v>
      </c>
    </row>
    <row r="21" customFormat="false" ht="15" hidden="false" customHeight="false" outlineLevel="0" collapsed="false">
      <c r="A21" s="0" t="s">
        <v>1425</v>
      </c>
    </row>
    <row r="22" customFormat="false" ht="15" hidden="false" customHeight="false" outlineLevel="0" collapsed="false">
      <c r="A22" s="0" t="s">
        <v>1426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tabColor rgb="FFFFFF00"/>
    <pageSetUpPr fitToPage="false"/>
  </sheetPr>
  <dimension ref="A1:C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9" activeCellId="0" sqref="K19"/>
    </sheetView>
  </sheetViews>
  <sheetFormatPr defaultRowHeight="15"/>
  <cols>
    <col collapsed="false" hidden="false" max="1" min="1" style="0" width="9.10526315789474"/>
    <col collapsed="false" hidden="false" max="2" min="2" style="0" width="13.9271255060729"/>
    <col collapsed="false" hidden="false" max="1025" min="3" style="0" width="9.10526315789474"/>
  </cols>
  <sheetData>
    <row r="1" customFormat="false" ht="15" hidden="false" customHeight="false" outlineLevel="0" collapsed="false">
      <c r="A1" s="0" t="s">
        <v>1427</v>
      </c>
      <c r="B1" s="0" t="s">
        <v>1428</v>
      </c>
    </row>
    <row r="2" customFormat="false" ht="15" hidden="false" customHeight="false" outlineLevel="0" collapsed="false">
      <c r="A2" s="0" t="s">
        <v>1429</v>
      </c>
    </row>
    <row r="3" customFormat="false" ht="15" hidden="false" customHeight="false" outlineLevel="0" collapsed="false">
      <c r="A3" s="0" t="s">
        <v>1430</v>
      </c>
      <c r="B3" s="54" t="n">
        <f aca="false">Raw_Material!$B$8*Raw_Material!C3</f>
        <v>7.0175</v>
      </c>
      <c r="C3" s="0" t="n">
        <v>1.75</v>
      </c>
    </row>
    <row r="4" customFormat="false" ht="15" hidden="false" customHeight="false" outlineLevel="0" collapsed="false">
      <c r="A4" s="0" t="s">
        <v>1431</v>
      </c>
      <c r="B4" s="54" t="n">
        <f aca="false">Raw_Material!$B$8*Raw_Material!C4</f>
        <v>7.8195</v>
      </c>
      <c r="C4" s="0" t="n">
        <v>1.95</v>
      </c>
    </row>
    <row r="5" customFormat="false" ht="15" hidden="false" customHeight="false" outlineLevel="0" collapsed="false">
      <c r="A5" s="0" t="s">
        <v>1432</v>
      </c>
      <c r="B5" s="54" t="n">
        <f aca="false">Raw_Material!$B$8*Raw_Material!C5</f>
        <v>8.822</v>
      </c>
      <c r="C5" s="0" t="n">
        <v>2.2</v>
      </c>
    </row>
    <row r="6" customFormat="false" ht="15" hidden="false" customHeight="false" outlineLevel="0" collapsed="false">
      <c r="A6" s="0" t="s">
        <v>1433</v>
      </c>
      <c r="B6" s="54" t="n">
        <f aca="false">Raw_Material!$B$8*Raw_Material!C6</f>
        <v>9.624</v>
      </c>
      <c r="C6" s="0" t="n">
        <v>2.4</v>
      </c>
    </row>
    <row r="8" customFormat="false" ht="15" hidden="false" customHeight="false" outlineLevel="0" collapsed="false">
      <c r="A8" s="0" t="s">
        <v>1434</v>
      </c>
      <c r="B8" s="0" t="n">
        <v>4.01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B5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5"/>
  <cols>
    <col collapsed="false" hidden="false" max="2" min="1" style="0" width="18.7449392712551"/>
    <col collapsed="false" hidden="false" max="1020" min="3" style="0" width="9.10526315789474"/>
    <col collapsed="false" hidden="false" max="1025" min="1021" style="0" width="8.57085020242915"/>
  </cols>
  <sheetData>
    <row r="1" customFormat="false" ht="15" hidden="false" customHeight="false" outlineLevel="0" collapsed="false">
      <c r="A1" s="27" t="s">
        <v>1435</v>
      </c>
      <c r="B1" s="27" t="s">
        <v>1436</v>
      </c>
    </row>
    <row r="2" customFormat="false" ht="15" hidden="false" customHeight="false" outlineLevel="0" collapsed="false">
      <c r="A2" s="0" t="s">
        <v>120</v>
      </c>
      <c r="B2" s="0" t="s">
        <v>225</v>
      </c>
    </row>
    <row r="3" customFormat="false" ht="15" hidden="false" customHeight="false" outlineLevel="0" collapsed="false">
      <c r="A3" s="0" t="s">
        <v>121</v>
      </c>
      <c r="B3" s="0" t="s">
        <v>231</v>
      </c>
    </row>
    <row r="4" customFormat="false" ht="15" hidden="false" customHeight="false" outlineLevel="0" collapsed="false">
      <c r="A4" s="0" t="s">
        <v>123</v>
      </c>
      <c r="B4" s="0" t="s">
        <v>235</v>
      </c>
    </row>
    <row r="5" customFormat="false" ht="15" hidden="false" customHeight="false" outlineLevel="0" collapsed="false">
      <c r="A5" s="0" t="s">
        <v>124</v>
      </c>
      <c r="B5" s="0" t="s">
        <v>237</v>
      </c>
    </row>
    <row r="6" customFormat="false" ht="15" hidden="false" customHeight="false" outlineLevel="0" collapsed="false">
      <c r="A6" s="0" t="s">
        <v>125</v>
      </c>
      <c r="B6" s="0" t="s">
        <v>239</v>
      </c>
    </row>
    <row r="7" customFormat="false" ht="15" hidden="false" customHeight="false" outlineLevel="0" collapsed="false">
      <c r="A7" s="0" t="s">
        <v>127</v>
      </c>
      <c r="B7" s="0" t="s">
        <v>245</v>
      </c>
    </row>
    <row r="8" customFormat="false" ht="15" hidden="false" customHeight="false" outlineLevel="0" collapsed="false">
      <c r="A8" s="0" t="s">
        <v>128</v>
      </c>
      <c r="B8" s="0" t="s">
        <v>246</v>
      </c>
    </row>
    <row r="9" customFormat="false" ht="15" hidden="false" customHeight="false" outlineLevel="0" collapsed="false">
      <c r="A9" s="0" t="s">
        <v>130</v>
      </c>
      <c r="B9" s="0" t="s">
        <v>249</v>
      </c>
    </row>
    <row r="10" customFormat="false" ht="15" hidden="false" customHeight="false" outlineLevel="0" collapsed="false">
      <c r="A10" s="0" t="s">
        <v>131</v>
      </c>
      <c r="B10" s="0" t="s">
        <v>251</v>
      </c>
    </row>
    <row r="11" customFormat="false" ht="15" hidden="false" customHeight="false" outlineLevel="0" collapsed="false">
      <c r="A11" s="0" t="s">
        <v>133</v>
      </c>
      <c r="B11" s="0" t="s">
        <v>254</v>
      </c>
    </row>
    <row r="12" customFormat="false" ht="15" hidden="false" customHeight="false" outlineLevel="0" collapsed="false">
      <c r="A12" s="0" t="s">
        <v>508</v>
      </c>
      <c r="B12" s="0" t="s">
        <v>837</v>
      </c>
    </row>
    <row r="13" customFormat="false" ht="15" hidden="false" customHeight="false" outlineLevel="0" collapsed="false">
      <c r="A13" s="0" t="s">
        <v>134</v>
      </c>
      <c r="B13" s="0" t="s">
        <v>256</v>
      </c>
    </row>
    <row r="14" customFormat="false" ht="15" hidden="false" customHeight="false" outlineLevel="0" collapsed="false">
      <c r="A14" s="0" t="s">
        <v>135</v>
      </c>
      <c r="B14" s="0" t="s">
        <v>257</v>
      </c>
    </row>
    <row r="15" customFormat="false" ht="15" hidden="false" customHeight="false" outlineLevel="0" collapsed="false">
      <c r="A15" s="0" t="s">
        <v>137</v>
      </c>
      <c r="B15" s="0" t="s">
        <v>258</v>
      </c>
    </row>
    <row r="16" customFormat="false" ht="15" hidden="false" customHeight="false" outlineLevel="0" collapsed="false">
      <c r="A16" s="0" t="s">
        <v>138</v>
      </c>
      <c r="B16" s="0" t="s">
        <v>259</v>
      </c>
    </row>
    <row r="17" customFormat="false" ht="15" hidden="false" customHeight="false" outlineLevel="0" collapsed="false">
      <c r="A17" s="0" t="s">
        <v>139</v>
      </c>
      <c r="B17" s="0" t="s">
        <v>260</v>
      </c>
    </row>
    <row r="18" customFormat="false" ht="15" hidden="false" customHeight="false" outlineLevel="0" collapsed="false">
      <c r="A18" s="0" t="s">
        <v>140</v>
      </c>
      <c r="B18" s="0" t="s">
        <v>261</v>
      </c>
    </row>
    <row r="19" customFormat="false" ht="15" hidden="false" customHeight="false" outlineLevel="0" collapsed="false">
      <c r="A19" s="0" t="s">
        <v>141</v>
      </c>
      <c r="B19" s="0" t="s">
        <v>263</v>
      </c>
    </row>
    <row r="20" customFormat="false" ht="15" hidden="false" customHeight="false" outlineLevel="0" collapsed="false">
      <c r="A20" s="0" t="s">
        <v>142</v>
      </c>
      <c r="B20" s="0" t="s">
        <v>267</v>
      </c>
    </row>
    <row r="21" customFormat="false" ht="15" hidden="false" customHeight="false" outlineLevel="0" collapsed="false">
      <c r="A21" s="0" t="s">
        <v>143</v>
      </c>
      <c r="B21" s="0" t="s">
        <v>268</v>
      </c>
    </row>
    <row r="22" customFormat="false" ht="15" hidden="false" customHeight="false" outlineLevel="0" collapsed="false">
      <c r="A22" s="0" t="s">
        <v>144</v>
      </c>
      <c r="B22" s="0" t="s">
        <v>269</v>
      </c>
    </row>
    <row r="23" customFormat="false" ht="15" hidden="false" customHeight="false" outlineLevel="0" collapsed="false">
      <c r="A23" s="0" t="s">
        <v>145</v>
      </c>
      <c r="B23" s="0" t="s">
        <v>270</v>
      </c>
    </row>
    <row r="24" customFormat="false" ht="15" hidden="false" customHeight="false" outlineLevel="0" collapsed="false">
      <c r="A24" s="0" t="s">
        <v>146</v>
      </c>
      <c r="B24" s="0" t="s">
        <v>271</v>
      </c>
    </row>
    <row r="25" customFormat="false" ht="15" hidden="false" customHeight="false" outlineLevel="0" collapsed="false">
      <c r="A25" s="0" t="s">
        <v>148</v>
      </c>
      <c r="B25" s="0" t="s">
        <v>272</v>
      </c>
    </row>
    <row r="26" customFormat="false" ht="15" hidden="false" customHeight="false" outlineLevel="0" collapsed="false">
      <c r="A26" s="0" t="s">
        <v>150</v>
      </c>
      <c r="B26" s="0" t="s">
        <v>274</v>
      </c>
    </row>
    <row r="27" customFormat="false" ht="15" hidden="false" customHeight="false" outlineLevel="0" collapsed="false">
      <c r="A27" s="0" t="s">
        <v>151</v>
      </c>
      <c r="B27" s="0" t="s">
        <v>277</v>
      </c>
    </row>
    <row r="28" customFormat="false" ht="15" hidden="false" customHeight="false" outlineLevel="0" collapsed="false">
      <c r="A28" s="0" t="s">
        <v>152</v>
      </c>
      <c r="B28" s="0" t="s">
        <v>279</v>
      </c>
    </row>
    <row r="29" customFormat="false" ht="15" hidden="false" customHeight="false" outlineLevel="0" collapsed="false">
      <c r="A29" s="0" t="s">
        <v>153</v>
      </c>
      <c r="B29" s="0" t="s">
        <v>282</v>
      </c>
    </row>
    <row r="30" customFormat="false" ht="15" hidden="false" customHeight="false" outlineLevel="0" collapsed="false">
      <c r="A30" s="0" t="s">
        <v>154</v>
      </c>
      <c r="B30" s="0" t="s">
        <v>283</v>
      </c>
    </row>
    <row r="31" customFormat="false" ht="15" hidden="false" customHeight="false" outlineLevel="0" collapsed="false">
      <c r="A31" s="0" t="s">
        <v>155</v>
      </c>
      <c r="B31" s="0" t="s">
        <v>284</v>
      </c>
    </row>
    <row r="32" customFormat="false" ht="15" hidden="false" customHeight="false" outlineLevel="0" collapsed="false">
      <c r="A32" s="0" t="s">
        <v>156</v>
      </c>
      <c r="B32" s="0" t="s">
        <v>286</v>
      </c>
    </row>
    <row r="33" customFormat="false" ht="15" hidden="false" customHeight="false" outlineLevel="0" collapsed="false">
      <c r="A33" s="0" t="s">
        <v>158</v>
      </c>
      <c r="B33" s="0" t="s">
        <v>289</v>
      </c>
    </row>
    <row r="34" customFormat="false" ht="15" hidden="false" customHeight="false" outlineLevel="0" collapsed="false">
      <c r="A34" s="0" t="s">
        <v>159</v>
      </c>
      <c r="B34" s="0" t="s">
        <v>290</v>
      </c>
    </row>
    <row r="35" customFormat="false" ht="15" hidden="false" customHeight="false" outlineLevel="0" collapsed="false">
      <c r="A35" s="0" t="s">
        <v>162</v>
      </c>
      <c r="B35" s="0" t="s">
        <v>292</v>
      </c>
    </row>
    <row r="36" customFormat="false" ht="15" hidden="false" customHeight="false" outlineLevel="0" collapsed="false">
      <c r="A36" s="0" t="s">
        <v>163</v>
      </c>
      <c r="B36" s="0" t="s">
        <v>1437</v>
      </c>
    </row>
    <row r="37" customFormat="false" ht="15" hidden="false" customHeight="false" outlineLevel="0" collapsed="false">
      <c r="A37" s="0" t="s">
        <v>164</v>
      </c>
      <c r="B37" s="0" t="s">
        <v>294</v>
      </c>
    </row>
    <row r="38" customFormat="false" ht="15" hidden="false" customHeight="false" outlineLevel="0" collapsed="false">
      <c r="A38" s="0" t="s">
        <v>172</v>
      </c>
      <c r="B38" s="0" t="s">
        <v>305</v>
      </c>
    </row>
    <row r="39" customFormat="false" ht="15" hidden="false" customHeight="false" outlineLevel="0" collapsed="false">
      <c r="A39" s="0" t="s">
        <v>185</v>
      </c>
      <c r="B39" s="0" t="s">
        <v>323</v>
      </c>
    </row>
    <row r="40" customFormat="false" ht="15" hidden="false" customHeight="false" outlineLevel="0" collapsed="false">
      <c r="A40" s="0" t="s">
        <v>197</v>
      </c>
      <c r="B40" s="0" t="s">
        <v>327</v>
      </c>
    </row>
    <row r="41" customFormat="false" ht="15" hidden="false" customHeight="false" outlineLevel="0" collapsed="false">
      <c r="A41" s="0" t="s">
        <v>198</v>
      </c>
      <c r="B41" s="0" t="s">
        <v>328</v>
      </c>
    </row>
    <row r="42" customFormat="false" ht="15" hidden="false" customHeight="false" outlineLevel="0" collapsed="false">
      <c r="A42" s="0" t="s">
        <v>199</v>
      </c>
      <c r="B42" s="0" t="s">
        <v>330</v>
      </c>
    </row>
    <row r="43" customFormat="false" ht="15" hidden="false" customHeight="false" outlineLevel="0" collapsed="false">
      <c r="A43" s="0" t="s">
        <v>201</v>
      </c>
      <c r="B43" s="0" t="s">
        <v>331</v>
      </c>
    </row>
    <row r="44" customFormat="false" ht="15" hidden="false" customHeight="false" outlineLevel="0" collapsed="false">
      <c r="A44" s="0" t="s">
        <v>203</v>
      </c>
      <c r="B44" s="0" t="s">
        <v>332</v>
      </c>
    </row>
    <row r="45" customFormat="false" ht="15" hidden="false" customHeight="false" outlineLevel="0" collapsed="false">
      <c r="A45" s="0" t="s">
        <v>205</v>
      </c>
      <c r="B45" s="0" t="s">
        <v>333</v>
      </c>
    </row>
    <row r="46" customFormat="false" ht="15" hidden="false" customHeight="false" outlineLevel="0" collapsed="false">
      <c r="A46" s="0" t="s">
        <v>206</v>
      </c>
      <c r="B46" s="0" t="s">
        <v>334</v>
      </c>
    </row>
    <row r="47" customFormat="false" ht="15" hidden="false" customHeight="false" outlineLevel="0" collapsed="false">
      <c r="A47" s="0" t="s">
        <v>207</v>
      </c>
      <c r="B47" s="0" t="s">
        <v>335</v>
      </c>
    </row>
    <row r="48" customFormat="false" ht="15" hidden="false" customHeight="false" outlineLevel="0" collapsed="false">
      <c r="A48" s="0" t="s">
        <v>208</v>
      </c>
      <c r="B48" s="0" t="s">
        <v>337</v>
      </c>
    </row>
    <row r="49" customFormat="false" ht="15" hidden="false" customHeight="false" outlineLevel="0" collapsed="false">
      <c r="A49" s="0" t="s">
        <v>209</v>
      </c>
      <c r="B49" s="0" t="s">
        <v>338</v>
      </c>
    </row>
    <row r="50" customFormat="false" ht="15" hidden="false" customHeight="false" outlineLevel="0" collapsed="false">
      <c r="A50" s="0" t="s">
        <v>211</v>
      </c>
      <c r="B50" s="0" t="s">
        <v>339</v>
      </c>
    </row>
    <row r="51" customFormat="false" ht="15" hidden="false" customHeight="false" outlineLevel="0" collapsed="false">
      <c r="A51" s="0" t="s">
        <v>212</v>
      </c>
      <c r="B51" s="0" t="s">
        <v>340</v>
      </c>
    </row>
    <row r="52" customFormat="false" ht="15" hidden="false" customHeight="false" outlineLevel="0" collapsed="false">
      <c r="A52" s="0" t="s">
        <v>213</v>
      </c>
      <c r="B52" s="0" t="s">
        <v>341</v>
      </c>
    </row>
  </sheetData>
  <autoFilter ref="A1:B137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tabColor rgb="FF00B050"/>
    <pageSetUpPr fitToPage="false"/>
  </sheetPr>
  <dimension ref="A1:AD431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5" ySplit="2" topLeftCell="F3" activePane="bottomRight" state="frozen"/>
      <selection pane="topLeft" activeCell="A1" activeCellId="0" sqref="A1"/>
      <selection pane="topRight" activeCell="F1" activeCellId="0" sqref="F1"/>
      <selection pane="bottomLeft" activeCell="A3" activeCellId="0" sqref="A3"/>
      <selection pane="bottomRight" activeCell="G2" activeCellId="0" sqref="G2"/>
    </sheetView>
  </sheetViews>
  <sheetFormatPr defaultRowHeight="15"/>
  <cols>
    <col collapsed="false" hidden="false" max="1" min="1" style="64" width="17.0323886639676"/>
    <col collapsed="false" hidden="false" max="2" min="2" style="64" width="6.74898785425101"/>
    <col collapsed="false" hidden="false" max="3" min="3" style="0" width="17.5668016194332"/>
    <col collapsed="false" hidden="false" max="4" min="4" style="0" width="41.9919028340081"/>
    <col collapsed="false" hidden="false" max="5" min="5" style="64" width="7.49797570850202"/>
    <col collapsed="false" hidden="false" max="6" min="6" style="83" width="10.497975708502"/>
    <col collapsed="false" hidden="false" max="7" min="7" style="83" width="9.85425101214575"/>
    <col collapsed="false" hidden="false" max="8" min="8" style="83" width="11.3562753036437"/>
    <col collapsed="false" hidden="false" max="9" min="9" style="83" width="10.1781376518219"/>
    <col collapsed="false" hidden="false" max="10" min="10" style="83" width="8.03238866396761"/>
    <col collapsed="false" hidden="false" max="11" min="11" style="84" width="9.10526315789474"/>
    <col collapsed="false" hidden="false" max="14" min="12" style="69" width="9.10526315789474"/>
    <col collapsed="false" hidden="false" max="15" min="15" style="69" width="8.57085020242915"/>
    <col collapsed="false" hidden="false" max="19" min="16" style="85" width="8.57085020242915"/>
    <col collapsed="false" hidden="false" max="23" min="20" style="86" width="8.57085020242915"/>
    <col collapsed="false" hidden="false" max="28" min="24" style="83" width="8.57085020242915"/>
    <col collapsed="false" hidden="false" max="29" min="29" style="64" width="8.57085020242915"/>
    <col collapsed="false" hidden="false" max="1025" min="30" style="0" width="8.57085020242915"/>
  </cols>
  <sheetData>
    <row r="1" customFormat="false" ht="13.8" hidden="false" customHeight="false" outlineLevel="0" collapsed="false">
      <c r="A1" s="0"/>
      <c r="B1" s="0"/>
      <c r="E1" s="0"/>
      <c r="F1" s="0"/>
      <c r="G1" s="0"/>
      <c r="H1" s="0"/>
      <c r="I1" s="0"/>
      <c r="J1" s="0"/>
      <c r="K1" s="0"/>
      <c r="L1" s="87" t="n">
        <f aca="false">Yield_Originals!L2*0.75</f>
        <v>1.2</v>
      </c>
      <c r="M1" s="87" t="n">
        <f aca="false">Yield_Originals!M2*0.75</f>
        <v>1.2375</v>
      </c>
      <c r="N1" s="87" t="n">
        <f aca="false">Yield_Originals!N2*0.75</f>
        <v>1.275</v>
      </c>
      <c r="O1" s="87" t="n">
        <f aca="false">Yield_Originals!O2*0.75</f>
        <v>1.3125</v>
      </c>
      <c r="P1" s="88" t="n">
        <f aca="false">Yield_Originals!P2*0.75</f>
        <v>1.35</v>
      </c>
      <c r="Q1" s="88" t="n">
        <f aca="false">Yield_Originals!Q2*0.75</f>
        <v>1.3875</v>
      </c>
      <c r="R1" s="88" t="n">
        <f aca="false">Yield_Originals!R2*0.75</f>
        <v>1.425</v>
      </c>
      <c r="S1" s="88" t="n">
        <f aca="false">Yield_Originals!S2*0.75</f>
        <v>1.4625</v>
      </c>
      <c r="T1" s="89" t="n">
        <f aca="false">Yield_Originals!T2*0.75</f>
        <v>1.5</v>
      </c>
      <c r="U1" s="89" t="n">
        <f aca="false">Yield_Originals!U2*0.75</f>
        <v>1.5375</v>
      </c>
      <c r="V1" s="89" t="n">
        <f aca="false">Yield_Originals!V2*0.75</f>
        <v>1.575</v>
      </c>
      <c r="W1" s="89" t="n">
        <f aca="false">Yield_Originals!W2*0.75</f>
        <v>1.6125</v>
      </c>
      <c r="X1" s="90" t="n">
        <f aca="false">Yield_Originals!X2*0.75</f>
        <v>1.65</v>
      </c>
      <c r="Y1" s="90" t="n">
        <f aca="false">Yield_Originals!Y2*0.75</f>
        <v>1.6875</v>
      </c>
      <c r="Z1" s="90" t="n">
        <f aca="false">Yield_Originals!Z2*0.75</f>
        <v>1.725</v>
      </c>
      <c r="AA1" s="90" t="n">
        <f aca="false">Yield_Originals!AA2*0.75</f>
        <v>1.7625</v>
      </c>
      <c r="AB1" s="90" t="n">
        <f aca="false">Yield_Originals!AB2*0.75</f>
        <v>1.8</v>
      </c>
      <c r="AC1" s="0"/>
    </row>
    <row r="2" customFormat="false" ht="15" hidden="false" customHeight="false" outlineLevel="0" collapsed="false">
      <c r="A2" s="91" t="s">
        <v>1404</v>
      </c>
      <c r="B2" s="91" t="s">
        <v>848</v>
      </c>
      <c r="C2" s="76" t="s">
        <v>1438</v>
      </c>
      <c r="D2" s="76" t="s">
        <v>1439</v>
      </c>
      <c r="E2" s="91" t="s">
        <v>1440</v>
      </c>
      <c r="F2" s="90" t="s">
        <v>1441</v>
      </c>
      <c r="G2" s="90" t="s">
        <v>1442</v>
      </c>
      <c r="H2" s="90" t="s">
        <v>1443</v>
      </c>
      <c r="I2" s="90" t="s">
        <v>1444</v>
      </c>
      <c r="J2" s="90" t="s">
        <v>1445</v>
      </c>
      <c r="K2" s="92" t="s">
        <v>1446</v>
      </c>
      <c r="L2" s="87" t="n">
        <v>1.6</v>
      </c>
      <c r="M2" s="87" t="n">
        <f aca="false">Yield_Originals!L2+0.05</f>
        <v>1.65</v>
      </c>
      <c r="N2" s="87" t="n">
        <f aca="false">Yield_Originals!M2+0.05</f>
        <v>1.7</v>
      </c>
      <c r="O2" s="87" t="n">
        <f aca="false">Yield_Originals!N2+0.05</f>
        <v>1.75</v>
      </c>
      <c r="P2" s="88" t="n">
        <f aca="false">Yield_Originals!O2+0.05</f>
        <v>1.8</v>
      </c>
      <c r="Q2" s="88" t="n">
        <f aca="false">Yield_Originals!P2+0.05</f>
        <v>1.85</v>
      </c>
      <c r="R2" s="88" t="n">
        <f aca="false">Yield_Originals!Q2+0.05</f>
        <v>1.9</v>
      </c>
      <c r="S2" s="88" t="n">
        <f aca="false">Yield_Originals!R2+0.05</f>
        <v>1.95</v>
      </c>
      <c r="T2" s="89" t="n">
        <f aca="false">Yield_Originals!S2+0.05</f>
        <v>2</v>
      </c>
      <c r="U2" s="89" t="n">
        <f aca="false">Yield_Originals!T2+0.05</f>
        <v>2.05</v>
      </c>
      <c r="V2" s="89" t="n">
        <f aca="false">Yield_Originals!U2+0.05</f>
        <v>2.1</v>
      </c>
      <c r="W2" s="89" t="n">
        <f aca="false">Yield_Originals!V2+0.05</f>
        <v>2.15</v>
      </c>
      <c r="X2" s="90" t="n">
        <f aca="false">Yield_Originals!W2+0.05</f>
        <v>2.2</v>
      </c>
      <c r="Y2" s="90" t="n">
        <f aca="false">Yield_Originals!X2+0.05</f>
        <v>2.25</v>
      </c>
      <c r="Z2" s="90" t="n">
        <f aca="false">Yield_Originals!Y2+0.05</f>
        <v>2.3</v>
      </c>
      <c r="AA2" s="90" t="n">
        <f aca="false">Yield_Originals!Z2+0.05</f>
        <v>2.35</v>
      </c>
      <c r="AB2" s="90" t="n">
        <f aca="false">Yield_Originals!AA2+0.05</f>
        <v>2.4</v>
      </c>
      <c r="AC2" s="91"/>
      <c r="AD2" s="52"/>
    </row>
    <row r="3" customFormat="false" ht="15" hidden="false" customHeight="false" outlineLevel="0" collapsed="false">
      <c r="A3" s="64" t="s">
        <v>868</v>
      </c>
      <c r="B3" s="64" t="n">
        <v>2</v>
      </c>
      <c r="C3" s="93" t="s">
        <v>857</v>
      </c>
      <c r="D3" s="93" t="s">
        <v>867</v>
      </c>
      <c r="E3" s="94" t="n">
        <v>11</v>
      </c>
      <c r="F3" s="95" t="n">
        <v>0.25629900044452</v>
      </c>
      <c r="G3" s="95" t="n">
        <v>0.25629900044452</v>
      </c>
      <c r="H3" s="96" t="n">
        <f aca="false">+(Yield_Originals!I3+Yield_Originals!G3)/2</f>
        <v>0.271265956108044</v>
      </c>
      <c r="I3" s="95" t="n">
        <v>0.286232911771569</v>
      </c>
      <c r="J3" s="95" t="n">
        <v>0.286232911771569</v>
      </c>
      <c r="K3" s="97" t="n">
        <v>1</v>
      </c>
      <c r="L3" s="98" t="n">
        <f aca="false">(Yield_Originals!$G3*Yield_Originals!L$1)/Yield_Originals!$K3</f>
        <v>0.307558800533424</v>
      </c>
      <c r="M3" s="98" t="n">
        <f aca="false">(Yield_Originals!$G3*Yield_Originals!M$1)/Yield_Originals!$K3</f>
        <v>0.317170013050093</v>
      </c>
      <c r="N3" s="98" t="n">
        <f aca="false">(Yield_Originals!$G3*Yield_Originals!N$1)/Yield_Originals!$K3</f>
        <v>0.326781225566763</v>
      </c>
      <c r="O3" s="98"/>
      <c r="P3" s="99"/>
      <c r="Q3" s="99"/>
      <c r="R3" s="99"/>
      <c r="S3" s="99"/>
      <c r="T3" s="0"/>
      <c r="U3" s="0"/>
      <c r="V3" s="0"/>
      <c r="W3" s="0"/>
      <c r="X3" s="0"/>
      <c r="Y3" s="0"/>
      <c r="Z3" s="0"/>
      <c r="AA3" s="0"/>
      <c r="AB3" s="0"/>
      <c r="AC3" s="100"/>
    </row>
    <row r="4" customFormat="false" ht="15" hidden="false" customHeight="false" outlineLevel="0" collapsed="false">
      <c r="A4" s="64" t="s">
        <v>868</v>
      </c>
      <c r="B4" s="64" t="n">
        <v>2</v>
      </c>
      <c r="C4" s="93" t="s">
        <v>857</v>
      </c>
      <c r="D4" s="93" t="s">
        <v>867</v>
      </c>
      <c r="E4" s="94" t="n">
        <v>18</v>
      </c>
      <c r="F4" s="95" t="n">
        <v>0.25629900044452</v>
      </c>
      <c r="G4" s="95" t="n">
        <v>0.25629900044452</v>
      </c>
      <c r="H4" s="96" t="n">
        <f aca="false">+(Yield_Originals!I4+Yield_Originals!G4)/2</f>
        <v>0.271265956108044</v>
      </c>
      <c r="I4" s="95" t="n">
        <v>0.286232911771569</v>
      </c>
      <c r="J4" s="95" t="n">
        <v>0.286232911771569</v>
      </c>
      <c r="K4" s="97" t="n">
        <v>1</v>
      </c>
      <c r="L4" s="98" t="n">
        <f aca="false">(Yield_Originals!$G4*Yield_Originals!L$1)/Yield_Originals!$K4</f>
        <v>0.307558800533424</v>
      </c>
      <c r="M4" s="98" t="n">
        <f aca="false">(Yield_Originals!$G4*Yield_Originals!M$1)/Yield_Originals!$K4</f>
        <v>0.317170013050093</v>
      </c>
      <c r="N4" s="98" t="n">
        <f aca="false">(Yield_Originals!$G4*Yield_Originals!N$1)/Yield_Originals!$K4</f>
        <v>0.326781225566763</v>
      </c>
      <c r="O4" s="98"/>
      <c r="P4" s="99"/>
      <c r="Q4" s="99"/>
      <c r="R4" s="99"/>
      <c r="S4" s="99"/>
      <c r="T4" s="0"/>
      <c r="U4" s="0"/>
      <c r="V4" s="0"/>
      <c r="W4" s="0"/>
      <c r="X4" s="0"/>
      <c r="Y4" s="0"/>
      <c r="Z4" s="0"/>
      <c r="AA4" s="0"/>
      <c r="AB4" s="0"/>
      <c r="AC4" s="100"/>
    </row>
    <row r="5" customFormat="false" ht="15" hidden="false" customHeight="false" outlineLevel="0" collapsed="false">
      <c r="A5" s="64" t="s">
        <v>859</v>
      </c>
      <c r="B5" s="64" t="n">
        <v>2</v>
      </c>
      <c r="C5" s="93" t="s">
        <v>120</v>
      </c>
      <c r="D5" s="93" t="s">
        <v>1447</v>
      </c>
      <c r="E5" s="94" t="n">
        <v>9</v>
      </c>
      <c r="F5" s="96" t="n">
        <v>0.26400256871098</v>
      </c>
      <c r="G5" s="96" t="n">
        <v>0.26400256871098</v>
      </c>
      <c r="H5" s="96" t="n">
        <f aca="false">+(Yield_Originals!I5+Yield_Originals!G5)/2</f>
        <v>0.274814614266812</v>
      </c>
      <c r="I5" s="96" t="n">
        <v>0.285626659822644</v>
      </c>
      <c r="J5" s="96" t="n">
        <v>0.26674367384993</v>
      </c>
      <c r="K5" s="97" t="n">
        <v>1</v>
      </c>
      <c r="L5" s="98" t="n">
        <f aca="false">(Yield_Originals!$G5*Yield_Originals!L$1)/Yield_Originals!$K5</f>
        <v>0.316803082453176</v>
      </c>
      <c r="M5" s="98" t="n">
        <f aca="false">(Yield_Originals!$G5*Yield_Originals!M$1)/Yield_Originals!$K5</f>
        <v>0.326703178779838</v>
      </c>
      <c r="N5" s="98" t="n">
        <f aca="false">(Yield_Originals!$G5*Yield_Originals!N$1)/Yield_Originals!$K5</f>
        <v>0.336603275106499</v>
      </c>
      <c r="O5" s="98" t="n">
        <f aca="false">(Yield_Originals!$G5*Yield_Originals!O$1)/Yield_Originals!$K5</f>
        <v>0.346503371433161</v>
      </c>
      <c r="P5" s="99" t="n">
        <f aca="false">(Yield_Originals!$H5*Yield_Originals!P$1)/Yield_Originals!$K5</f>
        <v>0.370999729260196</v>
      </c>
      <c r="Q5" s="99" t="n">
        <f aca="false">(Yield_Originals!$H5*Yield_Originals!Q$1)/Yield_Originals!$K5</f>
        <v>0.381305277295202</v>
      </c>
      <c r="R5" s="99" t="n">
        <f aca="false">(Yield_Originals!$H5*Yield_Originals!R$1)/Yield_Originals!$K5</f>
        <v>0.391610825330207</v>
      </c>
      <c r="S5" s="99" t="n">
        <f aca="false">(Yield_Originals!$H5*Yield_Originals!S$1)/Yield_Originals!$K5</f>
        <v>0.401916373365213</v>
      </c>
      <c r="T5" s="101" t="n">
        <f aca="false">(Yield_Originals!$I5*Yield_Originals!T$1)/Yield_Originals!$K5</f>
        <v>0.428439989733966</v>
      </c>
      <c r="U5" s="101" t="n">
        <f aca="false">(Yield_Originals!$I5*Yield_Originals!U$1)/Yield_Originals!$K5</f>
        <v>0.439150989477315</v>
      </c>
      <c r="V5" s="101" t="n">
        <f aca="false">(Yield_Originals!$I5*Yield_Originals!V$1)/Yield_Originals!$K5</f>
        <v>0.449861989220664</v>
      </c>
      <c r="W5" s="101" t="n">
        <f aca="false">(Yield_Originals!$I5*Yield_Originals!W$1)/Yield_Originals!$K5</f>
        <v>0.460572988964013</v>
      </c>
      <c r="X5" s="102" t="n">
        <f aca="false">(Yield_Originals!$J5*Yield_Originals!X$1)/Yield_Originals!$K5</f>
        <v>0.440127061852384</v>
      </c>
      <c r="Y5" s="102" t="n">
        <f aca="false">(Yield_Originals!$J5*Yield_Originals!Y$1)/Yield_Originals!$K5</f>
        <v>0.450129949621757</v>
      </c>
      <c r="Z5" s="102" t="n">
        <f aca="false">(Yield_Originals!$J5*Yield_Originals!Z$1)/Yield_Originals!$K5</f>
        <v>0.460132837391129</v>
      </c>
      <c r="AA5" s="102" t="n">
        <f aca="false">(Yield_Originals!$J5*Yield_Originals!AA$1)/Yield_Originals!$K5</f>
        <v>0.470135725160501</v>
      </c>
      <c r="AB5" s="102" t="n">
        <f aca="false">(Yield_Originals!$J5*Yield_Originals!AB$1)/Yield_Originals!$K5</f>
        <v>0.480138612929874</v>
      </c>
      <c r="AC5" s="78"/>
    </row>
    <row r="6" customFormat="false" ht="15" hidden="false" customHeight="false" outlineLevel="0" collapsed="false">
      <c r="A6" s="64" t="s">
        <v>859</v>
      </c>
      <c r="B6" s="64" t="n">
        <v>2</v>
      </c>
      <c r="C6" s="93" t="s">
        <v>120</v>
      </c>
      <c r="D6" s="93" t="s">
        <v>1447</v>
      </c>
      <c r="E6" s="94" t="n">
        <v>16</v>
      </c>
      <c r="F6" s="96" t="n">
        <v>0.26400256871098</v>
      </c>
      <c r="G6" s="96" t="n">
        <v>0.26400256871098</v>
      </c>
      <c r="H6" s="96" t="n">
        <f aca="false">+(Yield_Originals!I6+Yield_Originals!G6)/2</f>
        <v>0.274814614266812</v>
      </c>
      <c r="I6" s="96" t="n">
        <v>0.285626659822644</v>
      </c>
      <c r="J6" s="96" t="n">
        <v>0.26674367384993</v>
      </c>
      <c r="K6" s="97" t="n">
        <v>1</v>
      </c>
      <c r="L6" s="98" t="n">
        <f aca="false">(Yield_Originals!$G6*Yield_Originals!L$1)/Yield_Originals!$K6</f>
        <v>0.316803082453176</v>
      </c>
      <c r="M6" s="98" t="n">
        <f aca="false">(Yield_Originals!$G6*Yield_Originals!M$1)/Yield_Originals!$K6</f>
        <v>0.326703178779838</v>
      </c>
      <c r="N6" s="98" t="n">
        <f aca="false">(Yield_Originals!$G6*Yield_Originals!N$1)/Yield_Originals!$K6</f>
        <v>0.336603275106499</v>
      </c>
      <c r="O6" s="98" t="n">
        <f aca="false">(Yield_Originals!$G6*Yield_Originals!O$1)/Yield_Originals!$K6</f>
        <v>0.346503371433161</v>
      </c>
      <c r="P6" s="99" t="n">
        <f aca="false">(Yield_Originals!$H6*Yield_Originals!P$1)/Yield_Originals!$K6</f>
        <v>0.370999729260196</v>
      </c>
      <c r="Q6" s="99" t="n">
        <f aca="false">(Yield_Originals!$H6*Yield_Originals!Q$1)/Yield_Originals!$K6</f>
        <v>0.381305277295202</v>
      </c>
      <c r="R6" s="99" t="n">
        <f aca="false">(Yield_Originals!$H6*Yield_Originals!R$1)/Yield_Originals!$K6</f>
        <v>0.391610825330207</v>
      </c>
      <c r="S6" s="99" t="n">
        <f aca="false">(Yield_Originals!$H6*Yield_Originals!S$1)/Yield_Originals!$K6</f>
        <v>0.401916373365213</v>
      </c>
      <c r="T6" s="101" t="n">
        <f aca="false">(Yield_Originals!$I6*Yield_Originals!T$1)/Yield_Originals!$K6</f>
        <v>0.428439989733966</v>
      </c>
      <c r="U6" s="101" t="n">
        <f aca="false">(Yield_Originals!$I6*Yield_Originals!U$1)/Yield_Originals!$K6</f>
        <v>0.439150989477315</v>
      </c>
      <c r="V6" s="101" t="n">
        <f aca="false">(Yield_Originals!$I6*Yield_Originals!V$1)/Yield_Originals!$K6</f>
        <v>0.449861989220664</v>
      </c>
      <c r="W6" s="101" t="n">
        <f aca="false">(Yield_Originals!$I6*Yield_Originals!W$1)/Yield_Originals!$K6</f>
        <v>0.460572988964013</v>
      </c>
      <c r="X6" s="102" t="n">
        <f aca="false">(Yield_Originals!$J6*Yield_Originals!X$1)/Yield_Originals!$K6</f>
        <v>0.440127061852384</v>
      </c>
      <c r="Y6" s="102" t="n">
        <f aca="false">(Yield_Originals!$J6*Yield_Originals!Y$1)/Yield_Originals!$K6</f>
        <v>0.450129949621757</v>
      </c>
      <c r="Z6" s="102" t="n">
        <f aca="false">(Yield_Originals!$J6*Yield_Originals!Z$1)/Yield_Originals!$K6</f>
        <v>0.460132837391129</v>
      </c>
      <c r="AA6" s="102" t="n">
        <f aca="false">(Yield_Originals!$J6*Yield_Originals!AA$1)/Yield_Originals!$K6</f>
        <v>0.470135725160501</v>
      </c>
      <c r="AB6" s="102" t="n">
        <f aca="false">(Yield_Originals!$J6*Yield_Originals!AB$1)/Yield_Originals!$K6</f>
        <v>0.480138612929874</v>
      </c>
      <c r="AC6" s="0"/>
    </row>
    <row r="7" customFormat="false" ht="15" hidden="false" customHeight="false" outlineLevel="0" collapsed="false">
      <c r="A7" s="64" t="s">
        <v>873</v>
      </c>
      <c r="B7" s="64" t="n">
        <v>2</v>
      </c>
      <c r="C7" s="38" t="s">
        <v>120</v>
      </c>
      <c r="D7" s="38" t="s">
        <v>1447</v>
      </c>
      <c r="E7" s="94" t="n">
        <v>10</v>
      </c>
      <c r="F7" s="96" t="n">
        <v>0.22742850037207</v>
      </c>
      <c r="G7" s="96" t="n">
        <v>0.22742850037207</v>
      </c>
      <c r="H7" s="96" t="n">
        <v>0.24190829770174</v>
      </c>
      <c r="I7" s="96" t="n">
        <v>0.256388095031411</v>
      </c>
      <c r="J7" s="96" t="n">
        <v>0.230208122470512</v>
      </c>
      <c r="K7" s="97" t="n">
        <v>1</v>
      </c>
      <c r="L7" s="98" t="n">
        <f aca="false">(Yield_Originals!$G7*Yield_Originals!L$1)/Yield_Originals!$K7</f>
        <v>0.272914200446484</v>
      </c>
      <c r="M7" s="98" t="n">
        <f aca="false">(Yield_Originals!$G7*Yield_Originals!M$1)/Yield_Originals!$K7</f>
        <v>0.281442769210437</v>
      </c>
      <c r="N7" s="98" t="n">
        <f aca="false">(Yield_Originals!$G7*Yield_Originals!N$1)/Yield_Originals!$K7</f>
        <v>0.289971337974389</v>
      </c>
      <c r="O7" s="98" t="n">
        <f aca="false">(Yield_Originals!$G7*Yield_Originals!O$1)/Yield_Originals!$K7</f>
        <v>0.298499906738342</v>
      </c>
      <c r="P7" s="99" t="n">
        <f aca="false">(Yield_Originals!$H7*Yield_Originals!P$1)/Yield_Originals!$K7</f>
        <v>0.326576201897349</v>
      </c>
      <c r="Q7" s="99" t="n">
        <f aca="false">(Yield_Originals!$H7*Yield_Originals!Q$1)/Yield_Originals!$K7</f>
        <v>0.335647763061164</v>
      </c>
      <c r="R7" s="99" t="n">
        <f aca="false">(Yield_Originals!$H7*Yield_Originals!R$1)/Yield_Originals!$K7</f>
        <v>0.34471932422498</v>
      </c>
      <c r="S7" s="99" t="n">
        <f aca="false">(Yield_Originals!$H7*Yield_Originals!S$1)/Yield_Originals!$K7</f>
        <v>0.353790885388795</v>
      </c>
      <c r="T7" s="101" t="n">
        <f aca="false">(Yield_Originals!$I7*Yield_Originals!T$1)/Yield_Originals!$K7</f>
        <v>0.384582142547117</v>
      </c>
      <c r="U7" s="101" t="n">
        <f aca="false">(Yield_Originals!$I7*Yield_Originals!U$1)/Yield_Originals!$K7</f>
        <v>0.394196696110794</v>
      </c>
      <c r="V7" s="101" t="n">
        <f aca="false">(Yield_Originals!$I7*Yield_Originals!V$1)/Yield_Originals!$K7</f>
        <v>0.403811249674472</v>
      </c>
      <c r="W7" s="101" t="n">
        <f aca="false">(Yield_Originals!$I7*Yield_Originals!W$1)/Yield_Originals!$K7</f>
        <v>0.41342580323815</v>
      </c>
      <c r="X7" s="102" t="n">
        <f aca="false">(Yield_Originals!$J7*Yield_Originals!X$1)/Yield_Originals!$K7</f>
        <v>0.379843402076345</v>
      </c>
      <c r="Y7" s="102" t="n">
        <f aca="false">(Yield_Originals!$J7*Yield_Originals!Y$1)/Yield_Originals!$K7</f>
        <v>0.388476206668989</v>
      </c>
      <c r="Z7" s="102" t="n">
        <f aca="false">(Yield_Originals!$J7*Yield_Originals!Z$1)/Yield_Originals!$K7</f>
        <v>0.397109011261633</v>
      </c>
      <c r="AA7" s="102" t="n">
        <f aca="false">(Yield_Originals!$J7*Yield_Originals!AA$1)/Yield_Originals!$K7</f>
        <v>0.405741815854277</v>
      </c>
      <c r="AB7" s="102" t="n">
        <f aca="false">(Yield_Originals!$J7*Yield_Originals!AB$1)/Yield_Originals!$K7</f>
        <v>0.414374620446921</v>
      </c>
      <c r="AC7" s="0"/>
    </row>
    <row r="8" customFormat="false" ht="15" hidden="false" customHeight="false" outlineLevel="0" collapsed="false">
      <c r="A8" s="64" t="s">
        <v>873</v>
      </c>
      <c r="B8" s="64" t="n">
        <v>2</v>
      </c>
      <c r="C8" s="38" t="s">
        <v>120</v>
      </c>
      <c r="D8" s="38" t="s">
        <v>1447</v>
      </c>
      <c r="E8" s="94" t="n">
        <v>17</v>
      </c>
      <c r="F8" s="96" t="n">
        <v>0.22742850037207</v>
      </c>
      <c r="G8" s="96" t="n">
        <v>0.22742850037207</v>
      </c>
      <c r="H8" s="96" t="n">
        <v>0.24190829770174</v>
      </c>
      <c r="I8" s="96" t="n">
        <v>0.256388095031411</v>
      </c>
      <c r="J8" s="96" t="n">
        <v>0.230208122470512</v>
      </c>
      <c r="K8" s="97" t="n">
        <v>1</v>
      </c>
      <c r="L8" s="98" t="n">
        <f aca="false">(Yield_Originals!$G8*Yield_Originals!L$1)/Yield_Originals!$K8</f>
        <v>0.272914200446484</v>
      </c>
      <c r="M8" s="98" t="n">
        <f aca="false">(Yield_Originals!$G8*Yield_Originals!M$1)/Yield_Originals!$K8</f>
        <v>0.281442769210437</v>
      </c>
      <c r="N8" s="98" t="n">
        <f aca="false">(Yield_Originals!$G8*Yield_Originals!N$1)/Yield_Originals!$K8</f>
        <v>0.289971337974389</v>
      </c>
      <c r="O8" s="98" t="n">
        <f aca="false">(Yield_Originals!$G8*Yield_Originals!O$1)/Yield_Originals!$K8</f>
        <v>0.298499906738342</v>
      </c>
      <c r="P8" s="99" t="n">
        <f aca="false">(Yield_Originals!$H8*Yield_Originals!P$1)/Yield_Originals!$K8</f>
        <v>0.326576201897349</v>
      </c>
      <c r="Q8" s="99" t="n">
        <f aca="false">(Yield_Originals!$H8*Yield_Originals!Q$1)/Yield_Originals!$K8</f>
        <v>0.335647763061164</v>
      </c>
      <c r="R8" s="99" t="n">
        <f aca="false">(Yield_Originals!$H8*Yield_Originals!R$1)/Yield_Originals!$K8</f>
        <v>0.34471932422498</v>
      </c>
      <c r="S8" s="99" t="n">
        <f aca="false">(Yield_Originals!$H8*Yield_Originals!S$1)/Yield_Originals!$K8</f>
        <v>0.353790885388795</v>
      </c>
      <c r="T8" s="101" t="n">
        <f aca="false">(Yield_Originals!$I8*Yield_Originals!T$1)/Yield_Originals!$K8</f>
        <v>0.384582142547117</v>
      </c>
      <c r="U8" s="101" t="n">
        <f aca="false">(Yield_Originals!$I8*Yield_Originals!U$1)/Yield_Originals!$K8</f>
        <v>0.394196696110794</v>
      </c>
      <c r="V8" s="101" t="n">
        <f aca="false">(Yield_Originals!$I8*Yield_Originals!V$1)/Yield_Originals!$K8</f>
        <v>0.403811249674472</v>
      </c>
      <c r="W8" s="101" t="n">
        <f aca="false">(Yield_Originals!$I8*Yield_Originals!W$1)/Yield_Originals!$K8</f>
        <v>0.41342580323815</v>
      </c>
      <c r="X8" s="102" t="n">
        <f aca="false">(Yield_Originals!$J8*Yield_Originals!X$1)/Yield_Originals!$K8</f>
        <v>0.379843402076345</v>
      </c>
      <c r="Y8" s="102" t="n">
        <f aca="false">(Yield_Originals!$J8*Yield_Originals!Y$1)/Yield_Originals!$K8</f>
        <v>0.388476206668989</v>
      </c>
      <c r="Z8" s="102" t="n">
        <f aca="false">(Yield_Originals!$J8*Yield_Originals!Z$1)/Yield_Originals!$K8</f>
        <v>0.397109011261633</v>
      </c>
      <c r="AA8" s="102" t="n">
        <f aca="false">(Yield_Originals!$J8*Yield_Originals!AA$1)/Yield_Originals!$K8</f>
        <v>0.405741815854277</v>
      </c>
      <c r="AB8" s="102" t="n">
        <f aca="false">(Yield_Originals!$J8*Yield_Originals!AB$1)/Yield_Originals!$K8</f>
        <v>0.414374620446921</v>
      </c>
      <c r="AC8" s="0"/>
    </row>
    <row r="9" customFormat="false" ht="15" hidden="false" customHeight="false" outlineLevel="0" collapsed="false">
      <c r="A9" s="64" t="s">
        <v>859</v>
      </c>
      <c r="B9" s="64" t="n">
        <v>2</v>
      </c>
      <c r="C9" s="93" t="s">
        <v>225</v>
      </c>
      <c r="D9" s="93" t="s">
        <v>1447</v>
      </c>
      <c r="E9" s="94" t="n">
        <v>9</v>
      </c>
      <c r="F9" s="96" t="n">
        <v>0.26400256871098</v>
      </c>
      <c r="G9" s="96" t="n">
        <v>0.26400256871098</v>
      </c>
      <c r="H9" s="96" t="n">
        <f aca="false">+(Yield_Originals!I9+Yield_Originals!G9)/2</f>
        <v>0.274814614266812</v>
      </c>
      <c r="I9" s="96" t="n">
        <v>0.285626659822644</v>
      </c>
      <c r="J9" s="96" t="n">
        <v>0.26674367384993</v>
      </c>
      <c r="K9" s="97" t="n">
        <v>1</v>
      </c>
      <c r="L9" s="98" t="n">
        <f aca="false">(Yield_Originals!$G9*Yield_Originals!L$1)/Yield_Originals!$K9</f>
        <v>0.316803082453176</v>
      </c>
      <c r="M9" s="98" t="n">
        <f aca="false">(Yield_Originals!$G9*Yield_Originals!M$1)/Yield_Originals!$K9</f>
        <v>0.326703178779838</v>
      </c>
      <c r="N9" s="98" t="n">
        <f aca="false">(Yield_Originals!$G9*Yield_Originals!N$1)/Yield_Originals!$K9</f>
        <v>0.336603275106499</v>
      </c>
      <c r="O9" s="98" t="n">
        <f aca="false">(Yield_Originals!$G9*Yield_Originals!O$1)/Yield_Originals!$K9</f>
        <v>0.346503371433161</v>
      </c>
      <c r="P9" s="99" t="n">
        <f aca="false">(Yield_Originals!$H9*Yield_Originals!P$1)/Yield_Originals!$K9</f>
        <v>0.370999729260196</v>
      </c>
      <c r="Q9" s="99" t="n">
        <f aca="false">(Yield_Originals!$H9*Yield_Originals!Q$1)/Yield_Originals!$K9</f>
        <v>0.381305277295202</v>
      </c>
      <c r="R9" s="99" t="n">
        <f aca="false">(Yield_Originals!$H9*Yield_Originals!R$1)/Yield_Originals!$K9</f>
        <v>0.391610825330207</v>
      </c>
      <c r="S9" s="99" t="n">
        <f aca="false">(Yield_Originals!$H9*Yield_Originals!S$1)/Yield_Originals!$K9</f>
        <v>0.401916373365213</v>
      </c>
      <c r="T9" s="101" t="n">
        <f aca="false">(Yield_Originals!$I9*Yield_Originals!T$1)/Yield_Originals!$K9</f>
        <v>0.428439989733966</v>
      </c>
      <c r="U9" s="101" t="n">
        <f aca="false">(Yield_Originals!$I9*Yield_Originals!U$1)/Yield_Originals!$K9</f>
        <v>0.439150989477315</v>
      </c>
      <c r="V9" s="101" t="n">
        <f aca="false">(Yield_Originals!$I9*Yield_Originals!V$1)/Yield_Originals!$K9</f>
        <v>0.449861989220664</v>
      </c>
      <c r="W9" s="101" t="n">
        <f aca="false">(Yield_Originals!$I9*Yield_Originals!W$1)/Yield_Originals!$K9</f>
        <v>0.460572988964013</v>
      </c>
      <c r="X9" s="102" t="n">
        <f aca="false">(Yield_Originals!$J9*Yield_Originals!X$1)/Yield_Originals!$K9</f>
        <v>0.440127061852384</v>
      </c>
      <c r="Y9" s="102" t="n">
        <f aca="false">(Yield_Originals!$J9*Yield_Originals!Y$1)/Yield_Originals!$K9</f>
        <v>0.450129949621757</v>
      </c>
      <c r="Z9" s="102" t="n">
        <f aca="false">(Yield_Originals!$J9*Yield_Originals!Z$1)/Yield_Originals!$K9</f>
        <v>0.460132837391129</v>
      </c>
      <c r="AA9" s="102" t="n">
        <f aca="false">(Yield_Originals!$J9*Yield_Originals!AA$1)/Yield_Originals!$K9</f>
        <v>0.470135725160501</v>
      </c>
      <c r="AB9" s="102" t="n">
        <f aca="false">(Yield_Originals!$J9*Yield_Originals!AB$1)/Yield_Originals!$K9</f>
        <v>0.480138612929874</v>
      </c>
      <c r="AC9" s="0"/>
    </row>
    <row r="10" customFormat="false" ht="15" hidden="false" customHeight="false" outlineLevel="0" collapsed="false">
      <c r="A10" s="64" t="s">
        <v>859</v>
      </c>
      <c r="B10" s="64" t="n">
        <v>2</v>
      </c>
      <c r="C10" s="93" t="s">
        <v>225</v>
      </c>
      <c r="D10" s="93" t="s">
        <v>1447</v>
      </c>
      <c r="E10" s="94" t="n">
        <v>16</v>
      </c>
      <c r="F10" s="96" t="n">
        <v>0.26400256871098</v>
      </c>
      <c r="G10" s="96" t="n">
        <v>0.26400256871098</v>
      </c>
      <c r="H10" s="96" t="n">
        <f aca="false">+(Yield_Originals!I10+Yield_Originals!G10)/2</f>
        <v>0.274814614266812</v>
      </c>
      <c r="I10" s="96" t="n">
        <v>0.285626659822644</v>
      </c>
      <c r="J10" s="96" t="n">
        <v>0.26674367384993</v>
      </c>
      <c r="K10" s="97" t="n">
        <v>1</v>
      </c>
      <c r="L10" s="98" t="n">
        <f aca="false">(Yield_Originals!$G10*Yield_Originals!L$1)/Yield_Originals!$K10</f>
        <v>0.316803082453176</v>
      </c>
      <c r="M10" s="98" t="n">
        <f aca="false">(Yield_Originals!$G10*Yield_Originals!M$1)/Yield_Originals!$K10</f>
        <v>0.326703178779838</v>
      </c>
      <c r="N10" s="98" t="n">
        <f aca="false">(Yield_Originals!$G10*Yield_Originals!N$1)/Yield_Originals!$K10</f>
        <v>0.336603275106499</v>
      </c>
      <c r="O10" s="98" t="n">
        <f aca="false">(Yield_Originals!$G10*Yield_Originals!O$1)/Yield_Originals!$K10</f>
        <v>0.346503371433161</v>
      </c>
      <c r="P10" s="99" t="n">
        <f aca="false">(Yield_Originals!$H10*Yield_Originals!P$1)/Yield_Originals!$K10</f>
        <v>0.370999729260196</v>
      </c>
      <c r="Q10" s="99" t="n">
        <f aca="false">(Yield_Originals!$H10*Yield_Originals!Q$1)/Yield_Originals!$K10</f>
        <v>0.381305277295202</v>
      </c>
      <c r="R10" s="99" t="n">
        <f aca="false">(Yield_Originals!$H10*Yield_Originals!R$1)/Yield_Originals!$K10</f>
        <v>0.391610825330207</v>
      </c>
      <c r="S10" s="99" t="n">
        <f aca="false">(Yield_Originals!$H10*Yield_Originals!S$1)/Yield_Originals!$K10</f>
        <v>0.401916373365213</v>
      </c>
      <c r="T10" s="101" t="n">
        <f aca="false">(Yield_Originals!$I10*Yield_Originals!T$1)/Yield_Originals!$K10</f>
        <v>0.428439989733966</v>
      </c>
      <c r="U10" s="101" t="n">
        <f aca="false">(Yield_Originals!$I10*Yield_Originals!U$1)/Yield_Originals!$K10</f>
        <v>0.439150989477315</v>
      </c>
      <c r="V10" s="101" t="n">
        <f aca="false">(Yield_Originals!$I10*Yield_Originals!V$1)/Yield_Originals!$K10</f>
        <v>0.449861989220664</v>
      </c>
      <c r="W10" s="101" t="n">
        <f aca="false">(Yield_Originals!$I10*Yield_Originals!W$1)/Yield_Originals!$K10</f>
        <v>0.460572988964013</v>
      </c>
      <c r="X10" s="102" t="n">
        <f aca="false">(Yield_Originals!$J10*Yield_Originals!X$1)/Yield_Originals!$K10</f>
        <v>0.440127061852384</v>
      </c>
      <c r="Y10" s="102" t="n">
        <f aca="false">(Yield_Originals!$J10*Yield_Originals!Y$1)/Yield_Originals!$K10</f>
        <v>0.450129949621757</v>
      </c>
      <c r="Z10" s="102" t="n">
        <f aca="false">(Yield_Originals!$J10*Yield_Originals!Z$1)/Yield_Originals!$K10</f>
        <v>0.460132837391129</v>
      </c>
      <c r="AA10" s="102" t="n">
        <f aca="false">(Yield_Originals!$J10*Yield_Originals!AA$1)/Yield_Originals!$K10</f>
        <v>0.470135725160501</v>
      </c>
      <c r="AB10" s="102" t="n">
        <f aca="false">(Yield_Originals!$J10*Yield_Originals!AB$1)/Yield_Originals!$K10</f>
        <v>0.480138612929874</v>
      </c>
      <c r="AC10" s="0"/>
    </row>
    <row r="11" customFormat="false" ht="15" hidden="false" customHeight="false" outlineLevel="0" collapsed="false">
      <c r="A11" s="64" t="s">
        <v>873</v>
      </c>
      <c r="B11" s="64" t="n">
        <v>2</v>
      </c>
      <c r="C11" s="38" t="s">
        <v>225</v>
      </c>
      <c r="D11" s="38" t="s">
        <v>1447</v>
      </c>
      <c r="E11" s="94" t="n">
        <v>10</v>
      </c>
      <c r="F11" s="96" t="n">
        <v>0.22742850037207</v>
      </c>
      <c r="G11" s="96" t="n">
        <v>0.22742850037207</v>
      </c>
      <c r="H11" s="96" t="n">
        <v>0.24190829770174</v>
      </c>
      <c r="I11" s="96" t="n">
        <v>0.256388095031411</v>
      </c>
      <c r="J11" s="96" t="n">
        <v>0.230208122470512</v>
      </c>
      <c r="K11" s="97" t="n">
        <v>1</v>
      </c>
      <c r="L11" s="98" t="n">
        <f aca="false">(Yield_Originals!$G11*Yield_Originals!L$1)/Yield_Originals!$K11</f>
        <v>0.272914200446484</v>
      </c>
      <c r="M11" s="98" t="n">
        <f aca="false">(Yield_Originals!$G11*Yield_Originals!M$1)/Yield_Originals!$K11</f>
        <v>0.281442769210437</v>
      </c>
      <c r="N11" s="98" t="n">
        <f aca="false">(Yield_Originals!$G11*Yield_Originals!N$1)/Yield_Originals!$K11</f>
        <v>0.289971337974389</v>
      </c>
      <c r="O11" s="98" t="n">
        <f aca="false">(Yield_Originals!$G11*Yield_Originals!O$1)/Yield_Originals!$K11</f>
        <v>0.298499906738342</v>
      </c>
      <c r="P11" s="99" t="n">
        <f aca="false">(Yield_Originals!$H11*Yield_Originals!P$1)/Yield_Originals!$K11</f>
        <v>0.326576201897349</v>
      </c>
      <c r="Q11" s="99" t="n">
        <f aca="false">(Yield_Originals!$H11*Yield_Originals!Q$1)/Yield_Originals!$K11</f>
        <v>0.335647763061164</v>
      </c>
      <c r="R11" s="99" t="n">
        <f aca="false">(Yield_Originals!$H11*Yield_Originals!R$1)/Yield_Originals!$K11</f>
        <v>0.34471932422498</v>
      </c>
      <c r="S11" s="99" t="n">
        <f aca="false">(Yield_Originals!$H11*Yield_Originals!S$1)/Yield_Originals!$K11</f>
        <v>0.353790885388795</v>
      </c>
      <c r="T11" s="101" t="n">
        <f aca="false">(Yield_Originals!$I11*Yield_Originals!T$1)/Yield_Originals!$K11</f>
        <v>0.384582142547117</v>
      </c>
      <c r="U11" s="101" t="n">
        <f aca="false">(Yield_Originals!$I11*Yield_Originals!U$1)/Yield_Originals!$K11</f>
        <v>0.394196696110794</v>
      </c>
      <c r="V11" s="101" t="n">
        <f aca="false">(Yield_Originals!$I11*Yield_Originals!V$1)/Yield_Originals!$K11</f>
        <v>0.403811249674472</v>
      </c>
      <c r="W11" s="101" t="n">
        <f aca="false">(Yield_Originals!$I11*Yield_Originals!W$1)/Yield_Originals!$K11</f>
        <v>0.41342580323815</v>
      </c>
      <c r="X11" s="102" t="n">
        <f aca="false">(Yield_Originals!$J11*Yield_Originals!X$1)/Yield_Originals!$K11</f>
        <v>0.379843402076345</v>
      </c>
      <c r="Y11" s="102" t="n">
        <f aca="false">(Yield_Originals!$J11*Yield_Originals!Y$1)/Yield_Originals!$K11</f>
        <v>0.388476206668989</v>
      </c>
      <c r="Z11" s="102" t="n">
        <f aca="false">(Yield_Originals!$J11*Yield_Originals!Z$1)/Yield_Originals!$K11</f>
        <v>0.397109011261633</v>
      </c>
      <c r="AA11" s="102" t="n">
        <f aca="false">(Yield_Originals!$J11*Yield_Originals!AA$1)/Yield_Originals!$K11</f>
        <v>0.405741815854277</v>
      </c>
      <c r="AB11" s="102" t="n">
        <f aca="false">(Yield_Originals!$J11*Yield_Originals!AB$1)/Yield_Originals!$K11</f>
        <v>0.414374620446921</v>
      </c>
      <c r="AC11" s="0"/>
    </row>
    <row r="12" customFormat="false" ht="15" hidden="false" customHeight="false" outlineLevel="0" collapsed="false">
      <c r="A12" s="64" t="s">
        <v>873</v>
      </c>
      <c r="B12" s="64" t="n">
        <v>2</v>
      </c>
      <c r="C12" s="38" t="s">
        <v>225</v>
      </c>
      <c r="D12" s="38" t="s">
        <v>1447</v>
      </c>
      <c r="E12" s="94" t="n">
        <v>17</v>
      </c>
      <c r="F12" s="96" t="n">
        <v>0.22742850037207</v>
      </c>
      <c r="G12" s="96" t="n">
        <v>0.22742850037207</v>
      </c>
      <c r="H12" s="96" t="n">
        <v>0.24190829770174</v>
      </c>
      <c r="I12" s="96" t="n">
        <v>0.256388095031411</v>
      </c>
      <c r="J12" s="96" t="n">
        <v>0.230208122470512</v>
      </c>
      <c r="K12" s="97" t="n">
        <v>1</v>
      </c>
      <c r="L12" s="98" t="n">
        <f aca="false">(Yield_Originals!$G12*Yield_Originals!L$1)/Yield_Originals!$K12</f>
        <v>0.272914200446484</v>
      </c>
      <c r="M12" s="98" t="n">
        <f aca="false">(Yield_Originals!$G12*Yield_Originals!M$1)/Yield_Originals!$K12</f>
        <v>0.281442769210437</v>
      </c>
      <c r="N12" s="98" t="n">
        <f aca="false">(Yield_Originals!$G12*Yield_Originals!N$1)/Yield_Originals!$K12</f>
        <v>0.289971337974389</v>
      </c>
      <c r="O12" s="98" t="n">
        <f aca="false">(Yield_Originals!$G12*Yield_Originals!O$1)/Yield_Originals!$K12</f>
        <v>0.298499906738342</v>
      </c>
      <c r="P12" s="99" t="n">
        <f aca="false">(Yield_Originals!$H12*Yield_Originals!P$1)/Yield_Originals!$K12</f>
        <v>0.326576201897349</v>
      </c>
      <c r="Q12" s="99" t="n">
        <f aca="false">(Yield_Originals!$H12*Yield_Originals!Q$1)/Yield_Originals!$K12</f>
        <v>0.335647763061164</v>
      </c>
      <c r="R12" s="99" t="n">
        <f aca="false">(Yield_Originals!$H12*Yield_Originals!R$1)/Yield_Originals!$K12</f>
        <v>0.34471932422498</v>
      </c>
      <c r="S12" s="99" t="n">
        <f aca="false">(Yield_Originals!$H12*Yield_Originals!S$1)/Yield_Originals!$K12</f>
        <v>0.353790885388795</v>
      </c>
      <c r="T12" s="101" t="n">
        <f aca="false">(Yield_Originals!$I12*Yield_Originals!T$1)/Yield_Originals!$K12</f>
        <v>0.384582142547117</v>
      </c>
      <c r="U12" s="101" t="n">
        <f aca="false">(Yield_Originals!$I12*Yield_Originals!U$1)/Yield_Originals!$K12</f>
        <v>0.394196696110794</v>
      </c>
      <c r="V12" s="101" t="n">
        <f aca="false">(Yield_Originals!$I12*Yield_Originals!V$1)/Yield_Originals!$K12</f>
        <v>0.403811249674472</v>
      </c>
      <c r="W12" s="101" t="n">
        <f aca="false">(Yield_Originals!$I12*Yield_Originals!W$1)/Yield_Originals!$K12</f>
        <v>0.41342580323815</v>
      </c>
      <c r="X12" s="102" t="n">
        <f aca="false">(Yield_Originals!$J12*Yield_Originals!X$1)/Yield_Originals!$K12</f>
        <v>0.379843402076345</v>
      </c>
      <c r="Y12" s="102" t="n">
        <f aca="false">(Yield_Originals!$J12*Yield_Originals!Y$1)/Yield_Originals!$K12</f>
        <v>0.388476206668989</v>
      </c>
      <c r="Z12" s="102" t="n">
        <f aca="false">(Yield_Originals!$J12*Yield_Originals!Z$1)/Yield_Originals!$K12</f>
        <v>0.397109011261633</v>
      </c>
      <c r="AA12" s="102" t="n">
        <f aca="false">(Yield_Originals!$J12*Yield_Originals!AA$1)/Yield_Originals!$K12</f>
        <v>0.405741815854277</v>
      </c>
      <c r="AB12" s="102" t="n">
        <f aca="false">(Yield_Originals!$J12*Yield_Originals!AB$1)/Yield_Originals!$K12</f>
        <v>0.414374620446921</v>
      </c>
      <c r="AC12" s="0"/>
    </row>
    <row r="13" customFormat="false" ht="15" hidden="false" customHeight="false" outlineLevel="0" collapsed="false">
      <c r="A13" s="64" t="s">
        <v>859</v>
      </c>
      <c r="B13" s="64" t="n">
        <v>2</v>
      </c>
      <c r="C13" s="93" t="s">
        <v>866</v>
      </c>
      <c r="D13" s="93" t="s">
        <v>1448</v>
      </c>
      <c r="E13" s="94" t="n">
        <v>9</v>
      </c>
      <c r="F13" s="96" t="n">
        <v>0.26400256871098</v>
      </c>
      <c r="G13" s="96" t="n">
        <v>0.26400256871098</v>
      </c>
      <c r="H13" s="96" t="n">
        <f aca="false">+(Yield_Originals!I13+Yield_Originals!G13)/2</f>
        <v>0.274814614266812</v>
      </c>
      <c r="I13" s="96" t="n">
        <v>0.285626659822644</v>
      </c>
      <c r="J13" s="96" t="n">
        <v>0.26674367384993</v>
      </c>
      <c r="K13" s="97" t="n">
        <v>1</v>
      </c>
      <c r="L13" s="98" t="n">
        <f aca="false">(Yield_Originals!$G13*Yield_Originals!L$1)/Yield_Originals!$K13</f>
        <v>0.316803082453176</v>
      </c>
      <c r="M13" s="98" t="n">
        <f aca="false">(Yield_Originals!$G13*Yield_Originals!M$1)/Yield_Originals!$K13</f>
        <v>0.326703178779838</v>
      </c>
      <c r="N13" s="98" t="n">
        <f aca="false">(Yield_Originals!$G13*Yield_Originals!N$1)/Yield_Originals!$K13</f>
        <v>0.336603275106499</v>
      </c>
      <c r="O13" s="98" t="n">
        <f aca="false">(Yield_Originals!$G13*Yield_Originals!O$1)/Yield_Originals!$K13</f>
        <v>0.346503371433161</v>
      </c>
      <c r="P13" s="99" t="n">
        <f aca="false">(Yield_Originals!$H13*Yield_Originals!P$1)/Yield_Originals!$K13</f>
        <v>0.370999729260196</v>
      </c>
      <c r="Q13" s="99" t="n">
        <f aca="false">(Yield_Originals!$H13*Yield_Originals!Q$1)/Yield_Originals!$K13</f>
        <v>0.381305277295202</v>
      </c>
      <c r="R13" s="99" t="n">
        <f aca="false">(Yield_Originals!$H13*Yield_Originals!R$1)/Yield_Originals!$K13</f>
        <v>0.391610825330207</v>
      </c>
      <c r="S13" s="99" t="n">
        <f aca="false">(Yield_Originals!$H13*Yield_Originals!S$1)/Yield_Originals!$K13</f>
        <v>0.401916373365213</v>
      </c>
      <c r="T13" s="101" t="n">
        <f aca="false">(Yield_Originals!$I13*Yield_Originals!T$1)/Yield_Originals!$K13</f>
        <v>0.428439989733966</v>
      </c>
      <c r="U13" s="101" t="n">
        <f aca="false">(Yield_Originals!$I13*Yield_Originals!U$1)/Yield_Originals!$K13</f>
        <v>0.439150989477315</v>
      </c>
      <c r="V13" s="101" t="n">
        <f aca="false">(Yield_Originals!$I13*Yield_Originals!V$1)/Yield_Originals!$K13</f>
        <v>0.449861989220664</v>
      </c>
      <c r="W13" s="101" t="n">
        <f aca="false">(Yield_Originals!$I13*Yield_Originals!W$1)/Yield_Originals!$K13</f>
        <v>0.460572988964013</v>
      </c>
      <c r="X13" s="102" t="n">
        <f aca="false">(Yield_Originals!$J13*Yield_Originals!X$1)/Yield_Originals!$K13</f>
        <v>0.440127061852384</v>
      </c>
      <c r="Y13" s="102" t="n">
        <f aca="false">(Yield_Originals!$J13*Yield_Originals!Y$1)/Yield_Originals!$K13</f>
        <v>0.450129949621757</v>
      </c>
      <c r="Z13" s="102" t="n">
        <f aca="false">(Yield_Originals!$J13*Yield_Originals!Z$1)/Yield_Originals!$K13</f>
        <v>0.460132837391129</v>
      </c>
      <c r="AA13" s="102" t="n">
        <f aca="false">(Yield_Originals!$J13*Yield_Originals!AA$1)/Yield_Originals!$K13</f>
        <v>0.470135725160501</v>
      </c>
      <c r="AB13" s="102" t="n">
        <f aca="false">(Yield_Originals!$J13*Yield_Originals!AB$1)/Yield_Originals!$K13</f>
        <v>0.480138612929874</v>
      </c>
      <c r="AC13" s="0"/>
    </row>
    <row r="14" customFormat="false" ht="15" hidden="false" customHeight="false" outlineLevel="0" collapsed="false">
      <c r="A14" s="64" t="s">
        <v>859</v>
      </c>
      <c r="B14" s="64" t="n">
        <v>2</v>
      </c>
      <c r="C14" s="93" t="s">
        <v>866</v>
      </c>
      <c r="D14" s="93" t="s">
        <v>1448</v>
      </c>
      <c r="E14" s="94" t="n">
        <v>16</v>
      </c>
      <c r="F14" s="96" t="n">
        <v>0.26400256871098</v>
      </c>
      <c r="G14" s="96" t="n">
        <v>0.26400256871098</v>
      </c>
      <c r="H14" s="96" t="n">
        <f aca="false">+(Yield_Originals!I14+Yield_Originals!G14)/2</f>
        <v>0.274814614266812</v>
      </c>
      <c r="I14" s="96" t="n">
        <v>0.285626659822644</v>
      </c>
      <c r="J14" s="96" t="n">
        <v>0.26674367384993</v>
      </c>
      <c r="K14" s="97" t="n">
        <v>1</v>
      </c>
      <c r="L14" s="98" t="n">
        <f aca="false">(Yield_Originals!$G14*Yield_Originals!L$1)/Yield_Originals!$K14</f>
        <v>0.316803082453176</v>
      </c>
      <c r="M14" s="98" t="n">
        <f aca="false">(Yield_Originals!$G14*Yield_Originals!M$1)/Yield_Originals!$K14</f>
        <v>0.326703178779838</v>
      </c>
      <c r="N14" s="98" t="n">
        <f aca="false">(Yield_Originals!$G14*Yield_Originals!N$1)/Yield_Originals!$K14</f>
        <v>0.336603275106499</v>
      </c>
      <c r="O14" s="98" t="n">
        <f aca="false">(Yield_Originals!$G14*Yield_Originals!O$1)/Yield_Originals!$K14</f>
        <v>0.346503371433161</v>
      </c>
      <c r="P14" s="99" t="n">
        <f aca="false">(Yield_Originals!$H14*Yield_Originals!P$1)/Yield_Originals!$K14</f>
        <v>0.370999729260196</v>
      </c>
      <c r="Q14" s="99" t="n">
        <f aca="false">(Yield_Originals!$H14*Yield_Originals!Q$1)/Yield_Originals!$K14</f>
        <v>0.381305277295202</v>
      </c>
      <c r="R14" s="99" t="n">
        <f aca="false">(Yield_Originals!$H14*Yield_Originals!R$1)/Yield_Originals!$K14</f>
        <v>0.391610825330207</v>
      </c>
      <c r="S14" s="99" t="n">
        <f aca="false">(Yield_Originals!$H14*Yield_Originals!S$1)/Yield_Originals!$K14</f>
        <v>0.401916373365213</v>
      </c>
      <c r="T14" s="101" t="n">
        <f aca="false">(Yield_Originals!$I14*Yield_Originals!T$1)/Yield_Originals!$K14</f>
        <v>0.428439989733966</v>
      </c>
      <c r="U14" s="101" t="n">
        <f aca="false">(Yield_Originals!$I14*Yield_Originals!U$1)/Yield_Originals!$K14</f>
        <v>0.439150989477315</v>
      </c>
      <c r="V14" s="101" t="n">
        <f aca="false">(Yield_Originals!$I14*Yield_Originals!V$1)/Yield_Originals!$K14</f>
        <v>0.449861989220664</v>
      </c>
      <c r="W14" s="101" t="n">
        <f aca="false">(Yield_Originals!$I14*Yield_Originals!W$1)/Yield_Originals!$K14</f>
        <v>0.460572988964013</v>
      </c>
      <c r="X14" s="102" t="n">
        <f aca="false">(Yield_Originals!$J14*Yield_Originals!X$1)/Yield_Originals!$K14</f>
        <v>0.440127061852384</v>
      </c>
      <c r="Y14" s="102" t="n">
        <f aca="false">(Yield_Originals!$J14*Yield_Originals!Y$1)/Yield_Originals!$K14</f>
        <v>0.450129949621757</v>
      </c>
      <c r="Z14" s="102" t="n">
        <f aca="false">(Yield_Originals!$J14*Yield_Originals!Z$1)/Yield_Originals!$K14</f>
        <v>0.460132837391129</v>
      </c>
      <c r="AA14" s="102" t="n">
        <f aca="false">(Yield_Originals!$J14*Yield_Originals!AA$1)/Yield_Originals!$K14</f>
        <v>0.470135725160501</v>
      </c>
      <c r="AB14" s="102" t="n">
        <f aca="false">(Yield_Originals!$J14*Yield_Originals!AB$1)/Yield_Originals!$K14</f>
        <v>0.480138612929874</v>
      </c>
      <c r="AC14" s="0"/>
    </row>
    <row r="15" customFormat="false" ht="15" hidden="false" customHeight="false" outlineLevel="0" collapsed="false">
      <c r="A15" s="64" t="s">
        <v>873</v>
      </c>
      <c r="B15" s="64" t="n">
        <v>2</v>
      </c>
      <c r="C15" s="38" t="s">
        <v>866</v>
      </c>
      <c r="D15" s="38" t="s">
        <v>1448</v>
      </c>
      <c r="E15" s="94" t="n">
        <v>10</v>
      </c>
      <c r="F15" s="96" t="n">
        <v>0.22742850037207</v>
      </c>
      <c r="G15" s="96" t="n">
        <v>0.22742850037207</v>
      </c>
      <c r="H15" s="96" t="n">
        <v>0.24190829770174</v>
      </c>
      <c r="I15" s="96" t="n">
        <v>0.256388095031411</v>
      </c>
      <c r="J15" s="96" t="n">
        <v>0.230208122470512</v>
      </c>
      <c r="K15" s="97" t="n">
        <v>1</v>
      </c>
      <c r="L15" s="98" t="n">
        <f aca="false">(Yield_Originals!$G15*Yield_Originals!L$1)/Yield_Originals!$K15</f>
        <v>0.272914200446484</v>
      </c>
      <c r="M15" s="98" t="n">
        <f aca="false">(Yield_Originals!$G15*Yield_Originals!M$1)/Yield_Originals!$K15</f>
        <v>0.281442769210437</v>
      </c>
      <c r="N15" s="98" t="n">
        <f aca="false">(Yield_Originals!$G15*Yield_Originals!N$1)/Yield_Originals!$K15</f>
        <v>0.289971337974389</v>
      </c>
      <c r="O15" s="98" t="n">
        <f aca="false">(Yield_Originals!$G15*Yield_Originals!O$1)/Yield_Originals!$K15</f>
        <v>0.298499906738342</v>
      </c>
      <c r="P15" s="99" t="n">
        <f aca="false">(Yield_Originals!$H15*Yield_Originals!P$1)/Yield_Originals!$K15</f>
        <v>0.326576201897349</v>
      </c>
      <c r="Q15" s="99" t="n">
        <f aca="false">(Yield_Originals!$H15*Yield_Originals!Q$1)/Yield_Originals!$K15</f>
        <v>0.335647763061164</v>
      </c>
      <c r="R15" s="99" t="n">
        <f aca="false">(Yield_Originals!$H15*Yield_Originals!R$1)/Yield_Originals!$K15</f>
        <v>0.34471932422498</v>
      </c>
      <c r="S15" s="99" t="n">
        <f aca="false">(Yield_Originals!$H15*Yield_Originals!S$1)/Yield_Originals!$K15</f>
        <v>0.353790885388795</v>
      </c>
      <c r="T15" s="101" t="n">
        <f aca="false">(Yield_Originals!$I15*Yield_Originals!T$1)/Yield_Originals!$K15</f>
        <v>0.384582142547117</v>
      </c>
      <c r="U15" s="101" t="n">
        <f aca="false">(Yield_Originals!$I15*Yield_Originals!U$1)/Yield_Originals!$K15</f>
        <v>0.394196696110794</v>
      </c>
      <c r="V15" s="101" t="n">
        <f aca="false">(Yield_Originals!$I15*Yield_Originals!V$1)/Yield_Originals!$K15</f>
        <v>0.403811249674472</v>
      </c>
      <c r="W15" s="101" t="n">
        <f aca="false">(Yield_Originals!$I15*Yield_Originals!W$1)/Yield_Originals!$K15</f>
        <v>0.41342580323815</v>
      </c>
      <c r="X15" s="102" t="n">
        <f aca="false">(Yield_Originals!$J15*Yield_Originals!X$1)/Yield_Originals!$K15</f>
        <v>0.379843402076345</v>
      </c>
      <c r="Y15" s="102" t="n">
        <f aca="false">(Yield_Originals!$J15*Yield_Originals!Y$1)/Yield_Originals!$K15</f>
        <v>0.388476206668989</v>
      </c>
      <c r="Z15" s="102" t="n">
        <f aca="false">(Yield_Originals!$J15*Yield_Originals!Z$1)/Yield_Originals!$K15</f>
        <v>0.397109011261633</v>
      </c>
      <c r="AA15" s="102" t="n">
        <f aca="false">(Yield_Originals!$J15*Yield_Originals!AA$1)/Yield_Originals!$K15</f>
        <v>0.405741815854277</v>
      </c>
      <c r="AB15" s="102" t="n">
        <f aca="false">(Yield_Originals!$J15*Yield_Originals!AB$1)/Yield_Originals!$K15</f>
        <v>0.414374620446921</v>
      </c>
      <c r="AC15" s="0"/>
    </row>
    <row r="16" customFormat="false" ht="15" hidden="false" customHeight="false" outlineLevel="0" collapsed="false">
      <c r="A16" s="64" t="s">
        <v>873</v>
      </c>
      <c r="B16" s="64" t="n">
        <v>2</v>
      </c>
      <c r="C16" s="38" t="s">
        <v>866</v>
      </c>
      <c r="D16" s="38" t="s">
        <v>1448</v>
      </c>
      <c r="E16" s="94" t="n">
        <v>17</v>
      </c>
      <c r="F16" s="96" t="n">
        <v>0.22742850037207</v>
      </c>
      <c r="G16" s="96" t="n">
        <v>0.22742850037207</v>
      </c>
      <c r="H16" s="96" t="n">
        <v>0.24190829770174</v>
      </c>
      <c r="I16" s="96" t="n">
        <v>0.256388095031411</v>
      </c>
      <c r="J16" s="96" t="n">
        <v>0.230208122470512</v>
      </c>
      <c r="K16" s="97" t="n">
        <v>1</v>
      </c>
      <c r="L16" s="98" t="n">
        <f aca="false">(Yield_Originals!$G16*Yield_Originals!L$1)/Yield_Originals!$K16</f>
        <v>0.272914200446484</v>
      </c>
      <c r="M16" s="98" t="n">
        <f aca="false">(Yield_Originals!$G16*Yield_Originals!M$1)/Yield_Originals!$K16</f>
        <v>0.281442769210437</v>
      </c>
      <c r="N16" s="98" t="n">
        <f aca="false">(Yield_Originals!$G16*Yield_Originals!N$1)/Yield_Originals!$K16</f>
        <v>0.289971337974389</v>
      </c>
      <c r="O16" s="98" t="n">
        <f aca="false">(Yield_Originals!$G16*Yield_Originals!O$1)/Yield_Originals!$K16</f>
        <v>0.298499906738342</v>
      </c>
      <c r="P16" s="99" t="n">
        <f aca="false">(Yield_Originals!$H16*Yield_Originals!P$1)/Yield_Originals!$K16</f>
        <v>0.326576201897349</v>
      </c>
      <c r="Q16" s="99" t="n">
        <f aca="false">(Yield_Originals!$H16*Yield_Originals!Q$1)/Yield_Originals!$K16</f>
        <v>0.335647763061164</v>
      </c>
      <c r="R16" s="99" t="n">
        <f aca="false">(Yield_Originals!$H16*Yield_Originals!R$1)/Yield_Originals!$K16</f>
        <v>0.34471932422498</v>
      </c>
      <c r="S16" s="99" t="n">
        <f aca="false">(Yield_Originals!$H16*Yield_Originals!S$1)/Yield_Originals!$K16</f>
        <v>0.353790885388795</v>
      </c>
      <c r="T16" s="101" t="n">
        <f aca="false">(Yield_Originals!$I16*Yield_Originals!T$1)/Yield_Originals!$K16</f>
        <v>0.384582142547117</v>
      </c>
      <c r="U16" s="101" t="n">
        <f aca="false">(Yield_Originals!$I16*Yield_Originals!U$1)/Yield_Originals!$K16</f>
        <v>0.394196696110794</v>
      </c>
      <c r="V16" s="101" t="n">
        <f aca="false">(Yield_Originals!$I16*Yield_Originals!V$1)/Yield_Originals!$K16</f>
        <v>0.403811249674472</v>
      </c>
      <c r="W16" s="101" t="n">
        <f aca="false">(Yield_Originals!$I16*Yield_Originals!W$1)/Yield_Originals!$K16</f>
        <v>0.41342580323815</v>
      </c>
      <c r="X16" s="102" t="n">
        <f aca="false">(Yield_Originals!$J16*Yield_Originals!X$1)/Yield_Originals!$K16</f>
        <v>0.379843402076345</v>
      </c>
      <c r="Y16" s="102" t="n">
        <f aca="false">(Yield_Originals!$J16*Yield_Originals!Y$1)/Yield_Originals!$K16</f>
        <v>0.388476206668989</v>
      </c>
      <c r="Z16" s="102" t="n">
        <f aca="false">(Yield_Originals!$J16*Yield_Originals!Z$1)/Yield_Originals!$K16</f>
        <v>0.397109011261633</v>
      </c>
      <c r="AA16" s="102" t="n">
        <f aca="false">(Yield_Originals!$J16*Yield_Originals!AA$1)/Yield_Originals!$K16</f>
        <v>0.405741815854277</v>
      </c>
      <c r="AB16" s="102" t="n">
        <f aca="false">(Yield_Originals!$J16*Yield_Originals!AB$1)/Yield_Originals!$K16</f>
        <v>0.414374620446921</v>
      </c>
      <c r="AC16" s="0"/>
    </row>
    <row r="17" customFormat="false" ht="15" hidden="false" customHeight="false" outlineLevel="0" collapsed="false">
      <c r="A17" s="64" t="s">
        <v>873</v>
      </c>
      <c r="B17" s="64" t="n">
        <v>2</v>
      </c>
      <c r="C17" s="38" t="s">
        <v>871</v>
      </c>
      <c r="D17" s="38" t="s">
        <v>1449</v>
      </c>
      <c r="E17" s="94" t="n">
        <v>10</v>
      </c>
      <c r="F17" s="96" t="n">
        <v>0.22742850037207</v>
      </c>
      <c r="G17" s="96" t="n">
        <v>0.22742850037207</v>
      </c>
      <c r="H17" s="96" t="n">
        <v>0.24190829770174</v>
      </c>
      <c r="I17" s="96" t="n">
        <v>0.256388095031411</v>
      </c>
      <c r="J17" s="96" t="n">
        <v>0.230208122470512</v>
      </c>
      <c r="K17" s="97" t="n">
        <v>1</v>
      </c>
      <c r="L17" s="98" t="n">
        <f aca="false">(Yield_Originals!$G17*Yield_Originals!L$1)/Yield_Originals!$K17</f>
        <v>0.272914200446484</v>
      </c>
      <c r="M17" s="98" t="n">
        <f aca="false">(Yield_Originals!$G17*Yield_Originals!M$1)/Yield_Originals!$K17</f>
        <v>0.281442769210437</v>
      </c>
      <c r="N17" s="98" t="n">
        <f aca="false">(Yield_Originals!$G17*Yield_Originals!N$1)/Yield_Originals!$K17</f>
        <v>0.289971337974389</v>
      </c>
      <c r="O17" s="98" t="n">
        <f aca="false">(Yield_Originals!$G17*Yield_Originals!O$1)/Yield_Originals!$K17</f>
        <v>0.298499906738342</v>
      </c>
      <c r="P17" s="99" t="n">
        <f aca="false">(Yield_Originals!$H17*Yield_Originals!P$1)/Yield_Originals!$K17</f>
        <v>0.326576201897349</v>
      </c>
      <c r="Q17" s="99" t="n">
        <f aca="false">(Yield_Originals!$H17*Yield_Originals!Q$1)/Yield_Originals!$K17</f>
        <v>0.335647763061164</v>
      </c>
      <c r="R17" s="99" t="n">
        <f aca="false">(Yield_Originals!$H17*Yield_Originals!R$1)/Yield_Originals!$K17</f>
        <v>0.34471932422498</v>
      </c>
      <c r="S17" s="99" t="n">
        <f aca="false">(Yield_Originals!$H17*Yield_Originals!S$1)/Yield_Originals!$K17</f>
        <v>0.353790885388795</v>
      </c>
      <c r="T17" s="101" t="n">
        <f aca="false">(Yield_Originals!$I17*Yield_Originals!T$1)/Yield_Originals!$K17</f>
        <v>0.384582142547117</v>
      </c>
      <c r="U17" s="101" t="n">
        <f aca="false">(Yield_Originals!$I17*Yield_Originals!U$1)/Yield_Originals!$K17</f>
        <v>0.394196696110794</v>
      </c>
      <c r="V17" s="101" t="n">
        <f aca="false">(Yield_Originals!$I17*Yield_Originals!V$1)/Yield_Originals!$K17</f>
        <v>0.403811249674472</v>
      </c>
      <c r="W17" s="101" t="n">
        <f aca="false">(Yield_Originals!$I17*Yield_Originals!W$1)/Yield_Originals!$K17</f>
        <v>0.41342580323815</v>
      </c>
      <c r="X17" s="102" t="n">
        <f aca="false">(Yield_Originals!$J17*Yield_Originals!X$1)/Yield_Originals!$K17</f>
        <v>0.379843402076345</v>
      </c>
      <c r="Y17" s="102" t="n">
        <f aca="false">(Yield_Originals!$J17*Yield_Originals!Y$1)/Yield_Originals!$K17</f>
        <v>0.388476206668989</v>
      </c>
      <c r="Z17" s="102" t="n">
        <f aca="false">(Yield_Originals!$J17*Yield_Originals!Z$1)/Yield_Originals!$K17</f>
        <v>0.397109011261633</v>
      </c>
      <c r="AA17" s="102" t="n">
        <f aca="false">(Yield_Originals!$J17*Yield_Originals!AA$1)/Yield_Originals!$K17</f>
        <v>0.405741815854277</v>
      </c>
      <c r="AB17" s="102" t="n">
        <f aca="false">(Yield_Originals!$J17*Yield_Originals!AB$1)/Yield_Originals!$K17</f>
        <v>0.414374620446921</v>
      </c>
      <c r="AC17" s="0"/>
    </row>
    <row r="18" s="38" customFormat="true" ht="15" hidden="false" customHeight="false" outlineLevel="0" collapsed="false">
      <c r="A18" s="64" t="s">
        <v>873</v>
      </c>
      <c r="B18" s="64" t="n">
        <v>2</v>
      </c>
      <c r="C18" s="38" t="s">
        <v>871</v>
      </c>
      <c r="D18" s="38" t="s">
        <v>1449</v>
      </c>
      <c r="E18" s="94" t="n">
        <v>17</v>
      </c>
      <c r="F18" s="96" t="n">
        <v>0.22742850037207</v>
      </c>
      <c r="G18" s="96" t="n">
        <v>0.22742850037207</v>
      </c>
      <c r="H18" s="96" t="n">
        <v>0.24190829770174</v>
      </c>
      <c r="I18" s="96" t="n">
        <v>0.256388095031411</v>
      </c>
      <c r="J18" s="96" t="n">
        <v>0.230208122470512</v>
      </c>
      <c r="K18" s="97" t="n">
        <v>1</v>
      </c>
      <c r="L18" s="98" t="n">
        <f aca="false">(Yield_Originals!$G18*Yield_Originals!L$1)/Yield_Originals!$K18</f>
        <v>0.272914200446484</v>
      </c>
      <c r="M18" s="98" t="n">
        <f aca="false">(Yield_Originals!$G18*Yield_Originals!M$1)/Yield_Originals!$K18</f>
        <v>0.281442769210437</v>
      </c>
      <c r="N18" s="98" t="n">
        <f aca="false">(Yield_Originals!$G18*Yield_Originals!N$1)/Yield_Originals!$K18</f>
        <v>0.289971337974389</v>
      </c>
      <c r="O18" s="98" t="n">
        <f aca="false">(Yield_Originals!$G18*Yield_Originals!O$1)/Yield_Originals!$K18</f>
        <v>0.298499906738342</v>
      </c>
      <c r="P18" s="99" t="n">
        <f aca="false">(Yield_Originals!$H18*Yield_Originals!P$1)/Yield_Originals!$K18</f>
        <v>0.326576201897349</v>
      </c>
      <c r="Q18" s="99" t="n">
        <f aca="false">(Yield_Originals!$H18*Yield_Originals!Q$1)/Yield_Originals!$K18</f>
        <v>0.335647763061164</v>
      </c>
      <c r="R18" s="99" t="n">
        <f aca="false">(Yield_Originals!$H18*Yield_Originals!R$1)/Yield_Originals!$K18</f>
        <v>0.34471932422498</v>
      </c>
      <c r="S18" s="99" t="n">
        <f aca="false">(Yield_Originals!$H18*Yield_Originals!S$1)/Yield_Originals!$K18</f>
        <v>0.353790885388795</v>
      </c>
      <c r="T18" s="101" t="n">
        <f aca="false">(Yield_Originals!$I18*Yield_Originals!T$1)/Yield_Originals!$K18</f>
        <v>0.384582142547117</v>
      </c>
      <c r="U18" s="101" t="n">
        <f aca="false">(Yield_Originals!$I18*Yield_Originals!U$1)/Yield_Originals!$K18</f>
        <v>0.394196696110794</v>
      </c>
      <c r="V18" s="101" t="n">
        <f aca="false">(Yield_Originals!$I18*Yield_Originals!V$1)/Yield_Originals!$K18</f>
        <v>0.403811249674472</v>
      </c>
      <c r="W18" s="101" t="n">
        <f aca="false">(Yield_Originals!$I18*Yield_Originals!W$1)/Yield_Originals!$K18</f>
        <v>0.41342580323815</v>
      </c>
      <c r="X18" s="102" t="n">
        <f aca="false">(Yield_Originals!$J18*Yield_Originals!X$1)/Yield_Originals!$K18</f>
        <v>0.379843402076345</v>
      </c>
      <c r="Y18" s="102" t="n">
        <f aca="false">(Yield_Originals!$J18*Yield_Originals!Y$1)/Yield_Originals!$K18</f>
        <v>0.388476206668989</v>
      </c>
      <c r="Z18" s="102" t="n">
        <f aca="false">(Yield_Originals!$J18*Yield_Originals!Z$1)/Yield_Originals!$K18</f>
        <v>0.397109011261633</v>
      </c>
      <c r="AA18" s="102" t="n">
        <f aca="false">(Yield_Originals!$J18*Yield_Originals!AA$1)/Yield_Originals!$K18</f>
        <v>0.405741815854277</v>
      </c>
      <c r="AB18" s="102" t="n">
        <f aca="false">(Yield_Originals!$J18*Yield_Originals!AB$1)/Yield_Originals!$K18</f>
        <v>0.414374620446921</v>
      </c>
      <c r="AC18" s="61"/>
    </row>
    <row r="19" customFormat="false" ht="15" hidden="false" customHeight="false" outlineLevel="0" collapsed="false">
      <c r="A19" s="64" t="s">
        <v>873</v>
      </c>
      <c r="B19" s="64" t="n">
        <v>2</v>
      </c>
      <c r="C19" s="38" t="s">
        <v>434</v>
      </c>
      <c r="D19" s="38" t="s">
        <v>1450</v>
      </c>
      <c r="E19" s="94" t="n">
        <v>10</v>
      </c>
      <c r="F19" s="96" t="n">
        <v>0.22742850037207</v>
      </c>
      <c r="G19" s="96" t="n">
        <v>0.22742850037207</v>
      </c>
      <c r="H19" s="96" t="n">
        <v>0.24190829770174</v>
      </c>
      <c r="I19" s="96" t="n">
        <v>0.256388095031411</v>
      </c>
      <c r="J19" s="96" t="n">
        <v>0.230208122470512</v>
      </c>
      <c r="K19" s="97" t="n">
        <v>1</v>
      </c>
      <c r="L19" s="98" t="n">
        <f aca="false">(Yield_Originals!$G19*Yield_Originals!L$1)/Yield_Originals!$K19</f>
        <v>0.272914200446484</v>
      </c>
      <c r="M19" s="98" t="n">
        <f aca="false">(Yield_Originals!$G19*Yield_Originals!M$1)/Yield_Originals!$K19</f>
        <v>0.281442769210437</v>
      </c>
      <c r="N19" s="98" t="n">
        <f aca="false">(Yield_Originals!$G19*Yield_Originals!N$1)/Yield_Originals!$K19</f>
        <v>0.289971337974389</v>
      </c>
      <c r="O19" s="98" t="n">
        <f aca="false">(Yield_Originals!$G19*Yield_Originals!O$1)/Yield_Originals!$K19</f>
        <v>0.298499906738342</v>
      </c>
      <c r="P19" s="99" t="n">
        <f aca="false">(Yield_Originals!$H19*Yield_Originals!P$1)/Yield_Originals!$K19</f>
        <v>0.326576201897349</v>
      </c>
      <c r="Q19" s="99" t="n">
        <f aca="false">(Yield_Originals!$H19*Yield_Originals!Q$1)/Yield_Originals!$K19</f>
        <v>0.335647763061164</v>
      </c>
      <c r="R19" s="99" t="n">
        <f aca="false">(Yield_Originals!$H19*Yield_Originals!R$1)/Yield_Originals!$K19</f>
        <v>0.34471932422498</v>
      </c>
      <c r="S19" s="99" t="n">
        <f aca="false">(Yield_Originals!$H19*Yield_Originals!S$1)/Yield_Originals!$K19</f>
        <v>0.353790885388795</v>
      </c>
      <c r="T19" s="101" t="n">
        <f aca="false">(Yield_Originals!$I19*Yield_Originals!T$1)/Yield_Originals!$K19</f>
        <v>0.384582142547117</v>
      </c>
      <c r="U19" s="101" t="n">
        <f aca="false">(Yield_Originals!$I19*Yield_Originals!U$1)/Yield_Originals!$K19</f>
        <v>0.394196696110794</v>
      </c>
      <c r="V19" s="101" t="n">
        <f aca="false">(Yield_Originals!$I19*Yield_Originals!V$1)/Yield_Originals!$K19</f>
        <v>0.403811249674472</v>
      </c>
      <c r="W19" s="101" t="n">
        <f aca="false">(Yield_Originals!$I19*Yield_Originals!W$1)/Yield_Originals!$K19</f>
        <v>0.41342580323815</v>
      </c>
      <c r="X19" s="102" t="n">
        <f aca="false">(Yield_Originals!$J19*Yield_Originals!X$1)/Yield_Originals!$K19</f>
        <v>0.379843402076345</v>
      </c>
      <c r="Y19" s="102" t="n">
        <f aca="false">(Yield_Originals!$J19*Yield_Originals!Y$1)/Yield_Originals!$K19</f>
        <v>0.388476206668989</v>
      </c>
      <c r="Z19" s="102" t="n">
        <f aca="false">(Yield_Originals!$J19*Yield_Originals!Z$1)/Yield_Originals!$K19</f>
        <v>0.397109011261633</v>
      </c>
      <c r="AA19" s="102" t="n">
        <f aca="false">(Yield_Originals!$J19*Yield_Originals!AA$1)/Yield_Originals!$K19</f>
        <v>0.405741815854277</v>
      </c>
      <c r="AB19" s="102" t="n">
        <f aca="false">(Yield_Originals!$J19*Yield_Originals!AB$1)/Yield_Originals!$K19</f>
        <v>0.414374620446921</v>
      </c>
      <c r="AC19" s="0"/>
    </row>
    <row r="20" customFormat="false" ht="15" hidden="false" customHeight="false" outlineLevel="0" collapsed="false">
      <c r="A20" s="64" t="s">
        <v>873</v>
      </c>
      <c r="B20" s="64" t="n">
        <v>2</v>
      </c>
      <c r="C20" s="38" t="s">
        <v>434</v>
      </c>
      <c r="D20" s="38" t="s">
        <v>1450</v>
      </c>
      <c r="E20" s="94" t="n">
        <v>17</v>
      </c>
      <c r="F20" s="96" t="n">
        <v>0.22742850037207</v>
      </c>
      <c r="G20" s="96" t="n">
        <v>0.22742850037207</v>
      </c>
      <c r="H20" s="96" t="n">
        <v>0.24190829770174</v>
      </c>
      <c r="I20" s="96" t="n">
        <v>0.256388095031411</v>
      </c>
      <c r="J20" s="96" t="n">
        <v>0.230208122470512</v>
      </c>
      <c r="K20" s="97" t="n">
        <v>1</v>
      </c>
      <c r="L20" s="98" t="n">
        <f aca="false">(Yield_Originals!$G20*Yield_Originals!L$1)/Yield_Originals!$K20</f>
        <v>0.272914200446484</v>
      </c>
      <c r="M20" s="98" t="n">
        <f aca="false">(Yield_Originals!$G20*Yield_Originals!M$1)/Yield_Originals!$K20</f>
        <v>0.281442769210437</v>
      </c>
      <c r="N20" s="98" t="n">
        <f aca="false">(Yield_Originals!$G20*Yield_Originals!N$1)/Yield_Originals!$K20</f>
        <v>0.289971337974389</v>
      </c>
      <c r="O20" s="98" t="n">
        <f aca="false">(Yield_Originals!$G20*Yield_Originals!O$1)/Yield_Originals!$K20</f>
        <v>0.298499906738342</v>
      </c>
      <c r="P20" s="99" t="n">
        <f aca="false">(Yield_Originals!$H20*Yield_Originals!P$1)/Yield_Originals!$K20</f>
        <v>0.326576201897349</v>
      </c>
      <c r="Q20" s="99" t="n">
        <f aca="false">(Yield_Originals!$H20*Yield_Originals!Q$1)/Yield_Originals!$K20</f>
        <v>0.335647763061164</v>
      </c>
      <c r="R20" s="99" t="n">
        <f aca="false">(Yield_Originals!$H20*Yield_Originals!R$1)/Yield_Originals!$K20</f>
        <v>0.34471932422498</v>
      </c>
      <c r="S20" s="99" t="n">
        <f aca="false">(Yield_Originals!$H20*Yield_Originals!S$1)/Yield_Originals!$K20</f>
        <v>0.353790885388795</v>
      </c>
      <c r="T20" s="101" t="n">
        <f aca="false">(Yield_Originals!$I20*Yield_Originals!T$1)/Yield_Originals!$K20</f>
        <v>0.384582142547117</v>
      </c>
      <c r="U20" s="101" t="n">
        <f aca="false">(Yield_Originals!$I20*Yield_Originals!U$1)/Yield_Originals!$K20</f>
        <v>0.394196696110794</v>
      </c>
      <c r="V20" s="101" t="n">
        <f aca="false">(Yield_Originals!$I20*Yield_Originals!V$1)/Yield_Originals!$K20</f>
        <v>0.403811249674472</v>
      </c>
      <c r="W20" s="101" t="n">
        <f aca="false">(Yield_Originals!$I20*Yield_Originals!W$1)/Yield_Originals!$K20</f>
        <v>0.41342580323815</v>
      </c>
      <c r="X20" s="102" t="n">
        <f aca="false">(Yield_Originals!$J20*Yield_Originals!X$1)/Yield_Originals!$K20</f>
        <v>0.379843402076345</v>
      </c>
      <c r="Y20" s="102" t="n">
        <f aca="false">(Yield_Originals!$J20*Yield_Originals!Y$1)/Yield_Originals!$K20</f>
        <v>0.388476206668989</v>
      </c>
      <c r="Z20" s="102" t="n">
        <f aca="false">(Yield_Originals!$J20*Yield_Originals!Z$1)/Yield_Originals!$K20</f>
        <v>0.397109011261633</v>
      </c>
      <c r="AA20" s="102" t="n">
        <f aca="false">(Yield_Originals!$J20*Yield_Originals!AA$1)/Yield_Originals!$K20</f>
        <v>0.405741815854277</v>
      </c>
      <c r="AB20" s="102" t="n">
        <f aca="false">(Yield_Originals!$J20*Yield_Originals!AB$1)/Yield_Originals!$K20</f>
        <v>0.414374620446921</v>
      </c>
      <c r="AC20" s="0"/>
    </row>
    <row r="21" customFormat="false" ht="15" hidden="false" customHeight="false" outlineLevel="0" collapsed="false">
      <c r="A21" s="64" t="s">
        <v>873</v>
      </c>
      <c r="B21" s="64" t="n">
        <v>2</v>
      </c>
      <c r="C21" s="38" t="s">
        <v>344</v>
      </c>
      <c r="D21" s="38" t="s">
        <v>1450</v>
      </c>
      <c r="E21" s="94" t="n">
        <v>10</v>
      </c>
      <c r="F21" s="96" t="n">
        <v>0.22742850037207</v>
      </c>
      <c r="G21" s="96" t="n">
        <v>0.22742850037207</v>
      </c>
      <c r="H21" s="96" t="n">
        <v>0.24190829770174</v>
      </c>
      <c r="I21" s="96" t="n">
        <v>0.256388095031411</v>
      </c>
      <c r="J21" s="96" t="n">
        <v>0.230208122470512</v>
      </c>
      <c r="K21" s="97" t="n">
        <v>1</v>
      </c>
      <c r="L21" s="98" t="n">
        <f aca="false">(Yield_Originals!$G21*Yield_Originals!L$1)/Yield_Originals!$K21</f>
        <v>0.272914200446484</v>
      </c>
      <c r="M21" s="98" t="n">
        <f aca="false">(Yield_Originals!$G21*Yield_Originals!M$1)/Yield_Originals!$K21</f>
        <v>0.281442769210437</v>
      </c>
      <c r="N21" s="98" t="n">
        <f aca="false">(Yield_Originals!$G21*Yield_Originals!N$1)/Yield_Originals!$K21</f>
        <v>0.289971337974389</v>
      </c>
      <c r="O21" s="98" t="n">
        <f aca="false">(Yield_Originals!$G21*Yield_Originals!O$1)/Yield_Originals!$K21</f>
        <v>0.298499906738342</v>
      </c>
      <c r="P21" s="99" t="n">
        <f aca="false">(Yield_Originals!$H21*Yield_Originals!P$1)/Yield_Originals!$K21</f>
        <v>0.326576201897349</v>
      </c>
      <c r="Q21" s="99" t="n">
        <f aca="false">(Yield_Originals!$H21*Yield_Originals!Q$1)/Yield_Originals!$K21</f>
        <v>0.335647763061164</v>
      </c>
      <c r="R21" s="99" t="n">
        <f aca="false">(Yield_Originals!$H21*Yield_Originals!R$1)/Yield_Originals!$K21</f>
        <v>0.34471932422498</v>
      </c>
      <c r="S21" s="99" t="n">
        <f aca="false">(Yield_Originals!$H21*Yield_Originals!S$1)/Yield_Originals!$K21</f>
        <v>0.353790885388795</v>
      </c>
      <c r="T21" s="101" t="n">
        <f aca="false">(Yield_Originals!$I21*Yield_Originals!T$1)/Yield_Originals!$K21</f>
        <v>0.384582142547117</v>
      </c>
      <c r="U21" s="101" t="n">
        <f aca="false">(Yield_Originals!$I21*Yield_Originals!U$1)/Yield_Originals!$K21</f>
        <v>0.394196696110794</v>
      </c>
      <c r="V21" s="101" t="n">
        <f aca="false">(Yield_Originals!$I21*Yield_Originals!V$1)/Yield_Originals!$K21</f>
        <v>0.403811249674472</v>
      </c>
      <c r="W21" s="101" t="n">
        <f aca="false">(Yield_Originals!$I21*Yield_Originals!W$1)/Yield_Originals!$K21</f>
        <v>0.41342580323815</v>
      </c>
      <c r="X21" s="102" t="n">
        <f aca="false">(Yield_Originals!$J21*Yield_Originals!X$1)/Yield_Originals!$K21</f>
        <v>0.379843402076345</v>
      </c>
      <c r="Y21" s="102" t="n">
        <f aca="false">(Yield_Originals!$J21*Yield_Originals!Y$1)/Yield_Originals!$K21</f>
        <v>0.388476206668989</v>
      </c>
      <c r="Z21" s="102" t="n">
        <f aca="false">(Yield_Originals!$J21*Yield_Originals!Z$1)/Yield_Originals!$K21</f>
        <v>0.397109011261633</v>
      </c>
      <c r="AA21" s="102" t="n">
        <f aca="false">(Yield_Originals!$J21*Yield_Originals!AA$1)/Yield_Originals!$K21</f>
        <v>0.405741815854277</v>
      </c>
      <c r="AB21" s="102" t="n">
        <f aca="false">(Yield_Originals!$J21*Yield_Originals!AB$1)/Yield_Originals!$K21</f>
        <v>0.414374620446921</v>
      </c>
      <c r="AC21" s="0"/>
    </row>
    <row r="22" customFormat="false" ht="15" hidden="false" customHeight="false" outlineLevel="0" collapsed="false">
      <c r="A22" s="64" t="s">
        <v>873</v>
      </c>
      <c r="B22" s="64" t="n">
        <v>2</v>
      </c>
      <c r="C22" s="38" t="s">
        <v>344</v>
      </c>
      <c r="D22" s="38" t="s">
        <v>1450</v>
      </c>
      <c r="E22" s="94" t="n">
        <v>17</v>
      </c>
      <c r="F22" s="96" t="n">
        <v>0.22742850037207</v>
      </c>
      <c r="G22" s="96" t="n">
        <v>0.22742850037207</v>
      </c>
      <c r="H22" s="96" t="n">
        <v>0.24190829770174</v>
      </c>
      <c r="I22" s="96" t="n">
        <v>0.256388095031411</v>
      </c>
      <c r="J22" s="96" t="n">
        <v>0.230208122470512</v>
      </c>
      <c r="K22" s="97" t="n">
        <v>1</v>
      </c>
      <c r="L22" s="98" t="n">
        <f aca="false">(Yield_Originals!$G22*Yield_Originals!L$1)/Yield_Originals!$K22</f>
        <v>0.272914200446484</v>
      </c>
      <c r="M22" s="98" t="n">
        <f aca="false">(Yield_Originals!$G22*Yield_Originals!M$1)/Yield_Originals!$K22</f>
        <v>0.281442769210437</v>
      </c>
      <c r="N22" s="98" t="n">
        <f aca="false">(Yield_Originals!$G22*Yield_Originals!N$1)/Yield_Originals!$K22</f>
        <v>0.289971337974389</v>
      </c>
      <c r="O22" s="98" t="n">
        <f aca="false">(Yield_Originals!$G22*Yield_Originals!O$1)/Yield_Originals!$K22</f>
        <v>0.298499906738342</v>
      </c>
      <c r="P22" s="99" t="n">
        <f aca="false">(Yield_Originals!$H22*Yield_Originals!P$1)/Yield_Originals!$K22</f>
        <v>0.326576201897349</v>
      </c>
      <c r="Q22" s="99" t="n">
        <f aca="false">(Yield_Originals!$H22*Yield_Originals!Q$1)/Yield_Originals!$K22</f>
        <v>0.335647763061164</v>
      </c>
      <c r="R22" s="99" t="n">
        <f aca="false">(Yield_Originals!$H22*Yield_Originals!R$1)/Yield_Originals!$K22</f>
        <v>0.34471932422498</v>
      </c>
      <c r="S22" s="99" t="n">
        <f aca="false">(Yield_Originals!$H22*Yield_Originals!S$1)/Yield_Originals!$K22</f>
        <v>0.353790885388795</v>
      </c>
      <c r="T22" s="101" t="n">
        <f aca="false">(Yield_Originals!$I22*Yield_Originals!T$1)/Yield_Originals!$K22</f>
        <v>0.384582142547117</v>
      </c>
      <c r="U22" s="101" t="n">
        <f aca="false">(Yield_Originals!$I22*Yield_Originals!U$1)/Yield_Originals!$K22</f>
        <v>0.394196696110794</v>
      </c>
      <c r="V22" s="101" t="n">
        <f aca="false">(Yield_Originals!$I22*Yield_Originals!V$1)/Yield_Originals!$K22</f>
        <v>0.403811249674472</v>
      </c>
      <c r="W22" s="101" t="n">
        <f aca="false">(Yield_Originals!$I22*Yield_Originals!W$1)/Yield_Originals!$K22</f>
        <v>0.41342580323815</v>
      </c>
      <c r="X22" s="102" t="n">
        <f aca="false">(Yield_Originals!$J22*Yield_Originals!X$1)/Yield_Originals!$K22</f>
        <v>0.379843402076345</v>
      </c>
      <c r="Y22" s="102" t="n">
        <f aca="false">(Yield_Originals!$J22*Yield_Originals!Y$1)/Yield_Originals!$K22</f>
        <v>0.388476206668989</v>
      </c>
      <c r="Z22" s="102" t="n">
        <f aca="false">(Yield_Originals!$J22*Yield_Originals!Z$1)/Yield_Originals!$K22</f>
        <v>0.397109011261633</v>
      </c>
      <c r="AA22" s="102" t="n">
        <f aca="false">(Yield_Originals!$J22*Yield_Originals!AA$1)/Yield_Originals!$K22</f>
        <v>0.405741815854277</v>
      </c>
      <c r="AB22" s="102" t="n">
        <f aca="false">(Yield_Originals!$J22*Yield_Originals!AB$1)/Yield_Originals!$K22</f>
        <v>0.414374620446921</v>
      </c>
      <c r="AC22" s="0"/>
    </row>
    <row r="23" customFormat="false" ht="15" hidden="false" customHeight="false" outlineLevel="0" collapsed="false">
      <c r="A23" s="64" t="s">
        <v>873</v>
      </c>
      <c r="B23" s="64" t="n">
        <v>2</v>
      </c>
      <c r="C23" s="38" t="s">
        <v>436</v>
      </c>
      <c r="D23" s="38" t="s">
        <v>1451</v>
      </c>
      <c r="E23" s="94" t="n">
        <v>10</v>
      </c>
      <c r="F23" s="96" t="n">
        <v>0.22742850037207</v>
      </c>
      <c r="G23" s="96" t="n">
        <v>0.22742850037207</v>
      </c>
      <c r="H23" s="96" t="n">
        <v>0.24190829770174</v>
      </c>
      <c r="I23" s="96" t="n">
        <v>0.256388095031411</v>
      </c>
      <c r="J23" s="96" t="n">
        <v>0.230208122470512</v>
      </c>
      <c r="K23" s="97" t="n">
        <v>1</v>
      </c>
      <c r="L23" s="98" t="n">
        <f aca="false">(Yield_Originals!$G23*Yield_Originals!L$1)/Yield_Originals!$K23</f>
        <v>0.272914200446484</v>
      </c>
      <c r="M23" s="98" t="n">
        <f aca="false">(Yield_Originals!$G23*Yield_Originals!M$1)/Yield_Originals!$K23</f>
        <v>0.281442769210437</v>
      </c>
      <c r="N23" s="98" t="n">
        <f aca="false">(Yield_Originals!$G23*Yield_Originals!N$1)/Yield_Originals!$K23</f>
        <v>0.289971337974389</v>
      </c>
      <c r="O23" s="98" t="n">
        <f aca="false">(Yield_Originals!$G23*Yield_Originals!O$1)/Yield_Originals!$K23</f>
        <v>0.298499906738342</v>
      </c>
      <c r="P23" s="99" t="n">
        <f aca="false">(Yield_Originals!$H23*Yield_Originals!P$1)/Yield_Originals!$K23</f>
        <v>0.326576201897349</v>
      </c>
      <c r="Q23" s="99" t="n">
        <f aca="false">(Yield_Originals!$H23*Yield_Originals!Q$1)/Yield_Originals!$K23</f>
        <v>0.335647763061164</v>
      </c>
      <c r="R23" s="99" t="n">
        <f aca="false">(Yield_Originals!$H23*Yield_Originals!R$1)/Yield_Originals!$K23</f>
        <v>0.34471932422498</v>
      </c>
      <c r="S23" s="99" t="n">
        <f aca="false">(Yield_Originals!$H23*Yield_Originals!S$1)/Yield_Originals!$K23</f>
        <v>0.353790885388795</v>
      </c>
      <c r="T23" s="101" t="n">
        <f aca="false">(Yield_Originals!$I23*Yield_Originals!T$1)/Yield_Originals!$K23</f>
        <v>0.384582142547117</v>
      </c>
      <c r="U23" s="101" t="n">
        <f aca="false">(Yield_Originals!$I23*Yield_Originals!U$1)/Yield_Originals!$K23</f>
        <v>0.394196696110794</v>
      </c>
      <c r="V23" s="101" t="n">
        <f aca="false">(Yield_Originals!$I23*Yield_Originals!V$1)/Yield_Originals!$K23</f>
        <v>0.403811249674472</v>
      </c>
      <c r="W23" s="101" t="n">
        <f aca="false">(Yield_Originals!$I23*Yield_Originals!W$1)/Yield_Originals!$K23</f>
        <v>0.41342580323815</v>
      </c>
      <c r="X23" s="102" t="n">
        <f aca="false">(Yield_Originals!$J23*Yield_Originals!X$1)/Yield_Originals!$K23</f>
        <v>0.379843402076345</v>
      </c>
      <c r="Y23" s="102" t="n">
        <f aca="false">(Yield_Originals!$J23*Yield_Originals!Y$1)/Yield_Originals!$K23</f>
        <v>0.388476206668989</v>
      </c>
      <c r="Z23" s="102" t="n">
        <f aca="false">(Yield_Originals!$J23*Yield_Originals!Z$1)/Yield_Originals!$K23</f>
        <v>0.397109011261633</v>
      </c>
      <c r="AA23" s="102" t="n">
        <f aca="false">(Yield_Originals!$J23*Yield_Originals!AA$1)/Yield_Originals!$K23</f>
        <v>0.405741815854277</v>
      </c>
      <c r="AB23" s="102" t="n">
        <f aca="false">(Yield_Originals!$J23*Yield_Originals!AB$1)/Yield_Originals!$K23</f>
        <v>0.414374620446921</v>
      </c>
      <c r="AC23" s="0"/>
    </row>
    <row r="24" customFormat="false" ht="15" hidden="false" customHeight="false" outlineLevel="0" collapsed="false">
      <c r="A24" s="64" t="s">
        <v>873</v>
      </c>
      <c r="B24" s="64" t="n">
        <v>2</v>
      </c>
      <c r="C24" s="38" t="s">
        <v>436</v>
      </c>
      <c r="D24" s="38" t="s">
        <v>1451</v>
      </c>
      <c r="E24" s="94" t="n">
        <v>17</v>
      </c>
      <c r="F24" s="96" t="n">
        <v>0.22742850037207</v>
      </c>
      <c r="G24" s="96" t="n">
        <v>0.22742850037207</v>
      </c>
      <c r="H24" s="96" t="n">
        <v>0.24190829770174</v>
      </c>
      <c r="I24" s="96" t="n">
        <v>0.256388095031411</v>
      </c>
      <c r="J24" s="96" t="n">
        <v>0.230208122470512</v>
      </c>
      <c r="K24" s="97" t="n">
        <v>1</v>
      </c>
      <c r="L24" s="98" t="n">
        <f aca="false">(Yield_Originals!$G24*Yield_Originals!L$1)/Yield_Originals!$K24</f>
        <v>0.272914200446484</v>
      </c>
      <c r="M24" s="98" t="n">
        <f aca="false">(Yield_Originals!$G24*Yield_Originals!M$1)/Yield_Originals!$K24</f>
        <v>0.281442769210437</v>
      </c>
      <c r="N24" s="98" t="n">
        <f aca="false">(Yield_Originals!$G24*Yield_Originals!N$1)/Yield_Originals!$K24</f>
        <v>0.289971337974389</v>
      </c>
      <c r="O24" s="98" t="n">
        <f aca="false">(Yield_Originals!$G24*Yield_Originals!O$1)/Yield_Originals!$K24</f>
        <v>0.298499906738342</v>
      </c>
      <c r="P24" s="99" t="n">
        <f aca="false">(Yield_Originals!$H24*Yield_Originals!P$1)/Yield_Originals!$K24</f>
        <v>0.326576201897349</v>
      </c>
      <c r="Q24" s="99" t="n">
        <f aca="false">(Yield_Originals!$H24*Yield_Originals!Q$1)/Yield_Originals!$K24</f>
        <v>0.335647763061164</v>
      </c>
      <c r="R24" s="99" t="n">
        <f aca="false">(Yield_Originals!$H24*Yield_Originals!R$1)/Yield_Originals!$K24</f>
        <v>0.34471932422498</v>
      </c>
      <c r="S24" s="99" t="n">
        <f aca="false">(Yield_Originals!$H24*Yield_Originals!S$1)/Yield_Originals!$K24</f>
        <v>0.353790885388795</v>
      </c>
      <c r="T24" s="101" t="n">
        <f aca="false">(Yield_Originals!$I24*Yield_Originals!T$1)/Yield_Originals!$K24</f>
        <v>0.384582142547117</v>
      </c>
      <c r="U24" s="101" t="n">
        <f aca="false">(Yield_Originals!$I24*Yield_Originals!U$1)/Yield_Originals!$K24</f>
        <v>0.394196696110794</v>
      </c>
      <c r="V24" s="101" t="n">
        <f aca="false">(Yield_Originals!$I24*Yield_Originals!V$1)/Yield_Originals!$K24</f>
        <v>0.403811249674472</v>
      </c>
      <c r="W24" s="101" t="n">
        <f aca="false">(Yield_Originals!$I24*Yield_Originals!W$1)/Yield_Originals!$K24</f>
        <v>0.41342580323815</v>
      </c>
      <c r="X24" s="102" t="n">
        <f aca="false">(Yield_Originals!$J24*Yield_Originals!X$1)/Yield_Originals!$K24</f>
        <v>0.379843402076345</v>
      </c>
      <c r="Y24" s="102" t="n">
        <f aca="false">(Yield_Originals!$J24*Yield_Originals!Y$1)/Yield_Originals!$K24</f>
        <v>0.388476206668989</v>
      </c>
      <c r="Z24" s="102" t="n">
        <f aca="false">(Yield_Originals!$J24*Yield_Originals!Z$1)/Yield_Originals!$K24</f>
        <v>0.397109011261633</v>
      </c>
      <c r="AA24" s="102" t="n">
        <f aca="false">(Yield_Originals!$J24*Yield_Originals!AA$1)/Yield_Originals!$K24</f>
        <v>0.405741815854277</v>
      </c>
      <c r="AB24" s="102" t="n">
        <f aca="false">(Yield_Originals!$J24*Yield_Originals!AB$1)/Yield_Originals!$K24</f>
        <v>0.414374620446921</v>
      </c>
      <c r="AC24" s="0"/>
    </row>
    <row r="25" customFormat="false" ht="15" hidden="false" customHeight="false" outlineLevel="0" collapsed="false">
      <c r="A25" s="64" t="s">
        <v>873</v>
      </c>
      <c r="B25" s="64" t="n">
        <v>2</v>
      </c>
      <c r="C25" s="38" t="s">
        <v>226</v>
      </c>
      <c r="D25" s="38" t="s">
        <v>1452</v>
      </c>
      <c r="E25" s="94" t="n">
        <v>10</v>
      </c>
      <c r="F25" s="96" t="n">
        <v>0.22742850037207</v>
      </c>
      <c r="G25" s="96" t="n">
        <v>0.22742850037207</v>
      </c>
      <c r="H25" s="96" t="n">
        <v>0.24190829770174</v>
      </c>
      <c r="I25" s="96" t="n">
        <v>0.256388095031411</v>
      </c>
      <c r="J25" s="96" t="n">
        <v>0.230208122470512</v>
      </c>
      <c r="K25" s="97" t="n">
        <v>1</v>
      </c>
      <c r="L25" s="98" t="n">
        <f aca="false">(Yield_Originals!$G25*Yield_Originals!L$1)/Yield_Originals!$K25</f>
        <v>0.272914200446484</v>
      </c>
      <c r="M25" s="98" t="n">
        <f aca="false">(Yield_Originals!$G25*Yield_Originals!M$1)/Yield_Originals!$K25</f>
        <v>0.281442769210437</v>
      </c>
      <c r="N25" s="98" t="n">
        <f aca="false">(Yield_Originals!$G25*Yield_Originals!N$1)/Yield_Originals!$K25</f>
        <v>0.289971337974389</v>
      </c>
      <c r="O25" s="98" t="n">
        <f aca="false">(Yield_Originals!$G25*Yield_Originals!O$1)/Yield_Originals!$K25</f>
        <v>0.298499906738342</v>
      </c>
      <c r="P25" s="99" t="n">
        <f aca="false">(Yield_Originals!$H25*Yield_Originals!P$1)/Yield_Originals!$K25</f>
        <v>0.326576201897349</v>
      </c>
      <c r="Q25" s="99" t="n">
        <f aca="false">(Yield_Originals!$H25*Yield_Originals!Q$1)/Yield_Originals!$K25</f>
        <v>0.335647763061164</v>
      </c>
      <c r="R25" s="99" t="n">
        <f aca="false">(Yield_Originals!$H25*Yield_Originals!R$1)/Yield_Originals!$K25</f>
        <v>0.34471932422498</v>
      </c>
      <c r="S25" s="99" t="n">
        <f aca="false">(Yield_Originals!$H25*Yield_Originals!S$1)/Yield_Originals!$K25</f>
        <v>0.353790885388795</v>
      </c>
      <c r="T25" s="101" t="n">
        <f aca="false">(Yield_Originals!$I25*Yield_Originals!T$1)/Yield_Originals!$K25</f>
        <v>0.384582142547117</v>
      </c>
      <c r="U25" s="101" t="n">
        <f aca="false">(Yield_Originals!$I25*Yield_Originals!U$1)/Yield_Originals!$K25</f>
        <v>0.394196696110794</v>
      </c>
      <c r="V25" s="101" t="n">
        <f aca="false">(Yield_Originals!$I25*Yield_Originals!V$1)/Yield_Originals!$K25</f>
        <v>0.403811249674472</v>
      </c>
      <c r="W25" s="101" t="n">
        <f aca="false">(Yield_Originals!$I25*Yield_Originals!W$1)/Yield_Originals!$K25</f>
        <v>0.41342580323815</v>
      </c>
      <c r="X25" s="102" t="n">
        <f aca="false">(Yield_Originals!$J25*Yield_Originals!X$1)/Yield_Originals!$K25</f>
        <v>0.379843402076345</v>
      </c>
      <c r="Y25" s="102" t="n">
        <f aca="false">(Yield_Originals!$J25*Yield_Originals!Y$1)/Yield_Originals!$K25</f>
        <v>0.388476206668989</v>
      </c>
      <c r="Z25" s="102" t="n">
        <f aca="false">(Yield_Originals!$J25*Yield_Originals!Z$1)/Yield_Originals!$K25</f>
        <v>0.397109011261633</v>
      </c>
      <c r="AA25" s="102" t="n">
        <f aca="false">(Yield_Originals!$J25*Yield_Originals!AA$1)/Yield_Originals!$K25</f>
        <v>0.405741815854277</v>
      </c>
      <c r="AB25" s="102" t="n">
        <f aca="false">(Yield_Originals!$J25*Yield_Originals!AB$1)/Yield_Originals!$K25</f>
        <v>0.414374620446921</v>
      </c>
      <c r="AC25" s="0"/>
    </row>
    <row r="26" customFormat="false" ht="15" hidden="false" customHeight="false" outlineLevel="0" collapsed="false">
      <c r="A26" s="64" t="s">
        <v>873</v>
      </c>
      <c r="B26" s="64" t="n">
        <v>2</v>
      </c>
      <c r="C26" s="38" t="s">
        <v>226</v>
      </c>
      <c r="D26" s="38" t="s">
        <v>1452</v>
      </c>
      <c r="E26" s="94" t="n">
        <v>17</v>
      </c>
      <c r="F26" s="96" t="n">
        <v>0.22742850037207</v>
      </c>
      <c r="G26" s="96" t="n">
        <v>0.22742850037207</v>
      </c>
      <c r="H26" s="96" t="n">
        <v>0.24190829770174</v>
      </c>
      <c r="I26" s="96" t="n">
        <v>0.256388095031411</v>
      </c>
      <c r="J26" s="96" t="n">
        <v>0.230208122470512</v>
      </c>
      <c r="K26" s="97" t="n">
        <v>1</v>
      </c>
      <c r="L26" s="98" t="n">
        <f aca="false">(Yield_Originals!$G26*Yield_Originals!L$1)/Yield_Originals!$K26</f>
        <v>0.272914200446484</v>
      </c>
      <c r="M26" s="98" t="n">
        <f aca="false">(Yield_Originals!$G26*Yield_Originals!M$1)/Yield_Originals!$K26</f>
        <v>0.281442769210437</v>
      </c>
      <c r="N26" s="98" t="n">
        <f aca="false">(Yield_Originals!$G26*Yield_Originals!N$1)/Yield_Originals!$K26</f>
        <v>0.289971337974389</v>
      </c>
      <c r="O26" s="98" t="n">
        <f aca="false">(Yield_Originals!$G26*Yield_Originals!O$1)/Yield_Originals!$K26</f>
        <v>0.298499906738342</v>
      </c>
      <c r="P26" s="99"/>
      <c r="Q26" s="99"/>
      <c r="R26" s="99"/>
      <c r="S26" s="99"/>
      <c r="T26" s="101"/>
      <c r="U26" s="101"/>
      <c r="V26" s="101"/>
      <c r="W26" s="101"/>
      <c r="X26" s="102"/>
      <c r="Y26" s="102"/>
      <c r="Z26" s="102"/>
      <c r="AA26" s="102"/>
      <c r="AB26" s="102"/>
      <c r="AC26" s="0"/>
    </row>
    <row r="27" customFormat="false" ht="15" hidden="false" customHeight="false" outlineLevel="0" collapsed="false">
      <c r="A27" s="64" t="s">
        <v>873</v>
      </c>
      <c r="B27" s="64" t="n">
        <v>2</v>
      </c>
      <c r="C27" s="38" t="s">
        <v>883</v>
      </c>
      <c r="D27" s="38" t="s">
        <v>1453</v>
      </c>
      <c r="E27" s="94" t="n">
        <v>10</v>
      </c>
      <c r="F27" s="96" t="n">
        <v>0.22742850037207</v>
      </c>
      <c r="G27" s="96" t="n">
        <v>0.22742850037207</v>
      </c>
      <c r="H27" s="96" t="n">
        <v>0.24190829770174</v>
      </c>
      <c r="I27" s="96" t="n">
        <v>0.256388095031411</v>
      </c>
      <c r="J27" s="96" t="n">
        <v>0.230208122470512</v>
      </c>
      <c r="K27" s="97" t="n">
        <v>1</v>
      </c>
      <c r="L27" s="98" t="n">
        <f aca="false">(Yield_Originals!$G27*Yield_Originals!L$1)/Yield_Originals!$K27</f>
        <v>0.272914200446484</v>
      </c>
      <c r="M27" s="98" t="n">
        <f aca="false">(Yield_Originals!$G27*Yield_Originals!M$1)/Yield_Originals!$K27</f>
        <v>0.281442769210437</v>
      </c>
      <c r="N27" s="98" t="n">
        <f aca="false">(Yield_Originals!$G27*Yield_Originals!N$1)/Yield_Originals!$K27</f>
        <v>0.289971337974389</v>
      </c>
      <c r="O27" s="98" t="n">
        <f aca="false">(Yield_Originals!$G27*Yield_Originals!O$1)/Yield_Originals!$K27</f>
        <v>0.298499906738342</v>
      </c>
      <c r="P27" s="99" t="n">
        <f aca="false">(Yield_Originals!$H27*Yield_Originals!P$1)/Yield_Originals!$K27</f>
        <v>0.326576201897349</v>
      </c>
      <c r="Q27" s="99" t="n">
        <f aca="false">(Yield_Originals!$H27*Yield_Originals!Q$1)/Yield_Originals!$K27</f>
        <v>0.335647763061164</v>
      </c>
      <c r="R27" s="99" t="n">
        <f aca="false">(Yield_Originals!$H27*Yield_Originals!R$1)/Yield_Originals!$K27</f>
        <v>0.34471932422498</v>
      </c>
      <c r="S27" s="99" t="n">
        <f aca="false">(Yield_Originals!$H27*Yield_Originals!S$1)/Yield_Originals!$K27</f>
        <v>0.353790885388795</v>
      </c>
      <c r="T27" s="101" t="n">
        <f aca="false">(Yield_Originals!$I27*Yield_Originals!T$1)/Yield_Originals!$K27</f>
        <v>0.384582142547117</v>
      </c>
      <c r="U27" s="101" t="n">
        <f aca="false">(Yield_Originals!$I27*Yield_Originals!U$1)/Yield_Originals!$K27</f>
        <v>0.394196696110794</v>
      </c>
      <c r="V27" s="101" t="n">
        <f aca="false">(Yield_Originals!$I27*Yield_Originals!V$1)/Yield_Originals!$K27</f>
        <v>0.403811249674472</v>
      </c>
      <c r="W27" s="101" t="n">
        <f aca="false">(Yield_Originals!$I27*Yield_Originals!W$1)/Yield_Originals!$K27</f>
        <v>0.41342580323815</v>
      </c>
      <c r="X27" s="102" t="n">
        <f aca="false">(Yield_Originals!$J27*Yield_Originals!X$1)/Yield_Originals!$K27</f>
        <v>0.379843402076345</v>
      </c>
      <c r="Y27" s="102" t="n">
        <f aca="false">(Yield_Originals!$J27*Yield_Originals!Y$1)/Yield_Originals!$K27</f>
        <v>0.388476206668989</v>
      </c>
      <c r="Z27" s="102" t="n">
        <f aca="false">(Yield_Originals!$J27*Yield_Originals!Z$1)/Yield_Originals!$K27</f>
        <v>0.397109011261633</v>
      </c>
      <c r="AA27" s="102" t="n">
        <f aca="false">(Yield_Originals!$J27*Yield_Originals!AA$1)/Yield_Originals!$K27</f>
        <v>0.405741815854277</v>
      </c>
      <c r="AB27" s="102" t="n">
        <f aca="false">(Yield_Originals!$J27*Yield_Originals!AB$1)/Yield_Originals!$K27</f>
        <v>0.414374620446921</v>
      </c>
      <c r="AC27" s="0"/>
    </row>
    <row r="28" customFormat="false" ht="15" hidden="false" customHeight="false" outlineLevel="0" collapsed="false">
      <c r="A28" s="64" t="s">
        <v>873</v>
      </c>
      <c r="B28" s="64" t="n">
        <v>2</v>
      </c>
      <c r="C28" s="38" t="s">
        <v>883</v>
      </c>
      <c r="D28" s="38" t="s">
        <v>1453</v>
      </c>
      <c r="E28" s="94" t="n">
        <v>17</v>
      </c>
      <c r="F28" s="96" t="n">
        <v>0.22742850037207</v>
      </c>
      <c r="G28" s="96" t="n">
        <v>0.22742850037207</v>
      </c>
      <c r="H28" s="96" t="n">
        <v>0.24190829770174</v>
      </c>
      <c r="I28" s="96" t="n">
        <v>0.256388095031411</v>
      </c>
      <c r="J28" s="96" t="n">
        <v>0.230208122470512</v>
      </c>
      <c r="K28" s="97" t="n">
        <v>1</v>
      </c>
      <c r="L28" s="98" t="n">
        <f aca="false">(Yield_Originals!$G28*Yield_Originals!L$1)/Yield_Originals!$K28</f>
        <v>0.272914200446484</v>
      </c>
      <c r="M28" s="98" t="n">
        <f aca="false">(Yield_Originals!$G28*Yield_Originals!M$1)/Yield_Originals!$K28</f>
        <v>0.281442769210437</v>
      </c>
      <c r="N28" s="98" t="n">
        <f aca="false">(Yield_Originals!$G28*Yield_Originals!N$1)/Yield_Originals!$K28</f>
        <v>0.289971337974389</v>
      </c>
      <c r="O28" s="98" t="n">
        <f aca="false">(Yield_Originals!$G28*Yield_Originals!O$1)/Yield_Originals!$K28</f>
        <v>0.298499906738342</v>
      </c>
      <c r="P28" s="99"/>
      <c r="Q28" s="99"/>
      <c r="R28" s="99"/>
      <c r="S28" s="99"/>
      <c r="T28" s="101"/>
      <c r="U28" s="101"/>
      <c r="V28" s="101"/>
      <c r="W28" s="101"/>
      <c r="X28" s="102"/>
      <c r="Y28" s="102"/>
      <c r="Z28" s="102"/>
      <c r="AA28" s="102"/>
      <c r="AB28" s="102"/>
      <c r="AC28" s="0"/>
    </row>
    <row r="29" customFormat="false" ht="15" hidden="false" customHeight="false" outlineLevel="0" collapsed="false">
      <c r="A29" s="64" t="s">
        <v>873</v>
      </c>
      <c r="B29" s="64" t="n">
        <v>2</v>
      </c>
      <c r="C29" s="38" t="s">
        <v>886</v>
      </c>
      <c r="D29" s="38" t="s">
        <v>1453</v>
      </c>
      <c r="E29" s="94" t="n">
        <v>10</v>
      </c>
      <c r="F29" s="96" t="n">
        <v>0.22742850037207</v>
      </c>
      <c r="G29" s="96" t="n">
        <v>0.22742850037207</v>
      </c>
      <c r="H29" s="96" t="n">
        <v>0.24190829770174</v>
      </c>
      <c r="I29" s="96" t="n">
        <v>0.256388095031411</v>
      </c>
      <c r="J29" s="96" t="n">
        <v>0.230208122470512</v>
      </c>
      <c r="K29" s="97" t="n">
        <v>1</v>
      </c>
      <c r="L29" s="98" t="n">
        <f aca="false">(Yield_Originals!$G29*Yield_Originals!L$1)/Yield_Originals!$K29</f>
        <v>0.272914200446484</v>
      </c>
      <c r="M29" s="98" t="n">
        <f aca="false">(Yield_Originals!$G29*Yield_Originals!M$1)/Yield_Originals!$K29</f>
        <v>0.281442769210437</v>
      </c>
      <c r="N29" s="98" t="n">
        <f aca="false">(Yield_Originals!$G29*Yield_Originals!N$1)/Yield_Originals!$K29</f>
        <v>0.289971337974389</v>
      </c>
      <c r="O29" s="98" t="n">
        <f aca="false">(Yield_Originals!$G29*Yield_Originals!O$1)/Yield_Originals!$K29</f>
        <v>0.298499906738342</v>
      </c>
      <c r="P29" s="99" t="n">
        <f aca="false">(Yield_Originals!$H29*Yield_Originals!P$1)/Yield_Originals!$K29</f>
        <v>0.326576201897349</v>
      </c>
      <c r="Q29" s="99" t="n">
        <f aca="false">(Yield_Originals!$H29*Yield_Originals!Q$1)/Yield_Originals!$K29</f>
        <v>0.335647763061164</v>
      </c>
      <c r="R29" s="99" t="n">
        <f aca="false">(Yield_Originals!$H29*Yield_Originals!R$1)/Yield_Originals!$K29</f>
        <v>0.34471932422498</v>
      </c>
      <c r="S29" s="99" t="n">
        <f aca="false">(Yield_Originals!$H29*Yield_Originals!S$1)/Yield_Originals!$K29</f>
        <v>0.353790885388795</v>
      </c>
      <c r="T29" s="101" t="n">
        <f aca="false">(Yield_Originals!$I29*Yield_Originals!T$1)/Yield_Originals!$K29</f>
        <v>0.384582142547117</v>
      </c>
      <c r="U29" s="101" t="n">
        <f aca="false">(Yield_Originals!$I29*Yield_Originals!U$1)/Yield_Originals!$K29</f>
        <v>0.394196696110794</v>
      </c>
      <c r="V29" s="101" t="n">
        <f aca="false">(Yield_Originals!$I29*Yield_Originals!V$1)/Yield_Originals!$K29</f>
        <v>0.403811249674472</v>
      </c>
      <c r="W29" s="101" t="n">
        <f aca="false">(Yield_Originals!$I29*Yield_Originals!W$1)/Yield_Originals!$K29</f>
        <v>0.41342580323815</v>
      </c>
      <c r="X29" s="102" t="n">
        <f aca="false">(Yield_Originals!$J29*Yield_Originals!X$1)/Yield_Originals!$K29</f>
        <v>0.379843402076345</v>
      </c>
      <c r="Y29" s="102" t="n">
        <f aca="false">(Yield_Originals!$J29*Yield_Originals!Y$1)/Yield_Originals!$K29</f>
        <v>0.388476206668989</v>
      </c>
      <c r="Z29" s="102" t="n">
        <f aca="false">(Yield_Originals!$J29*Yield_Originals!Z$1)/Yield_Originals!$K29</f>
        <v>0.397109011261633</v>
      </c>
      <c r="AA29" s="102" t="n">
        <f aca="false">(Yield_Originals!$J29*Yield_Originals!AA$1)/Yield_Originals!$K29</f>
        <v>0.405741815854277</v>
      </c>
      <c r="AB29" s="102" t="n">
        <f aca="false">(Yield_Originals!$J29*Yield_Originals!AB$1)/Yield_Originals!$K29</f>
        <v>0.414374620446921</v>
      </c>
      <c r="AC29" s="0"/>
    </row>
    <row r="30" customFormat="false" ht="15" hidden="false" customHeight="false" outlineLevel="0" collapsed="false">
      <c r="A30" s="64" t="s">
        <v>873</v>
      </c>
      <c r="B30" s="64" t="n">
        <v>2</v>
      </c>
      <c r="C30" s="38" t="s">
        <v>886</v>
      </c>
      <c r="D30" s="38" t="s">
        <v>1453</v>
      </c>
      <c r="E30" s="94" t="n">
        <v>17</v>
      </c>
      <c r="F30" s="96" t="n">
        <v>0.22742850037207</v>
      </c>
      <c r="G30" s="96" t="n">
        <v>0.22742850037207</v>
      </c>
      <c r="H30" s="96" t="n">
        <v>0.24190829770174</v>
      </c>
      <c r="I30" s="96" t="n">
        <v>0.256388095031411</v>
      </c>
      <c r="J30" s="96" t="n">
        <v>0.230208122470512</v>
      </c>
      <c r="K30" s="97" t="n">
        <v>1</v>
      </c>
      <c r="L30" s="98" t="n">
        <f aca="false">(Yield_Originals!$G30*Yield_Originals!L$1)/Yield_Originals!$K30</f>
        <v>0.272914200446484</v>
      </c>
      <c r="M30" s="98" t="n">
        <f aca="false">(Yield_Originals!$G30*Yield_Originals!M$1)/Yield_Originals!$K30</f>
        <v>0.281442769210437</v>
      </c>
      <c r="N30" s="98" t="n">
        <f aca="false">(Yield_Originals!$G30*Yield_Originals!N$1)/Yield_Originals!$K30</f>
        <v>0.289971337974389</v>
      </c>
      <c r="O30" s="98" t="n">
        <f aca="false">(Yield_Originals!$G30*Yield_Originals!O$1)/Yield_Originals!$K30</f>
        <v>0.298499906738342</v>
      </c>
      <c r="P30" s="99"/>
      <c r="Q30" s="99"/>
      <c r="R30" s="99"/>
      <c r="S30" s="99"/>
      <c r="T30" s="101"/>
      <c r="U30" s="101"/>
      <c r="V30" s="101"/>
      <c r="W30" s="101"/>
      <c r="X30" s="102"/>
      <c r="Y30" s="102"/>
      <c r="Z30" s="102"/>
      <c r="AA30" s="102"/>
      <c r="AB30" s="102"/>
      <c r="AC30" s="0"/>
    </row>
    <row r="31" customFormat="false" ht="15" hidden="false" customHeight="false" outlineLevel="0" collapsed="false">
      <c r="A31" s="66" t="s">
        <v>930</v>
      </c>
      <c r="B31" s="64" t="n">
        <v>2</v>
      </c>
      <c r="C31" s="93" t="s">
        <v>215</v>
      </c>
      <c r="D31" s="93" t="s">
        <v>929</v>
      </c>
      <c r="E31" s="94" t="n">
        <v>13</v>
      </c>
      <c r="F31" s="96" t="n">
        <v>0.22742850037207</v>
      </c>
      <c r="G31" s="96" t="n">
        <v>0.22742850037207</v>
      </c>
      <c r="H31" s="96" t="n">
        <f aca="false">+(Yield_Originals!I31+Yield_Originals!G31)/2</f>
        <v>0.24190829770174</v>
      </c>
      <c r="I31" s="96" t="n">
        <v>0.256388095031411</v>
      </c>
      <c r="J31" s="96" t="n">
        <v>0.230208122470512</v>
      </c>
      <c r="K31" s="97" t="n">
        <v>1</v>
      </c>
      <c r="L31" s="98"/>
      <c r="M31" s="98"/>
      <c r="N31" s="98"/>
      <c r="O31" s="98"/>
      <c r="P31" s="99" t="n">
        <f aca="false">(Yield_Originals!$H31*Yield_Originals!P$1)/Yield_Originals!$K31</f>
        <v>0.32657620189735</v>
      </c>
      <c r="Q31" s="99" t="n">
        <f aca="false">(Yield_Originals!$H31*Yield_Originals!Q$1)/Yield_Originals!$K31</f>
        <v>0.335647763061165</v>
      </c>
      <c r="R31" s="99" t="n">
        <f aca="false">(Yield_Originals!$H31*Yield_Originals!R$1)/Yield_Originals!$K31</f>
        <v>0.34471932422498</v>
      </c>
      <c r="S31" s="99" t="n">
        <f aca="false">(Yield_Originals!$H31*Yield_Originals!S$1)/Yield_Originals!$K31</f>
        <v>0.353790885388796</v>
      </c>
      <c r="T31" s="101" t="n">
        <f aca="false">(Yield_Originals!$I31*Yield_Originals!T$1)/Yield_Originals!$K31</f>
        <v>0.384582142547117</v>
      </c>
      <c r="U31" s="101"/>
      <c r="V31" s="101"/>
      <c r="W31" s="101"/>
      <c r="X31" s="102"/>
      <c r="Y31" s="102"/>
      <c r="Z31" s="102"/>
      <c r="AA31" s="102"/>
      <c r="AB31" s="102"/>
      <c r="AC31" s="0"/>
    </row>
    <row r="32" customFormat="false" ht="15" hidden="false" customHeight="false" outlineLevel="0" collapsed="false">
      <c r="A32" s="66" t="s">
        <v>930</v>
      </c>
      <c r="B32" s="64" t="n">
        <v>2</v>
      </c>
      <c r="C32" s="93" t="s">
        <v>215</v>
      </c>
      <c r="D32" s="93" t="s">
        <v>929</v>
      </c>
      <c r="E32" s="94" t="n">
        <v>20</v>
      </c>
      <c r="F32" s="96" t="n">
        <v>0.22742850037207</v>
      </c>
      <c r="G32" s="96" t="n">
        <v>0.22742850037207</v>
      </c>
      <c r="H32" s="96" t="n">
        <f aca="false">+(Yield_Originals!I32+Yield_Originals!G32)/2</f>
        <v>0.24190829770174</v>
      </c>
      <c r="I32" s="96" t="n">
        <v>0.256388095031411</v>
      </c>
      <c r="J32" s="96" t="n">
        <v>0.230208122470512</v>
      </c>
      <c r="K32" s="97" t="n">
        <v>1</v>
      </c>
      <c r="L32" s="98"/>
      <c r="M32" s="98"/>
      <c r="N32" s="98"/>
      <c r="O32" s="98"/>
      <c r="P32" s="99" t="n">
        <f aca="false">(Yield_Originals!$H32*Yield_Originals!P$1)/Yield_Originals!$K32</f>
        <v>0.32657620189735</v>
      </c>
      <c r="Q32" s="99" t="n">
        <f aca="false">(Yield_Originals!$H32*Yield_Originals!Q$1)/Yield_Originals!$K32</f>
        <v>0.335647763061165</v>
      </c>
      <c r="R32" s="99" t="n">
        <f aca="false">(Yield_Originals!$H32*Yield_Originals!R$1)/Yield_Originals!$K32</f>
        <v>0.34471932422498</v>
      </c>
      <c r="S32" s="99" t="n">
        <f aca="false">(Yield_Originals!$H32*Yield_Originals!S$1)/Yield_Originals!$K32</f>
        <v>0.353790885388796</v>
      </c>
      <c r="T32" s="101" t="n">
        <f aca="false">(Yield_Originals!$I32*Yield_Originals!T$1)/Yield_Originals!$K32</f>
        <v>0.384582142547117</v>
      </c>
      <c r="U32" s="101"/>
      <c r="V32" s="101"/>
      <c r="W32" s="101"/>
      <c r="X32" s="102"/>
      <c r="Y32" s="102"/>
      <c r="Z32" s="102"/>
      <c r="AA32" s="102"/>
      <c r="AB32" s="102"/>
      <c r="AC32" s="0"/>
    </row>
    <row r="33" customFormat="false" ht="15" hidden="false" customHeight="false" outlineLevel="0" collapsed="false">
      <c r="A33" s="66" t="s">
        <v>930</v>
      </c>
      <c r="B33" s="64" t="n">
        <v>2</v>
      </c>
      <c r="C33" s="93" t="s">
        <v>227</v>
      </c>
      <c r="D33" s="93" t="s">
        <v>934</v>
      </c>
      <c r="E33" s="94" t="n">
        <v>13</v>
      </c>
      <c r="F33" s="96" t="n">
        <v>0.22742850037207</v>
      </c>
      <c r="G33" s="96" t="n">
        <v>0.22742850037207</v>
      </c>
      <c r="H33" s="96" t="n">
        <f aca="false">+(Yield_Originals!I33+Yield_Originals!G33)/2</f>
        <v>0.24190829770174</v>
      </c>
      <c r="I33" s="96" t="n">
        <v>0.256388095031411</v>
      </c>
      <c r="J33" s="96" t="n">
        <v>0.230208122470512</v>
      </c>
      <c r="K33" s="97" t="n">
        <v>1</v>
      </c>
      <c r="L33" s="98"/>
      <c r="M33" s="98"/>
      <c r="N33" s="98"/>
      <c r="O33" s="98"/>
      <c r="P33" s="99" t="n">
        <f aca="false">(Yield_Originals!$H33*Yield_Originals!P$1)/Yield_Originals!$K33</f>
        <v>0.32657620189735</v>
      </c>
      <c r="Q33" s="99" t="n">
        <f aca="false">(Yield_Originals!$H33*Yield_Originals!Q$1)/Yield_Originals!$K33</f>
        <v>0.335647763061165</v>
      </c>
      <c r="R33" s="99" t="n">
        <f aca="false">(Yield_Originals!$H33*Yield_Originals!R$1)/Yield_Originals!$K33</f>
        <v>0.34471932422498</v>
      </c>
      <c r="S33" s="99" t="n">
        <f aca="false">(Yield_Originals!$H33*Yield_Originals!S$1)/Yield_Originals!$K33</f>
        <v>0.353790885388796</v>
      </c>
      <c r="T33" s="101" t="n">
        <f aca="false">(Yield_Originals!$I33*Yield_Originals!T$1)/Yield_Originals!$K33</f>
        <v>0.384582142547117</v>
      </c>
      <c r="U33" s="101"/>
      <c r="V33" s="101"/>
      <c r="W33" s="101"/>
      <c r="X33" s="102"/>
      <c r="Y33" s="102"/>
      <c r="Z33" s="102"/>
      <c r="AA33" s="102"/>
      <c r="AB33" s="102"/>
      <c r="AC33" s="0"/>
    </row>
    <row r="34" customFormat="false" ht="15" hidden="false" customHeight="false" outlineLevel="0" collapsed="false">
      <c r="A34" s="66" t="s">
        <v>930</v>
      </c>
      <c r="B34" s="64" t="n">
        <v>2</v>
      </c>
      <c r="C34" s="93" t="s">
        <v>227</v>
      </c>
      <c r="D34" s="93" t="s">
        <v>934</v>
      </c>
      <c r="E34" s="94" t="n">
        <v>20</v>
      </c>
      <c r="F34" s="96" t="n">
        <v>0.22742850037207</v>
      </c>
      <c r="G34" s="96" t="n">
        <v>0.22742850037207</v>
      </c>
      <c r="H34" s="96" t="n">
        <f aca="false">+(Yield_Originals!I34+Yield_Originals!G34)/2</f>
        <v>0.24190829770174</v>
      </c>
      <c r="I34" s="96" t="n">
        <v>0.256388095031411</v>
      </c>
      <c r="J34" s="96" t="n">
        <v>0.230208122470512</v>
      </c>
      <c r="K34" s="97" t="n">
        <v>1</v>
      </c>
      <c r="L34" s="98"/>
      <c r="M34" s="98"/>
      <c r="N34" s="98"/>
      <c r="O34" s="98"/>
      <c r="P34" s="99" t="n">
        <f aca="false">(Yield_Originals!$H34*Yield_Originals!P$1)/Yield_Originals!$K34</f>
        <v>0.32657620189735</v>
      </c>
      <c r="Q34" s="99" t="n">
        <f aca="false">(Yield_Originals!$H34*Yield_Originals!Q$1)/Yield_Originals!$K34</f>
        <v>0.335647763061165</v>
      </c>
      <c r="R34" s="99" t="n">
        <f aca="false">(Yield_Originals!$H34*Yield_Originals!R$1)/Yield_Originals!$K34</f>
        <v>0.34471932422498</v>
      </c>
      <c r="S34" s="99" t="n">
        <f aca="false">(Yield_Originals!$H34*Yield_Originals!S$1)/Yield_Originals!$K34</f>
        <v>0.353790885388796</v>
      </c>
      <c r="T34" s="101" t="n">
        <f aca="false">(Yield_Originals!$I34*Yield_Originals!T$1)/Yield_Originals!$K34</f>
        <v>0.384582142547117</v>
      </c>
      <c r="U34" s="101"/>
      <c r="V34" s="101"/>
      <c r="W34" s="101"/>
      <c r="X34" s="102"/>
      <c r="Y34" s="102"/>
      <c r="Z34" s="102"/>
      <c r="AA34" s="102"/>
      <c r="AB34" s="102"/>
      <c r="AC34" s="0"/>
    </row>
    <row r="35" customFormat="false" ht="15" hidden="false" customHeight="false" outlineLevel="0" collapsed="false">
      <c r="A35" s="64" t="s">
        <v>915</v>
      </c>
      <c r="B35" s="64" t="n">
        <v>2</v>
      </c>
      <c r="C35" s="93" t="s">
        <v>441</v>
      </c>
      <c r="D35" s="93" t="s">
        <v>914</v>
      </c>
      <c r="E35" s="94" t="n">
        <v>12</v>
      </c>
      <c r="F35" s="96" t="n">
        <v>0.22742850037207</v>
      </c>
      <c r="G35" s="96" t="n">
        <v>0.22742850037207</v>
      </c>
      <c r="H35" s="96" t="n">
        <f aca="false">+(Yield_Originals!I35+Yield_Originals!G35)/2</f>
        <v>0.24190829770174</v>
      </c>
      <c r="I35" s="96" t="n">
        <v>0.256388095031411</v>
      </c>
      <c r="J35" s="96" t="n">
        <v>0.230208122470512</v>
      </c>
      <c r="K35" s="97" t="n">
        <v>1</v>
      </c>
      <c r="L35" s="98" t="n">
        <f aca="false">(Yield_Originals!$G35*Yield_Originals!L$1)/Yield_Originals!$K35</f>
        <v>0.272914200446484</v>
      </c>
      <c r="M35" s="98" t="n">
        <f aca="false">(Yield_Originals!$G35*Yield_Originals!M$1)/Yield_Originals!$K35</f>
        <v>0.281442769210437</v>
      </c>
      <c r="N35" s="98" t="n">
        <f aca="false">(Yield_Originals!$G35*Yield_Originals!N$1)/Yield_Originals!$K35</f>
        <v>0.289971337974389</v>
      </c>
      <c r="O35" s="98" t="n">
        <f aca="false">(Yield_Originals!$G35*Yield_Originals!O$1)/Yield_Originals!$K35</f>
        <v>0.298499906738342</v>
      </c>
      <c r="P35" s="99"/>
      <c r="Q35" s="99"/>
      <c r="R35" s="99"/>
      <c r="S35" s="99"/>
      <c r="T35" s="101"/>
      <c r="U35" s="101"/>
      <c r="V35" s="101"/>
      <c r="W35" s="101"/>
      <c r="X35" s="102"/>
      <c r="Y35" s="102"/>
      <c r="Z35" s="102"/>
      <c r="AA35" s="102"/>
      <c r="AB35" s="102"/>
      <c r="AC35" s="0"/>
    </row>
    <row r="36" customFormat="false" ht="15" hidden="false" customHeight="false" outlineLevel="0" collapsed="false">
      <c r="A36" s="64" t="s">
        <v>915</v>
      </c>
      <c r="B36" s="64" t="n">
        <v>2</v>
      </c>
      <c r="C36" s="93" t="s">
        <v>441</v>
      </c>
      <c r="D36" s="93" t="s">
        <v>914</v>
      </c>
      <c r="E36" s="94" t="n">
        <v>19</v>
      </c>
      <c r="F36" s="96" t="n">
        <v>0.22742850037207</v>
      </c>
      <c r="G36" s="96" t="n">
        <v>0.22742850037207</v>
      </c>
      <c r="H36" s="96" t="n">
        <f aca="false">+(Yield_Originals!I36+Yield_Originals!G36)/2</f>
        <v>0.24190829770174</v>
      </c>
      <c r="I36" s="96" t="n">
        <v>0.256388095031411</v>
      </c>
      <c r="J36" s="96" t="n">
        <v>0.230208122470512</v>
      </c>
      <c r="K36" s="97" t="n">
        <v>1</v>
      </c>
      <c r="L36" s="98" t="n">
        <f aca="false">(Yield_Originals!$G36*Yield_Originals!L$1)/Yield_Originals!$K36</f>
        <v>0.272914200446484</v>
      </c>
      <c r="M36" s="98" t="n">
        <f aca="false">(Yield_Originals!$G36*Yield_Originals!M$1)/Yield_Originals!$K36</f>
        <v>0.281442769210437</v>
      </c>
      <c r="N36" s="98" t="n">
        <f aca="false">(Yield_Originals!$G36*Yield_Originals!N$1)/Yield_Originals!$K36</f>
        <v>0.289971337974389</v>
      </c>
      <c r="O36" s="98" t="n">
        <f aca="false">(Yield_Originals!$G36*Yield_Originals!O$1)/Yield_Originals!$K36</f>
        <v>0.298499906738342</v>
      </c>
      <c r="P36" s="99"/>
      <c r="Q36" s="99"/>
      <c r="R36" s="99"/>
      <c r="S36" s="99"/>
      <c r="T36" s="101"/>
      <c r="U36" s="101"/>
      <c r="V36" s="101"/>
      <c r="W36" s="101"/>
      <c r="X36" s="102"/>
      <c r="Y36" s="102"/>
      <c r="Z36" s="102"/>
      <c r="AA36" s="102"/>
      <c r="AB36" s="102"/>
      <c r="AC36" s="0"/>
    </row>
    <row r="37" customFormat="false" ht="15" hidden="false" customHeight="false" outlineLevel="0" collapsed="false">
      <c r="A37" s="64" t="s">
        <v>915</v>
      </c>
      <c r="B37" s="64" t="n">
        <v>2</v>
      </c>
      <c r="C37" s="93" t="s">
        <v>228</v>
      </c>
      <c r="D37" s="93" t="s">
        <v>918</v>
      </c>
      <c r="E37" s="94" t="n">
        <v>12</v>
      </c>
      <c r="F37" s="96" t="n">
        <v>0.22742850037207</v>
      </c>
      <c r="G37" s="96" t="n">
        <v>0.22742850037207</v>
      </c>
      <c r="H37" s="96" t="n">
        <f aca="false">+(Yield_Originals!I37+Yield_Originals!G37)/2</f>
        <v>0.24190829770174</v>
      </c>
      <c r="I37" s="96" t="n">
        <v>0.256388095031411</v>
      </c>
      <c r="J37" s="96" t="n">
        <v>0.230208122470512</v>
      </c>
      <c r="K37" s="97" t="n">
        <v>1</v>
      </c>
      <c r="L37" s="98" t="n">
        <f aca="false">(Yield_Originals!$G37*Yield_Originals!L$1)/Yield_Originals!$K37</f>
        <v>0.272914200446484</v>
      </c>
      <c r="M37" s="98" t="n">
        <f aca="false">(Yield_Originals!$G37*Yield_Originals!M$1)/Yield_Originals!$K37</f>
        <v>0.281442769210437</v>
      </c>
      <c r="N37" s="98" t="n">
        <f aca="false">(Yield_Originals!$G37*Yield_Originals!N$1)/Yield_Originals!$K37</f>
        <v>0.289971337974389</v>
      </c>
      <c r="O37" s="98" t="n">
        <f aca="false">(Yield_Originals!$G37*Yield_Originals!O$1)/Yield_Originals!$K37</f>
        <v>0.298499906738342</v>
      </c>
      <c r="P37" s="99"/>
      <c r="Q37" s="99"/>
      <c r="R37" s="99"/>
      <c r="S37" s="99"/>
      <c r="T37" s="101"/>
      <c r="U37" s="101"/>
      <c r="V37" s="101"/>
      <c r="W37" s="101"/>
      <c r="X37" s="102"/>
      <c r="Y37" s="102"/>
      <c r="Z37" s="102"/>
      <c r="AA37" s="102"/>
      <c r="AB37" s="102"/>
      <c r="AC37" s="0"/>
    </row>
    <row r="38" customFormat="false" ht="15" hidden="false" customHeight="false" outlineLevel="0" collapsed="false">
      <c r="A38" s="64" t="s">
        <v>915</v>
      </c>
      <c r="B38" s="64" t="n">
        <v>2</v>
      </c>
      <c r="C38" s="93" t="s">
        <v>228</v>
      </c>
      <c r="D38" s="93" t="s">
        <v>918</v>
      </c>
      <c r="E38" s="94" t="n">
        <v>19</v>
      </c>
      <c r="F38" s="96" t="n">
        <v>0.22742850037207</v>
      </c>
      <c r="G38" s="96" t="n">
        <v>0.22742850037207</v>
      </c>
      <c r="H38" s="96" t="n">
        <f aca="false">+(Yield_Originals!I38+Yield_Originals!G38)/2</f>
        <v>0.24190829770174</v>
      </c>
      <c r="I38" s="96" t="n">
        <v>0.256388095031411</v>
      </c>
      <c r="J38" s="96" t="n">
        <v>0.230208122470512</v>
      </c>
      <c r="K38" s="97" t="n">
        <v>1</v>
      </c>
      <c r="L38" s="98" t="n">
        <f aca="false">(Yield_Originals!$G38*Yield_Originals!L$1)/Yield_Originals!$K38</f>
        <v>0.272914200446484</v>
      </c>
      <c r="M38" s="98" t="n">
        <f aca="false">(Yield_Originals!$G38*Yield_Originals!M$1)/Yield_Originals!$K38</f>
        <v>0.281442769210437</v>
      </c>
      <c r="N38" s="98" t="n">
        <f aca="false">(Yield_Originals!$G38*Yield_Originals!N$1)/Yield_Originals!$K38</f>
        <v>0.289971337974389</v>
      </c>
      <c r="O38" s="98" t="n">
        <f aca="false">(Yield_Originals!$G38*Yield_Originals!O$1)/Yield_Originals!$K38</f>
        <v>0.298499906738342</v>
      </c>
      <c r="P38" s="99"/>
      <c r="Q38" s="99"/>
      <c r="R38" s="99"/>
      <c r="S38" s="99"/>
      <c r="T38" s="101"/>
      <c r="U38" s="101"/>
      <c r="V38" s="101"/>
      <c r="W38" s="101"/>
      <c r="X38" s="102"/>
      <c r="Y38" s="102"/>
      <c r="Z38" s="102"/>
      <c r="AA38" s="102"/>
      <c r="AB38" s="102"/>
      <c r="AC38" s="0"/>
    </row>
    <row r="39" customFormat="false" ht="15" hidden="false" customHeight="false" outlineLevel="0" collapsed="false">
      <c r="A39" s="64" t="s">
        <v>915</v>
      </c>
      <c r="B39" s="64" t="n">
        <v>2</v>
      </c>
      <c r="C39" s="93" t="s">
        <v>229</v>
      </c>
      <c r="D39" s="93" t="s">
        <v>926</v>
      </c>
      <c r="E39" s="94" t="n">
        <v>12</v>
      </c>
      <c r="F39" s="96" t="n">
        <v>0.22742850037207</v>
      </c>
      <c r="G39" s="96" t="n">
        <v>0.22742850037207</v>
      </c>
      <c r="H39" s="96" t="n">
        <f aca="false">+(Yield_Originals!I39+Yield_Originals!G39)/2</f>
        <v>0.24190829770174</v>
      </c>
      <c r="I39" s="96" t="n">
        <v>0.256388095031411</v>
      </c>
      <c r="J39" s="96" t="n">
        <v>0.230208122470512</v>
      </c>
      <c r="K39" s="97" t="n">
        <v>1</v>
      </c>
      <c r="L39" s="98" t="n">
        <f aca="false">(Yield_Originals!$G39*Yield_Originals!L$1)/Yield_Originals!$K39</f>
        <v>0.272914200446484</v>
      </c>
      <c r="M39" s="98" t="n">
        <f aca="false">(Yield_Originals!$G39*Yield_Originals!M$1)/Yield_Originals!$K39</f>
        <v>0.281442769210437</v>
      </c>
      <c r="N39" s="98" t="n">
        <f aca="false">(Yield_Originals!$G39*Yield_Originals!N$1)/Yield_Originals!$K39</f>
        <v>0.289971337974389</v>
      </c>
      <c r="O39" s="98" t="n">
        <f aca="false">(Yield_Originals!$G39*Yield_Originals!O$1)/Yield_Originals!$K39</f>
        <v>0.298499906738342</v>
      </c>
      <c r="P39" s="99"/>
      <c r="Q39" s="99"/>
      <c r="R39" s="99"/>
      <c r="S39" s="99"/>
      <c r="T39" s="101"/>
      <c r="U39" s="101"/>
      <c r="V39" s="101"/>
      <c r="W39" s="101"/>
      <c r="X39" s="102"/>
      <c r="Y39" s="102"/>
      <c r="Z39" s="102"/>
      <c r="AA39" s="102"/>
      <c r="AB39" s="102"/>
      <c r="AC39" s="0"/>
    </row>
    <row r="40" customFormat="false" ht="15" hidden="false" customHeight="false" outlineLevel="0" collapsed="false">
      <c r="A40" s="64" t="s">
        <v>915</v>
      </c>
      <c r="B40" s="64" t="n">
        <v>2</v>
      </c>
      <c r="C40" s="93" t="s">
        <v>229</v>
      </c>
      <c r="D40" s="93" t="s">
        <v>926</v>
      </c>
      <c r="E40" s="94" t="n">
        <v>19</v>
      </c>
      <c r="F40" s="96" t="n">
        <v>0.22742850037207</v>
      </c>
      <c r="G40" s="96" t="n">
        <v>0.22742850037207</v>
      </c>
      <c r="H40" s="96" t="n">
        <f aca="false">+(Yield_Originals!I40+Yield_Originals!G40)/2</f>
        <v>0.24190829770174</v>
      </c>
      <c r="I40" s="96" t="n">
        <v>0.256388095031411</v>
      </c>
      <c r="J40" s="96" t="n">
        <v>0.230208122470512</v>
      </c>
      <c r="K40" s="97" t="n">
        <v>1</v>
      </c>
      <c r="L40" s="98" t="n">
        <f aca="false">(Yield_Originals!$G40*Yield_Originals!L$1)/Yield_Originals!$K40</f>
        <v>0.272914200446484</v>
      </c>
      <c r="M40" s="98" t="n">
        <f aca="false">(Yield_Originals!$G40*Yield_Originals!M$1)/Yield_Originals!$K40</f>
        <v>0.281442769210437</v>
      </c>
      <c r="N40" s="98" t="n">
        <f aca="false">(Yield_Originals!$G40*Yield_Originals!N$1)/Yield_Originals!$K40</f>
        <v>0.289971337974389</v>
      </c>
      <c r="O40" s="98" t="n">
        <f aca="false">(Yield_Originals!$G40*Yield_Originals!O$1)/Yield_Originals!$K40</f>
        <v>0.298499906738342</v>
      </c>
      <c r="P40" s="99"/>
      <c r="Q40" s="99"/>
      <c r="R40" s="99"/>
      <c r="S40" s="99"/>
      <c r="T40" s="101"/>
      <c r="U40" s="101"/>
      <c r="V40" s="101"/>
      <c r="W40" s="101"/>
      <c r="X40" s="102"/>
      <c r="Y40" s="102"/>
      <c r="Z40" s="102"/>
      <c r="AA40" s="102"/>
      <c r="AB40" s="102"/>
      <c r="AC40" s="0"/>
    </row>
    <row r="41" s="93" customFormat="true" ht="15" hidden="false" customHeight="false" outlineLevel="0" collapsed="false">
      <c r="A41" s="64" t="s">
        <v>915</v>
      </c>
      <c r="B41" s="64" t="n">
        <v>2</v>
      </c>
      <c r="C41" s="93" t="s">
        <v>445</v>
      </c>
      <c r="D41" s="93" t="s">
        <v>921</v>
      </c>
      <c r="E41" s="94" t="n">
        <v>12</v>
      </c>
      <c r="F41" s="96" t="n">
        <v>0.22742850037207</v>
      </c>
      <c r="G41" s="96" t="n">
        <v>0.22742850037207</v>
      </c>
      <c r="H41" s="96" t="n">
        <f aca="false">+(Yield_Originals!I41+Yield_Originals!G41)/2</f>
        <v>0.24190829770174</v>
      </c>
      <c r="I41" s="96" t="n">
        <v>0.256388095031411</v>
      </c>
      <c r="J41" s="96" t="n">
        <v>0.230208122470512</v>
      </c>
      <c r="K41" s="97" t="n">
        <v>1</v>
      </c>
      <c r="L41" s="98" t="n">
        <f aca="false">(Yield_Originals!$G41*Yield_Originals!L$1)/Yield_Originals!$K41</f>
        <v>0.272914200446484</v>
      </c>
      <c r="M41" s="98" t="n">
        <f aca="false">(Yield_Originals!$G41*Yield_Originals!M$1)/Yield_Originals!$K41</f>
        <v>0.281442769210437</v>
      </c>
      <c r="N41" s="98" t="n">
        <f aca="false">(Yield_Originals!$G41*Yield_Originals!N$1)/Yield_Originals!$K41</f>
        <v>0.289971337974389</v>
      </c>
      <c r="O41" s="98" t="n">
        <f aca="false">(Yield_Originals!$G41*Yield_Originals!O$1)/Yield_Originals!$K41</f>
        <v>0.298499906738342</v>
      </c>
      <c r="P41" s="99"/>
      <c r="Q41" s="99"/>
      <c r="R41" s="99"/>
      <c r="S41" s="99"/>
      <c r="T41" s="101"/>
      <c r="U41" s="101"/>
      <c r="V41" s="101"/>
      <c r="W41" s="101"/>
      <c r="X41" s="102"/>
      <c r="Y41" s="102"/>
      <c r="Z41" s="102"/>
      <c r="AA41" s="102"/>
      <c r="AB41" s="102"/>
      <c r="AC41" s="64"/>
    </row>
    <row r="42" s="93" customFormat="true" ht="15" hidden="false" customHeight="false" outlineLevel="0" collapsed="false">
      <c r="A42" s="64" t="s">
        <v>915</v>
      </c>
      <c r="B42" s="64" t="n">
        <v>2</v>
      </c>
      <c r="C42" s="93" t="s">
        <v>445</v>
      </c>
      <c r="D42" s="93" t="s">
        <v>921</v>
      </c>
      <c r="E42" s="94" t="n">
        <v>19</v>
      </c>
      <c r="F42" s="96" t="n">
        <v>0.22742850037207</v>
      </c>
      <c r="G42" s="96" t="n">
        <v>0.22742850037207</v>
      </c>
      <c r="H42" s="96" t="n">
        <f aca="false">+(Yield_Originals!I42+Yield_Originals!G42)/2</f>
        <v>0.24190829770174</v>
      </c>
      <c r="I42" s="96" t="n">
        <v>0.256388095031411</v>
      </c>
      <c r="J42" s="96" t="n">
        <v>0.230208122470512</v>
      </c>
      <c r="K42" s="97" t="n">
        <v>1</v>
      </c>
      <c r="L42" s="98" t="n">
        <f aca="false">(Yield_Originals!$G42*Yield_Originals!L$1)/Yield_Originals!$K42</f>
        <v>0.272914200446484</v>
      </c>
      <c r="M42" s="98" t="n">
        <f aca="false">(Yield_Originals!$G42*Yield_Originals!M$1)/Yield_Originals!$K42</f>
        <v>0.281442769210437</v>
      </c>
      <c r="N42" s="98" t="n">
        <f aca="false">(Yield_Originals!$G42*Yield_Originals!N$1)/Yield_Originals!$K42</f>
        <v>0.289971337974389</v>
      </c>
      <c r="O42" s="98" t="n">
        <f aca="false">(Yield_Originals!$G42*Yield_Originals!O$1)/Yield_Originals!$K42</f>
        <v>0.298499906738342</v>
      </c>
      <c r="P42" s="99"/>
      <c r="Q42" s="99"/>
      <c r="R42" s="99"/>
      <c r="S42" s="99"/>
      <c r="T42" s="101"/>
      <c r="U42" s="101"/>
      <c r="V42" s="101"/>
      <c r="W42" s="101"/>
      <c r="X42" s="102"/>
      <c r="Y42" s="102"/>
      <c r="Z42" s="102"/>
      <c r="AA42" s="102"/>
      <c r="AB42" s="102"/>
      <c r="AC42" s="64"/>
    </row>
    <row r="43" s="93" customFormat="true" ht="15" hidden="false" customHeight="false" outlineLevel="0" collapsed="false">
      <c r="A43" s="64" t="s">
        <v>915</v>
      </c>
      <c r="B43" s="64" t="n">
        <v>2</v>
      </c>
      <c r="C43" s="93" t="s">
        <v>230</v>
      </c>
      <c r="D43" s="93" t="s">
        <v>924</v>
      </c>
      <c r="E43" s="94" t="n">
        <v>12</v>
      </c>
      <c r="F43" s="96" t="n">
        <v>0.22742850037207</v>
      </c>
      <c r="G43" s="96" t="n">
        <v>0.22742850037207</v>
      </c>
      <c r="H43" s="96" t="n">
        <f aca="false">+(Yield_Originals!I43+Yield_Originals!G43)/2</f>
        <v>0.24190829770174</v>
      </c>
      <c r="I43" s="96" t="n">
        <v>0.256388095031411</v>
      </c>
      <c r="J43" s="96" t="n">
        <v>0.230208122470512</v>
      </c>
      <c r="K43" s="97" t="n">
        <v>1</v>
      </c>
      <c r="L43" s="98" t="n">
        <f aca="false">(Yield_Originals!$G43*Yield_Originals!L$1)/Yield_Originals!$K43</f>
        <v>0.272914200446484</v>
      </c>
      <c r="M43" s="98" t="n">
        <f aca="false">(Yield_Originals!$G43*Yield_Originals!M$1)/Yield_Originals!$K43</f>
        <v>0.281442769210437</v>
      </c>
      <c r="N43" s="98" t="n">
        <f aca="false">(Yield_Originals!$G43*Yield_Originals!N$1)/Yield_Originals!$K43</f>
        <v>0.289971337974389</v>
      </c>
      <c r="O43" s="98" t="n">
        <f aca="false">(Yield_Originals!$G43*Yield_Originals!O$1)/Yield_Originals!$K43</f>
        <v>0.298499906738342</v>
      </c>
      <c r="P43" s="99"/>
      <c r="Q43" s="99"/>
      <c r="R43" s="99"/>
      <c r="S43" s="99"/>
      <c r="T43" s="101"/>
      <c r="U43" s="101"/>
      <c r="V43" s="101"/>
      <c r="W43" s="101"/>
      <c r="X43" s="102"/>
      <c r="Y43" s="102"/>
      <c r="Z43" s="102"/>
      <c r="AA43" s="102"/>
      <c r="AB43" s="102"/>
      <c r="AC43" s="64"/>
    </row>
    <row r="44" s="93" customFormat="true" ht="15" hidden="false" customHeight="false" outlineLevel="0" collapsed="false">
      <c r="A44" s="64" t="s">
        <v>915</v>
      </c>
      <c r="B44" s="64" t="n">
        <v>2</v>
      </c>
      <c r="C44" s="93" t="s">
        <v>230</v>
      </c>
      <c r="D44" s="93" t="s">
        <v>924</v>
      </c>
      <c r="E44" s="94" t="n">
        <v>19</v>
      </c>
      <c r="F44" s="96" t="n">
        <v>0.22742850037207</v>
      </c>
      <c r="G44" s="96" t="n">
        <v>0.22742850037207</v>
      </c>
      <c r="H44" s="96" t="n">
        <f aca="false">+(Yield_Originals!I44+Yield_Originals!G44)/2</f>
        <v>0.24190829770174</v>
      </c>
      <c r="I44" s="96" t="n">
        <v>0.256388095031411</v>
      </c>
      <c r="J44" s="96" t="n">
        <v>0.230208122470512</v>
      </c>
      <c r="K44" s="97" t="n">
        <v>1</v>
      </c>
      <c r="L44" s="98" t="n">
        <f aca="false">(Yield_Originals!$G44*Yield_Originals!L$1)/Yield_Originals!$K44</f>
        <v>0.272914200446484</v>
      </c>
      <c r="M44" s="98" t="n">
        <f aca="false">(Yield_Originals!$G44*Yield_Originals!M$1)/Yield_Originals!$K44</f>
        <v>0.281442769210437</v>
      </c>
      <c r="N44" s="98" t="n">
        <f aca="false">(Yield_Originals!$G44*Yield_Originals!N$1)/Yield_Originals!$K44</f>
        <v>0.289971337974389</v>
      </c>
      <c r="O44" s="98" t="n">
        <f aca="false">(Yield_Originals!$G44*Yield_Originals!O$1)/Yield_Originals!$K44</f>
        <v>0.298499906738342</v>
      </c>
      <c r="P44" s="99"/>
      <c r="Q44" s="99"/>
      <c r="R44" s="99"/>
      <c r="S44" s="99"/>
      <c r="T44" s="101"/>
      <c r="U44" s="101"/>
      <c r="V44" s="101"/>
      <c r="W44" s="101"/>
      <c r="X44" s="102"/>
      <c r="Y44" s="102"/>
      <c r="Z44" s="102"/>
      <c r="AA44" s="102"/>
      <c r="AB44" s="102"/>
      <c r="AC44" s="64"/>
    </row>
    <row r="45" s="93" customFormat="true" ht="15" hidden="false" customHeight="false" outlineLevel="0" collapsed="false">
      <c r="A45" s="64" t="s">
        <v>873</v>
      </c>
      <c r="B45" s="64" t="n">
        <v>2</v>
      </c>
      <c r="C45" s="38" t="s">
        <v>903</v>
      </c>
      <c r="D45" s="38" t="s">
        <v>1454</v>
      </c>
      <c r="E45" s="94" t="n">
        <v>10</v>
      </c>
      <c r="F45" s="96" t="n">
        <v>0.22742850037207</v>
      </c>
      <c r="G45" s="96" t="n">
        <v>0.22742850037207</v>
      </c>
      <c r="H45" s="96" t="n">
        <v>0.24190829770174</v>
      </c>
      <c r="I45" s="96" t="n">
        <v>0.256388095031411</v>
      </c>
      <c r="J45" s="96" t="n">
        <v>0.230208122470512</v>
      </c>
      <c r="K45" s="97" t="n">
        <v>1</v>
      </c>
      <c r="L45" s="98" t="n">
        <f aca="false">(Yield_Originals!$G45*Yield_Originals!L$1)/Yield_Originals!$K45</f>
        <v>0.272914200446484</v>
      </c>
      <c r="M45" s="98" t="n">
        <f aca="false">(Yield_Originals!$G45*Yield_Originals!M$1)/Yield_Originals!$K45</f>
        <v>0.281442769210437</v>
      </c>
      <c r="N45" s="98" t="n">
        <f aca="false">(Yield_Originals!$G45*Yield_Originals!N$1)/Yield_Originals!$K45</f>
        <v>0.289971337974389</v>
      </c>
      <c r="O45" s="98" t="n">
        <f aca="false">(Yield_Originals!$G45*Yield_Originals!O$1)/Yield_Originals!$K45</f>
        <v>0.298499906738342</v>
      </c>
      <c r="P45" s="99" t="n">
        <f aca="false">(Yield_Originals!$H45*Yield_Originals!P$1)/Yield_Originals!$K45</f>
        <v>0.326576201897349</v>
      </c>
      <c r="Q45" s="99" t="n">
        <f aca="false">(Yield_Originals!$H45*Yield_Originals!Q$1)/Yield_Originals!$K45</f>
        <v>0.335647763061164</v>
      </c>
      <c r="R45" s="99" t="n">
        <f aca="false">(Yield_Originals!$H45*Yield_Originals!R$1)/Yield_Originals!$K45</f>
        <v>0.34471932422498</v>
      </c>
      <c r="S45" s="99" t="n">
        <f aca="false">(Yield_Originals!$H45*Yield_Originals!S$1)/Yield_Originals!$K45</f>
        <v>0.353790885388795</v>
      </c>
      <c r="T45" s="101" t="n">
        <f aca="false">(Yield_Originals!$I45*Yield_Originals!T$1)/Yield_Originals!$K45</f>
        <v>0.384582142547117</v>
      </c>
      <c r="U45" s="101" t="n">
        <f aca="false">(Yield_Originals!$I45*Yield_Originals!U$1)/Yield_Originals!$K45</f>
        <v>0.394196696110794</v>
      </c>
      <c r="V45" s="101" t="n">
        <f aca="false">(Yield_Originals!$I45*Yield_Originals!V$1)/Yield_Originals!$K45</f>
        <v>0.403811249674472</v>
      </c>
      <c r="W45" s="101" t="n">
        <f aca="false">(Yield_Originals!$I45*Yield_Originals!W$1)/Yield_Originals!$K45</f>
        <v>0.41342580323815</v>
      </c>
      <c r="X45" s="102" t="n">
        <f aca="false">(Yield_Originals!$J45*Yield_Originals!X$1)/Yield_Originals!$K45</f>
        <v>0.379843402076345</v>
      </c>
      <c r="Y45" s="102" t="n">
        <f aca="false">(Yield_Originals!$J45*Yield_Originals!Y$1)/Yield_Originals!$K45</f>
        <v>0.388476206668989</v>
      </c>
      <c r="Z45" s="102" t="n">
        <f aca="false">(Yield_Originals!$J45*Yield_Originals!Z$1)/Yield_Originals!$K45</f>
        <v>0.397109011261633</v>
      </c>
      <c r="AA45" s="102" t="n">
        <f aca="false">(Yield_Originals!$J45*Yield_Originals!AA$1)/Yield_Originals!$K45</f>
        <v>0.405741815854277</v>
      </c>
      <c r="AB45" s="102" t="n">
        <f aca="false">(Yield_Originals!$J45*Yield_Originals!AB$1)/Yield_Originals!$K45</f>
        <v>0.414374620446921</v>
      </c>
      <c r="AC45" s="64"/>
    </row>
    <row r="46" s="93" customFormat="true" ht="15" hidden="false" customHeight="false" outlineLevel="0" collapsed="false">
      <c r="A46" s="64" t="s">
        <v>873</v>
      </c>
      <c r="B46" s="64" t="n">
        <v>2</v>
      </c>
      <c r="C46" s="38" t="s">
        <v>903</v>
      </c>
      <c r="D46" s="38" t="s">
        <v>1454</v>
      </c>
      <c r="E46" s="94" t="n">
        <v>17</v>
      </c>
      <c r="F46" s="96" t="n">
        <v>0.22742850037207</v>
      </c>
      <c r="G46" s="96" t="n">
        <v>0.22742850037207</v>
      </c>
      <c r="H46" s="96" t="n">
        <v>0.24190829770174</v>
      </c>
      <c r="I46" s="96" t="n">
        <v>0.256388095031411</v>
      </c>
      <c r="J46" s="96" t="n">
        <v>0.230208122470512</v>
      </c>
      <c r="K46" s="97" t="n">
        <v>1</v>
      </c>
      <c r="L46" s="98" t="n">
        <f aca="false">(Yield_Originals!$G46*Yield_Originals!L$1)/Yield_Originals!$K46</f>
        <v>0.272914200446484</v>
      </c>
      <c r="M46" s="98" t="n">
        <f aca="false">(Yield_Originals!$G46*Yield_Originals!M$1)/Yield_Originals!$K46</f>
        <v>0.281442769210437</v>
      </c>
      <c r="N46" s="98" t="n">
        <f aca="false">(Yield_Originals!$G46*Yield_Originals!N$1)/Yield_Originals!$K46</f>
        <v>0.289971337974389</v>
      </c>
      <c r="O46" s="98" t="n">
        <f aca="false">(Yield_Originals!$G46*Yield_Originals!O$1)/Yield_Originals!$K46</f>
        <v>0.298499906738342</v>
      </c>
      <c r="P46" s="99" t="n">
        <f aca="false">(Yield_Originals!$H46*Yield_Originals!P$1)/Yield_Originals!$K46</f>
        <v>0.326576201897349</v>
      </c>
      <c r="Q46" s="99" t="n">
        <f aca="false">(Yield_Originals!$H46*Yield_Originals!Q$1)/Yield_Originals!$K46</f>
        <v>0.335647763061164</v>
      </c>
      <c r="R46" s="99" t="n">
        <f aca="false">(Yield_Originals!$H46*Yield_Originals!R$1)/Yield_Originals!$K46</f>
        <v>0.34471932422498</v>
      </c>
      <c r="S46" s="99" t="n">
        <f aca="false">(Yield_Originals!$H46*Yield_Originals!S$1)/Yield_Originals!$K46</f>
        <v>0.353790885388795</v>
      </c>
      <c r="T46" s="101" t="n">
        <f aca="false">(Yield_Originals!$I46*Yield_Originals!T$1)/Yield_Originals!$K46</f>
        <v>0.384582142547117</v>
      </c>
      <c r="U46" s="101" t="n">
        <f aca="false">(Yield_Originals!$I46*Yield_Originals!U$1)/Yield_Originals!$K46</f>
        <v>0.394196696110794</v>
      </c>
      <c r="V46" s="101" t="n">
        <f aca="false">(Yield_Originals!$I46*Yield_Originals!V$1)/Yield_Originals!$K46</f>
        <v>0.403811249674472</v>
      </c>
      <c r="W46" s="101" t="n">
        <f aca="false">(Yield_Originals!$I46*Yield_Originals!W$1)/Yield_Originals!$K46</f>
        <v>0.41342580323815</v>
      </c>
      <c r="X46" s="102" t="n">
        <f aca="false">(Yield_Originals!$J46*Yield_Originals!X$1)/Yield_Originals!$K46</f>
        <v>0.379843402076345</v>
      </c>
      <c r="Y46" s="102" t="n">
        <f aca="false">(Yield_Originals!$J46*Yield_Originals!Y$1)/Yield_Originals!$K46</f>
        <v>0.388476206668989</v>
      </c>
      <c r="Z46" s="102" t="n">
        <f aca="false">(Yield_Originals!$J46*Yield_Originals!Z$1)/Yield_Originals!$K46</f>
        <v>0.397109011261633</v>
      </c>
      <c r="AA46" s="102" t="n">
        <f aca="false">(Yield_Originals!$J46*Yield_Originals!AA$1)/Yield_Originals!$K46</f>
        <v>0.405741815854277</v>
      </c>
      <c r="AB46" s="102" t="n">
        <f aca="false">(Yield_Originals!$J46*Yield_Originals!AB$1)/Yield_Originals!$K46</f>
        <v>0.414374620446921</v>
      </c>
      <c r="AC46" s="64"/>
    </row>
    <row r="47" s="93" customFormat="true" ht="15" hidden="false" customHeight="false" outlineLevel="0" collapsed="false">
      <c r="A47" s="64" t="s">
        <v>873</v>
      </c>
      <c r="B47" s="64" t="n">
        <v>2</v>
      </c>
      <c r="C47" s="38" t="s">
        <v>121</v>
      </c>
      <c r="D47" s="38" t="s">
        <v>1455</v>
      </c>
      <c r="E47" s="94" t="n">
        <v>10</v>
      </c>
      <c r="F47" s="96" t="n">
        <v>0.22742850037207</v>
      </c>
      <c r="G47" s="96" t="n">
        <v>0.22742850037207</v>
      </c>
      <c r="H47" s="96" t="n">
        <v>0.24190829770174</v>
      </c>
      <c r="I47" s="96" t="n">
        <v>0.256388095031411</v>
      </c>
      <c r="J47" s="96" t="n">
        <v>0.230208122470512</v>
      </c>
      <c r="K47" s="97" t="n">
        <v>1</v>
      </c>
      <c r="L47" s="98" t="n">
        <f aca="false">(Yield_Originals!$G47*Yield_Originals!L$1)/Yield_Originals!$K47</f>
        <v>0.272914200446484</v>
      </c>
      <c r="M47" s="98" t="n">
        <f aca="false">(Yield_Originals!$G47*Yield_Originals!M$1)/Yield_Originals!$K47</f>
        <v>0.281442769210437</v>
      </c>
      <c r="N47" s="98" t="n">
        <f aca="false">(Yield_Originals!$G47*Yield_Originals!N$1)/Yield_Originals!$K47</f>
        <v>0.289971337974389</v>
      </c>
      <c r="O47" s="98" t="n">
        <f aca="false">(Yield_Originals!$G47*Yield_Originals!O$1)/Yield_Originals!$K47</f>
        <v>0.298499906738342</v>
      </c>
      <c r="P47" s="99" t="n">
        <f aca="false">(Yield_Originals!$H47*Yield_Originals!P$1)/Yield_Originals!$K47</f>
        <v>0.326576201897349</v>
      </c>
      <c r="Q47" s="99" t="n">
        <f aca="false">(Yield_Originals!$H47*Yield_Originals!Q$1)/Yield_Originals!$K47</f>
        <v>0.335647763061164</v>
      </c>
      <c r="R47" s="99" t="n">
        <f aca="false">(Yield_Originals!$H47*Yield_Originals!R$1)/Yield_Originals!$K47</f>
        <v>0.34471932422498</v>
      </c>
      <c r="S47" s="99" t="n">
        <f aca="false">(Yield_Originals!$H47*Yield_Originals!S$1)/Yield_Originals!$K47</f>
        <v>0.353790885388795</v>
      </c>
      <c r="T47" s="101" t="n">
        <f aca="false">(Yield_Originals!$I47*Yield_Originals!T$1)/Yield_Originals!$K47</f>
        <v>0.384582142547117</v>
      </c>
      <c r="U47" s="101" t="n">
        <f aca="false">(Yield_Originals!$I47*Yield_Originals!U$1)/Yield_Originals!$K47</f>
        <v>0.394196696110794</v>
      </c>
      <c r="V47" s="101" t="n">
        <f aca="false">(Yield_Originals!$I47*Yield_Originals!V$1)/Yield_Originals!$K47</f>
        <v>0.403811249674472</v>
      </c>
      <c r="W47" s="101" t="n">
        <f aca="false">(Yield_Originals!$I47*Yield_Originals!W$1)/Yield_Originals!$K47</f>
        <v>0.41342580323815</v>
      </c>
      <c r="X47" s="102" t="n">
        <f aca="false">(Yield_Originals!$J47*Yield_Originals!X$1)/Yield_Originals!$K47</f>
        <v>0.379843402076345</v>
      </c>
      <c r="Y47" s="102" t="n">
        <f aca="false">(Yield_Originals!$J47*Yield_Originals!Y$1)/Yield_Originals!$K47</f>
        <v>0.388476206668989</v>
      </c>
      <c r="Z47" s="102" t="n">
        <f aca="false">(Yield_Originals!$J47*Yield_Originals!Z$1)/Yield_Originals!$K47</f>
        <v>0.397109011261633</v>
      </c>
      <c r="AA47" s="102" t="n">
        <f aca="false">(Yield_Originals!$J47*Yield_Originals!AA$1)/Yield_Originals!$K47</f>
        <v>0.405741815854277</v>
      </c>
      <c r="AB47" s="102" t="n">
        <f aca="false">(Yield_Originals!$J47*Yield_Originals!AB$1)/Yield_Originals!$K47</f>
        <v>0.414374620446921</v>
      </c>
      <c r="AC47" s="64"/>
    </row>
    <row r="48" s="93" customFormat="true" ht="15" hidden="false" customHeight="false" outlineLevel="0" collapsed="false">
      <c r="A48" s="64" t="s">
        <v>873</v>
      </c>
      <c r="B48" s="64" t="n">
        <v>2</v>
      </c>
      <c r="C48" s="38" t="s">
        <v>121</v>
      </c>
      <c r="D48" s="38" t="s">
        <v>1455</v>
      </c>
      <c r="E48" s="94" t="n">
        <v>17</v>
      </c>
      <c r="F48" s="96" t="n">
        <v>0.22742850037207</v>
      </c>
      <c r="G48" s="96" t="n">
        <v>0.22742850037207</v>
      </c>
      <c r="H48" s="96" t="n">
        <v>0.24190829770174</v>
      </c>
      <c r="I48" s="96" t="n">
        <v>0.256388095031411</v>
      </c>
      <c r="J48" s="96" t="n">
        <v>0.230208122470512</v>
      </c>
      <c r="K48" s="97" t="n">
        <v>1</v>
      </c>
      <c r="L48" s="98" t="n">
        <f aca="false">(Yield_Originals!$G48*Yield_Originals!L$1)/Yield_Originals!$K48</f>
        <v>0.272914200446484</v>
      </c>
      <c r="M48" s="98" t="n">
        <f aca="false">(Yield_Originals!$G48*Yield_Originals!M$1)/Yield_Originals!$K48</f>
        <v>0.281442769210437</v>
      </c>
      <c r="N48" s="98" t="n">
        <f aca="false">(Yield_Originals!$G48*Yield_Originals!N$1)/Yield_Originals!$K48</f>
        <v>0.289971337974389</v>
      </c>
      <c r="O48" s="98" t="n">
        <f aca="false">(Yield_Originals!$G48*Yield_Originals!O$1)/Yield_Originals!$K48</f>
        <v>0.298499906738342</v>
      </c>
      <c r="P48" s="99" t="n">
        <f aca="false">(Yield_Originals!$H48*Yield_Originals!P$1)/Yield_Originals!$K48</f>
        <v>0.326576201897349</v>
      </c>
      <c r="Q48" s="99" t="n">
        <f aca="false">(Yield_Originals!$H48*Yield_Originals!Q$1)/Yield_Originals!$K48</f>
        <v>0.335647763061164</v>
      </c>
      <c r="R48" s="99" t="n">
        <f aca="false">(Yield_Originals!$H48*Yield_Originals!R$1)/Yield_Originals!$K48</f>
        <v>0.34471932422498</v>
      </c>
      <c r="S48" s="99" t="n">
        <f aca="false">(Yield_Originals!$H48*Yield_Originals!S$1)/Yield_Originals!$K48</f>
        <v>0.353790885388795</v>
      </c>
      <c r="T48" s="101" t="n">
        <f aca="false">(Yield_Originals!$I48*Yield_Originals!T$1)/Yield_Originals!$K48</f>
        <v>0.384582142547117</v>
      </c>
      <c r="U48" s="101" t="n">
        <f aca="false">(Yield_Originals!$I48*Yield_Originals!U$1)/Yield_Originals!$K48</f>
        <v>0.394196696110794</v>
      </c>
      <c r="V48" s="101" t="n">
        <f aca="false">(Yield_Originals!$I48*Yield_Originals!V$1)/Yield_Originals!$K48</f>
        <v>0.403811249674472</v>
      </c>
      <c r="W48" s="101" t="n">
        <f aca="false">(Yield_Originals!$I48*Yield_Originals!W$1)/Yield_Originals!$K48</f>
        <v>0.41342580323815</v>
      </c>
      <c r="X48" s="102" t="n">
        <f aca="false">(Yield_Originals!$J48*Yield_Originals!X$1)/Yield_Originals!$K48</f>
        <v>0.379843402076345</v>
      </c>
      <c r="Y48" s="102" t="n">
        <f aca="false">(Yield_Originals!$J48*Yield_Originals!Y$1)/Yield_Originals!$K48</f>
        <v>0.388476206668989</v>
      </c>
      <c r="Z48" s="102" t="n">
        <f aca="false">(Yield_Originals!$J48*Yield_Originals!Z$1)/Yield_Originals!$K48</f>
        <v>0.397109011261633</v>
      </c>
      <c r="AA48" s="102" t="n">
        <f aca="false">(Yield_Originals!$J48*Yield_Originals!AA$1)/Yield_Originals!$K48</f>
        <v>0.405741815854277</v>
      </c>
      <c r="AB48" s="102" t="n">
        <f aca="false">(Yield_Originals!$J48*Yield_Originals!AB$1)/Yield_Originals!$K48</f>
        <v>0.414374620446921</v>
      </c>
      <c r="AC48" s="64"/>
    </row>
    <row r="49" s="93" customFormat="true" ht="15" hidden="false" customHeight="false" outlineLevel="0" collapsed="false">
      <c r="A49" s="64" t="s">
        <v>873</v>
      </c>
      <c r="B49" s="64" t="n">
        <v>2</v>
      </c>
      <c r="C49" s="38" t="s">
        <v>231</v>
      </c>
      <c r="D49" s="38" t="s">
        <v>1455</v>
      </c>
      <c r="E49" s="94" t="n">
        <v>10</v>
      </c>
      <c r="F49" s="96" t="n">
        <v>0.22742850037207</v>
      </c>
      <c r="G49" s="96" t="n">
        <v>0.22742850037207</v>
      </c>
      <c r="H49" s="96" t="n">
        <v>0.24190829770174</v>
      </c>
      <c r="I49" s="96" t="n">
        <v>0.256388095031411</v>
      </c>
      <c r="J49" s="96" t="n">
        <v>0.230208122470512</v>
      </c>
      <c r="K49" s="97" t="n">
        <v>1</v>
      </c>
      <c r="L49" s="98" t="n">
        <f aca="false">(Yield_Originals!$G49*Yield_Originals!L$1)/Yield_Originals!$K49</f>
        <v>0.272914200446484</v>
      </c>
      <c r="M49" s="98" t="n">
        <f aca="false">(Yield_Originals!$G49*Yield_Originals!M$1)/Yield_Originals!$K49</f>
        <v>0.281442769210437</v>
      </c>
      <c r="N49" s="98" t="n">
        <f aca="false">(Yield_Originals!$G49*Yield_Originals!N$1)/Yield_Originals!$K49</f>
        <v>0.289971337974389</v>
      </c>
      <c r="O49" s="98" t="n">
        <f aca="false">(Yield_Originals!$G49*Yield_Originals!O$1)/Yield_Originals!$K49</f>
        <v>0.298499906738342</v>
      </c>
      <c r="P49" s="99" t="n">
        <f aca="false">(Yield_Originals!$H49*Yield_Originals!P$1)/Yield_Originals!$K49</f>
        <v>0.326576201897349</v>
      </c>
      <c r="Q49" s="99" t="n">
        <f aca="false">(Yield_Originals!$H49*Yield_Originals!Q$1)/Yield_Originals!$K49</f>
        <v>0.335647763061164</v>
      </c>
      <c r="R49" s="99" t="n">
        <f aca="false">(Yield_Originals!$H49*Yield_Originals!R$1)/Yield_Originals!$K49</f>
        <v>0.34471932422498</v>
      </c>
      <c r="S49" s="99" t="n">
        <f aca="false">(Yield_Originals!$H49*Yield_Originals!S$1)/Yield_Originals!$K49</f>
        <v>0.353790885388795</v>
      </c>
      <c r="T49" s="101" t="n">
        <f aca="false">(Yield_Originals!$I49*Yield_Originals!T$1)/Yield_Originals!$K49</f>
        <v>0.384582142547117</v>
      </c>
      <c r="U49" s="101" t="n">
        <f aca="false">(Yield_Originals!$I49*Yield_Originals!U$1)/Yield_Originals!$K49</f>
        <v>0.394196696110794</v>
      </c>
      <c r="V49" s="101" t="n">
        <f aca="false">(Yield_Originals!$I49*Yield_Originals!V$1)/Yield_Originals!$K49</f>
        <v>0.403811249674472</v>
      </c>
      <c r="W49" s="101" t="n">
        <f aca="false">(Yield_Originals!$I49*Yield_Originals!W$1)/Yield_Originals!$K49</f>
        <v>0.41342580323815</v>
      </c>
      <c r="X49" s="102" t="n">
        <f aca="false">(Yield_Originals!$J49*Yield_Originals!X$1)/Yield_Originals!$K49</f>
        <v>0.379843402076345</v>
      </c>
      <c r="Y49" s="102" t="n">
        <f aca="false">(Yield_Originals!$J49*Yield_Originals!Y$1)/Yield_Originals!$K49</f>
        <v>0.388476206668989</v>
      </c>
      <c r="Z49" s="102" t="n">
        <f aca="false">(Yield_Originals!$J49*Yield_Originals!Z$1)/Yield_Originals!$K49</f>
        <v>0.397109011261633</v>
      </c>
      <c r="AA49" s="102" t="n">
        <f aca="false">(Yield_Originals!$J49*Yield_Originals!AA$1)/Yield_Originals!$K49</f>
        <v>0.405741815854277</v>
      </c>
      <c r="AB49" s="102" t="n">
        <f aca="false">(Yield_Originals!$J49*Yield_Originals!AB$1)/Yield_Originals!$K49</f>
        <v>0.414374620446921</v>
      </c>
      <c r="AC49" s="64"/>
    </row>
    <row r="50" s="93" customFormat="true" ht="15" hidden="false" customHeight="false" outlineLevel="0" collapsed="false">
      <c r="A50" s="64" t="s">
        <v>873</v>
      </c>
      <c r="B50" s="64" t="n">
        <v>2</v>
      </c>
      <c r="C50" s="38" t="s">
        <v>231</v>
      </c>
      <c r="D50" s="38" t="s">
        <v>1455</v>
      </c>
      <c r="E50" s="94" t="n">
        <v>17</v>
      </c>
      <c r="F50" s="96" t="n">
        <v>0.22742850037207</v>
      </c>
      <c r="G50" s="96" t="n">
        <v>0.22742850037207</v>
      </c>
      <c r="H50" s="96" t="n">
        <v>0.24190829770174</v>
      </c>
      <c r="I50" s="96" t="n">
        <v>0.256388095031411</v>
      </c>
      <c r="J50" s="96" t="n">
        <v>0.230208122470512</v>
      </c>
      <c r="K50" s="97" t="n">
        <v>1</v>
      </c>
      <c r="L50" s="98" t="n">
        <f aca="false">(Yield_Originals!$G50*Yield_Originals!L$1)/Yield_Originals!$K50</f>
        <v>0.272914200446484</v>
      </c>
      <c r="M50" s="98" t="n">
        <f aca="false">(Yield_Originals!$G50*Yield_Originals!M$1)/Yield_Originals!$K50</f>
        <v>0.281442769210437</v>
      </c>
      <c r="N50" s="98" t="n">
        <f aca="false">(Yield_Originals!$G50*Yield_Originals!N$1)/Yield_Originals!$K50</f>
        <v>0.289971337974389</v>
      </c>
      <c r="O50" s="98" t="n">
        <f aca="false">(Yield_Originals!$G50*Yield_Originals!O$1)/Yield_Originals!$K50</f>
        <v>0.298499906738342</v>
      </c>
      <c r="P50" s="99" t="n">
        <f aca="false">(Yield_Originals!$H50*Yield_Originals!P$1)/Yield_Originals!$K50</f>
        <v>0.326576201897349</v>
      </c>
      <c r="Q50" s="99" t="n">
        <f aca="false">(Yield_Originals!$H50*Yield_Originals!Q$1)/Yield_Originals!$K50</f>
        <v>0.335647763061164</v>
      </c>
      <c r="R50" s="99" t="n">
        <f aca="false">(Yield_Originals!$H50*Yield_Originals!R$1)/Yield_Originals!$K50</f>
        <v>0.34471932422498</v>
      </c>
      <c r="S50" s="99" t="n">
        <f aca="false">(Yield_Originals!$H50*Yield_Originals!S$1)/Yield_Originals!$K50</f>
        <v>0.353790885388795</v>
      </c>
      <c r="T50" s="101" t="n">
        <f aca="false">(Yield_Originals!$I50*Yield_Originals!T$1)/Yield_Originals!$K50</f>
        <v>0.384582142547117</v>
      </c>
      <c r="U50" s="101" t="n">
        <f aca="false">(Yield_Originals!$I50*Yield_Originals!U$1)/Yield_Originals!$K50</f>
        <v>0.394196696110794</v>
      </c>
      <c r="V50" s="101" t="n">
        <f aca="false">(Yield_Originals!$I50*Yield_Originals!V$1)/Yield_Originals!$K50</f>
        <v>0.403811249674472</v>
      </c>
      <c r="W50" s="101" t="n">
        <f aca="false">(Yield_Originals!$I50*Yield_Originals!W$1)/Yield_Originals!$K50</f>
        <v>0.41342580323815</v>
      </c>
      <c r="X50" s="102" t="n">
        <f aca="false">(Yield_Originals!$J50*Yield_Originals!X$1)/Yield_Originals!$K50</f>
        <v>0.379843402076345</v>
      </c>
      <c r="Y50" s="102" t="n">
        <f aca="false">(Yield_Originals!$J50*Yield_Originals!Y$1)/Yield_Originals!$K50</f>
        <v>0.388476206668989</v>
      </c>
      <c r="Z50" s="102" t="n">
        <f aca="false">(Yield_Originals!$J50*Yield_Originals!Z$1)/Yield_Originals!$K50</f>
        <v>0.397109011261633</v>
      </c>
      <c r="AA50" s="102" t="n">
        <f aca="false">(Yield_Originals!$J50*Yield_Originals!AA$1)/Yield_Originals!$K50</f>
        <v>0.405741815854277</v>
      </c>
      <c r="AB50" s="102" t="n">
        <f aca="false">(Yield_Originals!$J50*Yield_Originals!AB$1)/Yield_Originals!$K50</f>
        <v>0.414374620446921</v>
      </c>
      <c r="AC50" s="64"/>
    </row>
    <row r="51" s="93" customFormat="true" ht="15" hidden="false" customHeight="false" outlineLevel="0" collapsed="false">
      <c r="A51" s="64" t="s">
        <v>873</v>
      </c>
      <c r="B51" s="64" t="n">
        <v>2</v>
      </c>
      <c r="C51" s="38" t="s">
        <v>910</v>
      </c>
      <c r="D51" s="38" t="s">
        <v>1456</v>
      </c>
      <c r="E51" s="94" t="n">
        <v>10</v>
      </c>
      <c r="F51" s="96" t="n">
        <v>0.22742850037207</v>
      </c>
      <c r="G51" s="96" t="n">
        <v>0.22742850037207</v>
      </c>
      <c r="H51" s="96" t="n">
        <v>0.24190829770174</v>
      </c>
      <c r="I51" s="96" t="n">
        <v>0.256388095031411</v>
      </c>
      <c r="J51" s="96" t="n">
        <v>0.230208122470512</v>
      </c>
      <c r="K51" s="97" t="n">
        <v>1</v>
      </c>
      <c r="L51" s="98" t="n">
        <f aca="false">(Yield_Originals!$G51*Yield_Originals!L$1)/Yield_Originals!$K51</f>
        <v>0.272914200446484</v>
      </c>
      <c r="M51" s="98" t="n">
        <f aca="false">(Yield_Originals!$G51*Yield_Originals!M$1)/Yield_Originals!$K51</f>
        <v>0.281442769210437</v>
      </c>
      <c r="N51" s="98" t="n">
        <f aca="false">(Yield_Originals!$G51*Yield_Originals!N$1)/Yield_Originals!$K51</f>
        <v>0.289971337974389</v>
      </c>
      <c r="O51" s="98" t="n">
        <f aca="false">(Yield_Originals!$G51*Yield_Originals!O$1)/Yield_Originals!$K51</f>
        <v>0.298499906738342</v>
      </c>
      <c r="P51" s="99" t="n">
        <f aca="false">(Yield_Originals!$H51*Yield_Originals!P$1)/Yield_Originals!$K51</f>
        <v>0.326576201897349</v>
      </c>
      <c r="Q51" s="99" t="n">
        <f aca="false">(Yield_Originals!$H51*Yield_Originals!Q$1)/Yield_Originals!$K51</f>
        <v>0.335647763061164</v>
      </c>
      <c r="R51" s="99" t="n">
        <f aca="false">(Yield_Originals!$H51*Yield_Originals!R$1)/Yield_Originals!$K51</f>
        <v>0.34471932422498</v>
      </c>
      <c r="S51" s="99" t="n">
        <f aca="false">(Yield_Originals!$H51*Yield_Originals!S$1)/Yield_Originals!$K51</f>
        <v>0.353790885388795</v>
      </c>
      <c r="T51" s="101" t="n">
        <f aca="false">(Yield_Originals!$I51*Yield_Originals!T$1)/Yield_Originals!$K51</f>
        <v>0.384582142547117</v>
      </c>
      <c r="U51" s="101" t="n">
        <f aca="false">(Yield_Originals!$I51*Yield_Originals!U$1)/Yield_Originals!$K51</f>
        <v>0.394196696110794</v>
      </c>
      <c r="V51" s="101" t="n">
        <f aca="false">(Yield_Originals!$I51*Yield_Originals!V$1)/Yield_Originals!$K51</f>
        <v>0.403811249674472</v>
      </c>
      <c r="W51" s="101" t="n">
        <f aca="false">(Yield_Originals!$I51*Yield_Originals!W$1)/Yield_Originals!$K51</f>
        <v>0.41342580323815</v>
      </c>
      <c r="X51" s="102" t="n">
        <f aca="false">(Yield_Originals!$J51*Yield_Originals!X$1)/Yield_Originals!$K51</f>
        <v>0.379843402076345</v>
      </c>
      <c r="Y51" s="102" t="n">
        <f aca="false">(Yield_Originals!$J51*Yield_Originals!Y$1)/Yield_Originals!$K51</f>
        <v>0.388476206668989</v>
      </c>
      <c r="Z51" s="102" t="n">
        <f aca="false">(Yield_Originals!$J51*Yield_Originals!Z$1)/Yield_Originals!$K51</f>
        <v>0.397109011261633</v>
      </c>
      <c r="AA51" s="102" t="n">
        <f aca="false">(Yield_Originals!$J51*Yield_Originals!AA$1)/Yield_Originals!$K51</f>
        <v>0.405741815854277</v>
      </c>
      <c r="AB51" s="102" t="n">
        <f aca="false">(Yield_Originals!$J51*Yield_Originals!AB$1)/Yield_Originals!$K51</f>
        <v>0.414374620446921</v>
      </c>
      <c r="AC51" s="64"/>
    </row>
    <row r="52" s="93" customFormat="true" ht="15" hidden="false" customHeight="false" outlineLevel="0" collapsed="false">
      <c r="A52" s="64" t="s">
        <v>873</v>
      </c>
      <c r="B52" s="64" t="n">
        <v>2</v>
      </c>
      <c r="C52" s="38" t="s">
        <v>910</v>
      </c>
      <c r="D52" s="38" t="s">
        <v>1456</v>
      </c>
      <c r="E52" s="94" t="n">
        <v>17</v>
      </c>
      <c r="F52" s="96" t="n">
        <v>0.22742850037207</v>
      </c>
      <c r="G52" s="96" t="n">
        <v>0.22742850037207</v>
      </c>
      <c r="H52" s="96" t="n">
        <v>0.24190829770174</v>
      </c>
      <c r="I52" s="96" t="n">
        <v>0.256388095031411</v>
      </c>
      <c r="J52" s="96" t="n">
        <v>0.230208122470512</v>
      </c>
      <c r="K52" s="97" t="n">
        <v>1</v>
      </c>
      <c r="L52" s="98" t="n">
        <f aca="false">(Yield_Originals!$G52*Yield_Originals!L$1)/Yield_Originals!$K52</f>
        <v>0.272914200446484</v>
      </c>
      <c r="M52" s="98" t="n">
        <f aca="false">(Yield_Originals!$G52*Yield_Originals!M$1)/Yield_Originals!$K52</f>
        <v>0.281442769210437</v>
      </c>
      <c r="N52" s="98" t="n">
        <f aca="false">(Yield_Originals!$G52*Yield_Originals!N$1)/Yield_Originals!$K52</f>
        <v>0.289971337974389</v>
      </c>
      <c r="O52" s="98" t="n">
        <f aca="false">(Yield_Originals!$G52*Yield_Originals!O$1)/Yield_Originals!$K52</f>
        <v>0.298499906738342</v>
      </c>
      <c r="P52" s="99" t="n">
        <f aca="false">(Yield_Originals!$H52*Yield_Originals!P$1)/Yield_Originals!$K52</f>
        <v>0.326576201897349</v>
      </c>
      <c r="Q52" s="99" t="n">
        <f aca="false">(Yield_Originals!$H52*Yield_Originals!Q$1)/Yield_Originals!$K52</f>
        <v>0.335647763061164</v>
      </c>
      <c r="R52" s="99" t="n">
        <f aca="false">(Yield_Originals!$H52*Yield_Originals!R$1)/Yield_Originals!$K52</f>
        <v>0.34471932422498</v>
      </c>
      <c r="S52" s="99" t="n">
        <f aca="false">(Yield_Originals!$H52*Yield_Originals!S$1)/Yield_Originals!$K52</f>
        <v>0.353790885388795</v>
      </c>
      <c r="T52" s="101" t="n">
        <f aca="false">(Yield_Originals!$I52*Yield_Originals!T$1)/Yield_Originals!$K52</f>
        <v>0.384582142547117</v>
      </c>
      <c r="U52" s="101" t="n">
        <f aca="false">(Yield_Originals!$I52*Yield_Originals!U$1)/Yield_Originals!$K52</f>
        <v>0.394196696110794</v>
      </c>
      <c r="V52" s="101" t="n">
        <f aca="false">(Yield_Originals!$I52*Yield_Originals!V$1)/Yield_Originals!$K52</f>
        <v>0.403811249674472</v>
      </c>
      <c r="W52" s="101" t="n">
        <f aca="false">(Yield_Originals!$I52*Yield_Originals!W$1)/Yield_Originals!$K52</f>
        <v>0.41342580323815</v>
      </c>
      <c r="X52" s="102" t="n">
        <f aca="false">(Yield_Originals!$J52*Yield_Originals!X$1)/Yield_Originals!$K52</f>
        <v>0.379843402076345</v>
      </c>
      <c r="Y52" s="102" t="n">
        <f aca="false">(Yield_Originals!$J52*Yield_Originals!Y$1)/Yield_Originals!$K52</f>
        <v>0.388476206668989</v>
      </c>
      <c r="Z52" s="102" t="n">
        <f aca="false">(Yield_Originals!$J52*Yield_Originals!Z$1)/Yield_Originals!$K52</f>
        <v>0.397109011261633</v>
      </c>
      <c r="AA52" s="102" t="n">
        <f aca="false">(Yield_Originals!$J52*Yield_Originals!AA$1)/Yield_Originals!$K52</f>
        <v>0.405741815854277</v>
      </c>
      <c r="AB52" s="102" t="n">
        <f aca="false">(Yield_Originals!$J52*Yield_Originals!AB$1)/Yield_Originals!$K52</f>
        <v>0.414374620446921</v>
      </c>
      <c r="AC52" s="64"/>
    </row>
    <row r="53" s="93" customFormat="true" ht="15" hidden="false" customHeight="false" outlineLevel="0" collapsed="false">
      <c r="A53" s="64" t="s">
        <v>873</v>
      </c>
      <c r="B53" s="64" t="n">
        <v>2</v>
      </c>
      <c r="C53" s="93" t="s">
        <v>913</v>
      </c>
      <c r="D53" s="93" t="s">
        <v>897</v>
      </c>
      <c r="E53" s="94" t="n">
        <v>10</v>
      </c>
      <c r="F53" s="96" t="n">
        <v>0.22742850037207</v>
      </c>
      <c r="G53" s="96" t="n">
        <v>0.22742850037207</v>
      </c>
      <c r="H53" s="96" t="n">
        <v>0.24190829770174</v>
      </c>
      <c r="I53" s="96" t="n">
        <v>0.256388095031411</v>
      </c>
      <c r="J53" s="96" t="n">
        <v>0.230208122470512</v>
      </c>
      <c r="K53" s="97" t="n">
        <v>1</v>
      </c>
      <c r="L53" s="98" t="n">
        <f aca="false">(Yield_Originals!$G53*Yield_Originals!L$1)/Yield_Originals!$K53</f>
        <v>0.272914200446484</v>
      </c>
      <c r="M53" s="98" t="n">
        <f aca="false">(Yield_Originals!$G53*Yield_Originals!M$1)/Yield_Originals!$K53</f>
        <v>0.281442769210437</v>
      </c>
      <c r="N53" s="98" t="n">
        <f aca="false">(Yield_Originals!$G53*Yield_Originals!N$1)/Yield_Originals!$K53</f>
        <v>0.289971337974389</v>
      </c>
      <c r="O53" s="98" t="n">
        <f aca="false">(Yield_Originals!$G53*Yield_Originals!O$1)/Yield_Originals!$K53</f>
        <v>0.298499906738342</v>
      </c>
      <c r="P53" s="99" t="n">
        <f aca="false">(Yield_Originals!$H53*Yield_Originals!P$1)/Yield_Originals!$K53</f>
        <v>0.326576201897349</v>
      </c>
      <c r="Q53" s="99" t="n">
        <f aca="false">(Yield_Originals!$H53*Yield_Originals!Q$1)/Yield_Originals!$K53</f>
        <v>0.335647763061164</v>
      </c>
      <c r="R53" s="99" t="n">
        <f aca="false">(Yield_Originals!$H53*Yield_Originals!R$1)/Yield_Originals!$K53</f>
        <v>0.34471932422498</v>
      </c>
      <c r="S53" s="99" t="n">
        <f aca="false">(Yield_Originals!$H53*Yield_Originals!S$1)/Yield_Originals!$K53</f>
        <v>0.353790885388795</v>
      </c>
      <c r="T53" s="101" t="n">
        <f aca="false">(Yield_Originals!$I53*Yield_Originals!T$1)/Yield_Originals!$K53</f>
        <v>0.384582142547117</v>
      </c>
      <c r="U53" s="101" t="n">
        <f aca="false">(Yield_Originals!$I53*Yield_Originals!U$1)/Yield_Originals!$K53</f>
        <v>0.394196696110794</v>
      </c>
      <c r="V53" s="101" t="n">
        <f aca="false">(Yield_Originals!$I53*Yield_Originals!V$1)/Yield_Originals!$K53</f>
        <v>0.403811249674472</v>
      </c>
      <c r="W53" s="101" t="n">
        <f aca="false">(Yield_Originals!$I53*Yield_Originals!W$1)/Yield_Originals!$K53</f>
        <v>0.41342580323815</v>
      </c>
      <c r="X53" s="102" t="n">
        <f aca="false">(Yield_Originals!$J53*Yield_Originals!X$1)/Yield_Originals!$K53</f>
        <v>0.379843402076345</v>
      </c>
      <c r="Y53" s="102" t="n">
        <f aca="false">(Yield_Originals!$J53*Yield_Originals!Y$1)/Yield_Originals!$K53</f>
        <v>0.388476206668989</v>
      </c>
      <c r="Z53" s="102" t="n">
        <f aca="false">(Yield_Originals!$J53*Yield_Originals!Z$1)/Yield_Originals!$K53</f>
        <v>0.397109011261633</v>
      </c>
      <c r="AA53" s="102" t="n">
        <f aca="false">(Yield_Originals!$J53*Yield_Originals!AA$1)/Yield_Originals!$K53</f>
        <v>0.405741815854277</v>
      </c>
      <c r="AB53" s="102" t="n">
        <f aca="false">(Yield_Originals!$J53*Yield_Originals!AB$1)/Yield_Originals!$K53</f>
        <v>0.414374620446921</v>
      </c>
      <c r="AC53" s="64"/>
    </row>
    <row r="54" s="93" customFormat="true" ht="15" hidden="false" customHeight="false" outlineLevel="0" collapsed="false">
      <c r="A54" s="64" t="s">
        <v>873</v>
      </c>
      <c r="B54" s="64" t="n">
        <v>2</v>
      </c>
      <c r="C54" s="38" t="s">
        <v>913</v>
      </c>
      <c r="D54" s="38" t="s">
        <v>897</v>
      </c>
      <c r="E54" s="94" t="n">
        <v>17</v>
      </c>
      <c r="F54" s="96" t="n">
        <v>0.22742850037207</v>
      </c>
      <c r="G54" s="96" t="n">
        <v>0.22742850037207</v>
      </c>
      <c r="H54" s="96" t="n">
        <v>0.24190829770174</v>
      </c>
      <c r="I54" s="96" t="n">
        <v>0.256388095031411</v>
      </c>
      <c r="J54" s="96" t="n">
        <v>0.230208122470512</v>
      </c>
      <c r="K54" s="97" t="n">
        <v>1</v>
      </c>
      <c r="L54" s="98" t="n">
        <f aca="false">(Yield_Originals!$G54*Yield_Originals!L$1)/Yield_Originals!$K54</f>
        <v>0.272914200446484</v>
      </c>
      <c r="M54" s="98" t="n">
        <f aca="false">(Yield_Originals!$G54*Yield_Originals!M$1)/Yield_Originals!$K54</f>
        <v>0.281442769210437</v>
      </c>
      <c r="N54" s="98" t="n">
        <f aca="false">(Yield_Originals!$G54*Yield_Originals!N$1)/Yield_Originals!$K54</f>
        <v>0.289971337974389</v>
      </c>
      <c r="O54" s="98" t="n">
        <f aca="false">(Yield_Originals!$G54*Yield_Originals!O$1)/Yield_Originals!$K54</f>
        <v>0.298499906738342</v>
      </c>
      <c r="P54" s="99" t="n">
        <f aca="false">(Yield_Originals!$H54*Yield_Originals!P$1)/Yield_Originals!$K54</f>
        <v>0.326576201897349</v>
      </c>
      <c r="Q54" s="99" t="n">
        <f aca="false">(Yield_Originals!$H54*Yield_Originals!Q$1)/Yield_Originals!$K54</f>
        <v>0.335647763061164</v>
      </c>
      <c r="R54" s="99" t="n">
        <f aca="false">(Yield_Originals!$H54*Yield_Originals!R$1)/Yield_Originals!$K54</f>
        <v>0.34471932422498</v>
      </c>
      <c r="S54" s="99" t="n">
        <f aca="false">(Yield_Originals!$H54*Yield_Originals!S$1)/Yield_Originals!$K54</f>
        <v>0.353790885388795</v>
      </c>
      <c r="T54" s="101" t="n">
        <f aca="false">(Yield_Originals!$I54*Yield_Originals!T$1)/Yield_Originals!$K54</f>
        <v>0.384582142547117</v>
      </c>
      <c r="U54" s="101" t="n">
        <f aca="false">(Yield_Originals!$I54*Yield_Originals!U$1)/Yield_Originals!$K54</f>
        <v>0.394196696110794</v>
      </c>
      <c r="V54" s="101" t="n">
        <f aca="false">(Yield_Originals!$I54*Yield_Originals!V$1)/Yield_Originals!$K54</f>
        <v>0.403811249674472</v>
      </c>
      <c r="W54" s="101" t="n">
        <f aca="false">(Yield_Originals!$I54*Yield_Originals!W$1)/Yield_Originals!$K54</f>
        <v>0.41342580323815</v>
      </c>
      <c r="X54" s="102" t="n">
        <f aca="false">(Yield_Originals!$J54*Yield_Originals!X$1)/Yield_Originals!$K54</f>
        <v>0.379843402076345</v>
      </c>
      <c r="Y54" s="102" t="n">
        <f aca="false">(Yield_Originals!$J54*Yield_Originals!Y$1)/Yield_Originals!$K54</f>
        <v>0.388476206668989</v>
      </c>
      <c r="Z54" s="102" t="n">
        <f aca="false">(Yield_Originals!$J54*Yield_Originals!Z$1)/Yield_Originals!$K54</f>
        <v>0.397109011261633</v>
      </c>
      <c r="AA54" s="102" t="n">
        <f aca="false">(Yield_Originals!$J54*Yield_Originals!AA$1)/Yield_Originals!$K54</f>
        <v>0.405741815854277</v>
      </c>
      <c r="AB54" s="102" t="n">
        <f aca="false">(Yield_Originals!$J54*Yield_Originals!AB$1)/Yield_Originals!$K54</f>
        <v>0.414374620446921</v>
      </c>
      <c r="AC54" s="64"/>
    </row>
    <row r="55" s="93" customFormat="true" ht="15" hidden="false" customHeight="false" outlineLevel="0" collapsed="false">
      <c r="A55" s="64" t="s">
        <v>873</v>
      </c>
      <c r="B55" s="64" t="n">
        <v>2</v>
      </c>
      <c r="C55" s="38" t="s">
        <v>917</v>
      </c>
      <c r="D55" s="38" t="s">
        <v>1457</v>
      </c>
      <c r="E55" s="94" t="n">
        <v>10</v>
      </c>
      <c r="F55" s="96" t="n">
        <v>0.22742850037207</v>
      </c>
      <c r="G55" s="96" t="n">
        <v>0.22742850037207</v>
      </c>
      <c r="H55" s="96" t="n">
        <v>0.24190829770174</v>
      </c>
      <c r="I55" s="96" t="n">
        <v>0.256388095031411</v>
      </c>
      <c r="J55" s="96" t="n">
        <v>0.230208122470512</v>
      </c>
      <c r="K55" s="97" t="n">
        <v>1</v>
      </c>
      <c r="L55" s="98" t="n">
        <f aca="false">(Yield_Originals!$G55*Yield_Originals!L$1)/Yield_Originals!$K55</f>
        <v>0.272914200446484</v>
      </c>
      <c r="M55" s="98" t="n">
        <f aca="false">(Yield_Originals!$G55*Yield_Originals!M$1)/Yield_Originals!$K55</f>
        <v>0.281442769210437</v>
      </c>
      <c r="N55" s="98" t="n">
        <f aca="false">(Yield_Originals!$G55*Yield_Originals!N$1)/Yield_Originals!$K55</f>
        <v>0.289971337974389</v>
      </c>
      <c r="O55" s="98" t="n">
        <f aca="false">(Yield_Originals!$G55*Yield_Originals!O$1)/Yield_Originals!$K55</f>
        <v>0.298499906738342</v>
      </c>
      <c r="P55" s="99" t="n">
        <f aca="false">(Yield_Originals!$H55*Yield_Originals!P$1)/Yield_Originals!$K55</f>
        <v>0.326576201897349</v>
      </c>
      <c r="Q55" s="99" t="n">
        <f aca="false">(Yield_Originals!$H55*Yield_Originals!Q$1)/Yield_Originals!$K55</f>
        <v>0.335647763061164</v>
      </c>
      <c r="R55" s="99" t="n">
        <f aca="false">(Yield_Originals!$H55*Yield_Originals!R$1)/Yield_Originals!$K55</f>
        <v>0.34471932422498</v>
      </c>
      <c r="S55" s="99" t="n">
        <f aca="false">(Yield_Originals!$H55*Yield_Originals!S$1)/Yield_Originals!$K55</f>
        <v>0.353790885388795</v>
      </c>
      <c r="T55" s="101" t="n">
        <f aca="false">(Yield_Originals!$I55*Yield_Originals!T$1)/Yield_Originals!$K55</f>
        <v>0.384582142547117</v>
      </c>
      <c r="U55" s="101" t="n">
        <f aca="false">(Yield_Originals!$I55*Yield_Originals!U$1)/Yield_Originals!$K55</f>
        <v>0.394196696110794</v>
      </c>
      <c r="V55" s="101" t="n">
        <f aca="false">(Yield_Originals!$I55*Yield_Originals!V$1)/Yield_Originals!$K55</f>
        <v>0.403811249674472</v>
      </c>
      <c r="W55" s="101" t="n">
        <f aca="false">(Yield_Originals!$I55*Yield_Originals!W$1)/Yield_Originals!$K55</f>
        <v>0.41342580323815</v>
      </c>
      <c r="X55" s="102" t="n">
        <f aca="false">(Yield_Originals!$J55*Yield_Originals!X$1)/Yield_Originals!$K55</f>
        <v>0.379843402076345</v>
      </c>
      <c r="Y55" s="102" t="n">
        <f aca="false">(Yield_Originals!$J55*Yield_Originals!Y$1)/Yield_Originals!$K55</f>
        <v>0.388476206668989</v>
      </c>
      <c r="Z55" s="102" t="n">
        <f aca="false">(Yield_Originals!$J55*Yield_Originals!Z$1)/Yield_Originals!$K55</f>
        <v>0.397109011261633</v>
      </c>
      <c r="AA55" s="102" t="n">
        <f aca="false">(Yield_Originals!$J55*Yield_Originals!AA$1)/Yield_Originals!$K55</f>
        <v>0.405741815854277</v>
      </c>
      <c r="AB55" s="102" t="n">
        <f aca="false">(Yield_Originals!$J55*Yield_Originals!AB$1)/Yield_Originals!$K55</f>
        <v>0.414374620446921</v>
      </c>
      <c r="AC55" s="64"/>
    </row>
    <row r="56" s="93" customFormat="true" ht="15" hidden="false" customHeight="false" outlineLevel="0" collapsed="false">
      <c r="A56" s="64" t="s">
        <v>873</v>
      </c>
      <c r="B56" s="64" t="n">
        <v>2</v>
      </c>
      <c r="C56" s="38" t="s">
        <v>917</v>
      </c>
      <c r="D56" s="38" t="s">
        <v>1457</v>
      </c>
      <c r="E56" s="94" t="n">
        <v>17</v>
      </c>
      <c r="F56" s="96" t="n">
        <v>0.22742850037207</v>
      </c>
      <c r="G56" s="96" t="n">
        <v>0.22742850037207</v>
      </c>
      <c r="H56" s="96" t="n">
        <v>0.24190829770174</v>
      </c>
      <c r="I56" s="96" t="n">
        <v>0.256388095031411</v>
      </c>
      <c r="J56" s="96" t="n">
        <v>0.230208122470512</v>
      </c>
      <c r="K56" s="97" t="n">
        <v>1</v>
      </c>
      <c r="L56" s="98" t="n">
        <f aca="false">(Yield_Originals!$G56*Yield_Originals!L$1)/Yield_Originals!$K56</f>
        <v>0.272914200446484</v>
      </c>
      <c r="M56" s="98" t="n">
        <f aca="false">(Yield_Originals!$G56*Yield_Originals!M$1)/Yield_Originals!$K56</f>
        <v>0.281442769210437</v>
      </c>
      <c r="N56" s="98" t="n">
        <f aca="false">(Yield_Originals!$G56*Yield_Originals!N$1)/Yield_Originals!$K56</f>
        <v>0.289971337974389</v>
      </c>
      <c r="O56" s="98" t="n">
        <f aca="false">(Yield_Originals!$G56*Yield_Originals!O$1)/Yield_Originals!$K56</f>
        <v>0.298499906738342</v>
      </c>
      <c r="P56" s="99" t="n">
        <f aca="false">(Yield_Originals!$H56*Yield_Originals!P$1)/Yield_Originals!$K56</f>
        <v>0.326576201897349</v>
      </c>
      <c r="Q56" s="99" t="n">
        <f aca="false">(Yield_Originals!$H56*Yield_Originals!Q$1)/Yield_Originals!$K56</f>
        <v>0.335647763061164</v>
      </c>
      <c r="R56" s="99" t="n">
        <f aca="false">(Yield_Originals!$H56*Yield_Originals!R$1)/Yield_Originals!$K56</f>
        <v>0.34471932422498</v>
      </c>
      <c r="S56" s="99" t="n">
        <f aca="false">(Yield_Originals!$H56*Yield_Originals!S$1)/Yield_Originals!$K56</f>
        <v>0.353790885388795</v>
      </c>
      <c r="T56" s="101" t="n">
        <f aca="false">(Yield_Originals!$I56*Yield_Originals!T$1)/Yield_Originals!$K56</f>
        <v>0.384582142547117</v>
      </c>
      <c r="U56" s="101" t="n">
        <f aca="false">(Yield_Originals!$I56*Yield_Originals!U$1)/Yield_Originals!$K56</f>
        <v>0.394196696110794</v>
      </c>
      <c r="V56" s="101" t="n">
        <f aca="false">(Yield_Originals!$I56*Yield_Originals!V$1)/Yield_Originals!$K56</f>
        <v>0.403811249674472</v>
      </c>
      <c r="W56" s="101" t="n">
        <f aca="false">(Yield_Originals!$I56*Yield_Originals!W$1)/Yield_Originals!$K56</f>
        <v>0.41342580323815</v>
      </c>
      <c r="X56" s="102" t="n">
        <f aca="false">(Yield_Originals!$J56*Yield_Originals!X$1)/Yield_Originals!$K56</f>
        <v>0.379843402076345</v>
      </c>
      <c r="Y56" s="102" t="n">
        <f aca="false">(Yield_Originals!$J56*Yield_Originals!Y$1)/Yield_Originals!$K56</f>
        <v>0.388476206668989</v>
      </c>
      <c r="Z56" s="102" t="n">
        <f aca="false">(Yield_Originals!$J56*Yield_Originals!Z$1)/Yield_Originals!$K56</f>
        <v>0.397109011261633</v>
      </c>
      <c r="AA56" s="102" t="n">
        <f aca="false">(Yield_Originals!$J56*Yield_Originals!AA$1)/Yield_Originals!$K56</f>
        <v>0.405741815854277</v>
      </c>
      <c r="AB56" s="102" t="n">
        <f aca="false">(Yield_Originals!$J56*Yield_Originals!AB$1)/Yield_Originals!$K56</f>
        <v>0.414374620446921</v>
      </c>
      <c r="AC56" s="64"/>
    </row>
    <row r="57" customFormat="false" ht="15" hidden="false" customHeight="false" outlineLevel="0" collapsed="false">
      <c r="A57" s="66" t="s">
        <v>930</v>
      </c>
      <c r="B57" s="64" t="n">
        <v>2</v>
      </c>
      <c r="C57" s="93" t="s">
        <v>920</v>
      </c>
      <c r="D57" s="93" t="s">
        <v>936</v>
      </c>
      <c r="E57" s="94" t="n">
        <v>13</v>
      </c>
      <c r="F57" s="96" t="n">
        <v>0.22742850037207</v>
      </c>
      <c r="G57" s="96" t="n">
        <v>0.22742850037207</v>
      </c>
      <c r="H57" s="96" t="n">
        <f aca="false">+(Yield_Originals!I57+Yield_Originals!G57)/2</f>
        <v>0.24190829770174</v>
      </c>
      <c r="I57" s="96" t="n">
        <v>0.256388095031411</v>
      </c>
      <c r="J57" s="96" t="n">
        <v>0.230208122470512</v>
      </c>
      <c r="K57" s="97" t="n">
        <v>1</v>
      </c>
      <c r="L57" s="98" t="n">
        <f aca="false">(Yield_Originals!$G57*Yield_Originals!L$1)/Yield_Originals!$K57</f>
        <v>0.272914200446484</v>
      </c>
      <c r="M57" s="98" t="n">
        <f aca="false">(Yield_Originals!$G57*Yield_Originals!M$1)/Yield_Originals!$K57</f>
        <v>0.281442769210437</v>
      </c>
      <c r="N57" s="98" t="n">
        <f aca="false">(Yield_Originals!$G57*Yield_Originals!N$1)/Yield_Originals!$K57</f>
        <v>0.289971337974389</v>
      </c>
      <c r="O57" s="98" t="n">
        <f aca="false">(Yield_Originals!$G57*Yield_Originals!O$1)/Yield_Originals!$K57</f>
        <v>0.298499906738342</v>
      </c>
      <c r="P57" s="99"/>
      <c r="Q57" s="99"/>
      <c r="R57" s="99"/>
      <c r="S57" s="99"/>
      <c r="T57" s="101"/>
      <c r="U57" s="101"/>
      <c r="V57" s="101"/>
      <c r="W57" s="101"/>
      <c r="X57" s="102"/>
      <c r="Y57" s="102"/>
      <c r="Z57" s="102"/>
      <c r="AA57" s="102"/>
      <c r="AB57" s="102"/>
    </row>
    <row r="58" customFormat="false" ht="15" hidden="false" customHeight="false" outlineLevel="0" collapsed="false">
      <c r="A58" s="66" t="s">
        <v>930</v>
      </c>
      <c r="B58" s="64" t="n">
        <v>2</v>
      </c>
      <c r="C58" s="93" t="s">
        <v>920</v>
      </c>
      <c r="D58" s="93" t="s">
        <v>936</v>
      </c>
      <c r="E58" s="94" t="n">
        <v>20</v>
      </c>
      <c r="F58" s="96" t="n">
        <v>0.22742850037207</v>
      </c>
      <c r="G58" s="96" t="n">
        <v>0.22742850037207</v>
      </c>
      <c r="H58" s="96" t="n">
        <f aca="false">+(Yield_Originals!I58+Yield_Originals!G58)/2</f>
        <v>0.24190829770174</v>
      </c>
      <c r="I58" s="96" t="n">
        <v>0.256388095031411</v>
      </c>
      <c r="J58" s="96" t="n">
        <v>0.230208122470512</v>
      </c>
      <c r="K58" s="97" t="n">
        <v>1</v>
      </c>
      <c r="L58" s="98" t="n">
        <f aca="false">(Yield_Originals!$G58*Yield_Originals!L$1)/Yield_Originals!$K58</f>
        <v>0.272914200446484</v>
      </c>
      <c r="M58" s="98" t="n">
        <f aca="false">(Yield_Originals!$G58*Yield_Originals!M$1)/Yield_Originals!$K58</f>
        <v>0.281442769210437</v>
      </c>
      <c r="N58" s="98" t="n">
        <f aca="false">(Yield_Originals!$G58*Yield_Originals!N$1)/Yield_Originals!$K58</f>
        <v>0.289971337974389</v>
      </c>
      <c r="O58" s="98" t="n">
        <f aca="false">(Yield_Originals!$G58*Yield_Originals!O$1)/Yield_Originals!$K58</f>
        <v>0.298499906738342</v>
      </c>
      <c r="P58" s="99"/>
      <c r="Q58" s="99"/>
      <c r="R58" s="99"/>
      <c r="S58" s="99"/>
      <c r="T58" s="101"/>
      <c r="U58" s="101"/>
      <c r="V58" s="101"/>
      <c r="W58" s="101"/>
      <c r="X58" s="102"/>
      <c r="Y58" s="102"/>
      <c r="Z58" s="102"/>
      <c r="AA58" s="102"/>
      <c r="AB58" s="102"/>
    </row>
    <row r="59" customFormat="false" ht="15" hidden="false" customHeight="false" outlineLevel="0" collapsed="false">
      <c r="A59" s="66" t="s">
        <v>946</v>
      </c>
      <c r="B59" s="64" t="n">
        <v>2</v>
      </c>
      <c r="C59" s="93" t="s">
        <v>923</v>
      </c>
      <c r="D59" s="93" t="s">
        <v>949</v>
      </c>
      <c r="E59" s="94" t="n">
        <v>15</v>
      </c>
      <c r="F59" s="96" t="n">
        <v>0.22742850037207</v>
      </c>
      <c r="G59" s="96" t="n">
        <v>0.22742850037207</v>
      </c>
      <c r="H59" s="96" t="n">
        <f aca="false">+(Yield_Originals!I59+Yield_Originals!G59)/2</f>
        <v>0.24190829770174</v>
      </c>
      <c r="I59" s="96" t="n">
        <v>0.256388095031411</v>
      </c>
      <c r="J59" s="96" t="n">
        <v>0.230208122470512</v>
      </c>
      <c r="K59" s="97" t="n">
        <v>1</v>
      </c>
      <c r="L59" s="98" t="n">
        <f aca="false">(Yield_Originals!$G59*Yield_Originals!L$1)/Yield_Originals!$K59</f>
        <v>0.272914200446484</v>
      </c>
      <c r="M59" s="98" t="n">
        <f aca="false">(Yield_Originals!$G59*Yield_Originals!M$1)/Yield_Originals!$K59</f>
        <v>0.281442769210437</v>
      </c>
      <c r="N59" s="98" t="n">
        <f aca="false">(Yield_Originals!$G59*Yield_Originals!N$1)/Yield_Originals!$K59</f>
        <v>0.289971337974389</v>
      </c>
      <c r="O59" s="98" t="n">
        <f aca="false">(Yield_Originals!$G59*Yield_Originals!O$1)/Yield_Originals!$K59</f>
        <v>0.298499906738342</v>
      </c>
      <c r="P59" s="99" t="n">
        <f aca="false">(Yield_Originals!$H59*Yield_Originals!P$1)/Yield_Originals!$K59</f>
        <v>0.32657620189735</v>
      </c>
      <c r="Q59" s="99" t="n">
        <f aca="false">(Yield_Originals!$H59*Yield_Originals!Q$1)/Yield_Originals!$K59</f>
        <v>0.335647763061165</v>
      </c>
      <c r="R59" s="99" t="n">
        <f aca="false">(Yield_Originals!$H59*Yield_Originals!R$1)/Yield_Originals!$K59</f>
        <v>0.34471932422498</v>
      </c>
      <c r="S59" s="99" t="n">
        <f aca="false">(Yield_Originals!$H59*Yield_Originals!S$1)/Yield_Originals!$K59</f>
        <v>0.353790885388796</v>
      </c>
      <c r="T59" s="101" t="n">
        <f aca="false">(Yield_Originals!$I59*Yield_Originals!T$1)/Yield_Originals!$K59</f>
        <v>0.384582142547117</v>
      </c>
      <c r="U59" s="101" t="n">
        <f aca="false">(Yield_Originals!$I59*Yield_Originals!U$1)/Yield_Originals!$K59</f>
        <v>0.394196696110794</v>
      </c>
      <c r="V59" s="101" t="n">
        <f aca="false">(Yield_Originals!$I59*Yield_Originals!V$1)/Yield_Originals!$K59</f>
        <v>0.403811249674472</v>
      </c>
      <c r="W59" s="101" t="n">
        <f aca="false">(Yield_Originals!$I59*Yield_Originals!W$1)/Yield_Originals!$K59</f>
        <v>0.41342580323815</v>
      </c>
      <c r="X59" s="102" t="n">
        <f aca="false">(Yield_Originals!$J59*Yield_Originals!X$1)/Yield_Originals!$K59</f>
        <v>0.379843402076345</v>
      </c>
      <c r="Y59" s="102" t="n">
        <f aca="false">(Yield_Originals!$J59*Yield_Originals!Y$1)/Yield_Originals!$K59</f>
        <v>0.388476206668989</v>
      </c>
      <c r="Z59" s="102" t="n">
        <f aca="false">(Yield_Originals!$J59*Yield_Originals!Z$1)/Yield_Originals!$K59</f>
        <v>0.397109011261633</v>
      </c>
      <c r="AA59" s="102" t="n">
        <f aca="false">(Yield_Originals!$J59*Yield_Originals!AA$1)/Yield_Originals!$K59</f>
        <v>0.405741815854277</v>
      </c>
      <c r="AB59" s="102" t="n">
        <f aca="false">(Yield_Originals!$J59*Yield_Originals!AB$1)/Yield_Originals!$K59</f>
        <v>0.414374620446921</v>
      </c>
    </row>
    <row r="60" customFormat="false" ht="15" hidden="false" customHeight="false" outlineLevel="0" collapsed="false">
      <c r="A60" s="66" t="s">
        <v>946</v>
      </c>
      <c r="B60" s="64" t="n">
        <v>2</v>
      </c>
      <c r="C60" s="93" t="s">
        <v>923</v>
      </c>
      <c r="D60" s="93" t="s">
        <v>949</v>
      </c>
      <c r="E60" s="94" t="n">
        <v>22</v>
      </c>
      <c r="F60" s="96" t="n">
        <v>0.22742850037207</v>
      </c>
      <c r="G60" s="96" t="n">
        <v>0.22742850037207</v>
      </c>
      <c r="H60" s="96" t="n">
        <f aca="false">+(Yield_Originals!I60+Yield_Originals!G60)/2</f>
        <v>0.24190829770174</v>
      </c>
      <c r="I60" s="96" t="n">
        <v>0.256388095031411</v>
      </c>
      <c r="J60" s="96" t="n">
        <v>0.230208122470512</v>
      </c>
      <c r="K60" s="97" t="n">
        <v>1</v>
      </c>
      <c r="L60" s="98" t="n">
        <f aca="false">(Yield_Originals!$G60*Yield_Originals!L$1)/Yield_Originals!$K60</f>
        <v>0.272914200446484</v>
      </c>
      <c r="M60" s="98" t="n">
        <f aca="false">(Yield_Originals!$G60*Yield_Originals!M$1)/Yield_Originals!$K60</f>
        <v>0.281442769210437</v>
      </c>
      <c r="N60" s="98" t="n">
        <f aca="false">(Yield_Originals!$G60*Yield_Originals!N$1)/Yield_Originals!$K60</f>
        <v>0.289971337974389</v>
      </c>
      <c r="O60" s="98" t="n">
        <f aca="false">(Yield_Originals!$G60*Yield_Originals!O$1)/Yield_Originals!$K60</f>
        <v>0.298499906738342</v>
      </c>
      <c r="P60" s="99" t="n">
        <f aca="false">(Yield_Originals!$H60*Yield_Originals!P$1)/Yield_Originals!$K60</f>
        <v>0.32657620189735</v>
      </c>
      <c r="Q60" s="99" t="n">
        <f aca="false">(Yield_Originals!$H60*Yield_Originals!Q$1)/Yield_Originals!$K60</f>
        <v>0.335647763061165</v>
      </c>
      <c r="R60" s="99" t="n">
        <f aca="false">(Yield_Originals!$H60*Yield_Originals!R$1)/Yield_Originals!$K60</f>
        <v>0.34471932422498</v>
      </c>
      <c r="S60" s="99" t="n">
        <f aca="false">(Yield_Originals!$H60*Yield_Originals!S$1)/Yield_Originals!$K60</f>
        <v>0.353790885388796</v>
      </c>
      <c r="T60" s="101" t="n">
        <f aca="false">(Yield_Originals!$I60*Yield_Originals!T$1)/Yield_Originals!$K60</f>
        <v>0.384582142547117</v>
      </c>
      <c r="U60" s="101" t="n">
        <f aca="false">(Yield_Originals!$I60*Yield_Originals!U$1)/Yield_Originals!$K60</f>
        <v>0.394196696110794</v>
      </c>
      <c r="V60" s="101" t="n">
        <f aca="false">(Yield_Originals!$I60*Yield_Originals!V$1)/Yield_Originals!$K60</f>
        <v>0.403811249674472</v>
      </c>
      <c r="W60" s="101" t="n">
        <f aca="false">(Yield_Originals!$I60*Yield_Originals!W$1)/Yield_Originals!$K60</f>
        <v>0.41342580323815</v>
      </c>
      <c r="X60" s="102" t="n">
        <f aca="false">(Yield_Originals!$J60*Yield_Originals!X$1)/Yield_Originals!$K60</f>
        <v>0.379843402076345</v>
      </c>
      <c r="Y60" s="102" t="n">
        <f aca="false">(Yield_Originals!$J60*Yield_Originals!Y$1)/Yield_Originals!$K60</f>
        <v>0.388476206668989</v>
      </c>
      <c r="Z60" s="102" t="n">
        <f aca="false">(Yield_Originals!$J60*Yield_Originals!Z$1)/Yield_Originals!$K60</f>
        <v>0.397109011261633</v>
      </c>
      <c r="AA60" s="102" t="n">
        <f aca="false">(Yield_Originals!$J60*Yield_Originals!AA$1)/Yield_Originals!$K60</f>
        <v>0.405741815854277</v>
      </c>
      <c r="AB60" s="102" t="n">
        <f aca="false">(Yield_Originals!$J60*Yield_Originals!AB$1)/Yield_Originals!$K60</f>
        <v>0.414374620446921</v>
      </c>
    </row>
    <row r="61" customFormat="false" ht="15" hidden="false" customHeight="false" outlineLevel="0" collapsed="false">
      <c r="A61" s="64" t="s">
        <v>873</v>
      </c>
      <c r="B61" s="64" t="n">
        <v>2</v>
      </c>
      <c r="C61" s="38" t="s">
        <v>232</v>
      </c>
      <c r="D61" s="38" t="s">
        <v>1458</v>
      </c>
      <c r="E61" s="94" t="n">
        <v>10</v>
      </c>
      <c r="F61" s="96" t="n">
        <v>0.22742850037207</v>
      </c>
      <c r="G61" s="96" t="n">
        <v>0.22742850037207</v>
      </c>
      <c r="H61" s="96" t="n">
        <v>0.24190829770174</v>
      </c>
      <c r="I61" s="96" t="n">
        <v>0.256388095031411</v>
      </c>
      <c r="J61" s="96" t="n">
        <v>0.230208122470512</v>
      </c>
      <c r="K61" s="97" t="n">
        <v>1</v>
      </c>
      <c r="L61" s="98" t="n">
        <f aca="false">(Yield_Originals!$G61*Yield_Originals!L$1)/Yield_Originals!$K61</f>
        <v>0.272914200446484</v>
      </c>
      <c r="M61" s="98" t="n">
        <f aca="false">(Yield_Originals!$G61*Yield_Originals!M$1)/Yield_Originals!$K61</f>
        <v>0.281442769210437</v>
      </c>
      <c r="N61" s="98" t="n">
        <f aca="false">(Yield_Originals!$G61*Yield_Originals!N$1)/Yield_Originals!$K61</f>
        <v>0.289971337974389</v>
      </c>
      <c r="O61" s="98" t="n">
        <f aca="false">(Yield_Originals!$G61*Yield_Originals!O$1)/Yield_Originals!$K61</f>
        <v>0.298499906738342</v>
      </c>
      <c r="P61" s="99" t="n">
        <f aca="false">(Yield_Originals!$H61*Yield_Originals!P$1)/Yield_Originals!$K61</f>
        <v>0.326576201897349</v>
      </c>
      <c r="Q61" s="99" t="n">
        <f aca="false">(Yield_Originals!$H61*Yield_Originals!Q$1)/Yield_Originals!$K61</f>
        <v>0.335647763061164</v>
      </c>
      <c r="R61" s="99" t="n">
        <f aca="false">(Yield_Originals!$H61*Yield_Originals!R$1)/Yield_Originals!$K61</f>
        <v>0.34471932422498</v>
      </c>
      <c r="S61" s="99" t="n">
        <f aca="false">(Yield_Originals!$H61*Yield_Originals!S$1)/Yield_Originals!$K61</f>
        <v>0.353790885388795</v>
      </c>
      <c r="T61" s="101" t="n">
        <f aca="false">(Yield_Originals!$I61*Yield_Originals!T$1)/Yield_Originals!$K61</f>
        <v>0.384582142547117</v>
      </c>
      <c r="U61" s="101" t="n">
        <f aca="false">(Yield_Originals!$I61*Yield_Originals!U$1)/Yield_Originals!$K61</f>
        <v>0.394196696110794</v>
      </c>
      <c r="V61" s="101" t="n">
        <f aca="false">(Yield_Originals!$I61*Yield_Originals!V$1)/Yield_Originals!$K61</f>
        <v>0.403811249674472</v>
      </c>
      <c r="W61" s="101" t="n">
        <f aca="false">(Yield_Originals!$I61*Yield_Originals!W$1)/Yield_Originals!$K61</f>
        <v>0.41342580323815</v>
      </c>
      <c r="X61" s="102" t="n">
        <f aca="false">(Yield_Originals!$J61*Yield_Originals!X$1)/Yield_Originals!$K61</f>
        <v>0.379843402076345</v>
      </c>
      <c r="Y61" s="102" t="n">
        <f aca="false">(Yield_Originals!$J61*Yield_Originals!Y$1)/Yield_Originals!$K61</f>
        <v>0.388476206668989</v>
      </c>
      <c r="Z61" s="102" t="n">
        <f aca="false">(Yield_Originals!$J61*Yield_Originals!Z$1)/Yield_Originals!$K61</f>
        <v>0.397109011261633</v>
      </c>
      <c r="AA61" s="102" t="n">
        <f aca="false">(Yield_Originals!$J61*Yield_Originals!AA$1)/Yield_Originals!$K61</f>
        <v>0.405741815854277</v>
      </c>
      <c r="AB61" s="102" t="n">
        <f aca="false">(Yield_Originals!$J61*Yield_Originals!AB$1)/Yield_Originals!$K61</f>
        <v>0.414374620446921</v>
      </c>
    </row>
    <row r="62" customFormat="false" ht="15" hidden="false" customHeight="false" outlineLevel="0" collapsed="false">
      <c r="A62" s="64" t="s">
        <v>873</v>
      </c>
      <c r="B62" s="64" t="n">
        <v>2</v>
      </c>
      <c r="C62" s="38" t="s">
        <v>232</v>
      </c>
      <c r="D62" s="38" t="s">
        <v>1458</v>
      </c>
      <c r="E62" s="94" t="n">
        <v>17</v>
      </c>
      <c r="F62" s="96" t="n">
        <v>0.22742850037207</v>
      </c>
      <c r="G62" s="96" t="n">
        <v>0.22742850037207</v>
      </c>
      <c r="H62" s="96" t="n">
        <v>0.24190829770174</v>
      </c>
      <c r="I62" s="96" t="n">
        <v>0.256388095031411</v>
      </c>
      <c r="J62" s="96" t="n">
        <v>0.230208122470512</v>
      </c>
      <c r="K62" s="97" t="n">
        <v>1</v>
      </c>
      <c r="L62" s="98" t="n">
        <f aca="false">(Yield_Originals!$G62*Yield_Originals!L$1)/Yield_Originals!$K62</f>
        <v>0.272914200446484</v>
      </c>
      <c r="M62" s="98" t="n">
        <f aca="false">(Yield_Originals!$G62*Yield_Originals!M$1)/Yield_Originals!$K62</f>
        <v>0.281442769210437</v>
      </c>
      <c r="N62" s="98" t="n">
        <f aca="false">(Yield_Originals!$G62*Yield_Originals!N$1)/Yield_Originals!$K62</f>
        <v>0.289971337974389</v>
      </c>
      <c r="O62" s="98" t="n">
        <f aca="false">(Yield_Originals!$G62*Yield_Originals!O$1)/Yield_Originals!$K62</f>
        <v>0.298499906738342</v>
      </c>
      <c r="P62" s="99" t="n">
        <f aca="false">(Yield_Originals!$H62*Yield_Originals!P$1)/Yield_Originals!$K62</f>
        <v>0.326576201897349</v>
      </c>
      <c r="Q62" s="99" t="n">
        <f aca="false">(Yield_Originals!$H62*Yield_Originals!Q$1)/Yield_Originals!$K62</f>
        <v>0.335647763061164</v>
      </c>
      <c r="R62" s="99" t="n">
        <f aca="false">(Yield_Originals!$H62*Yield_Originals!R$1)/Yield_Originals!$K62</f>
        <v>0.34471932422498</v>
      </c>
      <c r="S62" s="99" t="n">
        <f aca="false">(Yield_Originals!$H62*Yield_Originals!S$1)/Yield_Originals!$K62</f>
        <v>0.353790885388795</v>
      </c>
      <c r="T62" s="101" t="n">
        <f aca="false">(Yield_Originals!$I62*Yield_Originals!T$1)/Yield_Originals!$K62</f>
        <v>0.384582142547117</v>
      </c>
      <c r="U62" s="101" t="n">
        <f aca="false">(Yield_Originals!$I62*Yield_Originals!U$1)/Yield_Originals!$K62</f>
        <v>0.394196696110794</v>
      </c>
      <c r="V62" s="101" t="n">
        <f aca="false">(Yield_Originals!$I62*Yield_Originals!V$1)/Yield_Originals!$K62</f>
        <v>0.403811249674472</v>
      </c>
      <c r="W62" s="101" t="n">
        <f aca="false">(Yield_Originals!$I62*Yield_Originals!W$1)/Yield_Originals!$K62</f>
        <v>0.41342580323815</v>
      </c>
      <c r="X62" s="102" t="n">
        <f aca="false">(Yield_Originals!$J62*Yield_Originals!X$1)/Yield_Originals!$K62</f>
        <v>0.379843402076345</v>
      </c>
      <c r="Y62" s="102" t="n">
        <f aca="false">(Yield_Originals!$J62*Yield_Originals!Y$1)/Yield_Originals!$K62</f>
        <v>0.388476206668989</v>
      </c>
      <c r="Z62" s="102" t="n">
        <f aca="false">(Yield_Originals!$J62*Yield_Originals!Z$1)/Yield_Originals!$K62</f>
        <v>0.397109011261633</v>
      </c>
      <c r="AA62" s="102" t="n">
        <f aca="false">(Yield_Originals!$J62*Yield_Originals!AA$1)/Yield_Originals!$K62</f>
        <v>0.405741815854277</v>
      </c>
      <c r="AB62" s="102" t="n">
        <f aca="false">(Yield_Originals!$J62*Yield_Originals!AB$1)/Yield_Originals!$K62</f>
        <v>0.414374620446921</v>
      </c>
    </row>
    <row r="63" customFormat="false" ht="15" hidden="false" customHeight="false" outlineLevel="0" collapsed="false">
      <c r="A63" s="66" t="s">
        <v>940</v>
      </c>
      <c r="B63" s="64" t="n">
        <v>2</v>
      </c>
      <c r="C63" s="93" t="s">
        <v>232</v>
      </c>
      <c r="D63" s="93" t="s">
        <v>939</v>
      </c>
      <c r="E63" s="94" t="n">
        <v>14</v>
      </c>
      <c r="F63" s="96" t="n">
        <f aca="false">+Yield_Originals!F67*0.9</f>
        <v>0.204685650334863</v>
      </c>
      <c r="G63" s="96" t="n">
        <f aca="false">+Yield_Originals!G67*0.9</f>
        <v>0.204685650334863</v>
      </c>
      <c r="H63" s="96" t="n">
        <f aca="false">+Yield_Originals!H67*0.9</f>
        <v>0.217717467931566</v>
      </c>
      <c r="I63" s="96" t="n">
        <f aca="false">+Yield_Originals!I67*0.9</f>
        <v>0.23074928552827</v>
      </c>
      <c r="J63" s="96" t="n">
        <f aca="false">+Yield_Originals!J67*0.9</f>
        <v>0.207187310223461</v>
      </c>
      <c r="K63" s="97" t="n">
        <v>1</v>
      </c>
      <c r="L63" s="98" t="n">
        <f aca="false">(Yield_Originals!$G63*Yield_Originals!L$1)/Yield_Originals!$K63</f>
        <v>0.245622780401836</v>
      </c>
      <c r="M63" s="98" t="n">
        <f aca="false">(Yield_Originals!$G63*Yield_Originals!M$1)/Yield_Originals!$K63</f>
        <v>0.253298492289393</v>
      </c>
      <c r="N63" s="98" t="n">
        <f aca="false">(Yield_Originals!$G63*Yield_Originals!N$1)/Yield_Originals!$K63</f>
        <v>0.26097420417695</v>
      </c>
      <c r="O63" s="98" t="n">
        <f aca="false">(Yield_Originals!$G63*Yield_Originals!O$1)/Yield_Originals!$K63</f>
        <v>0.268649916064508</v>
      </c>
      <c r="P63" s="99" t="n">
        <f aca="false">(Yield_Originals!$H63*Yield_Originals!P$1)/Yield_Originals!$K63</f>
        <v>0.293918581707615</v>
      </c>
      <c r="Q63" s="99" t="n">
        <f aca="false">(Yield_Originals!$H63*Yield_Originals!Q$1)/Yield_Originals!$K63</f>
        <v>0.302082986755049</v>
      </c>
      <c r="R63" s="99" t="n">
        <f aca="false">(Yield_Originals!$H63*Yield_Originals!R$1)/Yield_Originals!$K63</f>
        <v>0.310247391802482</v>
      </c>
      <c r="S63" s="99" t="n">
        <f aca="false">(Yield_Originals!$H63*Yield_Originals!S$1)/Yield_Originals!$K63</f>
        <v>0.318411796849916</v>
      </c>
      <c r="T63" s="101" t="n">
        <f aca="false">(Yield_Originals!$I63*Yield_Originals!T$1)/Yield_Originals!$K63</f>
        <v>0.346123928292405</v>
      </c>
      <c r="U63" s="101" t="n">
        <f aca="false">(Yield_Originals!$I63*Yield_Originals!U$1)/Yield_Originals!$K63</f>
        <v>0.354777026499715</v>
      </c>
      <c r="V63" s="101" t="n">
        <f aca="false">(Yield_Originals!$I63*Yield_Originals!V$1)/Yield_Originals!$K63</f>
        <v>0.363430124707025</v>
      </c>
      <c r="W63" s="101" t="n">
        <f aca="false">(Yield_Originals!$I63*Yield_Originals!W$1)/Yield_Originals!$K63</f>
        <v>0.372083222914335</v>
      </c>
      <c r="X63" s="102" t="n">
        <f aca="false">(Yield_Originals!$J63*Yield_Originals!X$1)/Yield_Originals!$K63</f>
        <v>0.34185906186871</v>
      </c>
      <c r="Y63" s="102" t="n">
        <f aca="false">(Yield_Originals!$J63*Yield_Originals!Y$1)/Yield_Originals!$K63</f>
        <v>0.34962858600209</v>
      </c>
      <c r="Z63" s="102" t="n">
        <f aca="false">(Yield_Originals!$J63*Yield_Originals!Z$1)/Yield_Originals!$K63</f>
        <v>0.35739811013547</v>
      </c>
      <c r="AA63" s="102" t="n">
        <f aca="false">(Yield_Originals!$J63*Yield_Originals!AA$1)/Yield_Originals!$K63</f>
        <v>0.36516763426885</v>
      </c>
      <c r="AB63" s="102" t="n">
        <f aca="false">(Yield_Originals!$J63*Yield_Originals!AB$1)/Yield_Originals!$K63</f>
        <v>0.372937158402229</v>
      </c>
    </row>
    <row r="64" customFormat="false" ht="15" hidden="false" customHeight="false" outlineLevel="0" collapsed="false">
      <c r="A64" s="66" t="s">
        <v>940</v>
      </c>
      <c r="B64" s="64" t="n">
        <v>2</v>
      </c>
      <c r="C64" s="93" t="s">
        <v>232</v>
      </c>
      <c r="D64" s="93" t="s">
        <v>939</v>
      </c>
      <c r="E64" s="94" t="n">
        <v>21</v>
      </c>
      <c r="F64" s="96" t="n">
        <f aca="false">+Yield_Originals!F68*0.9</f>
        <v>0.204685650334863</v>
      </c>
      <c r="G64" s="96" t="n">
        <f aca="false">+Yield_Originals!G68*0.9</f>
        <v>0.204685650334863</v>
      </c>
      <c r="H64" s="96" t="n">
        <f aca="false">+Yield_Originals!H68*0.9</f>
        <v>0.217717467931566</v>
      </c>
      <c r="I64" s="96" t="n">
        <f aca="false">+Yield_Originals!I68*0.9</f>
        <v>0.23074928552827</v>
      </c>
      <c r="J64" s="96" t="n">
        <f aca="false">+Yield_Originals!J68*0.9</f>
        <v>0.207187310223461</v>
      </c>
      <c r="K64" s="97" t="n">
        <v>1</v>
      </c>
      <c r="L64" s="98" t="n">
        <f aca="false">(Yield_Originals!$G64*Yield_Originals!L$1)/Yield_Originals!$K64</f>
        <v>0.245622780401836</v>
      </c>
      <c r="M64" s="98" t="n">
        <f aca="false">(Yield_Originals!$G64*Yield_Originals!M$1)/Yield_Originals!$K64</f>
        <v>0.253298492289393</v>
      </c>
      <c r="N64" s="98" t="n">
        <f aca="false">(Yield_Originals!$G64*Yield_Originals!N$1)/Yield_Originals!$K64</f>
        <v>0.26097420417695</v>
      </c>
      <c r="O64" s="98" t="n">
        <f aca="false">(Yield_Originals!$G64*Yield_Originals!O$1)/Yield_Originals!$K64</f>
        <v>0.268649916064508</v>
      </c>
      <c r="P64" s="99" t="n">
        <f aca="false">(Yield_Originals!$H64*Yield_Originals!P$1)/Yield_Originals!$K64</f>
        <v>0.293918581707615</v>
      </c>
      <c r="Q64" s="99" t="n">
        <f aca="false">(Yield_Originals!$H64*Yield_Originals!Q$1)/Yield_Originals!$K64</f>
        <v>0.302082986755049</v>
      </c>
      <c r="R64" s="99" t="n">
        <f aca="false">(Yield_Originals!$H64*Yield_Originals!R$1)/Yield_Originals!$K64</f>
        <v>0.310247391802482</v>
      </c>
      <c r="S64" s="99" t="n">
        <f aca="false">(Yield_Originals!$H64*Yield_Originals!S$1)/Yield_Originals!$K64</f>
        <v>0.318411796849916</v>
      </c>
      <c r="T64" s="101" t="n">
        <f aca="false">(Yield_Originals!$I64*Yield_Originals!T$1)/Yield_Originals!$K64</f>
        <v>0.346123928292405</v>
      </c>
      <c r="U64" s="101" t="n">
        <f aca="false">(Yield_Originals!$I64*Yield_Originals!U$1)/Yield_Originals!$K64</f>
        <v>0.354777026499715</v>
      </c>
      <c r="V64" s="101" t="n">
        <f aca="false">(Yield_Originals!$I64*Yield_Originals!V$1)/Yield_Originals!$K64</f>
        <v>0.363430124707025</v>
      </c>
      <c r="W64" s="101" t="n">
        <f aca="false">(Yield_Originals!$I64*Yield_Originals!W$1)/Yield_Originals!$K64</f>
        <v>0.372083222914335</v>
      </c>
      <c r="X64" s="102" t="n">
        <f aca="false">(Yield_Originals!$J64*Yield_Originals!X$1)/Yield_Originals!$K64</f>
        <v>0.34185906186871</v>
      </c>
      <c r="Y64" s="102" t="n">
        <f aca="false">(Yield_Originals!$J64*Yield_Originals!Y$1)/Yield_Originals!$K64</f>
        <v>0.34962858600209</v>
      </c>
      <c r="Z64" s="102" t="n">
        <f aca="false">(Yield_Originals!$J64*Yield_Originals!Z$1)/Yield_Originals!$K64</f>
        <v>0.35739811013547</v>
      </c>
      <c r="AA64" s="102" t="n">
        <f aca="false">(Yield_Originals!$J64*Yield_Originals!AA$1)/Yield_Originals!$K64</f>
        <v>0.36516763426885</v>
      </c>
      <c r="AB64" s="102" t="n">
        <f aca="false">(Yield_Originals!$J64*Yield_Originals!AB$1)/Yield_Originals!$K64</f>
        <v>0.372937158402229</v>
      </c>
    </row>
    <row r="65" customFormat="false" ht="15" hidden="false" customHeight="false" outlineLevel="0" collapsed="false">
      <c r="A65" s="66" t="s">
        <v>940</v>
      </c>
      <c r="B65" s="64" t="n">
        <v>2</v>
      </c>
      <c r="C65" s="93" t="s">
        <v>928</v>
      </c>
      <c r="D65" s="93" t="s">
        <v>942</v>
      </c>
      <c r="E65" s="94" t="n">
        <v>14</v>
      </c>
      <c r="F65" s="96" t="n">
        <f aca="false">+Yield_Originals!F69*0.9</f>
        <v>0.204685650334863</v>
      </c>
      <c r="G65" s="96" t="n">
        <f aca="false">+Yield_Originals!G69*0.9</f>
        <v>0.204685650334863</v>
      </c>
      <c r="H65" s="96" t="n">
        <f aca="false">+Yield_Originals!H69*0.9</f>
        <v>0.217717467931566</v>
      </c>
      <c r="I65" s="96" t="n">
        <f aca="false">+Yield_Originals!I69*0.9</f>
        <v>0.23074928552827</v>
      </c>
      <c r="J65" s="96" t="n">
        <f aca="false">+Yield_Originals!J69*0.9</f>
        <v>0.207187310223461</v>
      </c>
      <c r="K65" s="97" t="n">
        <v>1</v>
      </c>
      <c r="L65" s="98" t="n">
        <f aca="false">(Yield_Originals!$G65*Yield_Originals!L$1)/Yield_Originals!$K65</f>
        <v>0.245622780401836</v>
      </c>
      <c r="M65" s="98" t="n">
        <f aca="false">(Yield_Originals!$G65*Yield_Originals!M$1)/Yield_Originals!$K65</f>
        <v>0.253298492289393</v>
      </c>
      <c r="N65" s="98" t="n">
        <f aca="false">(Yield_Originals!$G65*Yield_Originals!N$1)/Yield_Originals!$K65</f>
        <v>0.26097420417695</v>
      </c>
      <c r="O65" s="98" t="n">
        <f aca="false">(Yield_Originals!$G65*Yield_Originals!O$1)/Yield_Originals!$K65</f>
        <v>0.268649916064508</v>
      </c>
      <c r="P65" s="99" t="n">
        <f aca="false">(Yield_Originals!$H65*Yield_Originals!P$1)/Yield_Originals!$K65</f>
        <v>0.293918581707614</v>
      </c>
      <c r="Q65" s="99" t="n">
        <f aca="false">(Yield_Originals!$H65*Yield_Originals!Q$1)/Yield_Originals!$K65</f>
        <v>0.302082986755048</v>
      </c>
      <c r="R65" s="99" t="n">
        <f aca="false">(Yield_Originals!$H65*Yield_Originals!R$1)/Yield_Originals!$K65</f>
        <v>0.310247391802482</v>
      </c>
      <c r="S65" s="99" t="n">
        <f aca="false">(Yield_Originals!$H65*Yield_Originals!S$1)/Yield_Originals!$K65</f>
        <v>0.318411796849915</v>
      </c>
      <c r="T65" s="101" t="n">
        <f aca="false">(Yield_Originals!$I65*Yield_Originals!T$1)/Yield_Originals!$K65</f>
        <v>0.346123928292405</v>
      </c>
      <c r="U65" s="101" t="n">
        <f aca="false">(Yield_Originals!$I65*Yield_Originals!U$1)/Yield_Originals!$K65</f>
        <v>0.354777026499715</v>
      </c>
      <c r="V65" s="101" t="n">
        <f aca="false">(Yield_Originals!$I65*Yield_Originals!V$1)/Yield_Originals!$K65</f>
        <v>0.363430124707025</v>
      </c>
      <c r="W65" s="101" t="n">
        <f aca="false">(Yield_Originals!$I65*Yield_Originals!W$1)/Yield_Originals!$K65</f>
        <v>0.372083222914335</v>
      </c>
      <c r="X65" s="102" t="n">
        <f aca="false">(Yield_Originals!$J65*Yield_Originals!X$1)/Yield_Originals!$K65</f>
        <v>0.34185906186871</v>
      </c>
      <c r="Y65" s="102" t="n">
        <f aca="false">(Yield_Originals!$J65*Yield_Originals!Y$1)/Yield_Originals!$K65</f>
        <v>0.34962858600209</v>
      </c>
      <c r="Z65" s="102" t="n">
        <f aca="false">(Yield_Originals!$J65*Yield_Originals!Z$1)/Yield_Originals!$K65</f>
        <v>0.35739811013547</v>
      </c>
      <c r="AA65" s="102" t="n">
        <f aca="false">(Yield_Originals!$J65*Yield_Originals!AA$1)/Yield_Originals!$K65</f>
        <v>0.36516763426885</v>
      </c>
      <c r="AB65" s="102" t="n">
        <f aca="false">(Yield_Originals!$J65*Yield_Originals!AB$1)/Yield_Originals!$K65</f>
        <v>0.372937158402229</v>
      </c>
    </row>
    <row r="66" customFormat="false" ht="15" hidden="false" customHeight="false" outlineLevel="0" collapsed="false">
      <c r="A66" s="66" t="s">
        <v>940</v>
      </c>
      <c r="B66" s="64" t="n">
        <v>2</v>
      </c>
      <c r="C66" s="93" t="s">
        <v>928</v>
      </c>
      <c r="D66" s="93" t="s">
        <v>942</v>
      </c>
      <c r="E66" s="94" t="n">
        <v>21</v>
      </c>
      <c r="F66" s="96" t="n">
        <f aca="false">+Yield_Originals!F70*0.9</f>
        <v>0.204685650334863</v>
      </c>
      <c r="G66" s="96" t="n">
        <f aca="false">+Yield_Originals!G70*0.9</f>
        <v>0.204685650334863</v>
      </c>
      <c r="H66" s="96" t="n">
        <f aca="false">+Yield_Originals!H70*0.9</f>
        <v>0.217717467931566</v>
      </c>
      <c r="I66" s="96" t="n">
        <f aca="false">+Yield_Originals!I70*0.9</f>
        <v>0.23074928552827</v>
      </c>
      <c r="J66" s="96" t="n">
        <f aca="false">+Yield_Originals!J70*0.9</f>
        <v>0.207187310223461</v>
      </c>
      <c r="K66" s="97" t="n">
        <v>1</v>
      </c>
      <c r="L66" s="98" t="n">
        <f aca="false">(Yield_Originals!$G66*Yield_Originals!L$1)/Yield_Originals!$K66</f>
        <v>0.245622780401836</v>
      </c>
      <c r="M66" s="98" t="n">
        <f aca="false">(Yield_Originals!$G66*Yield_Originals!M$1)/Yield_Originals!$K66</f>
        <v>0.253298492289393</v>
      </c>
      <c r="N66" s="98" t="n">
        <f aca="false">(Yield_Originals!$G66*Yield_Originals!N$1)/Yield_Originals!$K66</f>
        <v>0.26097420417695</v>
      </c>
      <c r="O66" s="98" t="n">
        <f aca="false">(Yield_Originals!$G66*Yield_Originals!O$1)/Yield_Originals!$K66</f>
        <v>0.268649916064508</v>
      </c>
      <c r="P66" s="99" t="n">
        <f aca="false">(Yield_Originals!$H66*Yield_Originals!P$1)/Yield_Originals!$K66</f>
        <v>0.293918581707614</v>
      </c>
      <c r="Q66" s="99" t="n">
        <f aca="false">(Yield_Originals!$H66*Yield_Originals!Q$1)/Yield_Originals!$K66</f>
        <v>0.302082986755048</v>
      </c>
      <c r="R66" s="99" t="n">
        <f aca="false">(Yield_Originals!$H66*Yield_Originals!R$1)/Yield_Originals!$K66</f>
        <v>0.310247391802482</v>
      </c>
      <c r="S66" s="99" t="n">
        <f aca="false">(Yield_Originals!$H66*Yield_Originals!S$1)/Yield_Originals!$K66</f>
        <v>0.318411796849915</v>
      </c>
      <c r="T66" s="101" t="n">
        <f aca="false">(Yield_Originals!$I66*Yield_Originals!T$1)/Yield_Originals!$K66</f>
        <v>0.346123928292405</v>
      </c>
      <c r="U66" s="101" t="n">
        <f aca="false">(Yield_Originals!$I66*Yield_Originals!U$1)/Yield_Originals!$K66</f>
        <v>0.354777026499715</v>
      </c>
      <c r="V66" s="101" t="n">
        <f aca="false">(Yield_Originals!$I66*Yield_Originals!V$1)/Yield_Originals!$K66</f>
        <v>0.363430124707025</v>
      </c>
      <c r="W66" s="101" t="n">
        <f aca="false">(Yield_Originals!$I66*Yield_Originals!W$1)/Yield_Originals!$K66</f>
        <v>0.372083222914335</v>
      </c>
      <c r="X66" s="102" t="n">
        <f aca="false">(Yield_Originals!$J66*Yield_Originals!X$1)/Yield_Originals!$K66</f>
        <v>0.34185906186871</v>
      </c>
      <c r="Y66" s="102" t="n">
        <f aca="false">(Yield_Originals!$J66*Yield_Originals!Y$1)/Yield_Originals!$K66</f>
        <v>0.34962858600209</v>
      </c>
      <c r="Z66" s="102" t="n">
        <f aca="false">(Yield_Originals!$J66*Yield_Originals!Z$1)/Yield_Originals!$K66</f>
        <v>0.35739811013547</v>
      </c>
      <c r="AA66" s="102" t="n">
        <f aca="false">(Yield_Originals!$J66*Yield_Originals!AA$1)/Yield_Originals!$K66</f>
        <v>0.36516763426885</v>
      </c>
      <c r="AB66" s="102" t="n">
        <f aca="false">(Yield_Originals!$J66*Yield_Originals!AB$1)/Yield_Originals!$K66</f>
        <v>0.372937158402229</v>
      </c>
    </row>
    <row r="67" customFormat="false" ht="15" hidden="false" customHeight="false" outlineLevel="0" collapsed="false">
      <c r="A67" s="66" t="s">
        <v>946</v>
      </c>
      <c r="B67" s="64" t="n">
        <v>2</v>
      </c>
      <c r="C67" s="93" t="s">
        <v>933</v>
      </c>
      <c r="D67" s="93" t="s">
        <v>945</v>
      </c>
      <c r="E67" s="94" t="n">
        <v>15</v>
      </c>
      <c r="F67" s="96" t="n">
        <v>0.22742850037207</v>
      </c>
      <c r="G67" s="96" t="n">
        <v>0.22742850037207</v>
      </c>
      <c r="H67" s="96" t="n">
        <f aca="false">+(Yield_Originals!I67+Yield_Originals!G67)/2</f>
        <v>0.24190829770174</v>
      </c>
      <c r="I67" s="96" t="n">
        <v>0.256388095031411</v>
      </c>
      <c r="J67" s="96" t="n">
        <v>0.230208122470512</v>
      </c>
      <c r="K67" s="97" t="n">
        <v>1</v>
      </c>
      <c r="L67" s="98" t="n">
        <f aca="false">(Yield_Originals!$G67*Yield_Originals!L$1)/Yield_Originals!$K67</f>
        <v>0.272914200446484</v>
      </c>
      <c r="M67" s="98" t="n">
        <f aca="false">(Yield_Originals!$G67*Yield_Originals!M$1)/Yield_Originals!$K67</f>
        <v>0.281442769210437</v>
      </c>
      <c r="N67" s="98" t="n">
        <f aca="false">(Yield_Originals!$G67*Yield_Originals!N$1)/Yield_Originals!$K67</f>
        <v>0.289971337974389</v>
      </c>
      <c r="O67" s="98" t="n">
        <f aca="false">(Yield_Originals!$G67*Yield_Originals!O$1)/Yield_Originals!$K67</f>
        <v>0.298499906738342</v>
      </c>
      <c r="P67" s="99" t="n">
        <f aca="false">(Yield_Originals!$H67*Yield_Originals!P$1)/Yield_Originals!$K67</f>
        <v>0.32657620189735</v>
      </c>
      <c r="Q67" s="99" t="n">
        <f aca="false">(Yield_Originals!$H67*Yield_Originals!Q$1)/Yield_Originals!$K67</f>
        <v>0.335647763061165</v>
      </c>
      <c r="R67" s="99" t="n">
        <f aca="false">(Yield_Originals!$H67*Yield_Originals!R$1)/Yield_Originals!$K67</f>
        <v>0.34471932422498</v>
      </c>
      <c r="S67" s="99" t="n">
        <f aca="false">(Yield_Originals!$H67*Yield_Originals!S$1)/Yield_Originals!$K67</f>
        <v>0.353790885388796</v>
      </c>
      <c r="T67" s="101" t="n">
        <f aca="false">(Yield_Originals!$I67*Yield_Originals!T$1)/Yield_Originals!$K67</f>
        <v>0.384582142547117</v>
      </c>
      <c r="U67" s="101" t="n">
        <f aca="false">(Yield_Originals!$I67*Yield_Originals!U$1)/Yield_Originals!$K67</f>
        <v>0.394196696110794</v>
      </c>
      <c r="V67" s="101" t="n">
        <f aca="false">(Yield_Originals!$I67*Yield_Originals!V$1)/Yield_Originals!$K67</f>
        <v>0.403811249674472</v>
      </c>
      <c r="W67" s="101" t="n">
        <f aca="false">(Yield_Originals!$I67*Yield_Originals!W$1)/Yield_Originals!$K67</f>
        <v>0.41342580323815</v>
      </c>
      <c r="X67" s="102" t="n">
        <f aca="false">(Yield_Originals!$J67*Yield_Originals!X$1)/Yield_Originals!$K67</f>
        <v>0.379843402076345</v>
      </c>
      <c r="Y67" s="102" t="n">
        <f aca="false">(Yield_Originals!$J67*Yield_Originals!Y$1)/Yield_Originals!$K67</f>
        <v>0.388476206668989</v>
      </c>
      <c r="Z67" s="102" t="n">
        <f aca="false">(Yield_Originals!$J67*Yield_Originals!Z$1)/Yield_Originals!$K67</f>
        <v>0.397109011261633</v>
      </c>
      <c r="AA67" s="102" t="n">
        <f aca="false">(Yield_Originals!$J67*Yield_Originals!AA$1)/Yield_Originals!$K67</f>
        <v>0.405741815854277</v>
      </c>
      <c r="AB67" s="102" t="n">
        <f aca="false">(Yield_Originals!$J67*Yield_Originals!AB$1)/Yield_Originals!$K67</f>
        <v>0.414374620446921</v>
      </c>
    </row>
    <row r="68" customFormat="false" ht="15" hidden="false" customHeight="false" outlineLevel="0" collapsed="false">
      <c r="A68" s="66" t="s">
        <v>946</v>
      </c>
      <c r="B68" s="64" t="n">
        <v>2</v>
      </c>
      <c r="C68" s="93" t="s">
        <v>933</v>
      </c>
      <c r="D68" s="93" t="s">
        <v>945</v>
      </c>
      <c r="E68" s="94" t="n">
        <v>22</v>
      </c>
      <c r="F68" s="96" t="n">
        <v>0.22742850037207</v>
      </c>
      <c r="G68" s="96" t="n">
        <v>0.22742850037207</v>
      </c>
      <c r="H68" s="96" t="n">
        <f aca="false">+(Yield_Originals!I68+Yield_Originals!G68)/2</f>
        <v>0.24190829770174</v>
      </c>
      <c r="I68" s="96" t="n">
        <v>0.256388095031411</v>
      </c>
      <c r="J68" s="96" t="n">
        <v>0.230208122470512</v>
      </c>
      <c r="K68" s="97" t="n">
        <v>1</v>
      </c>
      <c r="L68" s="98" t="n">
        <f aca="false">(Yield_Originals!$G68*Yield_Originals!L$1)/Yield_Originals!$K68</f>
        <v>0.272914200446484</v>
      </c>
      <c r="M68" s="98" t="n">
        <f aca="false">(Yield_Originals!$G68*Yield_Originals!M$1)/Yield_Originals!$K68</f>
        <v>0.281442769210437</v>
      </c>
      <c r="N68" s="98" t="n">
        <f aca="false">(Yield_Originals!$G68*Yield_Originals!N$1)/Yield_Originals!$K68</f>
        <v>0.289971337974389</v>
      </c>
      <c r="O68" s="98" t="n">
        <f aca="false">(Yield_Originals!$G68*Yield_Originals!O$1)/Yield_Originals!$K68</f>
        <v>0.298499906738342</v>
      </c>
      <c r="P68" s="99" t="n">
        <f aca="false">(Yield_Originals!$H68*Yield_Originals!P$1)/Yield_Originals!$K68</f>
        <v>0.32657620189735</v>
      </c>
      <c r="Q68" s="99" t="n">
        <f aca="false">(Yield_Originals!$H68*Yield_Originals!Q$1)/Yield_Originals!$K68</f>
        <v>0.335647763061165</v>
      </c>
      <c r="R68" s="99" t="n">
        <f aca="false">(Yield_Originals!$H68*Yield_Originals!R$1)/Yield_Originals!$K68</f>
        <v>0.34471932422498</v>
      </c>
      <c r="S68" s="99" t="n">
        <f aca="false">(Yield_Originals!$H68*Yield_Originals!S$1)/Yield_Originals!$K68</f>
        <v>0.353790885388796</v>
      </c>
      <c r="T68" s="101" t="n">
        <f aca="false">(Yield_Originals!$I68*Yield_Originals!T$1)/Yield_Originals!$K68</f>
        <v>0.384582142547117</v>
      </c>
      <c r="U68" s="101" t="n">
        <f aca="false">(Yield_Originals!$I68*Yield_Originals!U$1)/Yield_Originals!$K68</f>
        <v>0.394196696110794</v>
      </c>
      <c r="V68" s="101" t="n">
        <f aca="false">(Yield_Originals!$I68*Yield_Originals!V$1)/Yield_Originals!$K68</f>
        <v>0.403811249674472</v>
      </c>
      <c r="W68" s="101" t="n">
        <f aca="false">(Yield_Originals!$I68*Yield_Originals!W$1)/Yield_Originals!$K68</f>
        <v>0.41342580323815</v>
      </c>
      <c r="X68" s="102" t="n">
        <f aca="false">(Yield_Originals!$J68*Yield_Originals!X$1)/Yield_Originals!$K68</f>
        <v>0.379843402076345</v>
      </c>
      <c r="Y68" s="102" t="n">
        <f aca="false">(Yield_Originals!$J68*Yield_Originals!Y$1)/Yield_Originals!$K68</f>
        <v>0.388476206668989</v>
      </c>
      <c r="Z68" s="102" t="n">
        <f aca="false">(Yield_Originals!$J68*Yield_Originals!Z$1)/Yield_Originals!$K68</f>
        <v>0.397109011261633</v>
      </c>
      <c r="AA68" s="102" t="n">
        <f aca="false">(Yield_Originals!$J68*Yield_Originals!AA$1)/Yield_Originals!$K68</f>
        <v>0.405741815854277</v>
      </c>
      <c r="AB68" s="102" t="n">
        <f aca="false">(Yield_Originals!$J68*Yield_Originals!AB$1)/Yield_Originals!$K68</f>
        <v>0.414374620446921</v>
      </c>
    </row>
    <row r="69" customFormat="false" ht="15" hidden="false" customHeight="false" outlineLevel="0" collapsed="false">
      <c r="A69" s="64" t="s">
        <v>873</v>
      </c>
      <c r="B69" s="64" t="n">
        <v>2</v>
      </c>
      <c r="C69" s="38" t="s">
        <v>122</v>
      </c>
      <c r="D69" s="38" t="s">
        <v>1455</v>
      </c>
      <c r="E69" s="94" t="n">
        <v>10</v>
      </c>
      <c r="F69" s="96" t="n">
        <v>0.22742850037207</v>
      </c>
      <c r="G69" s="96" t="n">
        <v>0.22742850037207</v>
      </c>
      <c r="H69" s="96" t="n">
        <v>0.24190829770174</v>
      </c>
      <c r="I69" s="96" t="n">
        <v>0.256388095031411</v>
      </c>
      <c r="J69" s="96" t="n">
        <v>0.230208122470512</v>
      </c>
      <c r="K69" s="97" t="n">
        <v>1</v>
      </c>
      <c r="L69" s="98" t="n">
        <f aca="false">(Yield_Originals!$G69*Yield_Originals!L$1)/Yield_Originals!$K69</f>
        <v>0.272914200446484</v>
      </c>
      <c r="M69" s="98" t="n">
        <f aca="false">(Yield_Originals!$G69*Yield_Originals!M$1)/Yield_Originals!$K69</f>
        <v>0.281442769210437</v>
      </c>
      <c r="N69" s="98" t="n">
        <f aca="false">(Yield_Originals!$G69*Yield_Originals!N$1)/Yield_Originals!$K69</f>
        <v>0.289971337974389</v>
      </c>
      <c r="O69" s="98" t="n">
        <f aca="false">(Yield_Originals!$G69*Yield_Originals!O$1)/Yield_Originals!$K69</f>
        <v>0.298499906738342</v>
      </c>
      <c r="P69" s="99" t="n">
        <f aca="false">(Yield_Originals!$H69*Yield_Originals!P$1)/Yield_Originals!$K69</f>
        <v>0.326576201897349</v>
      </c>
      <c r="Q69" s="99" t="n">
        <f aca="false">(Yield_Originals!$H69*Yield_Originals!Q$1)/Yield_Originals!$K69</f>
        <v>0.335647763061164</v>
      </c>
      <c r="R69" s="99" t="n">
        <f aca="false">(Yield_Originals!$H69*Yield_Originals!R$1)/Yield_Originals!$K69</f>
        <v>0.34471932422498</v>
      </c>
      <c r="S69" s="99" t="n">
        <f aca="false">(Yield_Originals!$H69*Yield_Originals!S$1)/Yield_Originals!$K69</f>
        <v>0.353790885388795</v>
      </c>
      <c r="T69" s="101" t="n">
        <f aca="false">(Yield_Originals!$I69*Yield_Originals!T$1)/Yield_Originals!$K69</f>
        <v>0.384582142547117</v>
      </c>
      <c r="U69" s="101" t="n">
        <f aca="false">(Yield_Originals!$I69*Yield_Originals!U$1)/Yield_Originals!$K69</f>
        <v>0.394196696110794</v>
      </c>
      <c r="V69" s="101" t="n">
        <f aca="false">(Yield_Originals!$I69*Yield_Originals!V$1)/Yield_Originals!$K69</f>
        <v>0.403811249674472</v>
      </c>
      <c r="W69" s="101" t="n">
        <f aca="false">(Yield_Originals!$I69*Yield_Originals!W$1)/Yield_Originals!$K69</f>
        <v>0.41342580323815</v>
      </c>
      <c r="X69" s="102" t="n">
        <f aca="false">(Yield_Originals!$J69*Yield_Originals!X$1)/Yield_Originals!$K69</f>
        <v>0.379843402076345</v>
      </c>
      <c r="Y69" s="102" t="n">
        <f aca="false">(Yield_Originals!$J69*Yield_Originals!Y$1)/Yield_Originals!$K69</f>
        <v>0.388476206668989</v>
      </c>
      <c r="Z69" s="102" t="n">
        <f aca="false">(Yield_Originals!$J69*Yield_Originals!Z$1)/Yield_Originals!$K69</f>
        <v>0.397109011261633</v>
      </c>
      <c r="AA69" s="102" t="n">
        <f aca="false">(Yield_Originals!$J69*Yield_Originals!AA$1)/Yield_Originals!$K69</f>
        <v>0.405741815854277</v>
      </c>
      <c r="AB69" s="102" t="n">
        <f aca="false">(Yield_Originals!$J69*Yield_Originals!AB$1)/Yield_Originals!$K69</f>
        <v>0.414374620446921</v>
      </c>
    </row>
    <row r="70" customFormat="false" ht="15" hidden="false" customHeight="false" outlineLevel="0" collapsed="false">
      <c r="A70" s="64" t="s">
        <v>873</v>
      </c>
      <c r="B70" s="64" t="n">
        <v>2</v>
      </c>
      <c r="C70" s="38" t="s">
        <v>122</v>
      </c>
      <c r="D70" s="38" t="s">
        <v>1455</v>
      </c>
      <c r="E70" s="94" t="n">
        <v>17</v>
      </c>
      <c r="F70" s="96" t="n">
        <v>0.22742850037207</v>
      </c>
      <c r="G70" s="96" t="n">
        <v>0.22742850037207</v>
      </c>
      <c r="H70" s="96" t="n">
        <v>0.24190829770174</v>
      </c>
      <c r="I70" s="96" t="n">
        <v>0.256388095031411</v>
      </c>
      <c r="J70" s="96" t="n">
        <v>0.230208122470512</v>
      </c>
      <c r="K70" s="97" t="n">
        <v>1</v>
      </c>
      <c r="L70" s="98" t="n">
        <f aca="false">(Yield_Originals!$G70*Yield_Originals!L$1)/Yield_Originals!$K70</f>
        <v>0.272914200446484</v>
      </c>
      <c r="M70" s="98" t="n">
        <f aca="false">(Yield_Originals!$G70*Yield_Originals!M$1)/Yield_Originals!$K70</f>
        <v>0.281442769210437</v>
      </c>
      <c r="N70" s="98" t="n">
        <f aca="false">(Yield_Originals!$G70*Yield_Originals!N$1)/Yield_Originals!$K70</f>
        <v>0.289971337974389</v>
      </c>
      <c r="O70" s="98" t="n">
        <f aca="false">(Yield_Originals!$G70*Yield_Originals!O$1)/Yield_Originals!$K70</f>
        <v>0.298499906738342</v>
      </c>
      <c r="P70" s="99" t="n">
        <f aca="false">(Yield_Originals!$H70*Yield_Originals!P$1)/Yield_Originals!$K70</f>
        <v>0.326576201897349</v>
      </c>
      <c r="Q70" s="99" t="n">
        <f aca="false">(Yield_Originals!$H70*Yield_Originals!Q$1)/Yield_Originals!$K70</f>
        <v>0.335647763061164</v>
      </c>
      <c r="R70" s="99" t="n">
        <f aca="false">(Yield_Originals!$H70*Yield_Originals!R$1)/Yield_Originals!$K70</f>
        <v>0.34471932422498</v>
      </c>
      <c r="S70" s="99" t="n">
        <f aca="false">(Yield_Originals!$H70*Yield_Originals!S$1)/Yield_Originals!$K70</f>
        <v>0.353790885388795</v>
      </c>
      <c r="T70" s="101" t="n">
        <f aca="false">(Yield_Originals!$I70*Yield_Originals!T$1)/Yield_Originals!$K70</f>
        <v>0.384582142547117</v>
      </c>
      <c r="U70" s="101" t="n">
        <f aca="false">(Yield_Originals!$I70*Yield_Originals!U$1)/Yield_Originals!$K70</f>
        <v>0.394196696110794</v>
      </c>
      <c r="V70" s="101" t="n">
        <f aca="false">(Yield_Originals!$I70*Yield_Originals!V$1)/Yield_Originals!$K70</f>
        <v>0.403811249674472</v>
      </c>
      <c r="W70" s="101" t="n">
        <f aca="false">(Yield_Originals!$I70*Yield_Originals!W$1)/Yield_Originals!$K70</f>
        <v>0.41342580323815</v>
      </c>
      <c r="X70" s="102" t="n">
        <f aca="false">(Yield_Originals!$J70*Yield_Originals!X$1)/Yield_Originals!$K70</f>
        <v>0.379843402076345</v>
      </c>
      <c r="Y70" s="102" t="n">
        <f aca="false">(Yield_Originals!$J70*Yield_Originals!Y$1)/Yield_Originals!$K70</f>
        <v>0.388476206668989</v>
      </c>
      <c r="Z70" s="102" t="n">
        <f aca="false">(Yield_Originals!$J70*Yield_Originals!Z$1)/Yield_Originals!$K70</f>
        <v>0.397109011261633</v>
      </c>
      <c r="AA70" s="102" t="n">
        <f aca="false">(Yield_Originals!$J70*Yield_Originals!AA$1)/Yield_Originals!$K70</f>
        <v>0.405741815854277</v>
      </c>
      <c r="AB70" s="102" t="n">
        <f aca="false">(Yield_Originals!$J70*Yield_Originals!AB$1)/Yield_Originals!$K70</f>
        <v>0.414374620446921</v>
      </c>
    </row>
    <row r="71" customFormat="false" ht="15" hidden="false" customHeight="false" outlineLevel="0" collapsed="false">
      <c r="A71" s="64" t="s">
        <v>873</v>
      </c>
      <c r="B71" s="64" t="n">
        <v>2</v>
      </c>
      <c r="C71" s="38" t="s">
        <v>938</v>
      </c>
      <c r="D71" s="38" t="s">
        <v>1455</v>
      </c>
      <c r="E71" s="94" t="n">
        <v>10</v>
      </c>
      <c r="F71" s="96" t="n">
        <v>0.22742850037207</v>
      </c>
      <c r="G71" s="96" t="n">
        <v>0.22742850037207</v>
      </c>
      <c r="H71" s="96" t="n">
        <v>0.24190829770174</v>
      </c>
      <c r="I71" s="96" t="n">
        <v>0.256388095031411</v>
      </c>
      <c r="J71" s="96" t="n">
        <v>0.230208122470512</v>
      </c>
      <c r="K71" s="97" t="n">
        <v>1</v>
      </c>
      <c r="L71" s="98" t="n">
        <f aca="false">(Yield_Originals!$G71*Yield_Originals!L$1)/Yield_Originals!$K71</f>
        <v>0.272914200446484</v>
      </c>
      <c r="M71" s="98" t="n">
        <f aca="false">(Yield_Originals!$G71*Yield_Originals!M$1)/Yield_Originals!$K71</f>
        <v>0.281442769210437</v>
      </c>
      <c r="N71" s="98" t="n">
        <f aca="false">(Yield_Originals!$G71*Yield_Originals!N$1)/Yield_Originals!$K71</f>
        <v>0.289971337974389</v>
      </c>
      <c r="O71" s="98" t="n">
        <f aca="false">(Yield_Originals!$G71*Yield_Originals!O$1)/Yield_Originals!$K71</f>
        <v>0.298499906738342</v>
      </c>
      <c r="P71" s="99" t="n">
        <f aca="false">(Yield_Originals!$H71*Yield_Originals!P$1)/Yield_Originals!$K71</f>
        <v>0.326576201897349</v>
      </c>
      <c r="Q71" s="99" t="n">
        <f aca="false">(Yield_Originals!$H71*Yield_Originals!Q$1)/Yield_Originals!$K71</f>
        <v>0.335647763061164</v>
      </c>
      <c r="R71" s="99" t="n">
        <f aca="false">(Yield_Originals!$H71*Yield_Originals!R$1)/Yield_Originals!$K71</f>
        <v>0.34471932422498</v>
      </c>
      <c r="S71" s="99" t="n">
        <f aca="false">(Yield_Originals!$H71*Yield_Originals!S$1)/Yield_Originals!$K71</f>
        <v>0.353790885388795</v>
      </c>
      <c r="T71" s="101" t="n">
        <f aca="false">(Yield_Originals!$I71*Yield_Originals!T$1)/Yield_Originals!$K71</f>
        <v>0.384582142547117</v>
      </c>
      <c r="U71" s="101" t="n">
        <f aca="false">(Yield_Originals!$I71*Yield_Originals!U$1)/Yield_Originals!$K71</f>
        <v>0.394196696110794</v>
      </c>
      <c r="V71" s="101" t="n">
        <f aca="false">(Yield_Originals!$I71*Yield_Originals!V$1)/Yield_Originals!$K71</f>
        <v>0.403811249674472</v>
      </c>
      <c r="W71" s="101" t="n">
        <f aca="false">(Yield_Originals!$I71*Yield_Originals!W$1)/Yield_Originals!$K71</f>
        <v>0.41342580323815</v>
      </c>
      <c r="X71" s="102" t="n">
        <f aca="false">(Yield_Originals!$J71*Yield_Originals!X$1)/Yield_Originals!$K71</f>
        <v>0.379843402076345</v>
      </c>
      <c r="Y71" s="102" t="n">
        <f aca="false">(Yield_Originals!$J71*Yield_Originals!Y$1)/Yield_Originals!$K71</f>
        <v>0.388476206668989</v>
      </c>
      <c r="Z71" s="102" t="n">
        <f aca="false">(Yield_Originals!$J71*Yield_Originals!Z$1)/Yield_Originals!$K71</f>
        <v>0.397109011261633</v>
      </c>
      <c r="AA71" s="102" t="n">
        <f aca="false">(Yield_Originals!$J71*Yield_Originals!AA$1)/Yield_Originals!$K71</f>
        <v>0.405741815854277</v>
      </c>
      <c r="AB71" s="102" t="n">
        <f aca="false">(Yield_Originals!$J71*Yield_Originals!AB$1)/Yield_Originals!$K71</f>
        <v>0.414374620446921</v>
      </c>
    </row>
    <row r="72" customFormat="false" ht="15" hidden="false" customHeight="false" outlineLevel="0" collapsed="false">
      <c r="A72" s="64" t="s">
        <v>873</v>
      </c>
      <c r="B72" s="64" t="n">
        <v>2</v>
      </c>
      <c r="C72" s="38" t="s">
        <v>938</v>
      </c>
      <c r="D72" s="38" t="s">
        <v>1455</v>
      </c>
      <c r="E72" s="94" t="n">
        <v>17</v>
      </c>
      <c r="F72" s="96" t="n">
        <v>0.22742850037207</v>
      </c>
      <c r="G72" s="96" t="n">
        <v>0.22742850037207</v>
      </c>
      <c r="H72" s="96" t="n">
        <v>0.24190829770174</v>
      </c>
      <c r="I72" s="96" t="n">
        <v>0.256388095031411</v>
      </c>
      <c r="J72" s="96" t="n">
        <v>0.230208122470512</v>
      </c>
      <c r="K72" s="97" t="n">
        <v>1</v>
      </c>
      <c r="L72" s="98" t="n">
        <f aca="false">(Yield_Originals!$G72*Yield_Originals!L$1)/Yield_Originals!$K72</f>
        <v>0.272914200446484</v>
      </c>
      <c r="M72" s="98" t="n">
        <f aca="false">(Yield_Originals!$G72*Yield_Originals!M$1)/Yield_Originals!$K72</f>
        <v>0.281442769210437</v>
      </c>
      <c r="N72" s="98" t="n">
        <f aca="false">(Yield_Originals!$G72*Yield_Originals!N$1)/Yield_Originals!$K72</f>
        <v>0.289971337974389</v>
      </c>
      <c r="O72" s="98" t="n">
        <f aca="false">(Yield_Originals!$G72*Yield_Originals!O$1)/Yield_Originals!$K72</f>
        <v>0.298499906738342</v>
      </c>
      <c r="P72" s="99" t="n">
        <f aca="false">(Yield_Originals!$H72*Yield_Originals!P$1)/Yield_Originals!$K72</f>
        <v>0.326576201897349</v>
      </c>
      <c r="Q72" s="99" t="n">
        <f aca="false">(Yield_Originals!$H72*Yield_Originals!Q$1)/Yield_Originals!$K72</f>
        <v>0.335647763061164</v>
      </c>
      <c r="R72" s="99" t="n">
        <f aca="false">(Yield_Originals!$H72*Yield_Originals!R$1)/Yield_Originals!$K72</f>
        <v>0.34471932422498</v>
      </c>
      <c r="S72" s="99" t="n">
        <f aca="false">(Yield_Originals!$H72*Yield_Originals!S$1)/Yield_Originals!$K72</f>
        <v>0.353790885388795</v>
      </c>
      <c r="T72" s="101" t="n">
        <f aca="false">(Yield_Originals!$I72*Yield_Originals!T$1)/Yield_Originals!$K72</f>
        <v>0.384582142547117</v>
      </c>
      <c r="U72" s="101" t="n">
        <f aca="false">(Yield_Originals!$I72*Yield_Originals!U$1)/Yield_Originals!$K72</f>
        <v>0.394196696110794</v>
      </c>
      <c r="V72" s="101" t="n">
        <f aca="false">(Yield_Originals!$I72*Yield_Originals!V$1)/Yield_Originals!$K72</f>
        <v>0.403811249674472</v>
      </c>
      <c r="W72" s="101" t="n">
        <f aca="false">(Yield_Originals!$I72*Yield_Originals!W$1)/Yield_Originals!$K72</f>
        <v>0.41342580323815</v>
      </c>
      <c r="X72" s="102" t="n">
        <f aca="false">(Yield_Originals!$J72*Yield_Originals!X$1)/Yield_Originals!$K72</f>
        <v>0.379843402076345</v>
      </c>
      <c r="Y72" s="102" t="n">
        <f aca="false">(Yield_Originals!$J72*Yield_Originals!Y$1)/Yield_Originals!$K72</f>
        <v>0.388476206668989</v>
      </c>
      <c r="Z72" s="102" t="n">
        <f aca="false">(Yield_Originals!$J72*Yield_Originals!Z$1)/Yield_Originals!$K72</f>
        <v>0.397109011261633</v>
      </c>
      <c r="AA72" s="102" t="n">
        <f aca="false">(Yield_Originals!$J72*Yield_Originals!AA$1)/Yield_Originals!$K72</f>
        <v>0.405741815854277</v>
      </c>
      <c r="AB72" s="102" t="n">
        <f aca="false">(Yield_Originals!$J72*Yield_Originals!AB$1)/Yield_Originals!$K72</f>
        <v>0.414374620446921</v>
      </c>
    </row>
    <row r="73" customFormat="false" ht="15" hidden="false" customHeight="false" outlineLevel="0" collapsed="false">
      <c r="A73" s="64" t="s">
        <v>873</v>
      </c>
      <c r="B73" s="64" t="n">
        <v>2</v>
      </c>
      <c r="C73" s="38" t="s">
        <v>214</v>
      </c>
      <c r="D73" s="38" t="s">
        <v>1455</v>
      </c>
      <c r="E73" s="94" t="n">
        <v>10</v>
      </c>
      <c r="F73" s="96" t="n">
        <v>0.22742850037207</v>
      </c>
      <c r="G73" s="96" t="n">
        <v>0.22742850037207</v>
      </c>
      <c r="H73" s="96" t="n">
        <v>0.24190829770174</v>
      </c>
      <c r="I73" s="96" t="n">
        <v>0.256388095031411</v>
      </c>
      <c r="J73" s="96" t="n">
        <v>0.230208122470512</v>
      </c>
      <c r="K73" s="97" t="n">
        <v>1</v>
      </c>
      <c r="L73" s="98" t="n">
        <f aca="false">(Yield_Originals!$G73*Yield_Originals!L$1)/Yield_Originals!$K73</f>
        <v>0.272914200446484</v>
      </c>
      <c r="M73" s="98" t="n">
        <f aca="false">(Yield_Originals!$G73*Yield_Originals!M$1)/Yield_Originals!$K73</f>
        <v>0.281442769210437</v>
      </c>
      <c r="N73" s="98" t="n">
        <f aca="false">(Yield_Originals!$G73*Yield_Originals!N$1)/Yield_Originals!$K73</f>
        <v>0.289971337974389</v>
      </c>
      <c r="O73" s="98" t="n">
        <f aca="false">(Yield_Originals!$G73*Yield_Originals!O$1)/Yield_Originals!$K73</f>
        <v>0.298499906738342</v>
      </c>
      <c r="P73" s="99" t="n">
        <f aca="false">(Yield_Originals!$H73*Yield_Originals!P$1)/Yield_Originals!$K73</f>
        <v>0.326576201897349</v>
      </c>
      <c r="Q73" s="99" t="n">
        <f aca="false">(Yield_Originals!$H73*Yield_Originals!Q$1)/Yield_Originals!$K73</f>
        <v>0.335647763061164</v>
      </c>
      <c r="R73" s="99" t="n">
        <f aca="false">(Yield_Originals!$H73*Yield_Originals!R$1)/Yield_Originals!$K73</f>
        <v>0.34471932422498</v>
      </c>
      <c r="S73" s="99" t="n">
        <f aca="false">(Yield_Originals!$H73*Yield_Originals!S$1)/Yield_Originals!$K73</f>
        <v>0.353790885388795</v>
      </c>
      <c r="T73" s="101" t="n">
        <f aca="false">(Yield_Originals!$I73*Yield_Originals!T$1)/Yield_Originals!$K73</f>
        <v>0.384582142547117</v>
      </c>
      <c r="U73" s="101" t="n">
        <f aca="false">(Yield_Originals!$I73*Yield_Originals!U$1)/Yield_Originals!$K73</f>
        <v>0.394196696110794</v>
      </c>
      <c r="V73" s="101" t="n">
        <f aca="false">(Yield_Originals!$I73*Yield_Originals!V$1)/Yield_Originals!$K73</f>
        <v>0.403811249674472</v>
      </c>
      <c r="W73" s="101" t="n">
        <f aca="false">(Yield_Originals!$I73*Yield_Originals!W$1)/Yield_Originals!$K73</f>
        <v>0.41342580323815</v>
      </c>
      <c r="X73" s="102" t="n">
        <f aca="false">(Yield_Originals!$J73*Yield_Originals!X$1)/Yield_Originals!$K73</f>
        <v>0.379843402076345</v>
      </c>
      <c r="Y73" s="102" t="n">
        <f aca="false">(Yield_Originals!$J73*Yield_Originals!Y$1)/Yield_Originals!$K73</f>
        <v>0.388476206668989</v>
      </c>
      <c r="Z73" s="102" t="n">
        <f aca="false">(Yield_Originals!$J73*Yield_Originals!Z$1)/Yield_Originals!$K73</f>
        <v>0.397109011261633</v>
      </c>
      <c r="AA73" s="102" t="n">
        <f aca="false">(Yield_Originals!$J73*Yield_Originals!AA$1)/Yield_Originals!$K73</f>
        <v>0.405741815854277</v>
      </c>
      <c r="AB73" s="102" t="n">
        <f aca="false">(Yield_Originals!$J73*Yield_Originals!AB$1)/Yield_Originals!$K73</f>
        <v>0.414374620446921</v>
      </c>
    </row>
    <row r="74" customFormat="false" ht="15" hidden="false" customHeight="false" outlineLevel="0" collapsed="false">
      <c r="A74" s="64" t="s">
        <v>873</v>
      </c>
      <c r="B74" s="64" t="n">
        <v>2</v>
      </c>
      <c r="C74" s="38" t="s">
        <v>214</v>
      </c>
      <c r="D74" s="38" t="s">
        <v>1455</v>
      </c>
      <c r="E74" s="94" t="n">
        <v>17</v>
      </c>
      <c r="F74" s="96" t="n">
        <v>0.22742850037207</v>
      </c>
      <c r="G74" s="96" t="n">
        <v>0.22742850037207</v>
      </c>
      <c r="H74" s="96" t="n">
        <v>0.24190829770174</v>
      </c>
      <c r="I74" s="96" t="n">
        <v>0.256388095031411</v>
      </c>
      <c r="J74" s="96" t="n">
        <v>0.230208122470512</v>
      </c>
      <c r="K74" s="97" t="n">
        <v>1</v>
      </c>
      <c r="L74" s="98" t="n">
        <f aca="false">(Yield_Originals!$G74*Yield_Originals!L$1)/Yield_Originals!$K74</f>
        <v>0.272914200446484</v>
      </c>
      <c r="M74" s="98" t="n">
        <f aca="false">(Yield_Originals!$G74*Yield_Originals!M$1)/Yield_Originals!$K74</f>
        <v>0.281442769210437</v>
      </c>
      <c r="N74" s="98" t="n">
        <f aca="false">(Yield_Originals!$G74*Yield_Originals!N$1)/Yield_Originals!$K74</f>
        <v>0.289971337974389</v>
      </c>
      <c r="O74" s="98" t="n">
        <f aca="false">(Yield_Originals!$G74*Yield_Originals!O$1)/Yield_Originals!$K74</f>
        <v>0.298499906738342</v>
      </c>
      <c r="P74" s="99" t="n">
        <f aca="false">(Yield_Originals!$H74*Yield_Originals!P$1)/Yield_Originals!$K74</f>
        <v>0.326576201897349</v>
      </c>
      <c r="Q74" s="99" t="n">
        <f aca="false">(Yield_Originals!$H74*Yield_Originals!Q$1)/Yield_Originals!$K74</f>
        <v>0.335647763061164</v>
      </c>
      <c r="R74" s="99" t="n">
        <f aca="false">(Yield_Originals!$H74*Yield_Originals!R$1)/Yield_Originals!$K74</f>
        <v>0.34471932422498</v>
      </c>
      <c r="S74" s="99" t="n">
        <f aca="false">(Yield_Originals!$H74*Yield_Originals!S$1)/Yield_Originals!$K74</f>
        <v>0.353790885388795</v>
      </c>
      <c r="T74" s="101" t="n">
        <f aca="false">(Yield_Originals!$I74*Yield_Originals!T$1)/Yield_Originals!$K74</f>
        <v>0.384582142547117</v>
      </c>
      <c r="U74" s="101" t="n">
        <f aca="false">(Yield_Originals!$I74*Yield_Originals!U$1)/Yield_Originals!$K74</f>
        <v>0.394196696110794</v>
      </c>
      <c r="V74" s="101" t="n">
        <f aca="false">(Yield_Originals!$I74*Yield_Originals!V$1)/Yield_Originals!$K74</f>
        <v>0.403811249674472</v>
      </c>
      <c r="W74" s="101" t="n">
        <f aca="false">(Yield_Originals!$I74*Yield_Originals!W$1)/Yield_Originals!$K74</f>
        <v>0.41342580323815</v>
      </c>
      <c r="X74" s="102" t="n">
        <f aca="false">(Yield_Originals!$J74*Yield_Originals!X$1)/Yield_Originals!$K74</f>
        <v>0.379843402076345</v>
      </c>
      <c r="Y74" s="102" t="n">
        <f aca="false">(Yield_Originals!$J74*Yield_Originals!Y$1)/Yield_Originals!$K74</f>
        <v>0.388476206668989</v>
      </c>
      <c r="Z74" s="102" t="n">
        <f aca="false">(Yield_Originals!$J74*Yield_Originals!Z$1)/Yield_Originals!$K74</f>
        <v>0.397109011261633</v>
      </c>
      <c r="AA74" s="102" t="n">
        <f aca="false">(Yield_Originals!$J74*Yield_Originals!AA$1)/Yield_Originals!$K74</f>
        <v>0.405741815854277</v>
      </c>
      <c r="AB74" s="102" t="n">
        <f aca="false">(Yield_Originals!$J74*Yield_Originals!AB$1)/Yield_Originals!$K74</f>
        <v>0.414374620446921</v>
      </c>
    </row>
    <row r="75" customFormat="false" ht="15" hidden="false" customHeight="false" outlineLevel="0" collapsed="false">
      <c r="A75" s="64" t="s">
        <v>873</v>
      </c>
      <c r="B75" s="64" t="n">
        <v>2</v>
      </c>
      <c r="C75" s="38" t="s">
        <v>944</v>
      </c>
      <c r="D75" s="38" t="s">
        <v>1455</v>
      </c>
      <c r="E75" s="94" t="n">
        <v>10</v>
      </c>
      <c r="F75" s="96" t="n">
        <v>0.22742850037207</v>
      </c>
      <c r="G75" s="96" t="n">
        <v>0.22742850037207</v>
      </c>
      <c r="H75" s="96" t="n">
        <v>0.24190829770174</v>
      </c>
      <c r="I75" s="96" t="n">
        <v>0.256388095031411</v>
      </c>
      <c r="J75" s="96" t="n">
        <v>0.230208122470512</v>
      </c>
      <c r="K75" s="97" t="n">
        <v>1</v>
      </c>
      <c r="L75" s="98" t="n">
        <f aca="false">(Yield_Originals!$G75*Yield_Originals!L$1)/Yield_Originals!$K75</f>
        <v>0.272914200446484</v>
      </c>
      <c r="M75" s="98" t="n">
        <f aca="false">(Yield_Originals!$G75*Yield_Originals!M$1)/Yield_Originals!$K75</f>
        <v>0.281442769210437</v>
      </c>
      <c r="N75" s="98" t="n">
        <f aca="false">(Yield_Originals!$G75*Yield_Originals!N$1)/Yield_Originals!$K75</f>
        <v>0.289971337974389</v>
      </c>
      <c r="O75" s="98" t="n">
        <f aca="false">(Yield_Originals!$G75*Yield_Originals!O$1)/Yield_Originals!$K75</f>
        <v>0.298499906738342</v>
      </c>
      <c r="P75" s="99" t="n">
        <f aca="false">(Yield_Originals!$H75*Yield_Originals!P$1)/Yield_Originals!$K75</f>
        <v>0.326576201897349</v>
      </c>
      <c r="Q75" s="99" t="n">
        <f aca="false">(Yield_Originals!$H75*Yield_Originals!Q$1)/Yield_Originals!$K75</f>
        <v>0.335647763061164</v>
      </c>
      <c r="R75" s="99" t="n">
        <f aca="false">(Yield_Originals!$H75*Yield_Originals!R$1)/Yield_Originals!$K75</f>
        <v>0.34471932422498</v>
      </c>
      <c r="S75" s="99" t="n">
        <f aca="false">(Yield_Originals!$H75*Yield_Originals!S$1)/Yield_Originals!$K75</f>
        <v>0.353790885388795</v>
      </c>
      <c r="T75" s="101" t="n">
        <f aca="false">(Yield_Originals!$I75*Yield_Originals!T$1)/Yield_Originals!$K75</f>
        <v>0.384582142547117</v>
      </c>
      <c r="U75" s="101" t="n">
        <f aca="false">(Yield_Originals!$I75*Yield_Originals!U$1)/Yield_Originals!$K75</f>
        <v>0.394196696110794</v>
      </c>
      <c r="V75" s="101" t="n">
        <f aca="false">(Yield_Originals!$I75*Yield_Originals!V$1)/Yield_Originals!$K75</f>
        <v>0.403811249674472</v>
      </c>
      <c r="W75" s="101" t="n">
        <f aca="false">(Yield_Originals!$I75*Yield_Originals!W$1)/Yield_Originals!$K75</f>
        <v>0.41342580323815</v>
      </c>
      <c r="X75" s="102" t="n">
        <f aca="false">(Yield_Originals!$J75*Yield_Originals!X$1)/Yield_Originals!$K75</f>
        <v>0.379843402076345</v>
      </c>
      <c r="Y75" s="102" t="n">
        <f aca="false">(Yield_Originals!$J75*Yield_Originals!Y$1)/Yield_Originals!$K75</f>
        <v>0.388476206668989</v>
      </c>
      <c r="Z75" s="102" t="n">
        <f aca="false">(Yield_Originals!$J75*Yield_Originals!Z$1)/Yield_Originals!$K75</f>
        <v>0.397109011261633</v>
      </c>
      <c r="AA75" s="102" t="n">
        <f aca="false">(Yield_Originals!$J75*Yield_Originals!AA$1)/Yield_Originals!$K75</f>
        <v>0.405741815854277</v>
      </c>
      <c r="AB75" s="102" t="n">
        <f aca="false">(Yield_Originals!$J75*Yield_Originals!AB$1)/Yield_Originals!$K75</f>
        <v>0.414374620446921</v>
      </c>
    </row>
    <row r="76" customFormat="false" ht="15" hidden="false" customHeight="false" outlineLevel="0" collapsed="false">
      <c r="A76" s="64" t="s">
        <v>873</v>
      </c>
      <c r="B76" s="64" t="n">
        <v>2</v>
      </c>
      <c r="C76" s="38" t="s">
        <v>944</v>
      </c>
      <c r="D76" s="38" t="s">
        <v>1455</v>
      </c>
      <c r="E76" s="94" t="n">
        <v>17</v>
      </c>
      <c r="F76" s="96" t="n">
        <v>0.22742850037207</v>
      </c>
      <c r="G76" s="96" t="n">
        <v>0.22742850037207</v>
      </c>
      <c r="H76" s="96" t="n">
        <v>0.24190829770174</v>
      </c>
      <c r="I76" s="96" t="n">
        <v>0.256388095031411</v>
      </c>
      <c r="J76" s="96" t="n">
        <v>0.230208122470512</v>
      </c>
      <c r="K76" s="97" t="n">
        <v>1</v>
      </c>
      <c r="L76" s="98" t="n">
        <f aca="false">(Yield_Originals!$G76*Yield_Originals!L$1)/Yield_Originals!$K76</f>
        <v>0.272914200446484</v>
      </c>
      <c r="M76" s="98" t="n">
        <f aca="false">(Yield_Originals!$G76*Yield_Originals!M$1)/Yield_Originals!$K76</f>
        <v>0.281442769210437</v>
      </c>
      <c r="N76" s="98" t="n">
        <f aca="false">(Yield_Originals!$G76*Yield_Originals!N$1)/Yield_Originals!$K76</f>
        <v>0.289971337974389</v>
      </c>
      <c r="O76" s="98" t="n">
        <f aca="false">(Yield_Originals!$G76*Yield_Originals!O$1)/Yield_Originals!$K76</f>
        <v>0.298499906738342</v>
      </c>
      <c r="P76" s="99" t="n">
        <f aca="false">(Yield_Originals!$H76*Yield_Originals!P$1)/Yield_Originals!$K76</f>
        <v>0.326576201897349</v>
      </c>
      <c r="Q76" s="99" t="n">
        <f aca="false">(Yield_Originals!$H76*Yield_Originals!Q$1)/Yield_Originals!$K76</f>
        <v>0.335647763061164</v>
      </c>
      <c r="R76" s="99" t="n">
        <f aca="false">(Yield_Originals!$H76*Yield_Originals!R$1)/Yield_Originals!$K76</f>
        <v>0.34471932422498</v>
      </c>
      <c r="S76" s="99" t="n">
        <f aca="false">(Yield_Originals!$H76*Yield_Originals!S$1)/Yield_Originals!$K76</f>
        <v>0.353790885388795</v>
      </c>
      <c r="T76" s="101" t="n">
        <f aca="false">(Yield_Originals!$I76*Yield_Originals!T$1)/Yield_Originals!$K76</f>
        <v>0.384582142547117</v>
      </c>
      <c r="U76" s="101" t="n">
        <f aca="false">(Yield_Originals!$I76*Yield_Originals!U$1)/Yield_Originals!$K76</f>
        <v>0.394196696110794</v>
      </c>
      <c r="V76" s="101" t="n">
        <f aca="false">(Yield_Originals!$I76*Yield_Originals!V$1)/Yield_Originals!$K76</f>
        <v>0.403811249674472</v>
      </c>
      <c r="W76" s="101" t="n">
        <f aca="false">(Yield_Originals!$I76*Yield_Originals!W$1)/Yield_Originals!$K76</f>
        <v>0.41342580323815</v>
      </c>
      <c r="X76" s="102" t="n">
        <f aca="false">(Yield_Originals!$J76*Yield_Originals!X$1)/Yield_Originals!$K76</f>
        <v>0.379843402076345</v>
      </c>
      <c r="Y76" s="102" t="n">
        <f aca="false">(Yield_Originals!$J76*Yield_Originals!Y$1)/Yield_Originals!$K76</f>
        <v>0.388476206668989</v>
      </c>
      <c r="Z76" s="102" t="n">
        <f aca="false">(Yield_Originals!$J76*Yield_Originals!Z$1)/Yield_Originals!$K76</f>
        <v>0.397109011261633</v>
      </c>
      <c r="AA76" s="102" t="n">
        <f aca="false">(Yield_Originals!$J76*Yield_Originals!AA$1)/Yield_Originals!$K76</f>
        <v>0.405741815854277</v>
      </c>
      <c r="AB76" s="102" t="n">
        <f aca="false">(Yield_Originals!$J76*Yield_Originals!AB$1)/Yield_Originals!$K76</f>
        <v>0.414374620446921</v>
      </c>
    </row>
    <row r="77" customFormat="false" ht="15" hidden="false" customHeight="false" outlineLevel="0" collapsed="false">
      <c r="A77" s="64" t="s">
        <v>873</v>
      </c>
      <c r="B77" s="64" t="n">
        <v>2</v>
      </c>
      <c r="C77" s="38" t="s">
        <v>948</v>
      </c>
      <c r="D77" s="38" t="s">
        <v>1459</v>
      </c>
      <c r="E77" s="94" t="n">
        <v>10</v>
      </c>
      <c r="F77" s="96" t="n">
        <v>0.22742850037207</v>
      </c>
      <c r="G77" s="96" t="n">
        <v>0.22742850037207</v>
      </c>
      <c r="H77" s="96" t="n">
        <v>0.24190829770174</v>
      </c>
      <c r="I77" s="96" t="n">
        <v>0.256388095031411</v>
      </c>
      <c r="J77" s="96" t="n">
        <v>0.230208122470512</v>
      </c>
      <c r="K77" s="97" t="n">
        <v>1</v>
      </c>
      <c r="L77" s="98" t="n">
        <f aca="false">(Yield_Originals!$G77*Yield_Originals!L$1)/Yield_Originals!$K77</f>
        <v>0.272914200446484</v>
      </c>
      <c r="M77" s="98" t="n">
        <f aca="false">(Yield_Originals!$G77*Yield_Originals!M$1)/Yield_Originals!$K77</f>
        <v>0.281442769210437</v>
      </c>
      <c r="N77" s="98" t="n">
        <f aca="false">(Yield_Originals!$G77*Yield_Originals!N$1)/Yield_Originals!$K77</f>
        <v>0.289971337974389</v>
      </c>
      <c r="O77" s="98" t="n">
        <f aca="false">(Yield_Originals!$G77*Yield_Originals!O$1)/Yield_Originals!$K77</f>
        <v>0.298499906738342</v>
      </c>
      <c r="P77" s="99" t="n">
        <f aca="false">(Yield_Originals!$H77*Yield_Originals!P$1)/Yield_Originals!$K77</f>
        <v>0.326576201897349</v>
      </c>
      <c r="Q77" s="99" t="n">
        <f aca="false">(Yield_Originals!$H77*Yield_Originals!Q$1)/Yield_Originals!$K77</f>
        <v>0.335647763061164</v>
      </c>
      <c r="R77" s="99" t="n">
        <f aca="false">(Yield_Originals!$H77*Yield_Originals!R$1)/Yield_Originals!$K77</f>
        <v>0.34471932422498</v>
      </c>
      <c r="S77" s="99" t="n">
        <f aca="false">(Yield_Originals!$H77*Yield_Originals!S$1)/Yield_Originals!$K77</f>
        <v>0.353790885388795</v>
      </c>
      <c r="T77" s="101" t="n">
        <f aca="false">(Yield_Originals!$I77*Yield_Originals!T$1)/Yield_Originals!$K77</f>
        <v>0.384582142547117</v>
      </c>
      <c r="U77" s="101" t="n">
        <f aca="false">(Yield_Originals!$I77*Yield_Originals!U$1)/Yield_Originals!$K77</f>
        <v>0.394196696110794</v>
      </c>
      <c r="V77" s="101" t="n">
        <f aca="false">(Yield_Originals!$I77*Yield_Originals!V$1)/Yield_Originals!$K77</f>
        <v>0.403811249674472</v>
      </c>
      <c r="W77" s="101" t="n">
        <f aca="false">(Yield_Originals!$I77*Yield_Originals!W$1)/Yield_Originals!$K77</f>
        <v>0.41342580323815</v>
      </c>
      <c r="X77" s="102" t="n">
        <f aca="false">(Yield_Originals!$J77*Yield_Originals!X$1)/Yield_Originals!$K77</f>
        <v>0.379843402076345</v>
      </c>
      <c r="Y77" s="102" t="n">
        <f aca="false">(Yield_Originals!$J77*Yield_Originals!Y$1)/Yield_Originals!$K77</f>
        <v>0.388476206668989</v>
      </c>
      <c r="Z77" s="102" t="n">
        <f aca="false">(Yield_Originals!$J77*Yield_Originals!Z$1)/Yield_Originals!$K77</f>
        <v>0.397109011261633</v>
      </c>
      <c r="AA77" s="102" t="n">
        <f aca="false">(Yield_Originals!$J77*Yield_Originals!AA$1)/Yield_Originals!$K77</f>
        <v>0.405741815854277</v>
      </c>
      <c r="AB77" s="102" t="n">
        <f aca="false">(Yield_Originals!$J77*Yield_Originals!AB$1)/Yield_Originals!$K77</f>
        <v>0.414374620446921</v>
      </c>
    </row>
    <row r="78" customFormat="false" ht="15" hidden="false" customHeight="false" outlineLevel="0" collapsed="false">
      <c r="A78" s="64" t="s">
        <v>873</v>
      </c>
      <c r="B78" s="64" t="n">
        <v>2</v>
      </c>
      <c r="C78" s="38" t="s">
        <v>948</v>
      </c>
      <c r="D78" s="38" t="s">
        <v>1459</v>
      </c>
      <c r="E78" s="94" t="n">
        <v>17</v>
      </c>
      <c r="F78" s="96" t="n">
        <v>0.22742850037207</v>
      </c>
      <c r="G78" s="96" t="n">
        <v>0.22742850037207</v>
      </c>
      <c r="H78" s="96" t="n">
        <v>0.24190829770174</v>
      </c>
      <c r="I78" s="96" t="n">
        <v>0.256388095031411</v>
      </c>
      <c r="J78" s="96" t="n">
        <v>0.230208122470512</v>
      </c>
      <c r="K78" s="97" t="n">
        <v>1</v>
      </c>
      <c r="L78" s="98" t="n">
        <f aca="false">(Yield_Originals!$G78*Yield_Originals!L$1)/Yield_Originals!$K78</f>
        <v>0.272914200446484</v>
      </c>
      <c r="M78" s="98" t="n">
        <f aca="false">(Yield_Originals!$G78*Yield_Originals!M$1)/Yield_Originals!$K78</f>
        <v>0.281442769210437</v>
      </c>
      <c r="N78" s="98" t="n">
        <f aca="false">(Yield_Originals!$G78*Yield_Originals!N$1)/Yield_Originals!$K78</f>
        <v>0.289971337974389</v>
      </c>
      <c r="O78" s="98" t="n">
        <f aca="false">(Yield_Originals!$G78*Yield_Originals!O$1)/Yield_Originals!$K78</f>
        <v>0.298499906738342</v>
      </c>
      <c r="P78" s="99" t="n">
        <f aca="false">(Yield_Originals!$H78*Yield_Originals!P$1)/Yield_Originals!$K78</f>
        <v>0.326576201897349</v>
      </c>
      <c r="Q78" s="99" t="n">
        <f aca="false">(Yield_Originals!$H78*Yield_Originals!Q$1)/Yield_Originals!$K78</f>
        <v>0.335647763061164</v>
      </c>
      <c r="R78" s="99" t="n">
        <f aca="false">(Yield_Originals!$H78*Yield_Originals!R$1)/Yield_Originals!$K78</f>
        <v>0.34471932422498</v>
      </c>
      <c r="S78" s="99" t="n">
        <f aca="false">(Yield_Originals!$H78*Yield_Originals!S$1)/Yield_Originals!$K78</f>
        <v>0.353790885388795</v>
      </c>
      <c r="T78" s="101" t="n">
        <f aca="false">(Yield_Originals!$I78*Yield_Originals!T$1)/Yield_Originals!$K78</f>
        <v>0.384582142547117</v>
      </c>
      <c r="U78" s="101" t="n">
        <f aca="false">(Yield_Originals!$I78*Yield_Originals!U$1)/Yield_Originals!$K78</f>
        <v>0.394196696110794</v>
      </c>
      <c r="V78" s="101" t="n">
        <f aca="false">(Yield_Originals!$I78*Yield_Originals!V$1)/Yield_Originals!$K78</f>
        <v>0.403811249674472</v>
      </c>
      <c r="W78" s="101" t="n">
        <f aca="false">(Yield_Originals!$I78*Yield_Originals!W$1)/Yield_Originals!$K78</f>
        <v>0.41342580323815</v>
      </c>
      <c r="X78" s="102" t="n">
        <f aca="false">(Yield_Originals!$J78*Yield_Originals!X$1)/Yield_Originals!$K78</f>
        <v>0.379843402076345</v>
      </c>
      <c r="Y78" s="102" t="n">
        <f aca="false">(Yield_Originals!$J78*Yield_Originals!Y$1)/Yield_Originals!$K78</f>
        <v>0.388476206668989</v>
      </c>
      <c r="Z78" s="102" t="n">
        <f aca="false">(Yield_Originals!$J78*Yield_Originals!Z$1)/Yield_Originals!$K78</f>
        <v>0.397109011261633</v>
      </c>
      <c r="AA78" s="102" t="n">
        <f aca="false">(Yield_Originals!$J78*Yield_Originals!AA$1)/Yield_Originals!$K78</f>
        <v>0.405741815854277</v>
      </c>
      <c r="AB78" s="102" t="n">
        <f aca="false">(Yield_Originals!$J78*Yield_Originals!AB$1)/Yield_Originals!$K78</f>
        <v>0.414374620446921</v>
      </c>
    </row>
    <row r="79" customFormat="false" ht="15" hidden="false" customHeight="false" outlineLevel="0" collapsed="false">
      <c r="A79" s="103" t="s">
        <v>1079</v>
      </c>
      <c r="B79" s="64" t="n">
        <v>3</v>
      </c>
      <c r="C79" s="104" t="s">
        <v>233</v>
      </c>
      <c r="D79" s="104" t="s">
        <v>1078</v>
      </c>
      <c r="E79" s="94" t="n">
        <v>29</v>
      </c>
      <c r="F79" s="96" t="n">
        <v>0.281818181818182</v>
      </c>
      <c r="G79" s="96" t="n">
        <v>0.281818181818182</v>
      </c>
      <c r="H79" s="96" t="n">
        <f aca="false">+(Yield_Originals!I79+Yield_Originals!G79)/2</f>
        <v>0.274856783378582</v>
      </c>
      <c r="I79" s="96" t="n">
        <v>0.267895384938981</v>
      </c>
      <c r="J79" s="96" t="n">
        <v>0.283899657656849</v>
      </c>
      <c r="K79" s="97" t="n">
        <v>1</v>
      </c>
      <c r="L79" s="98"/>
      <c r="M79" s="98"/>
      <c r="N79" s="98"/>
      <c r="O79" s="98"/>
      <c r="P79" s="99"/>
      <c r="Q79" s="99" t="n">
        <f aca="false">(Yield_Originals!$H79*Yield_Originals!Q$1)/Yield_Originals!$K79</f>
        <v>0.381363786937782</v>
      </c>
      <c r="R79" s="99" t="n">
        <f aca="false">(Yield_Originals!$H79*Yield_Originals!R$1)/Yield_Originals!$K79</f>
        <v>0.391670916314479</v>
      </c>
      <c r="S79" s="99" t="n">
        <f aca="false">(Yield_Originals!$H79*Yield_Originals!S$1)/Yield_Originals!$K79</f>
        <v>0.401978045691176</v>
      </c>
      <c r="T79" s="101" t="n">
        <f aca="false">(Yield_Originals!$I79*Yield_Originals!T$1)/Yield_Originals!$K79</f>
        <v>0.401843077408472</v>
      </c>
      <c r="U79" s="101" t="n">
        <f aca="false">(Yield_Originals!$I79*Yield_Originals!U$1)/Yield_Originals!$K79</f>
        <v>0.411889154343683</v>
      </c>
      <c r="V79" s="101" t="n">
        <f aca="false">(Yield_Originals!$I79*Yield_Originals!V$1)/Yield_Originals!$K79</f>
        <v>0.421935231278895</v>
      </c>
      <c r="W79" s="101" t="n">
        <f aca="false">(Yield_Originals!$I79*Yield_Originals!W$1)/Yield_Originals!$K79</f>
        <v>0.431981308214107</v>
      </c>
      <c r="X79" s="102" t="n">
        <f aca="false">(Yield_Originals!$J79*Yield_Originals!X$1)/Yield_Originals!$K79</f>
        <v>0.468434435133801</v>
      </c>
      <c r="Y79" s="102" t="n">
        <f aca="false">(Yield_Originals!$J79*Yield_Originals!Y$1)/Yield_Originals!$K79</f>
        <v>0.479080672295933</v>
      </c>
      <c r="Z79" s="102" t="n">
        <f aca="false">(Yield_Originals!$J79*Yield_Originals!Z$1)/Yield_Originals!$K79</f>
        <v>0.489726909458065</v>
      </c>
      <c r="AA79" s="102" t="n">
        <f aca="false">(Yield_Originals!$J79*Yield_Originals!AA$1)/Yield_Originals!$K79</f>
        <v>0.500373146620196</v>
      </c>
      <c r="AB79" s="102" t="n">
        <f aca="false">(Yield_Originals!$J79*Yield_Originals!AB$1)/Yield_Originals!$K79</f>
        <v>0.511019383782328</v>
      </c>
    </row>
    <row r="80" customFormat="false" ht="15" hidden="false" customHeight="false" outlineLevel="0" collapsed="false">
      <c r="A80" s="103" t="s">
        <v>1079</v>
      </c>
      <c r="B80" s="64" t="n">
        <v>3</v>
      </c>
      <c r="C80" s="104" t="s">
        <v>954</v>
      </c>
      <c r="D80" s="104" t="s">
        <v>1083</v>
      </c>
      <c r="E80" s="94" t="n">
        <v>29</v>
      </c>
      <c r="F80" s="96" t="n">
        <v>0.281818181818182</v>
      </c>
      <c r="G80" s="96" t="n">
        <v>0.281818181818182</v>
      </c>
      <c r="H80" s="96" t="n">
        <f aca="false">+(Yield_Originals!I80+Yield_Originals!G80)/2</f>
        <v>0.274856783378582</v>
      </c>
      <c r="I80" s="96" t="n">
        <v>0.267895384938981</v>
      </c>
      <c r="J80" s="96" t="n">
        <v>0.283899657656849</v>
      </c>
      <c r="K80" s="97" t="n">
        <v>1</v>
      </c>
      <c r="L80" s="98"/>
      <c r="M80" s="98"/>
      <c r="N80" s="98"/>
      <c r="O80" s="98"/>
      <c r="P80" s="99"/>
      <c r="Q80" s="99" t="n">
        <f aca="false">(Yield_Originals!$H80*Yield_Originals!Q$1)/Yield_Originals!$K80</f>
        <v>0.381363786937782</v>
      </c>
      <c r="R80" s="99" t="n">
        <f aca="false">(Yield_Originals!$H80*Yield_Originals!R$1)/Yield_Originals!$K80</f>
        <v>0.391670916314479</v>
      </c>
      <c r="S80" s="99" t="n">
        <f aca="false">(Yield_Originals!$H80*Yield_Originals!S$1)/Yield_Originals!$K80</f>
        <v>0.401978045691176</v>
      </c>
      <c r="T80" s="101" t="n">
        <f aca="false">(Yield_Originals!$I80*Yield_Originals!T$1)/Yield_Originals!$K80</f>
        <v>0.401843077408472</v>
      </c>
      <c r="U80" s="101" t="n">
        <f aca="false">(Yield_Originals!$I80*Yield_Originals!U$1)/Yield_Originals!$K80</f>
        <v>0.411889154343683</v>
      </c>
      <c r="V80" s="101" t="n">
        <f aca="false">(Yield_Originals!$I80*Yield_Originals!V$1)/Yield_Originals!$K80</f>
        <v>0.421935231278895</v>
      </c>
      <c r="W80" s="101" t="n">
        <f aca="false">(Yield_Originals!$I80*Yield_Originals!W$1)/Yield_Originals!$K80</f>
        <v>0.431981308214107</v>
      </c>
      <c r="X80" s="102" t="n">
        <f aca="false">(Yield_Originals!$J80*Yield_Originals!X$1)/Yield_Originals!$K80</f>
        <v>0.468434435133801</v>
      </c>
      <c r="Y80" s="102" t="n">
        <f aca="false">(Yield_Originals!$J80*Yield_Originals!Y$1)/Yield_Originals!$K80</f>
        <v>0.479080672295933</v>
      </c>
      <c r="Z80" s="102" t="n">
        <f aca="false">(Yield_Originals!$J80*Yield_Originals!Z$1)/Yield_Originals!$K80</f>
        <v>0.489726909458065</v>
      </c>
      <c r="AA80" s="102" t="n">
        <f aca="false">(Yield_Originals!$J80*Yield_Originals!AA$1)/Yield_Originals!$K80</f>
        <v>0.500373146620196</v>
      </c>
      <c r="AB80" s="102" t="n">
        <f aca="false">(Yield_Originals!$J80*Yield_Originals!AB$1)/Yield_Originals!$K80</f>
        <v>0.511019383782328</v>
      </c>
    </row>
    <row r="81" customFormat="false" ht="15" hidden="false" customHeight="false" outlineLevel="0" collapsed="false">
      <c r="A81" s="103" t="s">
        <v>1079</v>
      </c>
      <c r="B81" s="64" t="n">
        <v>3</v>
      </c>
      <c r="C81" s="104" t="s">
        <v>957</v>
      </c>
      <c r="D81" s="104" t="s">
        <v>1081</v>
      </c>
      <c r="E81" s="94" t="n">
        <v>29</v>
      </c>
      <c r="F81" s="96" t="n">
        <v>0.281818181818182</v>
      </c>
      <c r="G81" s="96" t="n">
        <v>0.281818181818182</v>
      </c>
      <c r="H81" s="96" t="n">
        <f aca="false">+(Yield_Originals!I81+Yield_Originals!G81)/2</f>
        <v>0.274856783378582</v>
      </c>
      <c r="I81" s="96" t="n">
        <v>0.267895384938981</v>
      </c>
      <c r="J81" s="96" t="n">
        <v>0.283899657656849</v>
      </c>
      <c r="K81" s="97" t="n">
        <v>1</v>
      </c>
      <c r="L81" s="98" t="n">
        <f aca="false">(Yield_Originals!$G81*Yield_Originals!L$1)/Yield_Originals!$K81</f>
        <v>0.338181818181818</v>
      </c>
      <c r="M81" s="98" t="n">
        <f aca="false">(Yield_Originals!$G81*Yield_Originals!M$1)/Yield_Originals!$K81</f>
        <v>0.34875</v>
      </c>
      <c r="N81" s="98" t="n">
        <f aca="false">(Yield_Originals!$G81*Yield_Originals!N$1)/Yield_Originals!$K81</f>
        <v>0.359318181818182</v>
      </c>
      <c r="O81" s="98" t="n">
        <f aca="false">(Yield_Originals!$G81*Yield_Originals!O$1)/Yield_Originals!$K81</f>
        <v>0.369886363636364</v>
      </c>
      <c r="P81" s="99"/>
      <c r="Q81" s="99"/>
      <c r="R81" s="99"/>
      <c r="S81" s="99"/>
      <c r="T81" s="101"/>
      <c r="U81" s="101"/>
      <c r="V81" s="101"/>
      <c r="W81" s="101"/>
      <c r="X81" s="102"/>
      <c r="Y81" s="102"/>
      <c r="Z81" s="102"/>
      <c r="AA81" s="102"/>
      <c r="AB81" s="102"/>
    </row>
    <row r="82" customFormat="false" ht="15" hidden="false" customHeight="false" outlineLevel="0" collapsed="false">
      <c r="A82" s="103" t="s">
        <v>1079</v>
      </c>
      <c r="B82" s="64" t="n">
        <v>3</v>
      </c>
      <c r="C82" s="104" t="s">
        <v>960</v>
      </c>
      <c r="D82" s="104" t="s">
        <v>1085</v>
      </c>
      <c r="E82" s="94" t="n">
        <v>29</v>
      </c>
      <c r="F82" s="96" t="n">
        <v>0.281818181818182</v>
      </c>
      <c r="G82" s="96" t="n">
        <v>0.281818181818182</v>
      </c>
      <c r="H82" s="96" t="n">
        <f aca="false">+(Yield_Originals!I82+Yield_Originals!G82)/2</f>
        <v>0.274856783378582</v>
      </c>
      <c r="I82" s="96" t="n">
        <v>0.267895384938981</v>
      </c>
      <c r="J82" s="96" t="n">
        <v>0.283899657656849</v>
      </c>
      <c r="K82" s="97" t="n">
        <v>1</v>
      </c>
      <c r="L82" s="98"/>
      <c r="M82" s="98"/>
      <c r="N82" s="98"/>
      <c r="O82" s="98"/>
      <c r="P82" s="99"/>
      <c r="Q82" s="99"/>
      <c r="R82" s="99"/>
      <c r="S82" s="99"/>
      <c r="T82" s="101"/>
      <c r="U82" s="101"/>
      <c r="V82" s="101" t="n">
        <f aca="false">(Yield_Originals!$I82*Yield_Originals!V$1)/Yield_Originals!$K82</f>
        <v>0.421935231278895</v>
      </c>
      <c r="W82" s="101" t="n">
        <f aca="false">(Yield_Originals!$I82*Yield_Originals!W$1)/Yield_Originals!$K82</f>
        <v>0.431981308214107</v>
      </c>
      <c r="X82" s="102" t="n">
        <f aca="false">(Yield_Originals!$J82*Yield_Originals!X$1)/Yield_Originals!$K82</f>
        <v>0.468434435133801</v>
      </c>
      <c r="Y82" s="102" t="n">
        <f aca="false">(Yield_Originals!$J82*Yield_Originals!Y$1)/Yield_Originals!$K82</f>
        <v>0.479080672295933</v>
      </c>
      <c r="Z82" s="102"/>
      <c r="AA82" s="102"/>
      <c r="AB82" s="102"/>
    </row>
    <row r="83" customFormat="false" ht="15" hidden="false" customHeight="false" outlineLevel="0" collapsed="false">
      <c r="A83" s="66" t="s">
        <v>1059</v>
      </c>
      <c r="B83" s="64" t="n">
        <v>2</v>
      </c>
      <c r="C83" s="104" t="s">
        <v>234</v>
      </c>
      <c r="D83" s="104" t="s">
        <v>1065</v>
      </c>
      <c r="E83" s="94" t="n">
        <v>16</v>
      </c>
      <c r="F83" s="96" t="n">
        <v>0.047920198716335</v>
      </c>
      <c r="G83" s="96" t="n">
        <v>0.047920198716335</v>
      </c>
      <c r="H83" s="96" t="n">
        <f aca="false">+(Yield_Originals!I83+Yield_Originals!G83)/2</f>
        <v>0.0497878218045477</v>
      </c>
      <c r="I83" s="96" t="n">
        <v>0.0516554448927604</v>
      </c>
      <c r="J83" s="96" t="n">
        <v>0.0483315161361219</v>
      </c>
      <c r="K83" s="97" t="n">
        <v>1</v>
      </c>
      <c r="L83" s="98"/>
      <c r="M83" s="98"/>
      <c r="N83" s="98"/>
      <c r="O83" s="98"/>
      <c r="P83" s="99"/>
      <c r="Q83" s="99" t="n">
        <f aca="false">(Yield_Originals!$H83*Yield_Originals!Q$1)/Yield_Originals!$K83</f>
        <v>0.06908060275381</v>
      </c>
      <c r="R83" s="99" t="n">
        <f aca="false">(Yield_Originals!$H83*Yield_Originals!R$1)/Yield_Originals!$K83</f>
        <v>0.0709476460714805</v>
      </c>
      <c r="S83" s="99" t="n">
        <f aca="false">(Yield_Originals!$H83*Yield_Originals!S$1)/Yield_Originals!$K83</f>
        <v>0.072814689389151</v>
      </c>
      <c r="T83" s="101" t="n">
        <f aca="false">(Yield_Originals!$I83*Yield_Originals!T$1)/Yield_Originals!$K83</f>
        <v>0.0774831673391406</v>
      </c>
      <c r="U83" s="101" t="n">
        <f aca="false">(Yield_Originals!$I83*Yield_Originals!U$1)/Yield_Originals!$K83</f>
        <v>0.0794202465226191</v>
      </c>
      <c r="V83" s="101" t="n">
        <f aca="false">(Yield_Originals!$I83*Yield_Originals!V$1)/Yield_Originals!$K83</f>
        <v>0.0813573257060977</v>
      </c>
      <c r="W83" s="101" t="n">
        <f aca="false">(Yield_Originals!$I83*Yield_Originals!W$1)/Yield_Originals!$K83</f>
        <v>0.0832944048895761</v>
      </c>
      <c r="X83" s="102" t="n">
        <f aca="false">(Yield_Originals!$J83*Yield_Originals!X$1)/Yield_Originals!$K83</f>
        <v>0.0797470016246011</v>
      </c>
      <c r="Y83" s="102" t="n">
        <f aca="false">(Yield_Originals!$J83*Yield_Originals!Y$1)/Yield_Originals!$K83</f>
        <v>0.0815594334797057</v>
      </c>
      <c r="Z83" s="102" t="n">
        <f aca="false">(Yield_Originals!$J83*Yield_Originals!Z$1)/Yield_Originals!$K83</f>
        <v>0.0833718653348103</v>
      </c>
      <c r="AA83" s="102"/>
      <c r="AB83" s="102"/>
    </row>
    <row r="84" customFormat="false" ht="15" hidden="false" customHeight="false" outlineLevel="0" collapsed="false">
      <c r="A84" s="66" t="s">
        <v>1059</v>
      </c>
      <c r="B84" s="64" t="n">
        <v>2</v>
      </c>
      <c r="C84" s="104" t="s">
        <v>234</v>
      </c>
      <c r="D84" s="104" t="s">
        <v>1065</v>
      </c>
      <c r="E84" s="94" t="n">
        <v>17</v>
      </c>
      <c r="F84" s="96" t="n">
        <v>0.047920198716335</v>
      </c>
      <c r="G84" s="96" t="n">
        <v>0.047920198716335</v>
      </c>
      <c r="H84" s="96" t="n">
        <f aca="false">+(Yield_Originals!I84+Yield_Originals!G84)/2</f>
        <v>0.0497878218045477</v>
      </c>
      <c r="I84" s="96" t="n">
        <v>0.0516554448927604</v>
      </c>
      <c r="J84" s="96" t="n">
        <v>0.0483315161361219</v>
      </c>
      <c r="K84" s="97" t="n">
        <v>1</v>
      </c>
      <c r="L84" s="98"/>
      <c r="M84" s="98"/>
      <c r="N84" s="98"/>
      <c r="O84" s="98"/>
      <c r="P84" s="99"/>
      <c r="Q84" s="99" t="n">
        <f aca="false">(Yield_Originals!$H84*Yield_Originals!Q$1)/Yield_Originals!$K84</f>
        <v>0.06908060275381</v>
      </c>
      <c r="R84" s="99" t="n">
        <f aca="false">(Yield_Originals!$H84*Yield_Originals!R$1)/Yield_Originals!$K84</f>
        <v>0.0709476460714805</v>
      </c>
      <c r="S84" s="99" t="n">
        <f aca="false">(Yield_Originals!$H84*Yield_Originals!S$1)/Yield_Originals!$K84</f>
        <v>0.072814689389151</v>
      </c>
      <c r="T84" s="101" t="n">
        <f aca="false">(Yield_Originals!$I84*Yield_Originals!T$1)/Yield_Originals!$K84</f>
        <v>0.0774831673391406</v>
      </c>
      <c r="U84" s="101" t="n">
        <f aca="false">(Yield_Originals!$I84*Yield_Originals!U$1)/Yield_Originals!$K84</f>
        <v>0.0794202465226191</v>
      </c>
      <c r="V84" s="101" t="n">
        <f aca="false">(Yield_Originals!$I84*Yield_Originals!V$1)/Yield_Originals!$K84</f>
        <v>0.0813573257060977</v>
      </c>
      <c r="W84" s="101" t="n">
        <f aca="false">(Yield_Originals!$I84*Yield_Originals!W$1)/Yield_Originals!$K84</f>
        <v>0.0832944048895761</v>
      </c>
      <c r="X84" s="102" t="n">
        <f aca="false">(Yield_Originals!$J84*Yield_Originals!X$1)/Yield_Originals!$K84</f>
        <v>0.0797470016246011</v>
      </c>
      <c r="Y84" s="102" t="n">
        <f aca="false">(Yield_Originals!$J84*Yield_Originals!Y$1)/Yield_Originals!$K84</f>
        <v>0.0815594334797057</v>
      </c>
      <c r="Z84" s="102" t="n">
        <f aca="false">(Yield_Originals!$J84*Yield_Originals!Z$1)/Yield_Originals!$K84</f>
        <v>0.0833718653348103</v>
      </c>
      <c r="AA84" s="102"/>
      <c r="AB84" s="102"/>
    </row>
    <row r="85" customFormat="false" ht="15" hidden="false" customHeight="false" outlineLevel="0" collapsed="false">
      <c r="A85" s="66" t="s">
        <v>1059</v>
      </c>
      <c r="B85" s="64" t="n">
        <v>2</v>
      </c>
      <c r="C85" s="104" t="s">
        <v>234</v>
      </c>
      <c r="D85" s="104" t="s">
        <v>1065</v>
      </c>
      <c r="E85" s="94" t="n">
        <v>18</v>
      </c>
      <c r="F85" s="96" t="n">
        <v>0.047920198716335</v>
      </c>
      <c r="G85" s="96" t="n">
        <v>0.047920198716335</v>
      </c>
      <c r="H85" s="96" t="n">
        <f aca="false">+(Yield_Originals!I85+Yield_Originals!G85)/2</f>
        <v>0.0497878218045477</v>
      </c>
      <c r="I85" s="96" t="n">
        <v>0.0516554448927604</v>
      </c>
      <c r="J85" s="96" t="n">
        <v>0.0483315161361219</v>
      </c>
      <c r="K85" s="97" t="n">
        <v>1</v>
      </c>
      <c r="L85" s="98"/>
      <c r="M85" s="98"/>
      <c r="N85" s="98"/>
      <c r="O85" s="98"/>
      <c r="P85" s="99"/>
      <c r="Q85" s="99" t="n">
        <f aca="false">(Yield_Originals!$H85*Yield_Originals!Q$1)/Yield_Originals!$K85</f>
        <v>0.06908060275381</v>
      </c>
      <c r="R85" s="99" t="n">
        <f aca="false">(Yield_Originals!$H85*Yield_Originals!R$1)/Yield_Originals!$K85</f>
        <v>0.0709476460714805</v>
      </c>
      <c r="S85" s="99" t="n">
        <f aca="false">(Yield_Originals!$H85*Yield_Originals!S$1)/Yield_Originals!$K85</f>
        <v>0.072814689389151</v>
      </c>
      <c r="T85" s="101" t="n">
        <f aca="false">(Yield_Originals!$I85*Yield_Originals!T$1)/Yield_Originals!$K85</f>
        <v>0.0774831673391406</v>
      </c>
      <c r="U85" s="101" t="n">
        <f aca="false">(Yield_Originals!$I85*Yield_Originals!U$1)/Yield_Originals!$K85</f>
        <v>0.0794202465226191</v>
      </c>
      <c r="V85" s="101" t="n">
        <f aca="false">(Yield_Originals!$I85*Yield_Originals!V$1)/Yield_Originals!$K85</f>
        <v>0.0813573257060977</v>
      </c>
      <c r="W85" s="101" t="n">
        <f aca="false">(Yield_Originals!$I85*Yield_Originals!W$1)/Yield_Originals!$K85</f>
        <v>0.0832944048895761</v>
      </c>
      <c r="X85" s="102" t="n">
        <f aca="false">(Yield_Originals!$J85*Yield_Originals!X$1)/Yield_Originals!$K85</f>
        <v>0.0797470016246011</v>
      </c>
      <c r="Y85" s="102" t="n">
        <f aca="false">(Yield_Originals!$J85*Yield_Originals!Y$1)/Yield_Originals!$K85</f>
        <v>0.0815594334797057</v>
      </c>
      <c r="Z85" s="102" t="n">
        <f aca="false">(Yield_Originals!$J85*Yield_Originals!Z$1)/Yield_Originals!$K85</f>
        <v>0.0833718653348103</v>
      </c>
      <c r="AA85" s="102"/>
      <c r="AB85" s="102"/>
    </row>
    <row r="86" customFormat="false" ht="15" hidden="false" customHeight="false" outlineLevel="0" collapsed="false">
      <c r="A86" s="66" t="s">
        <v>1059</v>
      </c>
      <c r="B86" s="64" t="n">
        <v>2</v>
      </c>
      <c r="C86" s="104" t="s">
        <v>234</v>
      </c>
      <c r="D86" s="104" t="s">
        <v>1065</v>
      </c>
      <c r="E86" s="94" t="n">
        <v>19</v>
      </c>
      <c r="F86" s="96" t="n">
        <v>0.047920198716335</v>
      </c>
      <c r="G86" s="96" t="n">
        <v>0.047920198716335</v>
      </c>
      <c r="H86" s="96" t="n">
        <f aca="false">+(Yield_Originals!I86+Yield_Originals!G86)/2</f>
        <v>0.0497878218045477</v>
      </c>
      <c r="I86" s="96" t="n">
        <v>0.0516554448927604</v>
      </c>
      <c r="J86" s="96" t="n">
        <v>0.0483315161361219</v>
      </c>
      <c r="K86" s="97" t="n">
        <v>1</v>
      </c>
      <c r="L86" s="98"/>
      <c r="M86" s="98"/>
      <c r="N86" s="98"/>
      <c r="O86" s="98"/>
      <c r="P86" s="99"/>
      <c r="Q86" s="99" t="n">
        <f aca="false">(Yield_Originals!$H86*Yield_Originals!Q$1)/Yield_Originals!$K86</f>
        <v>0.06908060275381</v>
      </c>
      <c r="R86" s="99" t="n">
        <f aca="false">(Yield_Originals!$H86*Yield_Originals!R$1)/Yield_Originals!$K86</f>
        <v>0.0709476460714805</v>
      </c>
      <c r="S86" s="99" t="n">
        <f aca="false">(Yield_Originals!$H86*Yield_Originals!S$1)/Yield_Originals!$K86</f>
        <v>0.072814689389151</v>
      </c>
      <c r="T86" s="101" t="n">
        <f aca="false">(Yield_Originals!$I86*Yield_Originals!T$1)/Yield_Originals!$K86</f>
        <v>0.0774831673391406</v>
      </c>
      <c r="U86" s="101" t="n">
        <f aca="false">(Yield_Originals!$I86*Yield_Originals!U$1)/Yield_Originals!$K86</f>
        <v>0.0794202465226191</v>
      </c>
      <c r="V86" s="101" t="n">
        <f aca="false">(Yield_Originals!$I86*Yield_Originals!V$1)/Yield_Originals!$K86</f>
        <v>0.0813573257060977</v>
      </c>
      <c r="W86" s="101" t="n">
        <f aca="false">(Yield_Originals!$I86*Yield_Originals!W$1)/Yield_Originals!$K86</f>
        <v>0.0832944048895761</v>
      </c>
      <c r="X86" s="102" t="n">
        <f aca="false">(Yield_Originals!$J86*Yield_Originals!X$1)/Yield_Originals!$K86</f>
        <v>0.0797470016246011</v>
      </c>
      <c r="Y86" s="102" t="n">
        <f aca="false">(Yield_Originals!$J86*Yield_Originals!Y$1)/Yield_Originals!$K86</f>
        <v>0.0815594334797057</v>
      </c>
      <c r="Z86" s="102" t="n">
        <f aca="false">(Yield_Originals!$J86*Yield_Originals!Z$1)/Yield_Originals!$K86</f>
        <v>0.0833718653348103</v>
      </c>
      <c r="AA86" s="102"/>
      <c r="AB86" s="102"/>
    </row>
    <row r="87" customFormat="false" ht="15" hidden="false" customHeight="false" outlineLevel="0" collapsed="false">
      <c r="A87" s="66" t="s">
        <v>1059</v>
      </c>
      <c r="B87" s="64" t="n">
        <v>2</v>
      </c>
      <c r="C87" s="104" t="s">
        <v>234</v>
      </c>
      <c r="D87" s="104" t="s">
        <v>1065</v>
      </c>
      <c r="E87" s="94" t="n">
        <v>20</v>
      </c>
      <c r="F87" s="96" t="n">
        <v>0.047920198716335</v>
      </c>
      <c r="G87" s="96" t="n">
        <v>0.047920198716335</v>
      </c>
      <c r="H87" s="96" t="n">
        <f aca="false">+(Yield_Originals!I87+Yield_Originals!G87)/2</f>
        <v>0.0497878218045477</v>
      </c>
      <c r="I87" s="96" t="n">
        <v>0.0516554448927604</v>
      </c>
      <c r="J87" s="96" t="n">
        <v>0.0483315161361219</v>
      </c>
      <c r="K87" s="97" t="n">
        <v>1</v>
      </c>
      <c r="L87" s="98"/>
      <c r="M87" s="98"/>
      <c r="N87" s="98"/>
      <c r="O87" s="98"/>
      <c r="P87" s="99"/>
      <c r="Q87" s="99" t="n">
        <f aca="false">(Yield_Originals!$H87*Yield_Originals!Q$1)/Yield_Originals!$K87</f>
        <v>0.06908060275381</v>
      </c>
      <c r="R87" s="99" t="n">
        <f aca="false">(Yield_Originals!$H87*Yield_Originals!R$1)/Yield_Originals!$K87</f>
        <v>0.0709476460714805</v>
      </c>
      <c r="S87" s="99" t="n">
        <f aca="false">(Yield_Originals!$H87*Yield_Originals!S$1)/Yield_Originals!$K87</f>
        <v>0.072814689389151</v>
      </c>
      <c r="T87" s="101" t="n">
        <f aca="false">(Yield_Originals!$I87*Yield_Originals!T$1)/Yield_Originals!$K87</f>
        <v>0.0774831673391406</v>
      </c>
      <c r="U87" s="101" t="n">
        <f aca="false">(Yield_Originals!$I87*Yield_Originals!U$1)/Yield_Originals!$K87</f>
        <v>0.0794202465226191</v>
      </c>
      <c r="V87" s="101" t="n">
        <f aca="false">(Yield_Originals!$I87*Yield_Originals!V$1)/Yield_Originals!$K87</f>
        <v>0.0813573257060977</v>
      </c>
      <c r="W87" s="101" t="n">
        <f aca="false">(Yield_Originals!$I87*Yield_Originals!W$1)/Yield_Originals!$K87</f>
        <v>0.0832944048895761</v>
      </c>
      <c r="X87" s="102" t="n">
        <f aca="false">(Yield_Originals!$J87*Yield_Originals!X$1)/Yield_Originals!$K87</f>
        <v>0.0797470016246011</v>
      </c>
      <c r="Y87" s="102" t="n">
        <f aca="false">(Yield_Originals!$J87*Yield_Originals!Y$1)/Yield_Originals!$K87</f>
        <v>0.0815594334797057</v>
      </c>
      <c r="Z87" s="102" t="n">
        <f aca="false">(Yield_Originals!$J87*Yield_Originals!Z$1)/Yield_Originals!$K87</f>
        <v>0.0833718653348103</v>
      </c>
      <c r="AA87" s="102"/>
      <c r="AB87" s="102"/>
    </row>
    <row r="88" customFormat="false" ht="15" hidden="false" customHeight="false" outlineLevel="0" collapsed="false">
      <c r="A88" s="66" t="s">
        <v>1059</v>
      </c>
      <c r="B88" s="64" t="n">
        <v>2</v>
      </c>
      <c r="C88" s="104" t="s">
        <v>234</v>
      </c>
      <c r="D88" s="104" t="s">
        <v>1065</v>
      </c>
      <c r="E88" s="94" t="n">
        <v>21</v>
      </c>
      <c r="F88" s="96" t="n">
        <v>0.047920198716335</v>
      </c>
      <c r="G88" s="96" t="n">
        <v>0.047920198716335</v>
      </c>
      <c r="H88" s="96" t="n">
        <f aca="false">+(Yield_Originals!I88+Yield_Originals!G88)/2</f>
        <v>0.0497878218045477</v>
      </c>
      <c r="I88" s="96" t="n">
        <v>0.0516554448927604</v>
      </c>
      <c r="J88" s="96" t="n">
        <v>0.0483315161361219</v>
      </c>
      <c r="K88" s="97" t="n">
        <v>1</v>
      </c>
      <c r="L88" s="98"/>
      <c r="M88" s="98"/>
      <c r="N88" s="98"/>
      <c r="O88" s="98"/>
      <c r="P88" s="99"/>
      <c r="Q88" s="99" t="n">
        <f aca="false">(Yield_Originals!$H88*Yield_Originals!Q$1)/Yield_Originals!$K88</f>
        <v>0.06908060275381</v>
      </c>
      <c r="R88" s="99" t="n">
        <f aca="false">(Yield_Originals!$H88*Yield_Originals!R$1)/Yield_Originals!$K88</f>
        <v>0.0709476460714805</v>
      </c>
      <c r="S88" s="99" t="n">
        <f aca="false">(Yield_Originals!$H88*Yield_Originals!S$1)/Yield_Originals!$K88</f>
        <v>0.072814689389151</v>
      </c>
      <c r="T88" s="101" t="n">
        <f aca="false">(Yield_Originals!$I88*Yield_Originals!T$1)/Yield_Originals!$K88</f>
        <v>0.0774831673391406</v>
      </c>
      <c r="U88" s="101" t="n">
        <f aca="false">(Yield_Originals!$I88*Yield_Originals!U$1)/Yield_Originals!$K88</f>
        <v>0.0794202465226191</v>
      </c>
      <c r="V88" s="101" t="n">
        <f aca="false">(Yield_Originals!$I88*Yield_Originals!V$1)/Yield_Originals!$K88</f>
        <v>0.0813573257060977</v>
      </c>
      <c r="W88" s="101" t="n">
        <f aca="false">(Yield_Originals!$I88*Yield_Originals!W$1)/Yield_Originals!$K88</f>
        <v>0.0832944048895761</v>
      </c>
      <c r="X88" s="102" t="n">
        <f aca="false">(Yield_Originals!$J88*Yield_Originals!X$1)/Yield_Originals!$K88</f>
        <v>0.0797470016246011</v>
      </c>
      <c r="Y88" s="102" t="n">
        <f aca="false">(Yield_Originals!$J88*Yield_Originals!Y$1)/Yield_Originals!$K88</f>
        <v>0.0815594334797057</v>
      </c>
      <c r="Z88" s="102" t="n">
        <f aca="false">(Yield_Originals!$J88*Yield_Originals!Z$1)/Yield_Originals!$K88</f>
        <v>0.0833718653348103</v>
      </c>
      <c r="AA88" s="102"/>
      <c r="AB88" s="102"/>
    </row>
    <row r="89" customFormat="false" ht="15" hidden="false" customHeight="false" outlineLevel="0" collapsed="false">
      <c r="A89" s="66" t="s">
        <v>1059</v>
      </c>
      <c r="B89" s="64" t="n">
        <v>2</v>
      </c>
      <c r="C89" s="104" t="s">
        <v>348</v>
      </c>
      <c r="D89" s="104" t="s">
        <v>1062</v>
      </c>
      <c r="E89" s="94" t="n">
        <v>16</v>
      </c>
      <c r="F89" s="96" t="n">
        <v>0.047920198716335</v>
      </c>
      <c r="G89" s="96" t="n">
        <v>0.047920198716335</v>
      </c>
      <c r="H89" s="96" t="n">
        <f aca="false">+(Yield_Originals!I89+Yield_Originals!G89)/2</f>
        <v>0.0497878218045477</v>
      </c>
      <c r="I89" s="96" t="n">
        <v>0.0516554448927604</v>
      </c>
      <c r="J89" s="96" t="n">
        <v>0.0483315161361219</v>
      </c>
      <c r="K89" s="97" t="n">
        <v>1</v>
      </c>
      <c r="L89" s="98" t="n">
        <f aca="false">(Yield_Originals!$G89*Yield_Originals!L$1)/Yield_Originals!$K89</f>
        <v>0.057504238459602</v>
      </c>
      <c r="M89" s="98" t="n">
        <f aca="false">(Yield_Originals!$G89*Yield_Originals!M$1)/Yield_Originals!$K89</f>
        <v>0.0593012459114646</v>
      </c>
      <c r="N89" s="98" t="n">
        <f aca="false">(Yield_Originals!$G89*Yield_Originals!N$1)/Yield_Originals!$K89</f>
        <v>0.0610982533633271</v>
      </c>
      <c r="O89" s="98" t="n">
        <f aca="false">(Yield_Originals!$G89*Yield_Originals!O$1)/Yield_Originals!$K89</f>
        <v>0.0628952608151897</v>
      </c>
      <c r="P89" s="99" t="n">
        <f aca="false">(Yield_Originals!$H89*Yield_Originals!P$1)/Yield_Originals!$K89</f>
        <v>0.0672135594361394</v>
      </c>
      <c r="Q89" s="99" t="n">
        <f aca="false">(Yield_Originals!$H89*Yield_Originals!Q$1)/Yield_Originals!$K89</f>
        <v>0.06908060275381</v>
      </c>
      <c r="R89" s="99" t="n">
        <f aca="false">(Yield_Originals!$H89*Yield_Originals!R$1)/Yield_Originals!$K89</f>
        <v>0.0709476460714805</v>
      </c>
      <c r="S89" s="99" t="n">
        <f aca="false">(Yield_Originals!$H89*Yield_Originals!S$1)/Yield_Originals!$K89</f>
        <v>0.072814689389151</v>
      </c>
      <c r="T89" s="101" t="n">
        <f aca="false">(Yield_Originals!$I89*Yield_Originals!T$1)/Yield_Originals!$K89</f>
        <v>0.0774831673391406</v>
      </c>
      <c r="U89" s="101" t="n">
        <f aca="false">(Yield_Originals!$I89*Yield_Originals!U$1)/Yield_Originals!$K89</f>
        <v>0.0794202465226191</v>
      </c>
      <c r="V89" s="101" t="n">
        <f aca="false">(Yield_Originals!$I89*Yield_Originals!V$1)/Yield_Originals!$K89</f>
        <v>0.0813573257060977</v>
      </c>
      <c r="W89" s="101" t="n">
        <f aca="false">(Yield_Originals!$I89*Yield_Originals!W$1)/Yield_Originals!$K89</f>
        <v>0.0832944048895761</v>
      </c>
      <c r="X89" s="102" t="n">
        <f aca="false">(Yield_Originals!$J89*Yield_Originals!X$1)/Yield_Originals!$K89</f>
        <v>0.0797470016246011</v>
      </c>
      <c r="Y89" s="102" t="n">
        <f aca="false">(Yield_Originals!$J89*Yield_Originals!Y$1)/Yield_Originals!$K89</f>
        <v>0.0815594334797057</v>
      </c>
      <c r="Z89" s="102" t="n">
        <f aca="false">(Yield_Originals!$J89*Yield_Originals!Z$1)/Yield_Originals!$K89</f>
        <v>0.0833718653348103</v>
      </c>
      <c r="AA89" s="102" t="n">
        <f aca="false">(Yield_Originals!$J89*Yield_Originals!AA$1)/Yield_Originals!$K89</f>
        <v>0.0851842971899148</v>
      </c>
      <c r="AB89" s="102" t="n">
        <f aca="false">(Yield_Originals!$J89*Yield_Originals!AB$1)/Yield_Originals!$K89</f>
        <v>0.0869967290450194</v>
      </c>
    </row>
    <row r="90" customFormat="false" ht="15" hidden="false" customHeight="false" outlineLevel="0" collapsed="false">
      <c r="A90" s="66" t="s">
        <v>1059</v>
      </c>
      <c r="B90" s="64" t="n">
        <v>2</v>
      </c>
      <c r="C90" s="104" t="s">
        <v>348</v>
      </c>
      <c r="D90" s="104" t="s">
        <v>1062</v>
      </c>
      <c r="E90" s="94" t="n">
        <v>17</v>
      </c>
      <c r="F90" s="96" t="n">
        <v>0.047920198716335</v>
      </c>
      <c r="G90" s="96" t="n">
        <v>0.047920198716335</v>
      </c>
      <c r="H90" s="96" t="n">
        <f aca="false">+(Yield_Originals!I90+Yield_Originals!G90)/2</f>
        <v>0.0497878218045477</v>
      </c>
      <c r="I90" s="96" t="n">
        <v>0.0516554448927604</v>
      </c>
      <c r="J90" s="96" t="n">
        <v>0.0483315161361219</v>
      </c>
      <c r="K90" s="97" t="n">
        <v>1</v>
      </c>
      <c r="L90" s="98" t="n">
        <f aca="false">(Yield_Originals!$G90*Yield_Originals!L$1)/Yield_Originals!$K90</f>
        <v>0.057504238459602</v>
      </c>
      <c r="M90" s="98" t="n">
        <f aca="false">(Yield_Originals!$G90*Yield_Originals!M$1)/Yield_Originals!$K90</f>
        <v>0.0593012459114646</v>
      </c>
      <c r="N90" s="98" t="n">
        <f aca="false">(Yield_Originals!$G90*Yield_Originals!N$1)/Yield_Originals!$K90</f>
        <v>0.0610982533633271</v>
      </c>
      <c r="O90" s="98" t="n">
        <f aca="false">(Yield_Originals!$G90*Yield_Originals!O$1)/Yield_Originals!$K90</f>
        <v>0.0628952608151897</v>
      </c>
      <c r="P90" s="99" t="n">
        <f aca="false">(Yield_Originals!$H90*Yield_Originals!P$1)/Yield_Originals!$K90</f>
        <v>0.0672135594361394</v>
      </c>
      <c r="Q90" s="99" t="n">
        <f aca="false">(Yield_Originals!$H90*Yield_Originals!Q$1)/Yield_Originals!$K90</f>
        <v>0.06908060275381</v>
      </c>
      <c r="R90" s="99" t="n">
        <f aca="false">(Yield_Originals!$H90*Yield_Originals!R$1)/Yield_Originals!$K90</f>
        <v>0.0709476460714805</v>
      </c>
      <c r="S90" s="99" t="n">
        <f aca="false">(Yield_Originals!$H90*Yield_Originals!S$1)/Yield_Originals!$K90</f>
        <v>0.072814689389151</v>
      </c>
      <c r="T90" s="101" t="n">
        <f aca="false">(Yield_Originals!$I90*Yield_Originals!T$1)/Yield_Originals!$K90</f>
        <v>0.0774831673391406</v>
      </c>
      <c r="U90" s="101" t="n">
        <f aca="false">(Yield_Originals!$I90*Yield_Originals!U$1)/Yield_Originals!$K90</f>
        <v>0.0794202465226191</v>
      </c>
      <c r="V90" s="101" t="n">
        <f aca="false">(Yield_Originals!$I90*Yield_Originals!V$1)/Yield_Originals!$K90</f>
        <v>0.0813573257060977</v>
      </c>
      <c r="W90" s="101" t="n">
        <f aca="false">(Yield_Originals!$I90*Yield_Originals!W$1)/Yield_Originals!$K90</f>
        <v>0.0832944048895761</v>
      </c>
      <c r="X90" s="102" t="n">
        <f aca="false">(Yield_Originals!$J90*Yield_Originals!X$1)/Yield_Originals!$K90</f>
        <v>0.0797470016246011</v>
      </c>
      <c r="Y90" s="102" t="n">
        <f aca="false">(Yield_Originals!$J90*Yield_Originals!Y$1)/Yield_Originals!$K90</f>
        <v>0.0815594334797057</v>
      </c>
      <c r="Z90" s="102" t="n">
        <f aca="false">(Yield_Originals!$J90*Yield_Originals!Z$1)/Yield_Originals!$K90</f>
        <v>0.0833718653348103</v>
      </c>
      <c r="AA90" s="102" t="n">
        <f aca="false">(Yield_Originals!$J90*Yield_Originals!AA$1)/Yield_Originals!$K90</f>
        <v>0.0851842971899148</v>
      </c>
      <c r="AB90" s="102" t="n">
        <f aca="false">(Yield_Originals!$J90*Yield_Originals!AB$1)/Yield_Originals!$K90</f>
        <v>0.0869967290450194</v>
      </c>
    </row>
    <row r="91" customFormat="false" ht="15" hidden="false" customHeight="false" outlineLevel="0" collapsed="false">
      <c r="A91" s="66" t="s">
        <v>1059</v>
      </c>
      <c r="B91" s="64" t="n">
        <v>2</v>
      </c>
      <c r="C91" s="104" t="s">
        <v>348</v>
      </c>
      <c r="D91" s="104" t="s">
        <v>1062</v>
      </c>
      <c r="E91" s="94" t="n">
        <v>18</v>
      </c>
      <c r="F91" s="96" t="n">
        <v>0.047920198716335</v>
      </c>
      <c r="G91" s="96" t="n">
        <v>0.047920198716335</v>
      </c>
      <c r="H91" s="96" t="n">
        <f aca="false">+(Yield_Originals!I91+Yield_Originals!G91)/2</f>
        <v>0.0497878218045477</v>
      </c>
      <c r="I91" s="96" t="n">
        <v>0.0516554448927604</v>
      </c>
      <c r="J91" s="96" t="n">
        <v>0.0483315161361219</v>
      </c>
      <c r="K91" s="97" t="n">
        <v>1</v>
      </c>
      <c r="L91" s="98" t="n">
        <f aca="false">(Yield_Originals!$G91*Yield_Originals!L$1)/Yield_Originals!$K91</f>
        <v>0.057504238459602</v>
      </c>
      <c r="M91" s="98" t="n">
        <f aca="false">(Yield_Originals!$G91*Yield_Originals!M$1)/Yield_Originals!$K91</f>
        <v>0.0593012459114646</v>
      </c>
      <c r="N91" s="98" t="n">
        <f aca="false">(Yield_Originals!$G91*Yield_Originals!N$1)/Yield_Originals!$K91</f>
        <v>0.0610982533633271</v>
      </c>
      <c r="O91" s="98" t="n">
        <f aca="false">(Yield_Originals!$G91*Yield_Originals!O$1)/Yield_Originals!$K91</f>
        <v>0.0628952608151897</v>
      </c>
      <c r="P91" s="99" t="n">
        <f aca="false">(Yield_Originals!$H91*Yield_Originals!P$1)/Yield_Originals!$K91</f>
        <v>0.0672135594361394</v>
      </c>
      <c r="Q91" s="99" t="n">
        <f aca="false">(Yield_Originals!$H91*Yield_Originals!Q$1)/Yield_Originals!$K91</f>
        <v>0.06908060275381</v>
      </c>
      <c r="R91" s="99" t="n">
        <f aca="false">(Yield_Originals!$H91*Yield_Originals!R$1)/Yield_Originals!$K91</f>
        <v>0.0709476460714805</v>
      </c>
      <c r="S91" s="99" t="n">
        <f aca="false">(Yield_Originals!$H91*Yield_Originals!S$1)/Yield_Originals!$K91</f>
        <v>0.072814689389151</v>
      </c>
      <c r="T91" s="101" t="n">
        <f aca="false">(Yield_Originals!$I91*Yield_Originals!T$1)/Yield_Originals!$K91</f>
        <v>0.0774831673391406</v>
      </c>
      <c r="U91" s="101" t="n">
        <f aca="false">(Yield_Originals!$I91*Yield_Originals!U$1)/Yield_Originals!$K91</f>
        <v>0.0794202465226191</v>
      </c>
      <c r="V91" s="101" t="n">
        <f aca="false">(Yield_Originals!$I91*Yield_Originals!V$1)/Yield_Originals!$K91</f>
        <v>0.0813573257060977</v>
      </c>
      <c r="W91" s="101" t="n">
        <f aca="false">(Yield_Originals!$I91*Yield_Originals!W$1)/Yield_Originals!$K91</f>
        <v>0.0832944048895761</v>
      </c>
      <c r="X91" s="102" t="n">
        <f aca="false">(Yield_Originals!$J91*Yield_Originals!X$1)/Yield_Originals!$K91</f>
        <v>0.0797470016246011</v>
      </c>
      <c r="Y91" s="102" t="n">
        <f aca="false">(Yield_Originals!$J91*Yield_Originals!Y$1)/Yield_Originals!$K91</f>
        <v>0.0815594334797057</v>
      </c>
      <c r="Z91" s="102" t="n">
        <f aca="false">(Yield_Originals!$J91*Yield_Originals!Z$1)/Yield_Originals!$K91</f>
        <v>0.0833718653348103</v>
      </c>
      <c r="AA91" s="102" t="n">
        <f aca="false">(Yield_Originals!$J91*Yield_Originals!AA$1)/Yield_Originals!$K91</f>
        <v>0.0851842971899148</v>
      </c>
      <c r="AB91" s="102" t="n">
        <f aca="false">(Yield_Originals!$J91*Yield_Originals!AB$1)/Yield_Originals!$K91</f>
        <v>0.0869967290450194</v>
      </c>
    </row>
    <row r="92" customFormat="false" ht="15" hidden="false" customHeight="false" outlineLevel="0" collapsed="false">
      <c r="A92" s="66" t="s">
        <v>1059</v>
      </c>
      <c r="B92" s="64" t="n">
        <v>2</v>
      </c>
      <c r="C92" s="104" t="s">
        <v>348</v>
      </c>
      <c r="D92" s="104" t="s">
        <v>1062</v>
      </c>
      <c r="E92" s="94" t="n">
        <v>19</v>
      </c>
      <c r="F92" s="96" t="n">
        <v>0.047920198716335</v>
      </c>
      <c r="G92" s="96" t="n">
        <v>0.047920198716335</v>
      </c>
      <c r="H92" s="96" t="n">
        <f aca="false">+(Yield_Originals!I92+Yield_Originals!G92)/2</f>
        <v>0.0497878218045477</v>
      </c>
      <c r="I92" s="96" t="n">
        <v>0.0516554448927604</v>
      </c>
      <c r="J92" s="96" t="n">
        <v>0.0483315161361219</v>
      </c>
      <c r="K92" s="97" t="n">
        <v>1</v>
      </c>
      <c r="L92" s="98" t="n">
        <f aca="false">(Yield_Originals!$G92*Yield_Originals!L$1)/Yield_Originals!$K92</f>
        <v>0.057504238459602</v>
      </c>
      <c r="M92" s="98" t="n">
        <f aca="false">(Yield_Originals!$G92*Yield_Originals!M$1)/Yield_Originals!$K92</f>
        <v>0.0593012459114646</v>
      </c>
      <c r="N92" s="98" t="n">
        <f aca="false">(Yield_Originals!$G92*Yield_Originals!N$1)/Yield_Originals!$K92</f>
        <v>0.0610982533633271</v>
      </c>
      <c r="O92" s="98" t="n">
        <f aca="false">(Yield_Originals!$G92*Yield_Originals!O$1)/Yield_Originals!$K92</f>
        <v>0.0628952608151897</v>
      </c>
      <c r="P92" s="99" t="n">
        <f aca="false">(Yield_Originals!$H92*Yield_Originals!P$1)/Yield_Originals!$K92</f>
        <v>0.0672135594361394</v>
      </c>
      <c r="Q92" s="99" t="n">
        <f aca="false">(Yield_Originals!$H92*Yield_Originals!Q$1)/Yield_Originals!$K92</f>
        <v>0.06908060275381</v>
      </c>
      <c r="R92" s="99" t="n">
        <f aca="false">(Yield_Originals!$H92*Yield_Originals!R$1)/Yield_Originals!$K92</f>
        <v>0.0709476460714805</v>
      </c>
      <c r="S92" s="99" t="n">
        <f aca="false">(Yield_Originals!$H92*Yield_Originals!S$1)/Yield_Originals!$K92</f>
        <v>0.072814689389151</v>
      </c>
      <c r="T92" s="101" t="n">
        <f aca="false">(Yield_Originals!$I92*Yield_Originals!T$1)/Yield_Originals!$K92</f>
        <v>0.0774831673391406</v>
      </c>
      <c r="U92" s="101" t="n">
        <f aca="false">(Yield_Originals!$I92*Yield_Originals!U$1)/Yield_Originals!$K92</f>
        <v>0.0794202465226191</v>
      </c>
      <c r="V92" s="101" t="n">
        <f aca="false">(Yield_Originals!$I92*Yield_Originals!V$1)/Yield_Originals!$K92</f>
        <v>0.0813573257060977</v>
      </c>
      <c r="W92" s="101" t="n">
        <f aca="false">(Yield_Originals!$I92*Yield_Originals!W$1)/Yield_Originals!$K92</f>
        <v>0.0832944048895761</v>
      </c>
      <c r="X92" s="102" t="n">
        <f aca="false">(Yield_Originals!$J92*Yield_Originals!X$1)/Yield_Originals!$K92</f>
        <v>0.0797470016246011</v>
      </c>
      <c r="Y92" s="102" t="n">
        <f aca="false">(Yield_Originals!$J92*Yield_Originals!Y$1)/Yield_Originals!$K92</f>
        <v>0.0815594334797057</v>
      </c>
      <c r="Z92" s="102" t="n">
        <f aca="false">(Yield_Originals!$J92*Yield_Originals!Z$1)/Yield_Originals!$K92</f>
        <v>0.0833718653348103</v>
      </c>
      <c r="AA92" s="102" t="n">
        <f aca="false">(Yield_Originals!$J92*Yield_Originals!AA$1)/Yield_Originals!$K92</f>
        <v>0.0851842971899148</v>
      </c>
      <c r="AB92" s="102" t="n">
        <f aca="false">(Yield_Originals!$J92*Yield_Originals!AB$1)/Yield_Originals!$K92</f>
        <v>0.0869967290450194</v>
      </c>
    </row>
    <row r="93" customFormat="false" ht="15" hidden="false" customHeight="false" outlineLevel="0" collapsed="false">
      <c r="A93" s="66" t="s">
        <v>1059</v>
      </c>
      <c r="B93" s="64" t="n">
        <v>2</v>
      </c>
      <c r="C93" s="104" t="s">
        <v>348</v>
      </c>
      <c r="D93" s="104" t="s">
        <v>1062</v>
      </c>
      <c r="E93" s="94" t="n">
        <v>20</v>
      </c>
      <c r="F93" s="96" t="n">
        <v>0.047920198716335</v>
      </c>
      <c r="G93" s="96" t="n">
        <v>0.047920198716335</v>
      </c>
      <c r="H93" s="96" t="n">
        <f aca="false">+(Yield_Originals!I93+Yield_Originals!G93)/2</f>
        <v>0.0497878218045477</v>
      </c>
      <c r="I93" s="96" t="n">
        <v>0.0516554448927604</v>
      </c>
      <c r="J93" s="96" t="n">
        <v>0.0483315161361219</v>
      </c>
      <c r="K93" s="97" t="n">
        <v>1</v>
      </c>
      <c r="L93" s="98" t="n">
        <f aca="false">(Yield_Originals!$G93*Yield_Originals!L$1)/Yield_Originals!$K93</f>
        <v>0.057504238459602</v>
      </c>
      <c r="M93" s="98" t="n">
        <f aca="false">(Yield_Originals!$G93*Yield_Originals!M$1)/Yield_Originals!$K93</f>
        <v>0.0593012459114646</v>
      </c>
      <c r="N93" s="98" t="n">
        <f aca="false">(Yield_Originals!$G93*Yield_Originals!N$1)/Yield_Originals!$K93</f>
        <v>0.0610982533633271</v>
      </c>
      <c r="O93" s="98" t="n">
        <f aca="false">(Yield_Originals!$G93*Yield_Originals!O$1)/Yield_Originals!$K93</f>
        <v>0.0628952608151897</v>
      </c>
      <c r="P93" s="99" t="n">
        <f aca="false">(Yield_Originals!$H93*Yield_Originals!P$1)/Yield_Originals!$K93</f>
        <v>0.0672135594361394</v>
      </c>
      <c r="Q93" s="99" t="n">
        <f aca="false">(Yield_Originals!$H93*Yield_Originals!Q$1)/Yield_Originals!$K93</f>
        <v>0.06908060275381</v>
      </c>
      <c r="R93" s="99" t="n">
        <f aca="false">(Yield_Originals!$H93*Yield_Originals!R$1)/Yield_Originals!$K93</f>
        <v>0.0709476460714805</v>
      </c>
      <c r="S93" s="99" t="n">
        <f aca="false">(Yield_Originals!$H93*Yield_Originals!S$1)/Yield_Originals!$K93</f>
        <v>0.072814689389151</v>
      </c>
      <c r="T93" s="101" t="n">
        <f aca="false">(Yield_Originals!$I93*Yield_Originals!T$1)/Yield_Originals!$K93</f>
        <v>0.0774831673391406</v>
      </c>
      <c r="U93" s="101" t="n">
        <f aca="false">(Yield_Originals!$I93*Yield_Originals!U$1)/Yield_Originals!$K93</f>
        <v>0.0794202465226191</v>
      </c>
      <c r="V93" s="101" t="n">
        <f aca="false">(Yield_Originals!$I93*Yield_Originals!V$1)/Yield_Originals!$K93</f>
        <v>0.0813573257060977</v>
      </c>
      <c r="W93" s="101" t="n">
        <f aca="false">(Yield_Originals!$I93*Yield_Originals!W$1)/Yield_Originals!$K93</f>
        <v>0.0832944048895761</v>
      </c>
      <c r="X93" s="102" t="n">
        <f aca="false">(Yield_Originals!$J93*Yield_Originals!X$1)/Yield_Originals!$K93</f>
        <v>0.0797470016246011</v>
      </c>
      <c r="Y93" s="102" t="n">
        <f aca="false">(Yield_Originals!$J93*Yield_Originals!Y$1)/Yield_Originals!$K93</f>
        <v>0.0815594334797057</v>
      </c>
      <c r="Z93" s="102" t="n">
        <f aca="false">(Yield_Originals!$J93*Yield_Originals!Z$1)/Yield_Originals!$K93</f>
        <v>0.0833718653348103</v>
      </c>
      <c r="AA93" s="102" t="n">
        <f aca="false">(Yield_Originals!$J93*Yield_Originals!AA$1)/Yield_Originals!$K93</f>
        <v>0.0851842971899148</v>
      </c>
      <c r="AB93" s="102" t="n">
        <f aca="false">(Yield_Originals!$J93*Yield_Originals!AB$1)/Yield_Originals!$K93</f>
        <v>0.0869967290450194</v>
      </c>
    </row>
    <row r="94" customFormat="false" ht="15" hidden="false" customHeight="false" outlineLevel="0" collapsed="false">
      <c r="A94" s="66" t="s">
        <v>1059</v>
      </c>
      <c r="B94" s="64" t="n">
        <v>2</v>
      </c>
      <c r="C94" s="104" t="s">
        <v>348</v>
      </c>
      <c r="D94" s="104" t="s">
        <v>1062</v>
      </c>
      <c r="E94" s="94" t="n">
        <v>21</v>
      </c>
      <c r="F94" s="96" t="n">
        <v>0.047920198716335</v>
      </c>
      <c r="G94" s="96" t="n">
        <v>0.047920198716335</v>
      </c>
      <c r="H94" s="96" t="n">
        <f aca="false">+(Yield_Originals!I94+Yield_Originals!G94)/2</f>
        <v>0.0497878218045477</v>
      </c>
      <c r="I94" s="96" t="n">
        <v>0.0516554448927604</v>
      </c>
      <c r="J94" s="96" t="n">
        <v>0.0483315161361219</v>
      </c>
      <c r="K94" s="97" t="n">
        <v>1</v>
      </c>
      <c r="L94" s="98" t="n">
        <f aca="false">(Yield_Originals!$G94*Yield_Originals!L$1)/Yield_Originals!$K94</f>
        <v>0.057504238459602</v>
      </c>
      <c r="M94" s="98" t="n">
        <f aca="false">(Yield_Originals!$G94*Yield_Originals!M$1)/Yield_Originals!$K94</f>
        <v>0.0593012459114646</v>
      </c>
      <c r="N94" s="98" t="n">
        <f aca="false">(Yield_Originals!$G94*Yield_Originals!N$1)/Yield_Originals!$K94</f>
        <v>0.0610982533633271</v>
      </c>
      <c r="O94" s="98" t="n">
        <f aca="false">(Yield_Originals!$G94*Yield_Originals!O$1)/Yield_Originals!$K94</f>
        <v>0.0628952608151897</v>
      </c>
      <c r="P94" s="99" t="n">
        <f aca="false">(Yield_Originals!$H94*Yield_Originals!P$1)/Yield_Originals!$K94</f>
        <v>0.0672135594361394</v>
      </c>
      <c r="Q94" s="99" t="n">
        <f aca="false">(Yield_Originals!$H94*Yield_Originals!Q$1)/Yield_Originals!$K94</f>
        <v>0.06908060275381</v>
      </c>
      <c r="R94" s="99" t="n">
        <f aca="false">(Yield_Originals!$H94*Yield_Originals!R$1)/Yield_Originals!$K94</f>
        <v>0.0709476460714805</v>
      </c>
      <c r="S94" s="99" t="n">
        <f aca="false">(Yield_Originals!$H94*Yield_Originals!S$1)/Yield_Originals!$K94</f>
        <v>0.072814689389151</v>
      </c>
      <c r="T94" s="101" t="n">
        <f aca="false">(Yield_Originals!$I94*Yield_Originals!T$1)/Yield_Originals!$K94</f>
        <v>0.0774831673391406</v>
      </c>
      <c r="U94" s="101" t="n">
        <f aca="false">(Yield_Originals!$I94*Yield_Originals!U$1)/Yield_Originals!$K94</f>
        <v>0.0794202465226191</v>
      </c>
      <c r="V94" s="101" t="n">
        <f aca="false">(Yield_Originals!$I94*Yield_Originals!V$1)/Yield_Originals!$K94</f>
        <v>0.0813573257060977</v>
      </c>
      <c r="W94" s="101" t="n">
        <f aca="false">(Yield_Originals!$I94*Yield_Originals!W$1)/Yield_Originals!$K94</f>
        <v>0.0832944048895761</v>
      </c>
      <c r="X94" s="102" t="n">
        <f aca="false">(Yield_Originals!$J94*Yield_Originals!X$1)/Yield_Originals!$K94</f>
        <v>0.0797470016246011</v>
      </c>
      <c r="Y94" s="102" t="n">
        <f aca="false">(Yield_Originals!$J94*Yield_Originals!Y$1)/Yield_Originals!$K94</f>
        <v>0.0815594334797057</v>
      </c>
      <c r="Z94" s="102" t="n">
        <f aca="false">(Yield_Originals!$J94*Yield_Originals!Z$1)/Yield_Originals!$K94</f>
        <v>0.0833718653348103</v>
      </c>
      <c r="AA94" s="102" t="n">
        <f aca="false">(Yield_Originals!$J94*Yield_Originals!AA$1)/Yield_Originals!$K94</f>
        <v>0.0851842971899148</v>
      </c>
      <c r="AB94" s="102" t="n">
        <f aca="false">(Yield_Originals!$J94*Yield_Originals!AB$1)/Yield_Originals!$K94</f>
        <v>0.0869967290450194</v>
      </c>
    </row>
    <row r="95" customFormat="false" ht="15" hidden="false" customHeight="false" outlineLevel="0" collapsed="false">
      <c r="A95" s="66" t="s">
        <v>1059</v>
      </c>
      <c r="B95" s="64" t="n">
        <v>2</v>
      </c>
      <c r="C95" s="104" t="s">
        <v>967</v>
      </c>
      <c r="D95" s="104" t="s">
        <v>1067</v>
      </c>
      <c r="E95" s="94" t="n">
        <v>16</v>
      </c>
      <c r="F95" s="96" t="n">
        <v>0.047920198716335</v>
      </c>
      <c r="G95" s="96" t="n">
        <v>0.047920198716335</v>
      </c>
      <c r="H95" s="96" t="n">
        <f aca="false">+(Yield_Originals!I95+Yield_Originals!G95)/2</f>
        <v>0.0497878218045477</v>
      </c>
      <c r="I95" s="96" t="n">
        <v>0.0516554448927604</v>
      </c>
      <c r="J95" s="96" t="n">
        <v>0.0483315161361219</v>
      </c>
      <c r="K95" s="97" t="n">
        <v>1</v>
      </c>
      <c r="L95" s="98" t="n">
        <f aca="false">(Yield_Originals!$G95*Yield_Originals!L$1)/Yield_Originals!$K95</f>
        <v>0.057504238459602</v>
      </c>
      <c r="M95" s="98" t="n">
        <f aca="false">(Yield_Originals!$G95*Yield_Originals!M$1)/Yield_Originals!$K95</f>
        <v>0.0593012459114646</v>
      </c>
      <c r="N95" s="98" t="n">
        <f aca="false">(Yield_Originals!$G95*Yield_Originals!N$1)/Yield_Originals!$K95</f>
        <v>0.0610982533633271</v>
      </c>
      <c r="O95" s="98" t="n">
        <f aca="false">(Yield_Originals!$G95*Yield_Originals!O$1)/Yield_Originals!$K95</f>
        <v>0.0628952608151897</v>
      </c>
      <c r="P95" s="99" t="n">
        <f aca="false">(Yield_Originals!$H95*Yield_Originals!P$1)/Yield_Originals!$K95</f>
        <v>0.0672135594361394</v>
      </c>
      <c r="Q95" s="99" t="n">
        <f aca="false">(Yield_Originals!$H95*Yield_Originals!Q$1)/Yield_Originals!$K95</f>
        <v>0.06908060275381</v>
      </c>
      <c r="R95" s="99" t="n">
        <f aca="false">(Yield_Originals!$H95*Yield_Originals!R$1)/Yield_Originals!$K95</f>
        <v>0.0709476460714805</v>
      </c>
      <c r="S95" s="99"/>
      <c r="T95" s="101"/>
      <c r="U95" s="101"/>
      <c r="V95" s="101"/>
      <c r="W95" s="101"/>
      <c r="X95" s="102"/>
      <c r="Y95" s="102"/>
      <c r="Z95" s="102"/>
      <c r="AA95" s="102"/>
      <c r="AB95" s="102"/>
    </row>
    <row r="96" customFormat="false" ht="15" hidden="false" customHeight="false" outlineLevel="0" collapsed="false">
      <c r="A96" s="66" t="s">
        <v>1059</v>
      </c>
      <c r="B96" s="64" t="n">
        <v>2</v>
      </c>
      <c r="C96" s="104" t="s">
        <v>967</v>
      </c>
      <c r="D96" s="104" t="s">
        <v>1067</v>
      </c>
      <c r="E96" s="94" t="n">
        <v>17</v>
      </c>
      <c r="F96" s="96" t="n">
        <v>0.047920198716335</v>
      </c>
      <c r="G96" s="96" t="n">
        <v>0.047920198716335</v>
      </c>
      <c r="H96" s="96" t="n">
        <f aca="false">+(Yield_Originals!I96+Yield_Originals!G96)/2</f>
        <v>0.0497878218045477</v>
      </c>
      <c r="I96" s="96" t="n">
        <v>0.0516554448927604</v>
      </c>
      <c r="J96" s="96" t="n">
        <v>0.0483315161361219</v>
      </c>
      <c r="K96" s="97" t="n">
        <v>1</v>
      </c>
      <c r="L96" s="98" t="n">
        <f aca="false">(Yield_Originals!$G96*Yield_Originals!L$1)/Yield_Originals!$K96</f>
        <v>0.057504238459602</v>
      </c>
      <c r="M96" s="98" t="n">
        <f aca="false">(Yield_Originals!$G96*Yield_Originals!M$1)/Yield_Originals!$K96</f>
        <v>0.0593012459114646</v>
      </c>
      <c r="N96" s="98" t="n">
        <f aca="false">(Yield_Originals!$G96*Yield_Originals!N$1)/Yield_Originals!$K96</f>
        <v>0.0610982533633271</v>
      </c>
      <c r="O96" s="98" t="n">
        <f aca="false">(Yield_Originals!$G96*Yield_Originals!O$1)/Yield_Originals!$K96</f>
        <v>0.0628952608151897</v>
      </c>
      <c r="P96" s="99" t="n">
        <f aca="false">(Yield_Originals!$H96*Yield_Originals!P$1)/Yield_Originals!$K96</f>
        <v>0.0672135594361394</v>
      </c>
      <c r="Q96" s="99" t="n">
        <f aca="false">(Yield_Originals!$H96*Yield_Originals!Q$1)/Yield_Originals!$K96</f>
        <v>0.06908060275381</v>
      </c>
      <c r="R96" s="99" t="n">
        <f aca="false">(Yield_Originals!$H96*Yield_Originals!R$1)/Yield_Originals!$K96</f>
        <v>0.0709476460714805</v>
      </c>
      <c r="S96" s="99"/>
      <c r="T96" s="101"/>
      <c r="U96" s="101"/>
      <c r="V96" s="101"/>
      <c r="W96" s="101"/>
      <c r="X96" s="102"/>
      <c r="Y96" s="102"/>
      <c r="Z96" s="102"/>
      <c r="AA96" s="102"/>
      <c r="AB96" s="102"/>
    </row>
    <row r="97" customFormat="false" ht="15" hidden="false" customHeight="false" outlineLevel="0" collapsed="false">
      <c r="A97" s="66" t="s">
        <v>1059</v>
      </c>
      <c r="B97" s="64" t="n">
        <v>2</v>
      </c>
      <c r="C97" s="104" t="s">
        <v>967</v>
      </c>
      <c r="D97" s="104" t="s">
        <v>1067</v>
      </c>
      <c r="E97" s="94" t="n">
        <v>18</v>
      </c>
      <c r="F97" s="96" t="n">
        <v>0.047920198716335</v>
      </c>
      <c r="G97" s="96" t="n">
        <v>0.047920198716335</v>
      </c>
      <c r="H97" s="96" t="n">
        <f aca="false">+(Yield_Originals!I97+Yield_Originals!G97)/2</f>
        <v>0.0497878218045477</v>
      </c>
      <c r="I97" s="96" t="n">
        <v>0.0516554448927604</v>
      </c>
      <c r="J97" s="96" t="n">
        <v>0.0483315161361219</v>
      </c>
      <c r="K97" s="97" t="n">
        <v>1</v>
      </c>
      <c r="L97" s="98" t="n">
        <f aca="false">(Yield_Originals!$G97*Yield_Originals!L$1)/Yield_Originals!$K97</f>
        <v>0.057504238459602</v>
      </c>
      <c r="M97" s="98" t="n">
        <f aca="false">(Yield_Originals!$G97*Yield_Originals!M$1)/Yield_Originals!$K97</f>
        <v>0.0593012459114646</v>
      </c>
      <c r="N97" s="98" t="n">
        <f aca="false">(Yield_Originals!$G97*Yield_Originals!N$1)/Yield_Originals!$K97</f>
        <v>0.0610982533633271</v>
      </c>
      <c r="O97" s="98" t="n">
        <f aca="false">(Yield_Originals!$G97*Yield_Originals!O$1)/Yield_Originals!$K97</f>
        <v>0.0628952608151897</v>
      </c>
      <c r="P97" s="99" t="n">
        <f aca="false">(Yield_Originals!$H97*Yield_Originals!P$1)/Yield_Originals!$K97</f>
        <v>0.0672135594361394</v>
      </c>
      <c r="Q97" s="99" t="n">
        <f aca="false">(Yield_Originals!$H97*Yield_Originals!Q$1)/Yield_Originals!$K97</f>
        <v>0.06908060275381</v>
      </c>
      <c r="R97" s="99" t="n">
        <f aca="false">(Yield_Originals!$H97*Yield_Originals!R$1)/Yield_Originals!$K97</f>
        <v>0.0709476460714805</v>
      </c>
      <c r="S97" s="99"/>
      <c r="T97" s="101"/>
      <c r="U97" s="101"/>
      <c r="V97" s="101"/>
      <c r="W97" s="101"/>
      <c r="X97" s="102"/>
      <c r="Y97" s="102"/>
      <c r="Z97" s="102"/>
      <c r="AA97" s="102"/>
      <c r="AB97" s="102"/>
    </row>
    <row r="98" customFormat="false" ht="15" hidden="false" customHeight="false" outlineLevel="0" collapsed="false">
      <c r="A98" s="66" t="s">
        <v>1059</v>
      </c>
      <c r="B98" s="64" t="n">
        <v>2</v>
      </c>
      <c r="C98" s="104" t="s">
        <v>967</v>
      </c>
      <c r="D98" s="104" t="s">
        <v>1067</v>
      </c>
      <c r="E98" s="94" t="n">
        <v>19</v>
      </c>
      <c r="F98" s="96" t="n">
        <v>0.047920198716335</v>
      </c>
      <c r="G98" s="96" t="n">
        <v>0.047920198716335</v>
      </c>
      <c r="H98" s="96" t="n">
        <f aca="false">+(Yield_Originals!I98+Yield_Originals!G98)/2</f>
        <v>0.0497878218045477</v>
      </c>
      <c r="I98" s="96" t="n">
        <v>0.0516554448927604</v>
      </c>
      <c r="J98" s="96" t="n">
        <v>0.0483315161361219</v>
      </c>
      <c r="K98" s="97" t="n">
        <v>1</v>
      </c>
      <c r="L98" s="98" t="n">
        <f aca="false">(Yield_Originals!$G98*Yield_Originals!L$1)/Yield_Originals!$K98</f>
        <v>0.057504238459602</v>
      </c>
      <c r="M98" s="98" t="n">
        <f aca="false">(Yield_Originals!$G98*Yield_Originals!M$1)/Yield_Originals!$K98</f>
        <v>0.0593012459114646</v>
      </c>
      <c r="N98" s="98" t="n">
        <f aca="false">(Yield_Originals!$G98*Yield_Originals!N$1)/Yield_Originals!$K98</f>
        <v>0.0610982533633271</v>
      </c>
      <c r="O98" s="98" t="n">
        <f aca="false">(Yield_Originals!$G98*Yield_Originals!O$1)/Yield_Originals!$K98</f>
        <v>0.0628952608151897</v>
      </c>
      <c r="P98" s="99" t="n">
        <f aca="false">(Yield_Originals!$H98*Yield_Originals!P$1)/Yield_Originals!$K98</f>
        <v>0.0672135594361394</v>
      </c>
      <c r="Q98" s="99" t="n">
        <f aca="false">(Yield_Originals!$H98*Yield_Originals!Q$1)/Yield_Originals!$K98</f>
        <v>0.06908060275381</v>
      </c>
      <c r="R98" s="99" t="n">
        <f aca="false">(Yield_Originals!$H98*Yield_Originals!R$1)/Yield_Originals!$K98</f>
        <v>0.0709476460714805</v>
      </c>
      <c r="S98" s="99"/>
      <c r="T98" s="101"/>
      <c r="U98" s="101"/>
      <c r="V98" s="101"/>
      <c r="W98" s="101"/>
      <c r="X98" s="102"/>
      <c r="Y98" s="102"/>
      <c r="Z98" s="102"/>
      <c r="AA98" s="102"/>
      <c r="AB98" s="102"/>
    </row>
    <row r="99" customFormat="false" ht="15" hidden="false" customHeight="false" outlineLevel="0" collapsed="false">
      <c r="A99" s="66" t="s">
        <v>1059</v>
      </c>
      <c r="B99" s="64" t="n">
        <v>2</v>
      </c>
      <c r="C99" s="104" t="s">
        <v>967</v>
      </c>
      <c r="D99" s="104" t="s">
        <v>1067</v>
      </c>
      <c r="E99" s="94" t="n">
        <v>20</v>
      </c>
      <c r="F99" s="96" t="n">
        <v>0.047920198716335</v>
      </c>
      <c r="G99" s="96" t="n">
        <v>0.047920198716335</v>
      </c>
      <c r="H99" s="96" t="n">
        <f aca="false">+(Yield_Originals!I99+Yield_Originals!G99)/2</f>
        <v>0.0497878218045477</v>
      </c>
      <c r="I99" s="96" t="n">
        <v>0.0516554448927604</v>
      </c>
      <c r="J99" s="96" t="n">
        <v>0.0483315161361219</v>
      </c>
      <c r="K99" s="97" t="n">
        <v>1</v>
      </c>
      <c r="L99" s="98" t="n">
        <f aca="false">(Yield_Originals!$G99*Yield_Originals!L$1)/Yield_Originals!$K99</f>
        <v>0.057504238459602</v>
      </c>
      <c r="M99" s="98" t="n">
        <f aca="false">(Yield_Originals!$G99*Yield_Originals!M$1)/Yield_Originals!$K99</f>
        <v>0.0593012459114646</v>
      </c>
      <c r="N99" s="98" t="n">
        <f aca="false">(Yield_Originals!$G99*Yield_Originals!N$1)/Yield_Originals!$K99</f>
        <v>0.0610982533633271</v>
      </c>
      <c r="O99" s="98" t="n">
        <f aca="false">(Yield_Originals!$G99*Yield_Originals!O$1)/Yield_Originals!$K99</f>
        <v>0.0628952608151897</v>
      </c>
      <c r="P99" s="99" t="n">
        <f aca="false">(Yield_Originals!$H99*Yield_Originals!P$1)/Yield_Originals!$K99</f>
        <v>0.0672135594361394</v>
      </c>
      <c r="Q99" s="99" t="n">
        <f aca="false">(Yield_Originals!$H99*Yield_Originals!Q$1)/Yield_Originals!$K99</f>
        <v>0.06908060275381</v>
      </c>
      <c r="R99" s="99" t="n">
        <f aca="false">(Yield_Originals!$H99*Yield_Originals!R$1)/Yield_Originals!$K99</f>
        <v>0.0709476460714805</v>
      </c>
      <c r="S99" s="99"/>
      <c r="T99" s="101"/>
      <c r="U99" s="101"/>
      <c r="V99" s="101"/>
      <c r="W99" s="101"/>
      <c r="X99" s="102"/>
      <c r="Y99" s="102"/>
      <c r="Z99" s="102"/>
      <c r="AA99" s="102"/>
      <c r="AB99" s="102"/>
    </row>
    <row r="100" customFormat="false" ht="15" hidden="false" customHeight="false" outlineLevel="0" collapsed="false">
      <c r="A100" s="66" t="s">
        <v>1059</v>
      </c>
      <c r="B100" s="64" t="n">
        <v>2</v>
      </c>
      <c r="C100" s="104" t="s">
        <v>967</v>
      </c>
      <c r="D100" s="104" t="s">
        <v>1067</v>
      </c>
      <c r="E100" s="94" t="n">
        <v>21</v>
      </c>
      <c r="F100" s="96" t="n">
        <v>0.047920198716335</v>
      </c>
      <c r="G100" s="96" t="n">
        <v>0.047920198716335</v>
      </c>
      <c r="H100" s="96" t="n">
        <f aca="false">+(Yield_Originals!I100+Yield_Originals!G100)/2</f>
        <v>0.0497878218045477</v>
      </c>
      <c r="I100" s="96" t="n">
        <v>0.0516554448927604</v>
      </c>
      <c r="J100" s="96" t="n">
        <v>0.0483315161361219</v>
      </c>
      <c r="K100" s="97" t="n">
        <v>1</v>
      </c>
      <c r="L100" s="98" t="n">
        <f aca="false">(Yield_Originals!$G100*Yield_Originals!L$1)/Yield_Originals!$K100</f>
        <v>0.057504238459602</v>
      </c>
      <c r="M100" s="98" t="n">
        <f aca="false">(Yield_Originals!$G100*Yield_Originals!M$1)/Yield_Originals!$K100</f>
        <v>0.0593012459114646</v>
      </c>
      <c r="N100" s="98" t="n">
        <f aca="false">(Yield_Originals!$G100*Yield_Originals!N$1)/Yield_Originals!$K100</f>
        <v>0.0610982533633271</v>
      </c>
      <c r="O100" s="98" t="n">
        <f aca="false">(Yield_Originals!$G100*Yield_Originals!O$1)/Yield_Originals!$K100</f>
        <v>0.0628952608151897</v>
      </c>
      <c r="P100" s="99" t="n">
        <f aca="false">(Yield_Originals!$H100*Yield_Originals!P$1)/Yield_Originals!$K100</f>
        <v>0.0672135594361394</v>
      </c>
      <c r="Q100" s="99" t="n">
        <f aca="false">(Yield_Originals!$H100*Yield_Originals!Q$1)/Yield_Originals!$K100</f>
        <v>0.06908060275381</v>
      </c>
      <c r="R100" s="99" t="n">
        <f aca="false">(Yield_Originals!$H100*Yield_Originals!R$1)/Yield_Originals!$K100</f>
        <v>0.0709476460714805</v>
      </c>
      <c r="S100" s="99"/>
      <c r="T100" s="101"/>
      <c r="U100" s="101"/>
      <c r="V100" s="101"/>
      <c r="W100" s="101"/>
      <c r="X100" s="102"/>
      <c r="Y100" s="102"/>
      <c r="Z100" s="102"/>
      <c r="AA100" s="102"/>
      <c r="AB100" s="102"/>
    </row>
    <row r="101" customFormat="false" ht="15" hidden="false" customHeight="false" outlineLevel="0" collapsed="false">
      <c r="A101" s="66" t="s">
        <v>1059</v>
      </c>
      <c r="B101" s="64" t="n">
        <v>2</v>
      </c>
      <c r="C101" s="104" t="s">
        <v>970</v>
      </c>
      <c r="D101" s="104" t="s">
        <v>1069</v>
      </c>
      <c r="E101" s="94" t="n">
        <v>16</v>
      </c>
      <c r="F101" s="96" t="n">
        <v>0.047920198716335</v>
      </c>
      <c r="G101" s="96" t="n">
        <v>0.047920198716335</v>
      </c>
      <c r="H101" s="96" t="n">
        <f aca="false">+(Yield_Originals!I101+Yield_Originals!G101)/2</f>
        <v>0.0497878218045477</v>
      </c>
      <c r="I101" s="96" t="n">
        <v>0.0516554448927604</v>
      </c>
      <c r="J101" s="96" t="n">
        <v>0.0483315161361219</v>
      </c>
      <c r="K101" s="97" t="n">
        <v>1</v>
      </c>
      <c r="L101" s="98"/>
      <c r="M101" s="98"/>
      <c r="N101" s="98"/>
      <c r="O101" s="98"/>
      <c r="P101" s="99"/>
      <c r="Q101" s="99" t="n">
        <f aca="false">(Yield_Originals!$H101*Yield_Originals!Q$1)/Yield_Originals!$K101</f>
        <v>0.06908060275381</v>
      </c>
      <c r="R101" s="99" t="n">
        <f aca="false">(Yield_Originals!$H101*Yield_Originals!R$1)/Yield_Originals!$K101</f>
        <v>0.0709476460714805</v>
      </c>
      <c r="S101" s="99" t="n">
        <f aca="false">(Yield_Originals!$H101*Yield_Originals!S$1)/Yield_Originals!$K101</f>
        <v>0.072814689389151</v>
      </c>
      <c r="T101" s="101" t="n">
        <f aca="false">(Yield_Originals!$I101*Yield_Originals!T$1)/Yield_Originals!$K101</f>
        <v>0.0774831673391406</v>
      </c>
      <c r="U101" s="101" t="n">
        <f aca="false">(Yield_Originals!$I101*Yield_Originals!U$1)/Yield_Originals!$K101</f>
        <v>0.0794202465226191</v>
      </c>
      <c r="V101" s="101" t="n">
        <f aca="false">(Yield_Originals!$I101*Yield_Originals!V$1)/Yield_Originals!$K101</f>
        <v>0.0813573257060977</v>
      </c>
      <c r="W101" s="101" t="n">
        <f aca="false">(Yield_Originals!$I101*Yield_Originals!W$1)/Yield_Originals!$K101</f>
        <v>0.0832944048895761</v>
      </c>
      <c r="X101" s="102" t="n">
        <f aca="false">(Yield_Originals!$J101*Yield_Originals!X$1)/Yield_Originals!$K101</f>
        <v>0.0797470016246011</v>
      </c>
      <c r="Y101" s="102" t="n">
        <f aca="false">(Yield_Originals!$J101*Yield_Originals!Y$1)/Yield_Originals!$K101</f>
        <v>0.0815594334797057</v>
      </c>
      <c r="Z101" s="102" t="n">
        <f aca="false">(Yield_Originals!$J101*Yield_Originals!Z$1)/Yield_Originals!$K101</f>
        <v>0.0833718653348103</v>
      </c>
      <c r="AA101" s="102" t="n">
        <f aca="false">(Yield_Originals!$J101*Yield_Originals!AA$1)/Yield_Originals!$K101</f>
        <v>0.0851842971899148</v>
      </c>
      <c r="AB101" s="102" t="n">
        <f aca="false">(Yield_Originals!$J101*Yield_Originals!AB$1)/Yield_Originals!$K101</f>
        <v>0.0869967290450194</v>
      </c>
    </row>
    <row r="102" customFormat="false" ht="15" hidden="false" customHeight="false" outlineLevel="0" collapsed="false">
      <c r="A102" s="66" t="s">
        <v>1059</v>
      </c>
      <c r="B102" s="64" t="n">
        <v>2</v>
      </c>
      <c r="C102" s="104" t="s">
        <v>970</v>
      </c>
      <c r="D102" s="104" t="s">
        <v>1069</v>
      </c>
      <c r="E102" s="94" t="n">
        <v>17</v>
      </c>
      <c r="F102" s="96" t="n">
        <v>0.047920198716335</v>
      </c>
      <c r="G102" s="96" t="n">
        <v>0.047920198716335</v>
      </c>
      <c r="H102" s="96" t="n">
        <f aca="false">+(Yield_Originals!I102+Yield_Originals!G102)/2</f>
        <v>0.0497878218045477</v>
      </c>
      <c r="I102" s="96" t="n">
        <v>0.0516554448927604</v>
      </c>
      <c r="J102" s="96" t="n">
        <v>0.0483315161361219</v>
      </c>
      <c r="K102" s="97" t="n">
        <v>1</v>
      </c>
      <c r="L102" s="98"/>
      <c r="M102" s="98"/>
      <c r="N102" s="98"/>
      <c r="O102" s="98"/>
      <c r="P102" s="99"/>
      <c r="Q102" s="99" t="n">
        <f aca="false">(Yield_Originals!$H102*Yield_Originals!Q$1)/Yield_Originals!$K102</f>
        <v>0.06908060275381</v>
      </c>
      <c r="R102" s="99" t="n">
        <f aca="false">(Yield_Originals!$H102*Yield_Originals!R$1)/Yield_Originals!$K102</f>
        <v>0.0709476460714805</v>
      </c>
      <c r="S102" s="99" t="n">
        <f aca="false">(Yield_Originals!$H102*Yield_Originals!S$1)/Yield_Originals!$K102</f>
        <v>0.072814689389151</v>
      </c>
      <c r="T102" s="101" t="n">
        <f aca="false">(Yield_Originals!$I102*Yield_Originals!T$1)/Yield_Originals!$K102</f>
        <v>0.0774831673391406</v>
      </c>
      <c r="U102" s="101" t="n">
        <f aca="false">(Yield_Originals!$I102*Yield_Originals!U$1)/Yield_Originals!$K102</f>
        <v>0.0794202465226191</v>
      </c>
      <c r="V102" s="101" t="n">
        <f aca="false">(Yield_Originals!$I102*Yield_Originals!V$1)/Yield_Originals!$K102</f>
        <v>0.0813573257060977</v>
      </c>
      <c r="W102" s="101" t="n">
        <f aca="false">(Yield_Originals!$I102*Yield_Originals!W$1)/Yield_Originals!$K102</f>
        <v>0.0832944048895761</v>
      </c>
      <c r="X102" s="102" t="n">
        <f aca="false">(Yield_Originals!$J102*Yield_Originals!X$1)/Yield_Originals!$K102</f>
        <v>0.0797470016246011</v>
      </c>
      <c r="Y102" s="102" t="n">
        <f aca="false">(Yield_Originals!$J102*Yield_Originals!Y$1)/Yield_Originals!$K102</f>
        <v>0.0815594334797057</v>
      </c>
      <c r="Z102" s="102" t="n">
        <f aca="false">(Yield_Originals!$J102*Yield_Originals!Z$1)/Yield_Originals!$K102</f>
        <v>0.0833718653348103</v>
      </c>
      <c r="AA102" s="102" t="n">
        <f aca="false">(Yield_Originals!$J102*Yield_Originals!AA$1)/Yield_Originals!$K102</f>
        <v>0.0851842971899148</v>
      </c>
      <c r="AB102" s="102" t="n">
        <f aca="false">(Yield_Originals!$J102*Yield_Originals!AB$1)/Yield_Originals!$K102</f>
        <v>0.0869967290450194</v>
      </c>
    </row>
    <row r="103" customFormat="false" ht="15" hidden="false" customHeight="false" outlineLevel="0" collapsed="false">
      <c r="A103" s="66" t="s">
        <v>1059</v>
      </c>
      <c r="B103" s="64" t="n">
        <v>2</v>
      </c>
      <c r="C103" s="104" t="s">
        <v>970</v>
      </c>
      <c r="D103" s="104" t="s">
        <v>1069</v>
      </c>
      <c r="E103" s="94" t="n">
        <v>18</v>
      </c>
      <c r="F103" s="96" t="n">
        <v>0.047920198716335</v>
      </c>
      <c r="G103" s="96" t="n">
        <v>0.047920198716335</v>
      </c>
      <c r="H103" s="96" t="n">
        <f aca="false">+(Yield_Originals!I103+Yield_Originals!G103)/2</f>
        <v>0.0497878218045477</v>
      </c>
      <c r="I103" s="96" t="n">
        <v>0.0516554448927604</v>
      </c>
      <c r="J103" s="96" t="n">
        <v>0.0483315161361219</v>
      </c>
      <c r="K103" s="97" t="n">
        <v>1</v>
      </c>
      <c r="L103" s="98"/>
      <c r="M103" s="98"/>
      <c r="N103" s="98"/>
      <c r="O103" s="98"/>
      <c r="P103" s="99"/>
      <c r="Q103" s="99" t="n">
        <f aca="false">(Yield_Originals!$H103*Yield_Originals!Q$1)/Yield_Originals!$K103</f>
        <v>0.06908060275381</v>
      </c>
      <c r="R103" s="99" t="n">
        <f aca="false">(Yield_Originals!$H103*Yield_Originals!R$1)/Yield_Originals!$K103</f>
        <v>0.0709476460714805</v>
      </c>
      <c r="S103" s="99" t="n">
        <f aca="false">(Yield_Originals!$H103*Yield_Originals!S$1)/Yield_Originals!$K103</f>
        <v>0.072814689389151</v>
      </c>
      <c r="T103" s="101" t="n">
        <f aca="false">(Yield_Originals!$I103*Yield_Originals!T$1)/Yield_Originals!$K103</f>
        <v>0.0774831673391406</v>
      </c>
      <c r="U103" s="101" t="n">
        <f aca="false">(Yield_Originals!$I103*Yield_Originals!U$1)/Yield_Originals!$K103</f>
        <v>0.0794202465226191</v>
      </c>
      <c r="V103" s="101" t="n">
        <f aca="false">(Yield_Originals!$I103*Yield_Originals!V$1)/Yield_Originals!$K103</f>
        <v>0.0813573257060977</v>
      </c>
      <c r="W103" s="101" t="n">
        <f aca="false">(Yield_Originals!$I103*Yield_Originals!W$1)/Yield_Originals!$K103</f>
        <v>0.0832944048895761</v>
      </c>
      <c r="X103" s="102" t="n">
        <f aca="false">(Yield_Originals!$J103*Yield_Originals!X$1)/Yield_Originals!$K103</f>
        <v>0.0797470016246011</v>
      </c>
      <c r="Y103" s="102" t="n">
        <f aca="false">(Yield_Originals!$J103*Yield_Originals!Y$1)/Yield_Originals!$K103</f>
        <v>0.0815594334797057</v>
      </c>
      <c r="Z103" s="102" t="n">
        <f aca="false">(Yield_Originals!$J103*Yield_Originals!Z$1)/Yield_Originals!$K103</f>
        <v>0.0833718653348103</v>
      </c>
      <c r="AA103" s="102" t="n">
        <f aca="false">(Yield_Originals!$J103*Yield_Originals!AA$1)/Yield_Originals!$K103</f>
        <v>0.0851842971899148</v>
      </c>
      <c r="AB103" s="102" t="n">
        <f aca="false">(Yield_Originals!$J103*Yield_Originals!AB$1)/Yield_Originals!$K103</f>
        <v>0.0869967290450194</v>
      </c>
    </row>
    <row r="104" customFormat="false" ht="15" hidden="false" customHeight="false" outlineLevel="0" collapsed="false">
      <c r="A104" s="66" t="s">
        <v>1059</v>
      </c>
      <c r="B104" s="64" t="n">
        <v>2</v>
      </c>
      <c r="C104" s="104" t="s">
        <v>970</v>
      </c>
      <c r="D104" s="104" t="s">
        <v>1069</v>
      </c>
      <c r="E104" s="94" t="n">
        <v>19</v>
      </c>
      <c r="F104" s="96" t="n">
        <v>0.047920198716335</v>
      </c>
      <c r="G104" s="96" t="n">
        <v>0.047920198716335</v>
      </c>
      <c r="H104" s="96" t="n">
        <f aca="false">+(Yield_Originals!I104+Yield_Originals!G104)/2</f>
        <v>0.0497878218045477</v>
      </c>
      <c r="I104" s="96" t="n">
        <v>0.0516554448927604</v>
      </c>
      <c r="J104" s="96" t="n">
        <v>0.0483315161361219</v>
      </c>
      <c r="K104" s="97" t="n">
        <v>1</v>
      </c>
      <c r="L104" s="98"/>
      <c r="M104" s="98"/>
      <c r="N104" s="98"/>
      <c r="O104" s="98"/>
      <c r="P104" s="99"/>
      <c r="Q104" s="99" t="n">
        <f aca="false">(Yield_Originals!$H104*Yield_Originals!Q$1)/Yield_Originals!$K104</f>
        <v>0.06908060275381</v>
      </c>
      <c r="R104" s="99" t="n">
        <f aca="false">(Yield_Originals!$H104*Yield_Originals!R$1)/Yield_Originals!$K104</f>
        <v>0.0709476460714805</v>
      </c>
      <c r="S104" s="99" t="n">
        <f aca="false">(Yield_Originals!$H104*Yield_Originals!S$1)/Yield_Originals!$K104</f>
        <v>0.072814689389151</v>
      </c>
      <c r="T104" s="101" t="n">
        <f aca="false">(Yield_Originals!$I104*Yield_Originals!T$1)/Yield_Originals!$K104</f>
        <v>0.0774831673391406</v>
      </c>
      <c r="U104" s="101" t="n">
        <f aca="false">(Yield_Originals!$I104*Yield_Originals!U$1)/Yield_Originals!$K104</f>
        <v>0.0794202465226191</v>
      </c>
      <c r="V104" s="101" t="n">
        <f aca="false">(Yield_Originals!$I104*Yield_Originals!V$1)/Yield_Originals!$K104</f>
        <v>0.0813573257060977</v>
      </c>
      <c r="W104" s="101" t="n">
        <f aca="false">(Yield_Originals!$I104*Yield_Originals!W$1)/Yield_Originals!$K104</f>
        <v>0.0832944048895761</v>
      </c>
      <c r="X104" s="102" t="n">
        <f aca="false">(Yield_Originals!$J104*Yield_Originals!X$1)/Yield_Originals!$K104</f>
        <v>0.0797470016246011</v>
      </c>
      <c r="Y104" s="102" t="n">
        <f aca="false">(Yield_Originals!$J104*Yield_Originals!Y$1)/Yield_Originals!$K104</f>
        <v>0.0815594334797057</v>
      </c>
      <c r="Z104" s="102" t="n">
        <f aca="false">(Yield_Originals!$J104*Yield_Originals!Z$1)/Yield_Originals!$K104</f>
        <v>0.0833718653348103</v>
      </c>
      <c r="AA104" s="102" t="n">
        <f aca="false">(Yield_Originals!$J104*Yield_Originals!AA$1)/Yield_Originals!$K104</f>
        <v>0.0851842971899148</v>
      </c>
      <c r="AB104" s="102" t="n">
        <f aca="false">(Yield_Originals!$J104*Yield_Originals!AB$1)/Yield_Originals!$K104</f>
        <v>0.0869967290450194</v>
      </c>
    </row>
    <row r="105" customFormat="false" ht="15" hidden="false" customHeight="false" outlineLevel="0" collapsed="false">
      <c r="A105" s="66" t="s">
        <v>1059</v>
      </c>
      <c r="B105" s="64" t="n">
        <v>2</v>
      </c>
      <c r="C105" s="104" t="s">
        <v>970</v>
      </c>
      <c r="D105" s="104" t="s">
        <v>1069</v>
      </c>
      <c r="E105" s="94" t="n">
        <v>20</v>
      </c>
      <c r="F105" s="96" t="n">
        <v>0.047920198716335</v>
      </c>
      <c r="G105" s="96" t="n">
        <v>0.047920198716335</v>
      </c>
      <c r="H105" s="96" t="n">
        <f aca="false">+(Yield_Originals!I105+Yield_Originals!G105)/2</f>
        <v>0.0497878218045477</v>
      </c>
      <c r="I105" s="96" t="n">
        <v>0.0516554448927604</v>
      </c>
      <c r="J105" s="96" t="n">
        <v>0.0483315161361219</v>
      </c>
      <c r="K105" s="97" t="n">
        <v>1</v>
      </c>
      <c r="L105" s="98"/>
      <c r="M105" s="98"/>
      <c r="N105" s="98"/>
      <c r="O105" s="98"/>
      <c r="P105" s="99"/>
      <c r="Q105" s="99" t="n">
        <f aca="false">(Yield_Originals!$H105*Yield_Originals!Q$1)/Yield_Originals!$K105</f>
        <v>0.06908060275381</v>
      </c>
      <c r="R105" s="99" t="n">
        <f aca="false">(Yield_Originals!$H105*Yield_Originals!R$1)/Yield_Originals!$K105</f>
        <v>0.0709476460714805</v>
      </c>
      <c r="S105" s="99" t="n">
        <f aca="false">(Yield_Originals!$H105*Yield_Originals!S$1)/Yield_Originals!$K105</f>
        <v>0.072814689389151</v>
      </c>
      <c r="T105" s="101" t="n">
        <f aca="false">(Yield_Originals!$I105*Yield_Originals!T$1)/Yield_Originals!$K105</f>
        <v>0.0774831673391406</v>
      </c>
      <c r="U105" s="101" t="n">
        <f aca="false">(Yield_Originals!$I105*Yield_Originals!U$1)/Yield_Originals!$K105</f>
        <v>0.0794202465226191</v>
      </c>
      <c r="V105" s="101" t="n">
        <f aca="false">(Yield_Originals!$I105*Yield_Originals!V$1)/Yield_Originals!$K105</f>
        <v>0.0813573257060977</v>
      </c>
      <c r="W105" s="101" t="n">
        <f aca="false">(Yield_Originals!$I105*Yield_Originals!W$1)/Yield_Originals!$K105</f>
        <v>0.0832944048895761</v>
      </c>
      <c r="X105" s="102" t="n">
        <f aca="false">(Yield_Originals!$J105*Yield_Originals!X$1)/Yield_Originals!$K105</f>
        <v>0.0797470016246011</v>
      </c>
      <c r="Y105" s="102" t="n">
        <f aca="false">(Yield_Originals!$J105*Yield_Originals!Y$1)/Yield_Originals!$K105</f>
        <v>0.0815594334797057</v>
      </c>
      <c r="Z105" s="102" t="n">
        <f aca="false">(Yield_Originals!$J105*Yield_Originals!Z$1)/Yield_Originals!$K105</f>
        <v>0.0833718653348103</v>
      </c>
      <c r="AA105" s="102" t="n">
        <f aca="false">(Yield_Originals!$J105*Yield_Originals!AA$1)/Yield_Originals!$K105</f>
        <v>0.0851842971899148</v>
      </c>
      <c r="AB105" s="102" t="n">
        <f aca="false">(Yield_Originals!$J105*Yield_Originals!AB$1)/Yield_Originals!$K105</f>
        <v>0.0869967290450194</v>
      </c>
    </row>
    <row r="106" customFormat="false" ht="15" hidden="false" customHeight="false" outlineLevel="0" collapsed="false">
      <c r="A106" s="66" t="s">
        <v>1059</v>
      </c>
      <c r="B106" s="64" t="n">
        <v>2</v>
      </c>
      <c r="C106" s="104" t="s">
        <v>970</v>
      </c>
      <c r="D106" s="104" t="s">
        <v>1069</v>
      </c>
      <c r="E106" s="94" t="n">
        <v>21</v>
      </c>
      <c r="F106" s="96" t="n">
        <v>0.047920198716335</v>
      </c>
      <c r="G106" s="96" t="n">
        <v>0.047920198716335</v>
      </c>
      <c r="H106" s="96" t="n">
        <f aca="false">+(Yield_Originals!I106+Yield_Originals!G106)/2</f>
        <v>0.0497878218045477</v>
      </c>
      <c r="I106" s="96" t="n">
        <v>0.0516554448927604</v>
      </c>
      <c r="J106" s="96" t="n">
        <v>0.0483315161361219</v>
      </c>
      <c r="K106" s="97" t="n">
        <v>1</v>
      </c>
      <c r="L106" s="98"/>
      <c r="M106" s="98"/>
      <c r="N106" s="98"/>
      <c r="O106" s="98"/>
      <c r="P106" s="99"/>
      <c r="Q106" s="99" t="n">
        <f aca="false">(Yield_Originals!$H106*Yield_Originals!Q$1)/Yield_Originals!$K106</f>
        <v>0.06908060275381</v>
      </c>
      <c r="R106" s="99" t="n">
        <f aca="false">(Yield_Originals!$H106*Yield_Originals!R$1)/Yield_Originals!$K106</f>
        <v>0.0709476460714805</v>
      </c>
      <c r="S106" s="99" t="n">
        <f aca="false">(Yield_Originals!$H106*Yield_Originals!S$1)/Yield_Originals!$K106</f>
        <v>0.072814689389151</v>
      </c>
      <c r="T106" s="101" t="n">
        <f aca="false">(Yield_Originals!$I106*Yield_Originals!T$1)/Yield_Originals!$K106</f>
        <v>0.0774831673391406</v>
      </c>
      <c r="U106" s="101" t="n">
        <f aca="false">(Yield_Originals!$I106*Yield_Originals!U$1)/Yield_Originals!$K106</f>
        <v>0.0794202465226191</v>
      </c>
      <c r="V106" s="101" t="n">
        <f aca="false">(Yield_Originals!$I106*Yield_Originals!V$1)/Yield_Originals!$K106</f>
        <v>0.0813573257060977</v>
      </c>
      <c r="W106" s="101" t="n">
        <f aca="false">(Yield_Originals!$I106*Yield_Originals!W$1)/Yield_Originals!$K106</f>
        <v>0.0832944048895761</v>
      </c>
      <c r="X106" s="102" t="n">
        <f aca="false">(Yield_Originals!$J106*Yield_Originals!X$1)/Yield_Originals!$K106</f>
        <v>0.0797470016246011</v>
      </c>
      <c r="Y106" s="102" t="n">
        <f aca="false">(Yield_Originals!$J106*Yield_Originals!Y$1)/Yield_Originals!$K106</f>
        <v>0.0815594334797057</v>
      </c>
      <c r="Z106" s="102" t="n">
        <f aca="false">(Yield_Originals!$J106*Yield_Originals!Z$1)/Yield_Originals!$K106</f>
        <v>0.0833718653348103</v>
      </c>
      <c r="AA106" s="102" t="n">
        <f aca="false">(Yield_Originals!$J106*Yield_Originals!AA$1)/Yield_Originals!$K106</f>
        <v>0.0851842971899148</v>
      </c>
      <c r="AB106" s="102" t="n">
        <f aca="false">(Yield_Originals!$J106*Yield_Originals!AB$1)/Yield_Originals!$K106</f>
        <v>0.0869967290450194</v>
      </c>
    </row>
    <row r="107" customFormat="false" ht="15" hidden="false" customHeight="false" outlineLevel="0" collapsed="false">
      <c r="A107" s="66" t="s">
        <v>1044</v>
      </c>
      <c r="B107" s="64" t="n">
        <v>2</v>
      </c>
      <c r="C107" s="93" t="s">
        <v>123</v>
      </c>
      <c r="D107" s="93" t="s">
        <v>1047</v>
      </c>
      <c r="E107" s="94" t="n">
        <v>9</v>
      </c>
      <c r="F107" s="96" t="n">
        <v>0.0470666077564446</v>
      </c>
      <c r="G107" s="96" t="n">
        <v>0.0470666077564446</v>
      </c>
      <c r="H107" s="96" t="n">
        <f aca="false">+(Yield_Originals!I107+Yield_Originals!G107)/2</f>
        <v>0.0499110033670852</v>
      </c>
      <c r="I107" s="96" t="n">
        <v>0.0527553989777259</v>
      </c>
      <c r="J107" s="96" t="n">
        <v>0.0501600633427114</v>
      </c>
      <c r="K107" s="97" t="n">
        <v>1</v>
      </c>
      <c r="L107" s="98" t="n">
        <f aca="false">(Yield_Originals!$G107*Yield_Originals!L$1)/Yield_Originals!$K107</f>
        <v>0.0564799293077335</v>
      </c>
      <c r="M107" s="98" t="n">
        <f aca="false">(Yield_Originals!$G107*Yield_Originals!M$1)/Yield_Originals!$K107</f>
        <v>0.0582449270986002</v>
      </c>
      <c r="N107" s="98" t="n">
        <f aca="false">(Yield_Originals!$G107*Yield_Originals!N$1)/Yield_Originals!$K107</f>
        <v>0.0600099248894669</v>
      </c>
      <c r="O107" s="98" t="n">
        <f aca="false">(Yield_Originals!$G107*Yield_Originals!O$1)/Yield_Originals!$K107</f>
        <v>0.0617749226803335</v>
      </c>
      <c r="P107" s="99" t="n">
        <f aca="false">(Yield_Originals!$H107*Yield_Originals!P$1)/Yield_Originals!$K107</f>
        <v>0.0673798545455651</v>
      </c>
      <c r="Q107" s="99" t="n">
        <f aca="false">(Yield_Originals!$H107*Yield_Originals!Q$1)/Yield_Originals!$K107</f>
        <v>0.0692515171718308</v>
      </c>
      <c r="R107" s="99" t="n">
        <f aca="false">(Yield_Originals!$H107*Yield_Originals!R$1)/Yield_Originals!$K107</f>
        <v>0.0711231797980965</v>
      </c>
      <c r="S107" s="99" t="n">
        <f aca="false">(Yield_Originals!$H107*Yield_Originals!S$1)/Yield_Originals!$K107</f>
        <v>0.0729948424243622</v>
      </c>
      <c r="T107" s="101" t="n">
        <f aca="false">(Yield_Originals!$I107*Yield_Originals!T$1)/Yield_Originals!$K107</f>
        <v>0.0791330984665889</v>
      </c>
      <c r="U107" s="101" t="n">
        <f aca="false">(Yield_Originals!$I107*Yield_Originals!U$1)/Yield_Originals!$K107</f>
        <v>0.0811114259282536</v>
      </c>
      <c r="V107" s="101" t="n">
        <f aca="false">(Yield_Originals!$I107*Yield_Originals!V$1)/Yield_Originals!$K107</f>
        <v>0.0830897533899183</v>
      </c>
      <c r="W107" s="101" t="n">
        <f aca="false">(Yield_Originals!$I107*Yield_Originals!W$1)/Yield_Originals!$K107</f>
        <v>0.085068080851583</v>
      </c>
      <c r="X107" s="102" t="n">
        <f aca="false">(Yield_Originals!$J107*Yield_Originals!X$1)/Yield_Originals!$K107</f>
        <v>0.0827641045154738</v>
      </c>
      <c r="Y107" s="102" t="n">
        <f aca="false">(Yield_Originals!$J107*Yield_Originals!Y$1)/Yield_Originals!$K107</f>
        <v>0.0846451068908255</v>
      </c>
      <c r="Z107" s="102" t="n">
        <f aca="false">(Yield_Originals!$J107*Yield_Originals!Z$1)/Yield_Originals!$K107</f>
        <v>0.0865261092661771</v>
      </c>
      <c r="AA107" s="102" t="n">
        <f aca="false">(Yield_Originals!$J107*Yield_Originals!AA$1)/Yield_Originals!$K107</f>
        <v>0.0884071116415288</v>
      </c>
      <c r="AB107" s="102" t="n">
        <f aca="false">(Yield_Originals!$J107*Yield_Originals!AB$1)/Yield_Originals!$K107</f>
        <v>0.0902881140168805</v>
      </c>
    </row>
    <row r="108" customFormat="false" ht="15" hidden="false" customHeight="false" outlineLevel="0" collapsed="false">
      <c r="A108" s="66" t="s">
        <v>1044</v>
      </c>
      <c r="B108" s="64" t="n">
        <v>2</v>
      </c>
      <c r="C108" s="93" t="s">
        <v>123</v>
      </c>
      <c r="D108" s="93" t="s">
        <v>1047</v>
      </c>
      <c r="E108" s="94" t="n">
        <v>10</v>
      </c>
      <c r="F108" s="96" t="n">
        <v>0.0470666077564446</v>
      </c>
      <c r="G108" s="96" t="n">
        <v>0.0470666077564446</v>
      </c>
      <c r="H108" s="96" t="n">
        <f aca="false">+(Yield_Originals!I108+Yield_Originals!G108)/2</f>
        <v>0.0499110033670852</v>
      </c>
      <c r="I108" s="96" t="n">
        <v>0.0527553989777259</v>
      </c>
      <c r="J108" s="96" t="n">
        <v>0.0501600633427114</v>
      </c>
      <c r="K108" s="97" t="n">
        <v>1</v>
      </c>
      <c r="L108" s="98" t="n">
        <f aca="false">(Yield_Originals!$G108*Yield_Originals!L$1)/Yield_Originals!$K108</f>
        <v>0.0564799293077335</v>
      </c>
      <c r="M108" s="98" t="n">
        <f aca="false">(Yield_Originals!$G108*Yield_Originals!M$1)/Yield_Originals!$K108</f>
        <v>0.0582449270986002</v>
      </c>
      <c r="N108" s="98" t="n">
        <f aca="false">(Yield_Originals!$G108*Yield_Originals!N$1)/Yield_Originals!$K108</f>
        <v>0.0600099248894669</v>
      </c>
      <c r="O108" s="98" t="n">
        <f aca="false">(Yield_Originals!$G108*Yield_Originals!O$1)/Yield_Originals!$K108</f>
        <v>0.0617749226803335</v>
      </c>
      <c r="P108" s="99" t="n">
        <f aca="false">(Yield_Originals!$H108*Yield_Originals!P$1)/Yield_Originals!$K108</f>
        <v>0.0673798545455651</v>
      </c>
      <c r="Q108" s="99" t="n">
        <f aca="false">(Yield_Originals!$H108*Yield_Originals!Q$1)/Yield_Originals!$K108</f>
        <v>0.0692515171718308</v>
      </c>
      <c r="R108" s="99" t="n">
        <f aca="false">(Yield_Originals!$H108*Yield_Originals!R$1)/Yield_Originals!$K108</f>
        <v>0.0711231797980965</v>
      </c>
      <c r="S108" s="99" t="n">
        <f aca="false">(Yield_Originals!$H108*Yield_Originals!S$1)/Yield_Originals!$K108</f>
        <v>0.0729948424243622</v>
      </c>
      <c r="T108" s="101" t="n">
        <f aca="false">(Yield_Originals!$I108*Yield_Originals!T$1)/Yield_Originals!$K108</f>
        <v>0.0791330984665889</v>
      </c>
      <c r="U108" s="101" t="n">
        <f aca="false">(Yield_Originals!$I108*Yield_Originals!U$1)/Yield_Originals!$K108</f>
        <v>0.0811114259282536</v>
      </c>
      <c r="V108" s="101" t="n">
        <f aca="false">(Yield_Originals!$I108*Yield_Originals!V$1)/Yield_Originals!$K108</f>
        <v>0.0830897533899183</v>
      </c>
      <c r="W108" s="101" t="n">
        <f aca="false">(Yield_Originals!$I108*Yield_Originals!W$1)/Yield_Originals!$K108</f>
        <v>0.085068080851583</v>
      </c>
      <c r="X108" s="102" t="n">
        <f aca="false">(Yield_Originals!$J108*Yield_Originals!X$1)/Yield_Originals!$K108</f>
        <v>0.0827641045154738</v>
      </c>
      <c r="Y108" s="102" t="n">
        <f aca="false">(Yield_Originals!$J108*Yield_Originals!Y$1)/Yield_Originals!$K108</f>
        <v>0.0846451068908255</v>
      </c>
      <c r="Z108" s="102" t="n">
        <f aca="false">(Yield_Originals!$J108*Yield_Originals!Z$1)/Yield_Originals!$K108</f>
        <v>0.0865261092661771</v>
      </c>
      <c r="AA108" s="102" t="n">
        <f aca="false">(Yield_Originals!$J108*Yield_Originals!AA$1)/Yield_Originals!$K108</f>
        <v>0.0884071116415288</v>
      </c>
      <c r="AB108" s="102" t="n">
        <f aca="false">(Yield_Originals!$J108*Yield_Originals!AB$1)/Yield_Originals!$K108</f>
        <v>0.0902881140168805</v>
      </c>
    </row>
    <row r="109" customFormat="false" ht="15" hidden="false" customHeight="false" outlineLevel="0" collapsed="false">
      <c r="A109" s="66" t="s">
        <v>1044</v>
      </c>
      <c r="B109" s="64" t="n">
        <v>2</v>
      </c>
      <c r="C109" s="93" t="s">
        <v>123</v>
      </c>
      <c r="D109" s="93" t="s">
        <v>1047</v>
      </c>
      <c r="E109" s="94" t="n">
        <v>11</v>
      </c>
      <c r="F109" s="96" t="n">
        <v>0.0470666077564446</v>
      </c>
      <c r="G109" s="96" t="n">
        <v>0.0470666077564446</v>
      </c>
      <c r="H109" s="96" t="n">
        <f aca="false">+(Yield_Originals!I109+Yield_Originals!G109)/2</f>
        <v>0.0499110033670852</v>
      </c>
      <c r="I109" s="96" t="n">
        <v>0.0527553989777259</v>
      </c>
      <c r="J109" s="96" t="n">
        <v>0.0501600633427114</v>
      </c>
      <c r="K109" s="97" t="n">
        <v>1</v>
      </c>
      <c r="L109" s="98" t="n">
        <f aca="false">(Yield_Originals!$G109*Yield_Originals!L$1)/Yield_Originals!$K109</f>
        <v>0.0564799293077335</v>
      </c>
      <c r="M109" s="98" t="n">
        <f aca="false">(Yield_Originals!$G109*Yield_Originals!M$1)/Yield_Originals!$K109</f>
        <v>0.0582449270986002</v>
      </c>
      <c r="N109" s="98" t="n">
        <f aca="false">(Yield_Originals!$G109*Yield_Originals!N$1)/Yield_Originals!$K109</f>
        <v>0.0600099248894669</v>
      </c>
      <c r="O109" s="98" t="n">
        <f aca="false">(Yield_Originals!$G109*Yield_Originals!O$1)/Yield_Originals!$K109</f>
        <v>0.0617749226803335</v>
      </c>
      <c r="P109" s="99" t="n">
        <f aca="false">(Yield_Originals!$H109*Yield_Originals!P$1)/Yield_Originals!$K109</f>
        <v>0.0673798545455651</v>
      </c>
      <c r="Q109" s="99" t="n">
        <f aca="false">(Yield_Originals!$H109*Yield_Originals!Q$1)/Yield_Originals!$K109</f>
        <v>0.0692515171718308</v>
      </c>
      <c r="R109" s="99" t="n">
        <f aca="false">(Yield_Originals!$H109*Yield_Originals!R$1)/Yield_Originals!$K109</f>
        <v>0.0711231797980965</v>
      </c>
      <c r="S109" s="99" t="n">
        <f aca="false">(Yield_Originals!$H109*Yield_Originals!S$1)/Yield_Originals!$K109</f>
        <v>0.0729948424243622</v>
      </c>
      <c r="T109" s="101" t="n">
        <f aca="false">(Yield_Originals!$I109*Yield_Originals!T$1)/Yield_Originals!$K109</f>
        <v>0.0791330984665889</v>
      </c>
      <c r="U109" s="101" t="n">
        <f aca="false">(Yield_Originals!$I109*Yield_Originals!U$1)/Yield_Originals!$K109</f>
        <v>0.0811114259282536</v>
      </c>
      <c r="V109" s="101" t="n">
        <f aca="false">(Yield_Originals!$I109*Yield_Originals!V$1)/Yield_Originals!$K109</f>
        <v>0.0830897533899183</v>
      </c>
      <c r="W109" s="101" t="n">
        <f aca="false">(Yield_Originals!$I109*Yield_Originals!W$1)/Yield_Originals!$K109</f>
        <v>0.085068080851583</v>
      </c>
      <c r="X109" s="102" t="n">
        <f aca="false">(Yield_Originals!$J109*Yield_Originals!X$1)/Yield_Originals!$K109</f>
        <v>0.0827641045154738</v>
      </c>
      <c r="Y109" s="102" t="n">
        <f aca="false">(Yield_Originals!$J109*Yield_Originals!Y$1)/Yield_Originals!$K109</f>
        <v>0.0846451068908255</v>
      </c>
      <c r="Z109" s="102" t="n">
        <f aca="false">(Yield_Originals!$J109*Yield_Originals!Z$1)/Yield_Originals!$K109</f>
        <v>0.0865261092661771</v>
      </c>
      <c r="AA109" s="102" t="n">
        <f aca="false">(Yield_Originals!$J109*Yield_Originals!AA$1)/Yield_Originals!$K109</f>
        <v>0.0884071116415288</v>
      </c>
      <c r="AB109" s="102" t="n">
        <f aca="false">(Yield_Originals!$J109*Yield_Originals!AB$1)/Yield_Originals!$K109</f>
        <v>0.0902881140168805</v>
      </c>
    </row>
    <row r="110" customFormat="false" ht="15" hidden="false" customHeight="false" outlineLevel="0" collapsed="false">
      <c r="A110" s="66" t="s">
        <v>1044</v>
      </c>
      <c r="B110" s="64" t="n">
        <v>2</v>
      </c>
      <c r="C110" s="93" t="s">
        <v>123</v>
      </c>
      <c r="D110" s="93" t="s">
        <v>1047</v>
      </c>
      <c r="E110" s="94" t="n">
        <v>12</v>
      </c>
      <c r="F110" s="96" t="n">
        <v>0.0470666077564446</v>
      </c>
      <c r="G110" s="96" t="n">
        <v>0.0470666077564446</v>
      </c>
      <c r="H110" s="96" t="n">
        <f aca="false">+(Yield_Originals!I110+Yield_Originals!G110)/2</f>
        <v>0.0499110033670852</v>
      </c>
      <c r="I110" s="96" t="n">
        <v>0.0527553989777259</v>
      </c>
      <c r="J110" s="96" t="n">
        <v>0.0501600633427114</v>
      </c>
      <c r="K110" s="97" t="n">
        <v>1</v>
      </c>
      <c r="L110" s="98" t="n">
        <f aca="false">(Yield_Originals!$G110*Yield_Originals!L$1)/Yield_Originals!$K110</f>
        <v>0.0564799293077335</v>
      </c>
      <c r="M110" s="98" t="n">
        <f aca="false">(Yield_Originals!$G110*Yield_Originals!M$1)/Yield_Originals!$K110</f>
        <v>0.0582449270986002</v>
      </c>
      <c r="N110" s="98" t="n">
        <f aca="false">(Yield_Originals!$G110*Yield_Originals!N$1)/Yield_Originals!$K110</f>
        <v>0.0600099248894669</v>
      </c>
      <c r="O110" s="98" t="n">
        <f aca="false">(Yield_Originals!$G110*Yield_Originals!O$1)/Yield_Originals!$K110</f>
        <v>0.0617749226803335</v>
      </c>
      <c r="P110" s="99" t="n">
        <f aca="false">(Yield_Originals!$H110*Yield_Originals!P$1)/Yield_Originals!$K110</f>
        <v>0.0673798545455651</v>
      </c>
      <c r="Q110" s="99" t="n">
        <f aca="false">(Yield_Originals!$H110*Yield_Originals!Q$1)/Yield_Originals!$K110</f>
        <v>0.0692515171718308</v>
      </c>
      <c r="R110" s="99" t="n">
        <f aca="false">(Yield_Originals!$H110*Yield_Originals!R$1)/Yield_Originals!$K110</f>
        <v>0.0711231797980965</v>
      </c>
      <c r="S110" s="99" t="n">
        <f aca="false">(Yield_Originals!$H110*Yield_Originals!S$1)/Yield_Originals!$K110</f>
        <v>0.0729948424243622</v>
      </c>
      <c r="T110" s="101" t="n">
        <f aca="false">(Yield_Originals!$I110*Yield_Originals!T$1)/Yield_Originals!$K110</f>
        <v>0.0791330984665889</v>
      </c>
      <c r="U110" s="101" t="n">
        <f aca="false">(Yield_Originals!$I110*Yield_Originals!U$1)/Yield_Originals!$K110</f>
        <v>0.0811114259282536</v>
      </c>
      <c r="V110" s="101" t="n">
        <f aca="false">(Yield_Originals!$I110*Yield_Originals!V$1)/Yield_Originals!$K110</f>
        <v>0.0830897533899183</v>
      </c>
      <c r="W110" s="101" t="n">
        <f aca="false">(Yield_Originals!$I110*Yield_Originals!W$1)/Yield_Originals!$K110</f>
        <v>0.085068080851583</v>
      </c>
      <c r="X110" s="102" t="n">
        <f aca="false">(Yield_Originals!$J110*Yield_Originals!X$1)/Yield_Originals!$K110</f>
        <v>0.0827641045154738</v>
      </c>
      <c r="Y110" s="102" t="n">
        <f aca="false">(Yield_Originals!$J110*Yield_Originals!Y$1)/Yield_Originals!$K110</f>
        <v>0.0846451068908255</v>
      </c>
      <c r="Z110" s="102" t="n">
        <f aca="false">(Yield_Originals!$J110*Yield_Originals!Z$1)/Yield_Originals!$K110</f>
        <v>0.0865261092661771</v>
      </c>
      <c r="AA110" s="102" t="n">
        <f aca="false">(Yield_Originals!$J110*Yield_Originals!AA$1)/Yield_Originals!$K110</f>
        <v>0.0884071116415288</v>
      </c>
      <c r="AB110" s="102" t="n">
        <f aca="false">(Yield_Originals!$J110*Yield_Originals!AB$1)/Yield_Originals!$K110</f>
        <v>0.0902881140168805</v>
      </c>
    </row>
    <row r="111" customFormat="false" ht="15" hidden="false" customHeight="false" outlineLevel="0" collapsed="false">
      <c r="A111" s="66" t="s">
        <v>1044</v>
      </c>
      <c r="B111" s="64" t="n">
        <v>2</v>
      </c>
      <c r="C111" s="93" t="s">
        <v>123</v>
      </c>
      <c r="D111" s="93" t="s">
        <v>1047</v>
      </c>
      <c r="E111" s="94" t="n">
        <v>13</v>
      </c>
      <c r="F111" s="96" t="n">
        <v>0.0470666077564446</v>
      </c>
      <c r="G111" s="96" t="n">
        <v>0.0470666077564446</v>
      </c>
      <c r="H111" s="96" t="n">
        <f aca="false">+(Yield_Originals!I111+Yield_Originals!G111)/2</f>
        <v>0.0499110033670852</v>
      </c>
      <c r="I111" s="96" t="n">
        <v>0.0527553989777259</v>
      </c>
      <c r="J111" s="96" t="n">
        <v>0.0501600633427114</v>
      </c>
      <c r="K111" s="97" t="n">
        <v>1</v>
      </c>
      <c r="L111" s="98" t="n">
        <f aca="false">(Yield_Originals!$G111*Yield_Originals!L$1)/Yield_Originals!$K111</f>
        <v>0.0564799293077335</v>
      </c>
      <c r="M111" s="98" t="n">
        <f aca="false">(Yield_Originals!$G111*Yield_Originals!M$1)/Yield_Originals!$K111</f>
        <v>0.0582449270986002</v>
      </c>
      <c r="N111" s="98" t="n">
        <f aca="false">(Yield_Originals!$G111*Yield_Originals!N$1)/Yield_Originals!$K111</f>
        <v>0.0600099248894669</v>
      </c>
      <c r="O111" s="98" t="n">
        <f aca="false">(Yield_Originals!$G111*Yield_Originals!O$1)/Yield_Originals!$K111</f>
        <v>0.0617749226803335</v>
      </c>
      <c r="P111" s="99" t="n">
        <f aca="false">(Yield_Originals!$H111*Yield_Originals!P$1)/Yield_Originals!$K111</f>
        <v>0.0673798545455651</v>
      </c>
      <c r="Q111" s="99" t="n">
        <f aca="false">(Yield_Originals!$H111*Yield_Originals!Q$1)/Yield_Originals!$K111</f>
        <v>0.0692515171718308</v>
      </c>
      <c r="R111" s="99" t="n">
        <f aca="false">(Yield_Originals!$H111*Yield_Originals!R$1)/Yield_Originals!$K111</f>
        <v>0.0711231797980965</v>
      </c>
      <c r="S111" s="99" t="n">
        <f aca="false">(Yield_Originals!$H111*Yield_Originals!S$1)/Yield_Originals!$K111</f>
        <v>0.0729948424243622</v>
      </c>
      <c r="T111" s="101" t="n">
        <f aca="false">(Yield_Originals!$I111*Yield_Originals!T$1)/Yield_Originals!$K111</f>
        <v>0.0791330984665889</v>
      </c>
      <c r="U111" s="101" t="n">
        <f aca="false">(Yield_Originals!$I111*Yield_Originals!U$1)/Yield_Originals!$K111</f>
        <v>0.0811114259282536</v>
      </c>
      <c r="V111" s="101" t="n">
        <f aca="false">(Yield_Originals!$I111*Yield_Originals!V$1)/Yield_Originals!$K111</f>
        <v>0.0830897533899183</v>
      </c>
      <c r="W111" s="101" t="n">
        <f aca="false">(Yield_Originals!$I111*Yield_Originals!W$1)/Yield_Originals!$K111</f>
        <v>0.085068080851583</v>
      </c>
      <c r="X111" s="102" t="n">
        <f aca="false">(Yield_Originals!$J111*Yield_Originals!X$1)/Yield_Originals!$K111</f>
        <v>0.0827641045154738</v>
      </c>
      <c r="Y111" s="102" t="n">
        <f aca="false">(Yield_Originals!$J111*Yield_Originals!Y$1)/Yield_Originals!$K111</f>
        <v>0.0846451068908255</v>
      </c>
      <c r="Z111" s="102" t="n">
        <f aca="false">(Yield_Originals!$J111*Yield_Originals!Z$1)/Yield_Originals!$K111</f>
        <v>0.0865261092661771</v>
      </c>
      <c r="AA111" s="102" t="n">
        <f aca="false">(Yield_Originals!$J111*Yield_Originals!AA$1)/Yield_Originals!$K111</f>
        <v>0.0884071116415288</v>
      </c>
      <c r="AB111" s="102" t="n">
        <f aca="false">(Yield_Originals!$J111*Yield_Originals!AB$1)/Yield_Originals!$K111</f>
        <v>0.0902881140168805</v>
      </c>
    </row>
    <row r="112" customFormat="false" ht="15" hidden="false" customHeight="false" outlineLevel="0" collapsed="false">
      <c r="A112" s="66" t="s">
        <v>1044</v>
      </c>
      <c r="B112" s="64" t="n">
        <v>2</v>
      </c>
      <c r="C112" s="93" t="s">
        <v>123</v>
      </c>
      <c r="D112" s="93" t="s">
        <v>1047</v>
      </c>
      <c r="E112" s="94" t="n">
        <v>14</v>
      </c>
      <c r="F112" s="96" t="n">
        <v>0.0470666077564446</v>
      </c>
      <c r="G112" s="96" t="n">
        <v>0.0470666077564446</v>
      </c>
      <c r="H112" s="96" t="n">
        <f aca="false">+(Yield_Originals!I112+Yield_Originals!G112)/2</f>
        <v>0.0499110033670852</v>
      </c>
      <c r="I112" s="96" t="n">
        <v>0.0527553989777259</v>
      </c>
      <c r="J112" s="96" t="n">
        <v>0.0501600633427114</v>
      </c>
      <c r="K112" s="97" t="n">
        <v>1</v>
      </c>
      <c r="L112" s="98" t="n">
        <f aca="false">(Yield_Originals!$G112*Yield_Originals!L$1)/Yield_Originals!$K112</f>
        <v>0.0564799293077335</v>
      </c>
      <c r="M112" s="98" t="n">
        <f aca="false">(Yield_Originals!$G112*Yield_Originals!M$1)/Yield_Originals!$K112</f>
        <v>0.0582449270986002</v>
      </c>
      <c r="N112" s="98" t="n">
        <f aca="false">(Yield_Originals!$G112*Yield_Originals!N$1)/Yield_Originals!$K112</f>
        <v>0.0600099248894669</v>
      </c>
      <c r="O112" s="98" t="n">
        <f aca="false">(Yield_Originals!$G112*Yield_Originals!O$1)/Yield_Originals!$K112</f>
        <v>0.0617749226803335</v>
      </c>
      <c r="P112" s="99" t="n">
        <f aca="false">(Yield_Originals!$H112*Yield_Originals!P$1)/Yield_Originals!$K112</f>
        <v>0.0673798545455651</v>
      </c>
      <c r="Q112" s="99" t="n">
        <f aca="false">(Yield_Originals!$H112*Yield_Originals!Q$1)/Yield_Originals!$K112</f>
        <v>0.0692515171718308</v>
      </c>
      <c r="R112" s="99" t="n">
        <f aca="false">(Yield_Originals!$H112*Yield_Originals!R$1)/Yield_Originals!$K112</f>
        <v>0.0711231797980965</v>
      </c>
      <c r="S112" s="99" t="n">
        <f aca="false">(Yield_Originals!$H112*Yield_Originals!S$1)/Yield_Originals!$K112</f>
        <v>0.0729948424243622</v>
      </c>
      <c r="T112" s="101" t="n">
        <f aca="false">(Yield_Originals!$I112*Yield_Originals!T$1)/Yield_Originals!$K112</f>
        <v>0.0791330984665889</v>
      </c>
      <c r="U112" s="101" t="n">
        <f aca="false">(Yield_Originals!$I112*Yield_Originals!U$1)/Yield_Originals!$K112</f>
        <v>0.0811114259282536</v>
      </c>
      <c r="V112" s="101" t="n">
        <f aca="false">(Yield_Originals!$I112*Yield_Originals!V$1)/Yield_Originals!$K112</f>
        <v>0.0830897533899183</v>
      </c>
      <c r="W112" s="101" t="n">
        <f aca="false">(Yield_Originals!$I112*Yield_Originals!W$1)/Yield_Originals!$K112</f>
        <v>0.085068080851583</v>
      </c>
      <c r="X112" s="102" t="n">
        <f aca="false">(Yield_Originals!$J112*Yield_Originals!X$1)/Yield_Originals!$K112</f>
        <v>0.0827641045154738</v>
      </c>
      <c r="Y112" s="102" t="n">
        <f aca="false">(Yield_Originals!$J112*Yield_Originals!Y$1)/Yield_Originals!$K112</f>
        <v>0.0846451068908255</v>
      </c>
      <c r="Z112" s="102" t="n">
        <f aca="false">(Yield_Originals!$J112*Yield_Originals!Z$1)/Yield_Originals!$K112</f>
        <v>0.0865261092661771</v>
      </c>
      <c r="AA112" s="102" t="n">
        <f aca="false">(Yield_Originals!$J112*Yield_Originals!AA$1)/Yield_Originals!$K112</f>
        <v>0.0884071116415288</v>
      </c>
      <c r="AB112" s="102" t="n">
        <f aca="false">(Yield_Originals!$J112*Yield_Originals!AB$1)/Yield_Originals!$K112</f>
        <v>0.0902881140168805</v>
      </c>
    </row>
    <row r="113" customFormat="false" ht="15" hidden="false" customHeight="false" outlineLevel="0" collapsed="false">
      <c r="A113" s="66" t="s">
        <v>1044</v>
      </c>
      <c r="B113" s="64" t="n">
        <v>2</v>
      </c>
      <c r="C113" s="93" t="s">
        <v>123</v>
      </c>
      <c r="D113" s="93" t="s">
        <v>1047</v>
      </c>
      <c r="E113" s="94" t="n">
        <v>15</v>
      </c>
      <c r="F113" s="96" t="n">
        <v>0.0470666077564446</v>
      </c>
      <c r="G113" s="96" t="n">
        <v>0.0470666077564446</v>
      </c>
      <c r="H113" s="96" t="n">
        <f aca="false">+(Yield_Originals!I113+Yield_Originals!G113)/2</f>
        <v>0.0499110033670852</v>
      </c>
      <c r="I113" s="96" t="n">
        <v>0.0527553989777259</v>
      </c>
      <c r="J113" s="96" t="n">
        <v>0.0501600633427114</v>
      </c>
      <c r="K113" s="97" t="n">
        <v>1</v>
      </c>
      <c r="L113" s="98" t="n">
        <f aca="false">(Yield_Originals!$G113*Yield_Originals!L$1)/Yield_Originals!$K113</f>
        <v>0.0564799293077335</v>
      </c>
      <c r="M113" s="98" t="n">
        <f aca="false">(Yield_Originals!$G113*Yield_Originals!M$1)/Yield_Originals!$K113</f>
        <v>0.0582449270986002</v>
      </c>
      <c r="N113" s="98" t="n">
        <f aca="false">(Yield_Originals!$G113*Yield_Originals!N$1)/Yield_Originals!$K113</f>
        <v>0.0600099248894669</v>
      </c>
      <c r="O113" s="98" t="n">
        <f aca="false">(Yield_Originals!$G113*Yield_Originals!O$1)/Yield_Originals!$K113</f>
        <v>0.0617749226803335</v>
      </c>
      <c r="P113" s="99" t="n">
        <f aca="false">(Yield_Originals!$H113*Yield_Originals!P$1)/Yield_Originals!$K113</f>
        <v>0.0673798545455651</v>
      </c>
      <c r="Q113" s="99" t="n">
        <f aca="false">(Yield_Originals!$H113*Yield_Originals!Q$1)/Yield_Originals!$K113</f>
        <v>0.0692515171718308</v>
      </c>
      <c r="R113" s="99" t="n">
        <f aca="false">(Yield_Originals!$H113*Yield_Originals!R$1)/Yield_Originals!$K113</f>
        <v>0.0711231797980965</v>
      </c>
      <c r="S113" s="99" t="n">
        <f aca="false">(Yield_Originals!$H113*Yield_Originals!S$1)/Yield_Originals!$K113</f>
        <v>0.0729948424243622</v>
      </c>
      <c r="T113" s="101" t="n">
        <f aca="false">(Yield_Originals!$I113*Yield_Originals!T$1)/Yield_Originals!$K113</f>
        <v>0.0791330984665889</v>
      </c>
      <c r="U113" s="101" t="n">
        <f aca="false">(Yield_Originals!$I113*Yield_Originals!U$1)/Yield_Originals!$K113</f>
        <v>0.0811114259282536</v>
      </c>
      <c r="V113" s="101" t="n">
        <f aca="false">(Yield_Originals!$I113*Yield_Originals!V$1)/Yield_Originals!$K113</f>
        <v>0.0830897533899183</v>
      </c>
      <c r="W113" s="101" t="n">
        <f aca="false">(Yield_Originals!$I113*Yield_Originals!W$1)/Yield_Originals!$K113</f>
        <v>0.085068080851583</v>
      </c>
      <c r="X113" s="102" t="n">
        <f aca="false">(Yield_Originals!$J113*Yield_Originals!X$1)/Yield_Originals!$K113</f>
        <v>0.0827641045154738</v>
      </c>
      <c r="Y113" s="102" t="n">
        <f aca="false">(Yield_Originals!$J113*Yield_Originals!Y$1)/Yield_Originals!$K113</f>
        <v>0.0846451068908255</v>
      </c>
      <c r="Z113" s="102" t="n">
        <f aca="false">(Yield_Originals!$J113*Yield_Originals!Z$1)/Yield_Originals!$K113</f>
        <v>0.0865261092661771</v>
      </c>
      <c r="AA113" s="102" t="n">
        <f aca="false">(Yield_Originals!$J113*Yield_Originals!AA$1)/Yield_Originals!$K113</f>
        <v>0.0884071116415288</v>
      </c>
      <c r="AB113" s="102" t="n">
        <f aca="false">(Yield_Originals!$J113*Yield_Originals!AB$1)/Yield_Originals!$K113</f>
        <v>0.0902881140168805</v>
      </c>
    </row>
    <row r="114" customFormat="false" ht="15" hidden="false" customHeight="false" outlineLevel="0" collapsed="false">
      <c r="A114" s="66" t="s">
        <v>1044</v>
      </c>
      <c r="B114" s="64" t="n">
        <v>2</v>
      </c>
      <c r="C114" s="93" t="s">
        <v>235</v>
      </c>
      <c r="D114" s="93" t="s">
        <v>1050</v>
      </c>
      <c r="E114" s="94" t="n">
        <v>9</v>
      </c>
      <c r="F114" s="96" t="n">
        <v>0.0470666077564446</v>
      </c>
      <c r="G114" s="96" t="n">
        <v>0.0470666077564446</v>
      </c>
      <c r="H114" s="96" t="n">
        <f aca="false">+(Yield_Originals!I114+Yield_Originals!G114)/2</f>
        <v>0.0499110033670852</v>
      </c>
      <c r="I114" s="96" t="n">
        <v>0.0527553989777259</v>
      </c>
      <c r="J114" s="96" t="n">
        <v>0.0501600633427114</v>
      </c>
      <c r="K114" s="97" t="n">
        <v>1</v>
      </c>
      <c r="L114" s="98" t="n">
        <f aca="false">(Yield_Originals!$G114*Yield_Originals!L$1)/Yield_Originals!$K114</f>
        <v>0.0564799293077335</v>
      </c>
      <c r="M114" s="98" t="n">
        <f aca="false">(Yield_Originals!$G114*Yield_Originals!M$1)/Yield_Originals!$K114</f>
        <v>0.0582449270986002</v>
      </c>
      <c r="N114" s="98" t="n">
        <f aca="false">(Yield_Originals!$G114*Yield_Originals!N$1)/Yield_Originals!$K114</f>
        <v>0.0600099248894669</v>
      </c>
      <c r="O114" s="98" t="n">
        <f aca="false">(Yield_Originals!$G114*Yield_Originals!O$1)/Yield_Originals!$K114</f>
        <v>0.0617749226803335</v>
      </c>
      <c r="P114" s="99" t="n">
        <f aca="false">(Yield_Originals!$H114*Yield_Originals!P$1)/Yield_Originals!$K114</f>
        <v>0.0673798545455651</v>
      </c>
      <c r="Q114" s="99" t="n">
        <f aca="false">(Yield_Originals!$H114*Yield_Originals!Q$1)/Yield_Originals!$K114</f>
        <v>0.0692515171718308</v>
      </c>
      <c r="R114" s="99" t="n">
        <f aca="false">(Yield_Originals!$H114*Yield_Originals!R$1)/Yield_Originals!$K114</f>
        <v>0.0711231797980965</v>
      </c>
      <c r="S114" s="99" t="n">
        <f aca="false">(Yield_Originals!$H114*Yield_Originals!S$1)/Yield_Originals!$K114</f>
        <v>0.0729948424243622</v>
      </c>
      <c r="T114" s="101" t="n">
        <f aca="false">(Yield_Originals!$I114*Yield_Originals!T$1)/Yield_Originals!$K114</f>
        <v>0.0791330984665889</v>
      </c>
      <c r="U114" s="101" t="n">
        <f aca="false">(Yield_Originals!$I114*Yield_Originals!U$1)/Yield_Originals!$K114</f>
        <v>0.0811114259282536</v>
      </c>
      <c r="V114" s="101" t="n">
        <f aca="false">(Yield_Originals!$I114*Yield_Originals!V$1)/Yield_Originals!$K114</f>
        <v>0.0830897533899183</v>
      </c>
      <c r="W114" s="101" t="n">
        <f aca="false">(Yield_Originals!$I114*Yield_Originals!W$1)/Yield_Originals!$K114</f>
        <v>0.085068080851583</v>
      </c>
      <c r="X114" s="102" t="n">
        <f aca="false">(Yield_Originals!$J114*Yield_Originals!X$1)/Yield_Originals!$K114</f>
        <v>0.0827641045154738</v>
      </c>
      <c r="Y114" s="102" t="n">
        <f aca="false">(Yield_Originals!$J114*Yield_Originals!Y$1)/Yield_Originals!$K114</f>
        <v>0.0846451068908255</v>
      </c>
      <c r="Z114" s="102" t="n">
        <f aca="false">(Yield_Originals!$J114*Yield_Originals!Z$1)/Yield_Originals!$K114</f>
        <v>0.0865261092661771</v>
      </c>
      <c r="AA114" s="102" t="n">
        <f aca="false">(Yield_Originals!$J114*Yield_Originals!AA$1)/Yield_Originals!$K114</f>
        <v>0.0884071116415288</v>
      </c>
      <c r="AB114" s="102" t="n">
        <f aca="false">(Yield_Originals!$J114*Yield_Originals!AB$1)/Yield_Originals!$K114</f>
        <v>0.0902881140168805</v>
      </c>
    </row>
    <row r="115" customFormat="false" ht="15" hidden="false" customHeight="false" outlineLevel="0" collapsed="false">
      <c r="A115" s="66" t="s">
        <v>1044</v>
      </c>
      <c r="B115" s="64" t="n">
        <v>2</v>
      </c>
      <c r="C115" s="93" t="s">
        <v>235</v>
      </c>
      <c r="D115" s="93" t="s">
        <v>1050</v>
      </c>
      <c r="E115" s="94" t="n">
        <v>10</v>
      </c>
      <c r="F115" s="96" t="n">
        <v>0.0470666077564446</v>
      </c>
      <c r="G115" s="96" t="n">
        <v>0.0470666077564446</v>
      </c>
      <c r="H115" s="96" t="n">
        <f aca="false">+(Yield_Originals!I115+Yield_Originals!G115)/2</f>
        <v>0.0499110033670852</v>
      </c>
      <c r="I115" s="96" t="n">
        <v>0.0527553989777259</v>
      </c>
      <c r="J115" s="96" t="n">
        <v>0.0501600633427114</v>
      </c>
      <c r="K115" s="97" t="n">
        <v>1</v>
      </c>
      <c r="L115" s="98" t="n">
        <f aca="false">(Yield_Originals!$G115*Yield_Originals!L$1)/Yield_Originals!$K115</f>
        <v>0.0564799293077335</v>
      </c>
      <c r="M115" s="98" t="n">
        <f aca="false">(Yield_Originals!$G115*Yield_Originals!M$1)/Yield_Originals!$K115</f>
        <v>0.0582449270986002</v>
      </c>
      <c r="N115" s="98" t="n">
        <f aca="false">(Yield_Originals!$G115*Yield_Originals!N$1)/Yield_Originals!$K115</f>
        <v>0.0600099248894669</v>
      </c>
      <c r="O115" s="98" t="n">
        <f aca="false">(Yield_Originals!$G115*Yield_Originals!O$1)/Yield_Originals!$K115</f>
        <v>0.0617749226803335</v>
      </c>
      <c r="P115" s="99" t="n">
        <f aca="false">(Yield_Originals!$H115*Yield_Originals!P$1)/Yield_Originals!$K115</f>
        <v>0.0673798545455651</v>
      </c>
      <c r="Q115" s="99" t="n">
        <f aca="false">(Yield_Originals!$H115*Yield_Originals!Q$1)/Yield_Originals!$K115</f>
        <v>0.0692515171718308</v>
      </c>
      <c r="R115" s="99" t="n">
        <f aca="false">(Yield_Originals!$H115*Yield_Originals!R$1)/Yield_Originals!$K115</f>
        <v>0.0711231797980965</v>
      </c>
      <c r="S115" s="99" t="n">
        <f aca="false">(Yield_Originals!$H115*Yield_Originals!S$1)/Yield_Originals!$K115</f>
        <v>0.0729948424243622</v>
      </c>
      <c r="T115" s="101" t="n">
        <f aca="false">(Yield_Originals!$I115*Yield_Originals!T$1)/Yield_Originals!$K115</f>
        <v>0.0791330984665889</v>
      </c>
      <c r="U115" s="101" t="n">
        <f aca="false">(Yield_Originals!$I115*Yield_Originals!U$1)/Yield_Originals!$K115</f>
        <v>0.0811114259282536</v>
      </c>
      <c r="V115" s="101" t="n">
        <f aca="false">(Yield_Originals!$I115*Yield_Originals!V$1)/Yield_Originals!$K115</f>
        <v>0.0830897533899183</v>
      </c>
      <c r="W115" s="101" t="n">
        <f aca="false">(Yield_Originals!$I115*Yield_Originals!W$1)/Yield_Originals!$K115</f>
        <v>0.085068080851583</v>
      </c>
      <c r="X115" s="102" t="n">
        <f aca="false">(Yield_Originals!$J115*Yield_Originals!X$1)/Yield_Originals!$K115</f>
        <v>0.0827641045154738</v>
      </c>
      <c r="Y115" s="102" t="n">
        <f aca="false">(Yield_Originals!$J115*Yield_Originals!Y$1)/Yield_Originals!$K115</f>
        <v>0.0846451068908255</v>
      </c>
      <c r="Z115" s="102" t="n">
        <f aca="false">(Yield_Originals!$J115*Yield_Originals!Z$1)/Yield_Originals!$K115</f>
        <v>0.0865261092661771</v>
      </c>
      <c r="AA115" s="102" t="n">
        <f aca="false">(Yield_Originals!$J115*Yield_Originals!AA$1)/Yield_Originals!$K115</f>
        <v>0.0884071116415288</v>
      </c>
      <c r="AB115" s="102" t="n">
        <f aca="false">(Yield_Originals!$J115*Yield_Originals!AB$1)/Yield_Originals!$K115</f>
        <v>0.0902881140168805</v>
      </c>
    </row>
    <row r="116" customFormat="false" ht="15" hidden="false" customHeight="false" outlineLevel="0" collapsed="false">
      <c r="A116" s="66" t="s">
        <v>1044</v>
      </c>
      <c r="B116" s="64" t="n">
        <v>2</v>
      </c>
      <c r="C116" s="93" t="s">
        <v>235</v>
      </c>
      <c r="D116" s="93" t="s">
        <v>1050</v>
      </c>
      <c r="E116" s="94" t="n">
        <v>11</v>
      </c>
      <c r="F116" s="96" t="n">
        <v>0.0470666077564446</v>
      </c>
      <c r="G116" s="96" t="n">
        <v>0.0470666077564446</v>
      </c>
      <c r="H116" s="96" t="n">
        <f aca="false">+(Yield_Originals!I116+Yield_Originals!G116)/2</f>
        <v>0.0499110033670852</v>
      </c>
      <c r="I116" s="96" t="n">
        <v>0.0527553989777259</v>
      </c>
      <c r="J116" s="96" t="n">
        <v>0.0501600633427114</v>
      </c>
      <c r="K116" s="97" t="n">
        <v>1</v>
      </c>
      <c r="L116" s="98" t="n">
        <f aca="false">(Yield_Originals!$G116*Yield_Originals!L$1)/Yield_Originals!$K116</f>
        <v>0.0564799293077335</v>
      </c>
      <c r="M116" s="98" t="n">
        <f aca="false">(Yield_Originals!$G116*Yield_Originals!M$1)/Yield_Originals!$K116</f>
        <v>0.0582449270986002</v>
      </c>
      <c r="N116" s="98" t="n">
        <f aca="false">(Yield_Originals!$G116*Yield_Originals!N$1)/Yield_Originals!$K116</f>
        <v>0.0600099248894669</v>
      </c>
      <c r="O116" s="98" t="n">
        <f aca="false">(Yield_Originals!$G116*Yield_Originals!O$1)/Yield_Originals!$K116</f>
        <v>0.0617749226803335</v>
      </c>
      <c r="P116" s="99" t="n">
        <f aca="false">(Yield_Originals!$H116*Yield_Originals!P$1)/Yield_Originals!$K116</f>
        <v>0.0673798545455651</v>
      </c>
      <c r="Q116" s="99" t="n">
        <f aca="false">(Yield_Originals!$H116*Yield_Originals!Q$1)/Yield_Originals!$K116</f>
        <v>0.0692515171718308</v>
      </c>
      <c r="R116" s="99" t="n">
        <f aca="false">(Yield_Originals!$H116*Yield_Originals!R$1)/Yield_Originals!$K116</f>
        <v>0.0711231797980965</v>
      </c>
      <c r="S116" s="99" t="n">
        <f aca="false">(Yield_Originals!$H116*Yield_Originals!S$1)/Yield_Originals!$K116</f>
        <v>0.0729948424243622</v>
      </c>
      <c r="T116" s="101" t="n">
        <f aca="false">(Yield_Originals!$I116*Yield_Originals!T$1)/Yield_Originals!$K116</f>
        <v>0.0791330984665889</v>
      </c>
      <c r="U116" s="101" t="n">
        <f aca="false">(Yield_Originals!$I116*Yield_Originals!U$1)/Yield_Originals!$K116</f>
        <v>0.0811114259282536</v>
      </c>
      <c r="V116" s="101" t="n">
        <f aca="false">(Yield_Originals!$I116*Yield_Originals!V$1)/Yield_Originals!$K116</f>
        <v>0.0830897533899183</v>
      </c>
      <c r="W116" s="101" t="n">
        <f aca="false">(Yield_Originals!$I116*Yield_Originals!W$1)/Yield_Originals!$K116</f>
        <v>0.085068080851583</v>
      </c>
      <c r="X116" s="102" t="n">
        <f aca="false">(Yield_Originals!$J116*Yield_Originals!X$1)/Yield_Originals!$K116</f>
        <v>0.0827641045154738</v>
      </c>
      <c r="Y116" s="102" t="n">
        <f aca="false">(Yield_Originals!$J116*Yield_Originals!Y$1)/Yield_Originals!$K116</f>
        <v>0.0846451068908255</v>
      </c>
      <c r="Z116" s="102" t="n">
        <f aca="false">(Yield_Originals!$J116*Yield_Originals!Z$1)/Yield_Originals!$K116</f>
        <v>0.0865261092661771</v>
      </c>
      <c r="AA116" s="102" t="n">
        <f aca="false">(Yield_Originals!$J116*Yield_Originals!AA$1)/Yield_Originals!$K116</f>
        <v>0.0884071116415288</v>
      </c>
      <c r="AB116" s="102" t="n">
        <f aca="false">(Yield_Originals!$J116*Yield_Originals!AB$1)/Yield_Originals!$K116</f>
        <v>0.0902881140168805</v>
      </c>
    </row>
    <row r="117" customFormat="false" ht="15" hidden="false" customHeight="false" outlineLevel="0" collapsed="false">
      <c r="A117" s="66" t="s">
        <v>1044</v>
      </c>
      <c r="B117" s="64" t="n">
        <v>2</v>
      </c>
      <c r="C117" s="93" t="s">
        <v>235</v>
      </c>
      <c r="D117" s="93" t="s">
        <v>1050</v>
      </c>
      <c r="E117" s="94" t="n">
        <v>12</v>
      </c>
      <c r="F117" s="96" t="n">
        <v>0.0470666077564446</v>
      </c>
      <c r="G117" s="96" t="n">
        <v>0.0470666077564446</v>
      </c>
      <c r="H117" s="96" t="n">
        <f aca="false">+(Yield_Originals!I117+Yield_Originals!G117)/2</f>
        <v>0.0499110033670852</v>
      </c>
      <c r="I117" s="96" t="n">
        <v>0.0527553989777259</v>
      </c>
      <c r="J117" s="96" t="n">
        <v>0.0501600633427114</v>
      </c>
      <c r="K117" s="97" t="n">
        <v>1</v>
      </c>
      <c r="L117" s="98" t="n">
        <f aca="false">(Yield_Originals!$G117*Yield_Originals!L$1)/Yield_Originals!$K117</f>
        <v>0.0564799293077335</v>
      </c>
      <c r="M117" s="98" t="n">
        <f aca="false">(Yield_Originals!$G117*Yield_Originals!M$1)/Yield_Originals!$K117</f>
        <v>0.0582449270986002</v>
      </c>
      <c r="N117" s="98" t="n">
        <f aca="false">(Yield_Originals!$G117*Yield_Originals!N$1)/Yield_Originals!$K117</f>
        <v>0.0600099248894669</v>
      </c>
      <c r="O117" s="98" t="n">
        <f aca="false">(Yield_Originals!$G117*Yield_Originals!O$1)/Yield_Originals!$K117</f>
        <v>0.0617749226803335</v>
      </c>
      <c r="P117" s="99" t="n">
        <f aca="false">(Yield_Originals!$H117*Yield_Originals!P$1)/Yield_Originals!$K117</f>
        <v>0.0673798545455651</v>
      </c>
      <c r="Q117" s="99" t="n">
        <f aca="false">(Yield_Originals!$H117*Yield_Originals!Q$1)/Yield_Originals!$K117</f>
        <v>0.0692515171718308</v>
      </c>
      <c r="R117" s="99" t="n">
        <f aca="false">(Yield_Originals!$H117*Yield_Originals!R$1)/Yield_Originals!$K117</f>
        <v>0.0711231797980965</v>
      </c>
      <c r="S117" s="99" t="n">
        <f aca="false">(Yield_Originals!$H117*Yield_Originals!S$1)/Yield_Originals!$K117</f>
        <v>0.0729948424243622</v>
      </c>
      <c r="T117" s="101" t="n">
        <f aca="false">(Yield_Originals!$I117*Yield_Originals!T$1)/Yield_Originals!$K117</f>
        <v>0.0791330984665889</v>
      </c>
      <c r="U117" s="101" t="n">
        <f aca="false">(Yield_Originals!$I117*Yield_Originals!U$1)/Yield_Originals!$K117</f>
        <v>0.0811114259282536</v>
      </c>
      <c r="V117" s="101" t="n">
        <f aca="false">(Yield_Originals!$I117*Yield_Originals!V$1)/Yield_Originals!$K117</f>
        <v>0.0830897533899183</v>
      </c>
      <c r="W117" s="101" t="n">
        <f aca="false">(Yield_Originals!$I117*Yield_Originals!W$1)/Yield_Originals!$K117</f>
        <v>0.085068080851583</v>
      </c>
      <c r="X117" s="102" t="n">
        <f aca="false">(Yield_Originals!$J117*Yield_Originals!X$1)/Yield_Originals!$K117</f>
        <v>0.0827641045154738</v>
      </c>
      <c r="Y117" s="102" t="n">
        <f aca="false">(Yield_Originals!$J117*Yield_Originals!Y$1)/Yield_Originals!$K117</f>
        <v>0.0846451068908255</v>
      </c>
      <c r="Z117" s="102" t="n">
        <f aca="false">(Yield_Originals!$J117*Yield_Originals!Z$1)/Yield_Originals!$K117</f>
        <v>0.0865261092661771</v>
      </c>
      <c r="AA117" s="102" t="n">
        <f aca="false">(Yield_Originals!$J117*Yield_Originals!AA$1)/Yield_Originals!$K117</f>
        <v>0.0884071116415288</v>
      </c>
      <c r="AB117" s="102" t="n">
        <f aca="false">(Yield_Originals!$J117*Yield_Originals!AB$1)/Yield_Originals!$K117</f>
        <v>0.0902881140168805</v>
      </c>
    </row>
    <row r="118" customFormat="false" ht="15" hidden="false" customHeight="false" outlineLevel="0" collapsed="false">
      <c r="A118" s="66" t="s">
        <v>1044</v>
      </c>
      <c r="B118" s="64" t="n">
        <v>2</v>
      </c>
      <c r="C118" s="93" t="s">
        <v>235</v>
      </c>
      <c r="D118" s="93" t="s">
        <v>1050</v>
      </c>
      <c r="E118" s="94" t="n">
        <v>13</v>
      </c>
      <c r="F118" s="96" t="n">
        <v>0.0470666077564446</v>
      </c>
      <c r="G118" s="96" t="n">
        <v>0.0470666077564446</v>
      </c>
      <c r="H118" s="96" t="n">
        <f aca="false">+(Yield_Originals!I118+Yield_Originals!G118)/2</f>
        <v>0.0499110033670852</v>
      </c>
      <c r="I118" s="96" t="n">
        <v>0.0527553989777259</v>
      </c>
      <c r="J118" s="96" t="n">
        <v>0.0501600633427114</v>
      </c>
      <c r="K118" s="97" t="n">
        <v>1</v>
      </c>
      <c r="L118" s="98" t="n">
        <f aca="false">(Yield_Originals!$G118*Yield_Originals!L$1)/Yield_Originals!$K118</f>
        <v>0.0564799293077335</v>
      </c>
      <c r="M118" s="98" t="n">
        <f aca="false">(Yield_Originals!$G118*Yield_Originals!M$1)/Yield_Originals!$K118</f>
        <v>0.0582449270986002</v>
      </c>
      <c r="N118" s="98" t="n">
        <f aca="false">(Yield_Originals!$G118*Yield_Originals!N$1)/Yield_Originals!$K118</f>
        <v>0.0600099248894669</v>
      </c>
      <c r="O118" s="98" t="n">
        <f aca="false">(Yield_Originals!$G118*Yield_Originals!O$1)/Yield_Originals!$K118</f>
        <v>0.0617749226803335</v>
      </c>
      <c r="P118" s="99" t="n">
        <f aca="false">(Yield_Originals!$H118*Yield_Originals!P$1)/Yield_Originals!$K118</f>
        <v>0.0673798545455651</v>
      </c>
      <c r="Q118" s="99" t="n">
        <f aca="false">(Yield_Originals!$H118*Yield_Originals!Q$1)/Yield_Originals!$K118</f>
        <v>0.0692515171718308</v>
      </c>
      <c r="R118" s="99" t="n">
        <f aca="false">(Yield_Originals!$H118*Yield_Originals!R$1)/Yield_Originals!$K118</f>
        <v>0.0711231797980965</v>
      </c>
      <c r="S118" s="99" t="n">
        <f aca="false">(Yield_Originals!$H118*Yield_Originals!S$1)/Yield_Originals!$K118</f>
        <v>0.0729948424243622</v>
      </c>
      <c r="T118" s="101" t="n">
        <f aca="false">(Yield_Originals!$I118*Yield_Originals!T$1)/Yield_Originals!$K118</f>
        <v>0.0791330984665889</v>
      </c>
      <c r="U118" s="101" t="n">
        <f aca="false">(Yield_Originals!$I118*Yield_Originals!U$1)/Yield_Originals!$K118</f>
        <v>0.0811114259282536</v>
      </c>
      <c r="V118" s="101" t="n">
        <f aca="false">(Yield_Originals!$I118*Yield_Originals!V$1)/Yield_Originals!$K118</f>
        <v>0.0830897533899183</v>
      </c>
      <c r="W118" s="101" t="n">
        <f aca="false">(Yield_Originals!$I118*Yield_Originals!W$1)/Yield_Originals!$K118</f>
        <v>0.085068080851583</v>
      </c>
      <c r="X118" s="102" t="n">
        <f aca="false">(Yield_Originals!$J118*Yield_Originals!X$1)/Yield_Originals!$K118</f>
        <v>0.0827641045154738</v>
      </c>
      <c r="Y118" s="102" t="n">
        <f aca="false">(Yield_Originals!$J118*Yield_Originals!Y$1)/Yield_Originals!$K118</f>
        <v>0.0846451068908255</v>
      </c>
      <c r="Z118" s="102" t="n">
        <f aca="false">(Yield_Originals!$J118*Yield_Originals!Z$1)/Yield_Originals!$K118</f>
        <v>0.0865261092661771</v>
      </c>
      <c r="AA118" s="102" t="n">
        <f aca="false">(Yield_Originals!$J118*Yield_Originals!AA$1)/Yield_Originals!$K118</f>
        <v>0.0884071116415288</v>
      </c>
      <c r="AB118" s="102" t="n">
        <f aca="false">(Yield_Originals!$J118*Yield_Originals!AB$1)/Yield_Originals!$K118</f>
        <v>0.0902881140168805</v>
      </c>
    </row>
    <row r="119" customFormat="false" ht="15" hidden="false" customHeight="false" outlineLevel="0" collapsed="false">
      <c r="A119" s="66" t="s">
        <v>1044</v>
      </c>
      <c r="B119" s="64" t="n">
        <v>2</v>
      </c>
      <c r="C119" s="93" t="s">
        <v>235</v>
      </c>
      <c r="D119" s="93" t="s">
        <v>1050</v>
      </c>
      <c r="E119" s="94" t="n">
        <v>14</v>
      </c>
      <c r="F119" s="96" t="n">
        <v>0.0470666077564446</v>
      </c>
      <c r="G119" s="96" t="n">
        <v>0.0470666077564446</v>
      </c>
      <c r="H119" s="96" t="n">
        <f aca="false">+(Yield_Originals!I119+Yield_Originals!G119)/2</f>
        <v>0.0499110033670852</v>
      </c>
      <c r="I119" s="96" t="n">
        <v>0.0527553989777259</v>
      </c>
      <c r="J119" s="96" t="n">
        <v>0.0501600633427114</v>
      </c>
      <c r="K119" s="97" t="n">
        <v>1</v>
      </c>
      <c r="L119" s="98" t="n">
        <f aca="false">(Yield_Originals!$G119*Yield_Originals!L$1)/Yield_Originals!$K119</f>
        <v>0.0564799293077335</v>
      </c>
      <c r="M119" s="98" t="n">
        <f aca="false">(Yield_Originals!$G119*Yield_Originals!M$1)/Yield_Originals!$K119</f>
        <v>0.0582449270986002</v>
      </c>
      <c r="N119" s="98" t="n">
        <f aca="false">(Yield_Originals!$G119*Yield_Originals!N$1)/Yield_Originals!$K119</f>
        <v>0.0600099248894669</v>
      </c>
      <c r="O119" s="98" t="n">
        <f aca="false">(Yield_Originals!$G119*Yield_Originals!O$1)/Yield_Originals!$K119</f>
        <v>0.0617749226803335</v>
      </c>
      <c r="P119" s="99" t="n">
        <f aca="false">(Yield_Originals!$H119*Yield_Originals!P$1)/Yield_Originals!$K119</f>
        <v>0.0673798545455651</v>
      </c>
      <c r="Q119" s="99" t="n">
        <f aca="false">(Yield_Originals!$H119*Yield_Originals!Q$1)/Yield_Originals!$K119</f>
        <v>0.0692515171718308</v>
      </c>
      <c r="R119" s="99" t="n">
        <f aca="false">(Yield_Originals!$H119*Yield_Originals!R$1)/Yield_Originals!$K119</f>
        <v>0.0711231797980965</v>
      </c>
      <c r="S119" s="99" t="n">
        <f aca="false">(Yield_Originals!$H119*Yield_Originals!S$1)/Yield_Originals!$K119</f>
        <v>0.0729948424243622</v>
      </c>
      <c r="T119" s="101" t="n">
        <f aca="false">(Yield_Originals!$I119*Yield_Originals!T$1)/Yield_Originals!$K119</f>
        <v>0.0791330984665889</v>
      </c>
      <c r="U119" s="101" t="n">
        <f aca="false">(Yield_Originals!$I119*Yield_Originals!U$1)/Yield_Originals!$K119</f>
        <v>0.0811114259282536</v>
      </c>
      <c r="V119" s="101" t="n">
        <f aca="false">(Yield_Originals!$I119*Yield_Originals!V$1)/Yield_Originals!$K119</f>
        <v>0.0830897533899183</v>
      </c>
      <c r="W119" s="101" t="n">
        <f aca="false">(Yield_Originals!$I119*Yield_Originals!W$1)/Yield_Originals!$K119</f>
        <v>0.085068080851583</v>
      </c>
      <c r="X119" s="102" t="n">
        <f aca="false">(Yield_Originals!$J119*Yield_Originals!X$1)/Yield_Originals!$K119</f>
        <v>0.0827641045154738</v>
      </c>
      <c r="Y119" s="102" t="n">
        <f aca="false">(Yield_Originals!$J119*Yield_Originals!Y$1)/Yield_Originals!$K119</f>
        <v>0.0846451068908255</v>
      </c>
      <c r="Z119" s="102" t="n">
        <f aca="false">(Yield_Originals!$J119*Yield_Originals!Z$1)/Yield_Originals!$K119</f>
        <v>0.0865261092661771</v>
      </c>
      <c r="AA119" s="102" t="n">
        <f aca="false">(Yield_Originals!$J119*Yield_Originals!AA$1)/Yield_Originals!$K119</f>
        <v>0.0884071116415288</v>
      </c>
      <c r="AB119" s="102" t="n">
        <f aca="false">(Yield_Originals!$J119*Yield_Originals!AB$1)/Yield_Originals!$K119</f>
        <v>0.0902881140168805</v>
      </c>
    </row>
    <row r="120" customFormat="false" ht="15" hidden="false" customHeight="false" outlineLevel="0" collapsed="false">
      <c r="A120" s="66" t="s">
        <v>1044</v>
      </c>
      <c r="B120" s="64" t="n">
        <v>2</v>
      </c>
      <c r="C120" s="93" t="s">
        <v>235</v>
      </c>
      <c r="D120" s="93" t="s">
        <v>1050</v>
      </c>
      <c r="E120" s="94" t="n">
        <v>15</v>
      </c>
      <c r="F120" s="96" t="n">
        <v>0.0470666077564446</v>
      </c>
      <c r="G120" s="96" t="n">
        <v>0.0470666077564446</v>
      </c>
      <c r="H120" s="96" t="n">
        <f aca="false">+(Yield_Originals!I120+Yield_Originals!G120)/2</f>
        <v>0.0499110033670852</v>
      </c>
      <c r="I120" s="96" t="n">
        <v>0.0527553989777259</v>
      </c>
      <c r="J120" s="96" t="n">
        <v>0.0501600633427114</v>
      </c>
      <c r="K120" s="97" t="n">
        <v>1</v>
      </c>
      <c r="L120" s="98" t="n">
        <f aca="false">(Yield_Originals!$G120*Yield_Originals!L$1)/Yield_Originals!$K120</f>
        <v>0.0564799293077335</v>
      </c>
      <c r="M120" s="98" t="n">
        <f aca="false">(Yield_Originals!$G120*Yield_Originals!M$1)/Yield_Originals!$K120</f>
        <v>0.0582449270986002</v>
      </c>
      <c r="N120" s="98" t="n">
        <f aca="false">(Yield_Originals!$G120*Yield_Originals!N$1)/Yield_Originals!$K120</f>
        <v>0.0600099248894669</v>
      </c>
      <c r="O120" s="98" t="n">
        <f aca="false">(Yield_Originals!$G120*Yield_Originals!O$1)/Yield_Originals!$K120</f>
        <v>0.0617749226803335</v>
      </c>
      <c r="P120" s="99" t="n">
        <f aca="false">(Yield_Originals!$H120*Yield_Originals!P$1)/Yield_Originals!$K120</f>
        <v>0.0673798545455651</v>
      </c>
      <c r="Q120" s="99" t="n">
        <f aca="false">(Yield_Originals!$H120*Yield_Originals!Q$1)/Yield_Originals!$K120</f>
        <v>0.0692515171718308</v>
      </c>
      <c r="R120" s="99" t="n">
        <f aca="false">(Yield_Originals!$H120*Yield_Originals!R$1)/Yield_Originals!$K120</f>
        <v>0.0711231797980965</v>
      </c>
      <c r="S120" s="99" t="n">
        <f aca="false">(Yield_Originals!$H120*Yield_Originals!S$1)/Yield_Originals!$K120</f>
        <v>0.0729948424243622</v>
      </c>
      <c r="T120" s="101" t="n">
        <f aca="false">(Yield_Originals!$I120*Yield_Originals!T$1)/Yield_Originals!$K120</f>
        <v>0.0791330984665889</v>
      </c>
      <c r="U120" s="101" t="n">
        <f aca="false">(Yield_Originals!$I120*Yield_Originals!U$1)/Yield_Originals!$K120</f>
        <v>0.0811114259282536</v>
      </c>
      <c r="V120" s="101" t="n">
        <f aca="false">(Yield_Originals!$I120*Yield_Originals!V$1)/Yield_Originals!$K120</f>
        <v>0.0830897533899183</v>
      </c>
      <c r="W120" s="101" t="n">
        <f aca="false">(Yield_Originals!$I120*Yield_Originals!W$1)/Yield_Originals!$K120</f>
        <v>0.085068080851583</v>
      </c>
      <c r="X120" s="102" t="n">
        <f aca="false">(Yield_Originals!$J120*Yield_Originals!X$1)/Yield_Originals!$K120</f>
        <v>0.0827641045154738</v>
      </c>
      <c r="Y120" s="102" t="n">
        <f aca="false">(Yield_Originals!$J120*Yield_Originals!Y$1)/Yield_Originals!$K120</f>
        <v>0.0846451068908255</v>
      </c>
      <c r="Z120" s="102" t="n">
        <f aca="false">(Yield_Originals!$J120*Yield_Originals!Z$1)/Yield_Originals!$K120</f>
        <v>0.0865261092661771</v>
      </c>
      <c r="AA120" s="102" t="n">
        <f aca="false">(Yield_Originals!$J120*Yield_Originals!AA$1)/Yield_Originals!$K120</f>
        <v>0.0884071116415288</v>
      </c>
      <c r="AB120" s="102" t="n">
        <f aca="false">(Yield_Originals!$J120*Yield_Originals!AB$1)/Yield_Originals!$K120</f>
        <v>0.0902881140168805</v>
      </c>
    </row>
    <row r="121" customFormat="false" ht="15" hidden="false" customHeight="false" outlineLevel="0" collapsed="false">
      <c r="A121" s="66" t="s">
        <v>1044</v>
      </c>
      <c r="B121" s="64" t="n">
        <v>2</v>
      </c>
      <c r="C121" s="93" t="s">
        <v>977</v>
      </c>
      <c r="D121" s="93" t="s">
        <v>1043</v>
      </c>
      <c r="E121" s="94" t="n">
        <v>9</v>
      </c>
      <c r="F121" s="96" t="n">
        <v>0.0470666077564446</v>
      </c>
      <c r="G121" s="96" t="n">
        <v>0.0470666077564446</v>
      </c>
      <c r="H121" s="96" t="n">
        <f aca="false">+(Yield_Originals!I121+Yield_Originals!G121)/2</f>
        <v>0.0499110033670852</v>
      </c>
      <c r="I121" s="96" t="n">
        <v>0.0527553989777259</v>
      </c>
      <c r="J121" s="96" t="n">
        <v>0.0501600633427114</v>
      </c>
      <c r="K121" s="97" t="n">
        <v>1</v>
      </c>
      <c r="L121" s="98" t="n">
        <f aca="false">(Yield_Originals!$G121*Yield_Originals!L$1)/Yield_Originals!$K121</f>
        <v>0.0564799293077335</v>
      </c>
      <c r="M121" s="98" t="n">
        <f aca="false">(Yield_Originals!$G121*Yield_Originals!M$1)/Yield_Originals!$K121</f>
        <v>0.0582449270986002</v>
      </c>
      <c r="N121" s="98" t="n">
        <f aca="false">(Yield_Originals!$G121*Yield_Originals!N$1)/Yield_Originals!$K121</f>
        <v>0.0600099248894669</v>
      </c>
      <c r="O121" s="98" t="n">
        <f aca="false">(Yield_Originals!$G121*Yield_Originals!O$1)/Yield_Originals!$K121</f>
        <v>0.0617749226803335</v>
      </c>
      <c r="P121" s="99" t="n">
        <f aca="false">(Yield_Originals!$H121*Yield_Originals!P$1)/Yield_Originals!$K121</f>
        <v>0.0673798545455651</v>
      </c>
      <c r="Q121" s="99" t="n">
        <f aca="false">(Yield_Originals!$H121*Yield_Originals!Q$1)/Yield_Originals!$K121</f>
        <v>0.0692515171718308</v>
      </c>
      <c r="R121" s="99" t="n">
        <f aca="false">(Yield_Originals!$H121*Yield_Originals!R$1)/Yield_Originals!$K121</f>
        <v>0.0711231797980965</v>
      </c>
      <c r="S121" s="99" t="n">
        <f aca="false">(Yield_Originals!$H121*Yield_Originals!S$1)/Yield_Originals!$K121</f>
        <v>0.0729948424243622</v>
      </c>
      <c r="T121" s="101" t="n">
        <f aca="false">(Yield_Originals!$I121*Yield_Originals!T$1)/Yield_Originals!$K121</f>
        <v>0.0791330984665889</v>
      </c>
      <c r="U121" s="101" t="n">
        <f aca="false">(Yield_Originals!$I121*Yield_Originals!U$1)/Yield_Originals!$K121</f>
        <v>0.0811114259282536</v>
      </c>
      <c r="V121" s="101" t="n">
        <f aca="false">(Yield_Originals!$I121*Yield_Originals!V$1)/Yield_Originals!$K121</f>
        <v>0.0830897533899183</v>
      </c>
      <c r="W121" s="101" t="n">
        <f aca="false">(Yield_Originals!$I121*Yield_Originals!W$1)/Yield_Originals!$K121</f>
        <v>0.085068080851583</v>
      </c>
      <c r="X121" s="102" t="n">
        <f aca="false">(Yield_Originals!$J121*Yield_Originals!X$1)/Yield_Originals!$K121</f>
        <v>0.0827641045154738</v>
      </c>
      <c r="Y121" s="102" t="n">
        <f aca="false">(Yield_Originals!$J121*Yield_Originals!Y$1)/Yield_Originals!$K121</f>
        <v>0.0846451068908255</v>
      </c>
      <c r="Z121" s="102" t="n">
        <f aca="false">(Yield_Originals!$J121*Yield_Originals!Z$1)/Yield_Originals!$K121</f>
        <v>0.0865261092661771</v>
      </c>
      <c r="AA121" s="102" t="n">
        <f aca="false">(Yield_Originals!$J121*Yield_Originals!AA$1)/Yield_Originals!$K121</f>
        <v>0.0884071116415288</v>
      </c>
      <c r="AB121" s="102" t="n">
        <f aca="false">(Yield_Originals!$J121*Yield_Originals!AB$1)/Yield_Originals!$K121</f>
        <v>0.0902881140168805</v>
      </c>
    </row>
    <row r="122" customFormat="false" ht="15" hidden="false" customHeight="false" outlineLevel="0" collapsed="false">
      <c r="A122" s="66" t="s">
        <v>1044</v>
      </c>
      <c r="B122" s="64" t="n">
        <v>2</v>
      </c>
      <c r="C122" s="93" t="s">
        <v>977</v>
      </c>
      <c r="D122" s="93" t="s">
        <v>1043</v>
      </c>
      <c r="E122" s="94" t="n">
        <v>10</v>
      </c>
      <c r="F122" s="96" t="n">
        <v>0.0470666077564446</v>
      </c>
      <c r="G122" s="96" t="n">
        <v>0.0470666077564446</v>
      </c>
      <c r="H122" s="96" t="n">
        <f aca="false">+(Yield_Originals!I122+Yield_Originals!G122)/2</f>
        <v>0.0499110033670852</v>
      </c>
      <c r="I122" s="96" t="n">
        <v>0.0527553989777259</v>
      </c>
      <c r="J122" s="96" t="n">
        <v>0.0501600633427114</v>
      </c>
      <c r="K122" s="97" t="n">
        <v>1</v>
      </c>
      <c r="L122" s="98" t="n">
        <f aca="false">(Yield_Originals!$G122*Yield_Originals!L$1)/Yield_Originals!$K122</f>
        <v>0.0564799293077335</v>
      </c>
      <c r="M122" s="98" t="n">
        <f aca="false">(Yield_Originals!$G122*Yield_Originals!M$1)/Yield_Originals!$K122</f>
        <v>0.0582449270986002</v>
      </c>
      <c r="N122" s="98" t="n">
        <f aca="false">(Yield_Originals!$G122*Yield_Originals!N$1)/Yield_Originals!$K122</f>
        <v>0.0600099248894669</v>
      </c>
      <c r="O122" s="98" t="n">
        <f aca="false">(Yield_Originals!$G122*Yield_Originals!O$1)/Yield_Originals!$K122</f>
        <v>0.0617749226803335</v>
      </c>
      <c r="P122" s="99" t="n">
        <f aca="false">(Yield_Originals!$H122*Yield_Originals!P$1)/Yield_Originals!$K122</f>
        <v>0.0673798545455651</v>
      </c>
      <c r="Q122" s="99" t="n">
        <f aca="false">(Yield_Originals!$H122*Yield_Originals!Q$1)/Yield_Originals!$K122</f>
        <v>0.0692515171718308</v>
      </c>
      <c r="R122" s="99" t="n">
        <f aca="false">(Yield_Originals!$H122*Yield_Originals!R$1)/Yield_Originals!$K122</f>
        <v>0.0711231797980965</v>
      </c>
      <c r="S122" s="99" t="n">
        <f aca="false">(Yield_Originals!$H122*Yield_Originals!S$1)/Yield_Originals!$K122</f>
        <v>0.0729948424243622</v>
      </c>
      <c r="T122" s="101" t="n">
        <f aca="false">(Yield_Originals!$I122*Yield_Originals!T$1)/Yield_Originals!$K122</f>
        <v>0.0791330984665889</v>
      </c>
      <c r="U122" s="101" t="n">
        <f aca="false">(Yield_Originals!$I122*Yield_Originals!U$1)/Yield_Originals!$K122</f>
        <v>0.0811114259282536</v>
      </c>
      <c r="V122" s="101" t="n">
        <f aca="false">(Yield_Originals!$I122*Yield_Originals!V$1)/Yield_Originals!$K122</f>
        <v>0.0830897533899183</v>
      </c>
      <c r="W122" s="101" t="n">
        <f aca="false">(Yield_Originals!$I122*Yield_Originals!W$1)/Yield_Originals!$K122</f>
        <v>0.085068080851583</v>
      </c>
      <c r="X122" s="102" t="n">
        <f aca="false">(Yield_Originals!$J122*Yield_Originals!X$1)/Yield_Originals!$K122</f>
        <v>0.0827641045154738</v>
      </c>
      <c r="Y122" s="102" t="n">
        <f aca="false">(Yield_Originals!$J122*Yield_Originals!Y$1)/Yield_Originals!$K122</f>
        <v>0.0846451068908255</v>
      </c>
      <c r="Z122" s="102" t="n">
        <f aca="false">(Yield_Originals!$J122*Yield_Originals!Z$1)/Yield_Originals!$K122</f>
        <v>0.0865261092661771</v>
      </c>
      <c r="AA122" s="102" t="n">
        <f aca="false">(Yield_Originals!$J122*Yield_Originals!AA$1)/Yield_Originals!$K122</f>
        <v>0.0884071116415288</v>
      </c>
      <c r="AB122" s="102" t="n">
        <f aca="false">(Yield_Originals!$J122*Yield_Originals!AB$1)/Yield_Originals!$K122</f>
        <v>0.0902881140168805</v>
      </c>
    </row>
    <row r="123" customFormat="false" ht="15" hidden="false" customHeight="false" outlineLevel="0" collapsed="false">
      <c r="A123" s="66" t="s">
        <v>1044</v>
      </c>
      <c r="B123" s="64" t="n">
        <v>2</v>
      </c>
      <c r="C123" s="93" t="s">
        <v>977</v>
      </c>
      <c r="D123" s="93" t="s">
        <v>1043</v>
      </c>
      <c r="E123" s="94" t="n">
        <v>11</v>
      </c>
      <c r="F123" s="96" t="n">
        <v>0.0470666077564446</v>
      </c>
      <c r="G123" s="96" t="n">
        <v>0.0470666077564446</v>
      </c>
      <c r="H123" s="96" t="n">
        <f aca="false">+(Yield_Originals!I123+Yield_Originals!G123)/2</f>
        <v>0.0499110033670852</v>
      </c>
      <c r="I123" s="96" t="n">
        <v>0.0527553989777259</v>
      </c>
      <c r="J123" s="96" t="n">
        <v>0.0501600633427114</v>
      </c>
      <c r="K123" s="97" t="n">
        <v>1</v>
      </c>
      <c r="L123" s="98" t="n">
        <f aca="false">(Yield_Originals!$G123*Yield_Originals!L$1)/Yield_Originals!$K123</f>
        <v>0.0564799293077335</v>
      </c>
      <c r="M123" s="98" t="n">
        <f aca="false">(Yield_Originals!$G123*Yield_Originals!M$1)/Yield_Originals!$K123</f>
        <v>0.0582449270986002</v>
      </c>
      <c r="N123" s="98" t="n">
        <f aca="false">(Yield_Originals!$G123*Yield_Originals!N$1)/Yield_Originals!$K123</f>
        <v>0.0600099248894669</v>
      </c>
      <c r="O123" s="98" t="n">
        <f aca="false">(Yield_Originals!$G123*Yield_Originals!O$1)/Yield_Originals!$K123</f>
        <v>0.0617749226803335</v>
      </c>
      <c r="P123" s="99" t="n">
        <f aca="false">(Yield_Originals!$H123*Yield_Originals!P$1)/Yield_Originals!$K123</f>
        <v>0.0673798545455651</v>
      </c>
      <c r="Q123" s="99" t="n">
        <f aca="false">(Yield_Originals!$H123*Yield_Originals!Q$1)/Yield_Originals!$K123</f>
        <v>0.0692515171718308</v>
      </c>
      <c r="R123" s="99" t="n">
        <f aca="false">(Yield_Originals!$H123*Yield_Originals!R$1)/Yield_Originals!$K123</f>
        <v>0.0711231797980965</v>
      </c>
      <c r="S123" s="99" t="n">
        <f aca="false">(Yield_Originals!$H123*Yield_Originals!S$1)/Yield_Originals!$K123</f>
        <v>0.0729948424243622</v>
      </c>
      <c r="T123" s="101" t="n">
        <f aca="false">(Yield_Originals!$I123*Yield_Originals!T$1)/Yield_Originals!$K123</f>
        <v>0.0791330984665889</v>
      </c>
      <c r="U123" s="101" t="n">
        <f aca="false">(Yield_Originals!$I123*Yield_Originals!U$1)/Yield_Originals!$K123</f>
        <v>0.0811114259282536</v>
      </c>
      <c r="V123" s="101" t="n">
        <f aca="false">(Yield_Originals!$I123*Yield_Originals!V$1)/Yield_Originals!$K123</f>
        <v>0.0830897533899183</v>
      </c>
      <c r="W123" s="101" t="n">
        <f aca="false">(Yield_Originals!$I123*Yield_Originals!W$1)/Yield_Originals!$K123</f>
        <v>0.085068080851583</v>
      </c>
      <c r="X123" s="102" t="n">
        <f aca="false">(Yield_Originals!$J123*Yield_Originals!X$1)/Yield_Originals!$K123</f>
        <v>0.0827641045154738</v>
      </c>
      <c r="Y123" s="102" t="n">
        <f aca="false">(Yield_Originals!$J123*Yield_Originals!Y$1)/Yield_Originals!$K123</f>
        <v>0.0846451068908255</v>
      </c>
      <c r="Z123" s="102" t="n">
        <f aca="false">(Yield_Originals!$J123*Yield_Originals!Z$1)/Yield_Originals!$K123</f>
        <v>0.0865261092661771</v>
      </c>
      <c r="AA123" s="102" t="n">
        <f aca="false">(Yield_Originals!$J123*Yield_Originals!AA$1)/Yield_Originals!$K123</f>
        <v>0.0884071116415288</v>
      </c>
      <c r="AB123" s="102" t="n">
        <f aca="false">(Yield_Originals!$J123*Yield_Originals!AB$1)/Yield_Originals!$K123</f>
        <v>0.0902881140168805</v>
      </c>
    </row>
    <row r="124" customFormat="false" ht="15" hidden="false" customHeight="false" outlineLevel="0" collapsed="false">
      <c r="A124" s="66" t="s">
        <v>1044</v>
      </c>
      <c r="B124" s="64" t="n">
        <v>2</v>
      </c>
      <c r="C124" s="93" t="s">
        <v>977</v>
      </c>
      <c r="D124" s="93" t="s">
        <v>1043</v>
      </c>
      <c r="E124" s="94" t="n">
        <v>12</v>
      </c>
      <c r="F124" s="96" t="n">
        <v>0.0470666077564446</v>
      </c>
      <c r="G124" s="96" t="n">
        <v>0.0470666077564446</v>
      </c>
      <c r="H124" s="96" t="n">
        <f aca="false">+(Yield_Originals!I124+Yield_Originals!G124)/2</f>
        <v>0.0499110033670852</v>
      </c>
      <c r="I124" s="96" t="n">
        <v>0.0527553989777259</v>
      </c>
      <c r="J124" s="96" t="n">
        <v>0.0501600633427114</v>
      </c>
      <c r="K124" s="97" t="n">
        <v>1</v>
      </c>
      <c r="L124" s="98" t="n">
        <f aca="false">(Yield_Originals!$G124*Yield_Originals!L$1)/Yield_Originals!$K124</f>
        <v>0.0564799293077335</v>
      </c>
      <c r="M124" s="98" t="n">
        <f aca="false">(Yield_Originals!$G124*Yield_Originals!M$1)/Yield_Originals!$K124</f>
        <v>0.0582449270986002</v>
      </c>
      <c r="N124" s="98" t="n">
        <f aca="false">(Yield_Originals!$G124*Yield_Originals!N$1)/Yield_Originals!$K124</f>
        <v>0.0600099248894669</v>
      </c>
      <c r="O124" s="98" t="n">
        <f aca="false">(Yield_Originals!$G124*Yield_Originals!O$1)/Yield_Originals!$K124</f>
        <v>0.0617749226803335</v>
      </c>
      <c r="P124" s="99" t="n">
        <f aca="false">(Yield_Originals!$H124*Yield_Originals!P$1)/Yield_Originals!$K124</f>
        <v>0.0673798545455651</v>
      </c>
      <c r="Q124" s="99" t="n">
        <f aca="false">(Yield_Originals!$H124*Yield_Originals!Q$1)/Yield_Originals!$K124</f>
        <v>0.0692515171718308</v>
      </c>
      <c r="R124" s="99" t="n">
        <f aca="false">(Yield_Originals!$H124*Yield_Originals!R$1)/Yield_Originals!$K124</f>
        <v>0.0711231797980965</v>
      </c>
      <c r="S124" s="99" t="n">
        <f aca="false">(Yield_Originals!$H124*Yield_Originals!S$1)/Yield_Originals!$K124</f>
        <v>0.0729948424243622</v>
      </c>
      <c r="T124" s="101" t="n">
        <f aca="false">(Yield_Originals!$I124*Yield_Originals!T$1)/Yield_Originals!$K124</f>
        <v>0.0791330984665889</v>
      </c>
      <c r="U124" s="101" t="n">
        <f aca="false">(Yield_Originals!$I124*Yield_Originals!U$1)/Yield_Originals!$K124</f>
        <v>0.0811114259282536</v>
      </c>
      <c r="V124" s="101" t="n">
        <f aca="false">(Yield_Originals!$I124*Yield_Originals!V$1)/Yield_Originals!$K124</f>
        <v>0.0830897533899183</v>
      </c>
      <c r="W124" s="101" t="n">
        <f aca="false">(Yield_Originals!$I124*Yield_Originals!W$1)/Yield_Originals!$K124</f>
        <v>0.085068080851583</v>
      </c>
      <c r="X124" s="102" t="n">
        <f aca="false">(Yield_Originals!$J124*Yield_Originals!X$1)/Yield_Originals!$K124</f>
        <v>0.0827641045154738</v>
      </c>
      <c r="Y124" s="102" t="n">
        <f aca="false">(Yield_Originals!$J124*Yield_Originals!Y$1)/Yield_Originals!$K124</f>
        <v>0.0846451068908255</v>
      </c>
      <c r="Z124" s="102" t="n">
        <f aca="false">(Yield_Originals!$J124*Yield_Originals!Z$1)/Yield_Originals!$K124</f>
        <v>0.0865261092661771</v>
      </c>
      <c r="AA124" s="102" t="n">
        <f aca="false">(Yield_Originals!$J124*Yield_Originals!AA$1)/Yield_Originals!$K124</f>
        <v>0.0884071116415288</v>
      </c>
      <c r="AB124" s="102" t="n">
        <f aca="false">(Yield_Originals!$J124*Yield_Originals!AB$1)/Yield_Originals!$K124</f>
        <v>0.0902881140168805</v>
      </c>
    </row>
    <row r="125" customFormat="false" ht="15" hidden="false" customHeight="false" outlineLevel="0" collapsed="false">
      <c r="A125" s="66" t="s">
        <v>1044</v>
      </c>
      <c r="B125" s="64" t="n">
        <v>2</v>
      </c>
      <c r="C125" s="93" t="s">
        <v>977</v>
      </c>
      <c r="D125" s="93" t="s">
        <v>1043</v>
      </c>
      <c r="E125" s="94" t="n">
        <v>13</v>
      </c>
      <c r="F125" s="96" t="n">
        <v>0.0470666077564446</v>
      </c>
      <c r="G125" s="96" t="n">
        <v>0.0470666077564446</v>
      </c>
      <c r="H125" s="96" t="n">
        <f aca="false">+(Yield_Originals!I125+Yield_Originals!G125)/2</f>
        <v>0.0499110033670852</v>
      </c>
      <c r="I125" s="96" t="n">
        <v>0.0527553989777259</v>
      </c>
      <c r="J125" s="96" t="n">
        <v>0.0501600633427114</v>
      </c>
      <c r="K125" s="97" t="n">
        <v>1</v>
      </c>
      <c r="L125" s="98" t="n">
        <f aca="false">(Yield_Originals!$G125*Yield_Originals!L$1)/Yield_Originals!$K125</f>
        <v>0.0564799293077335</v>
      </c>
      <c r="M125" s="98" t="n">
        <f aca="false">(Yield_Originals!$G125*Yield_Originals!M$1)/Yield_Originals!$K125</f>
        <v>0.0582449270986002</v>
      </c>
      <c r="N125" s="98" t="n">
        <f aca="false">(Yield_Originals!$G125*Yield_Originals!N$1)/Yield_Originals!$K125</f>
        <v>0.0600099248894669</v>
      </c>
      <c r="O125" s="98" t="n">
        <f aca="false">(Yield_Originals!$G125*Yield_Originals!O$1)/Yield_Originals!$K125</f>
        <v>0.0617749226803335</v>
      </c>
      <c r="P125" s="99" t="n">
        <f aca="false">(Yield_Originals!$H125*Yield_Originals!P$1)/Yield_Originals!$K125</f>
        <v>0.0673798545455651</v>
      </c>
      <c r="Q125" s="99" t="n">
        <f aca="false">(Yield_Originals!$H125*Yield_Originals!Q$1)/Yield_Originals!$K125</f>
        <v>0.0692515171718308</v>
      </c>
      <c r="R125" s="99" t="n">
        <f aca="false">(Yield_Originals!$H125*Yield_Originals!R$1)/Yield_Originals!$K125</f>
        <v>0.0711231797980965</v>
      </c>
      <c r="S125" s="99" t="n">
        <f aca="false">(Yield_Originals!$H125*Yield_Originals!S$1)/Yield_Originals!$K125</f>
        <v>0.0729948424243622</v>
      </c>
      <c r="T125" s="101" t="n">
        <f aca="false">(Yield_Originals!$I125*Yield_Originals!T$1)/Yield_Originals!$K125</f>
        <v>0.0791330984665889</v>
      </c>
      <c r="U125" s="101" t="n">
        <f aca="false">(Yield_Originals!$I125*Yield_Originals!U$1)/Yield_Originals!$K125</f>
        <v>0.0811114259282536</v>
      </c>
      <c r="V125" s="101" t="n">
        <f aca="false">(Yield_Originals!$I125*Yield_Originals!V$1)/Yield_Originals!$K125</f>
        <v>0.0830897533899183</v>
      </c>
      <c r="W125" s="101" t="n">
        <f aca="false">(Yield_Originals!$I125*Yield_Originals!W$1)/Yield_Originals!$K125</f>
        <v>0.085068080851583</v>
      </c>
      <c r="X125" s="102" t="n">
        <f aca="false">(Yield_Originals!$J125*Yield_Originals!X$1)/Yield_Originals!$K125</f>
        <v>0.0827641045154738</v>
      </c>
      <c r="Y125" s="102" t="n">
        <f aca="false">(Yield_Originals!$J125*Yield_Originals!Y$1)/Yield_Originals!$K125</f>
        <v>0.0846451068908255</v>
      </c>
      <c r="Z125" s="102" t="n">
        <f aca="false">(Yield_Originals!$J125*Yield_Originals!Z$1)/Yield_Originals!$K125</f>
        <v>0.0865261092661771</v>
      </c>
      <c r="AA125" s="102" t="n">
        <f aca="false">(Yield_Originals!$J125*Yield_Originals!AA$1)/Yield_Originals!$K125</f>
        <v>0.0884071116415288</v>
      </c>
      <c r="AB125" s="102" t="n">
        <f aca="false">(Yield_Originals!$J125*Yield_Originals!AB$1)/Yield_Originals!$K125</f>
        <v>0.0902881140168805</v>
      </c>
    </row>
    <row r="126" customFormat="false" ht="15" hidden="false" customHeight="false" outlineLevel="0" collapsed="false">
      <c r="A126" s="66" t="s">
        <v>1044</v>
      </c>
      <c r="B126" s="64" t="n">
        <v>2</v>
      </c>
      <c r="C126" s="93" t="s">
        <v>977</v>
      </c>
      <c r="D126" s="93" t="s">
        <v>1043</v>
      </c>
      <c r="E126" s="94" t="n">
        <v>14</v>
      </c>
      <c r="F126" s="96" t="n">
        <v>0.0470666077564446</v>
      </c>
      <c r="G126" s="96" t="n">
        <v>0.0470666077564446</v>
      </c>
      <c r="H126" s="96" t="n">
        <f aca="false">+(Yield_Originals!I126+Yield_Originals!G126)/2</f>
        <v>0.0499110033670852</v>
      </c>
      <c r="I126" s="96" t="n">
        <v>0.0527553989777259</v>
      </c>
      <c r="J126" s="96" t="n">
        <v>0.0501600633427114</v>
      </c>
      <c r="K126" s="97" t="n">
        <v>1</v>
      </c>
      <c r="L126" s="98" t="n">
        <f aca="false">(Yield_Originals!$G126*Yield_Originals!L$1)/Yield_Originals!$K126</f>
        <v>0.0564799293077335</v>
      </c>
      <c r="M126" s="98" t="n">
        <f aca="false">(Yield_Originals!$G126*Yield_Originals!M$1)/Yield_Originals!$K126</f>
        <v>0.0582449270986002</v>
      </c>
      <c r="N126" s="98" t="n">
        <f aca="false">(Yield_Originals!$G126*Yield_Originals!N$1)/Yield_Originals!$K126</f>
        <v>0.0600099248894669</v>
      </c>
      <c r="O126" s="98" t="n">
        <f aca="false">(Yield_Originals!$G126*Yield_Originals!O$1)/Yield_Originals!$K126</f>
        <v>0.0617749226803335</v>
      </c>
      <c r="P126" s="99" t="n">
        <f aca="false">(Yield_Originals!$H126*Yield_Originals!P$1)/Yield_Originals!$K126</f>
        <v>0.0673798545455651</v>
      </c>
      <c r="Q126" s="99" t="n">
        <f aca="false">(Yield_Originals!$H126*Yield_Originals!Q$1)/Yield_Originals!$K126</f>
        <v>0.0692515171718308</v>
      </c>
      <c r="R126" s="99" t="n">
        <f aca="false">(Yield_Originals!$H126*Yield_Originals!R$1)/Yield_Originals!$K126</f>
        <v>0.0711231797980965</v>
      </c>
      <c r="S126" s="99" t="n">
        <f aca="false">(Yield_Originals!$H126*Yield_Originals!S$1)/Yield_Originals!$K126</f>
        <v>0.0729948424243622</v>
      </c>
      <c r="T126" s="101" t="n">
        <f aca="false">(Yield_Originals!$I126*Yield_Originals!T$1)/Yield_Originals!$K126</f>
        <v>0.0791330984665889</v>
      </c>
      <c r="U126" s="101" t="n">
        <f aca="false">(Yield_Originals!$I126*Yield_Originals!U$1)/Yield_Originals!$K126</f>
        <v>0.0811114259282536</v>
      </c>
      <c r="V126" s="101" t="n">
        <f aca="false">(Yield_Originals!$I126*Yield_Originals!V$1)/Yield_Originals!$K126</f>
        <v>0.0830897533899183</v>
      </c>
      <c r="W126" s="101" t="n">
        <f aca="false">(Yield_Originals!$I126*Yield_Originals!W$1)/Yield_Originals!$K126</f>
        <v>0.085068080851583</v>
      </c>
      <c r="X126" s="102" t="n">
        <f aca="false">(Yield_Originals!$J126*Yield_Originals!X$1)/Yield_Originals!$K126</f>
        <v>0.0827641045154738</v>
      </c>
      <c r="Y126" s="102" t="n">
        <f aca="false">(Yield_Originals!$J126*Yield_Originals!Y$1)/Yield_Originals!$K126</f>
        <v>0.0846451068908255</v>
      </c>
      <c r="Z126" s="102" t="n">
        <f aca="false">(Yield_Originals!$J126*Yield_Originals!Z$1)/Yield_Originals!$K126</f>
        <v>0.0865261092661771</v>
      </c>
      <c r="AA126" s="102" t="n">
        <f aca="false">(Yield_Originals!$J126*Yield_Originals!AA$1)/Yield_Originals!$K126</f>
        <v>0.0884071116415288</v>
      </c>
      <c r="AB126" s="102" t="n">
        <f aca="false">(Yield_Originals!$J126*Yield_Originals!AB$1)/Yield_Originals!$K126</f>
        <v>0.0902881140168805</v>
      </c>
    </row>
    <row r="127" customFormat="false" ht="15" hidden="false" customHeight="false" outlineLevel="0" collapsed="false">
      <c r="A127" s="66" t="s">
        <v>1044</v>
      </c>
      <c r="B127" s="64" t="n">
        <v>2</v>
      </c>
      <c r="C127" s="93" t="s">
        <v>977</v>
      </c>
      <c r="D127" s="93" t="s">
        <v>1043</v>
      </c>
      <c r="E127" s="94" t="n">
        <v>15</v>
      </c>
      <c r="F127" s="96" t="n">
        <v>0.0470666077564446</v>
      </c>
      <c r="G127" s="96" t="n">
        <v>0.0470666077564446</v>
      </c>
      <c r="H127" s="96" t="n">
        <f aca="false">+(Yield_Originals!I127+Yield_Originals!G127)/2</f>
        <v>0.0499110033670852</v>
      </c>
      <c r="I127" s="96" t="n">
        <v>0.0527553989777259</v>
      </c>
      <c r="J127" s="96" t="n">
        <v>0.0501600633427114</v>
      </c>
      <c r="K127" s="97" t="n">
        <v>1</v>
      </c>
      <c r="L127" s="98" t="n">
        <f aca="false">(Yield_Originals!$G127*Yield_Originals!L$1)/Yield_Originals!$K127</f>
        <v>0.0564799293077335</v>
      </c>
      <c r="M127" s="98" t="n">
        <f aca="false">(Yield_Originals!$G127*Yield_Originals!M$1)/Yield_Originals!$K127</f>
        <v>0.0582449270986002</v>
      </c>
      <c r="N127" s="98" t="n">
        <f aca="false">(Yield_Originals!$G127*Yield_Originals!N$1)/Yield_Originals!$K127</f>
        <v>0.0600099248894669</v>
      </c>
      <c r="O127" s="98" t="n">
        <f aca="false">(Yield_Originals!$G127*Yield_Originals!O$1)/Yield_Originals!$K127</f>
        <v>0.0617749226803335</v>
      </c>
      <c r="P127" s="99" t="n">
        <f aca="false">(Yield_Originals!$H127*Yield_Originals!P$1)/Yield_Originals!$K127</f>
        <v>0.0673798545455651</v>
      </c>
      <c r="Q127" s="99" t="n">
        <f aca="false">(Yield_Originals!$H127*Yield_Originals!Q$1)/Yield_Originals!$K127</f>
        <v>0.0692515171718308</v>
      </c>
      <c r="R127" s="99" t="n">
        <f aca="false">(Yield_Originals!$H127*Yield_Originals!R$1)/Yield_Originals!$K127</f>
        <v>0.0711231797980965</v>
      </c>
      <c r="S127" s="99" t="n">
        <f aca="false">(Yield_Originals!$H127*Yield_Originals!S$1)/Yield_Originals!$K127</f>
        <v>0.0729948424243622</v>
      </c>
      <c r="T127" s="101" t="n">
        <f aca="false">(Yield_Originals!$I127*Yield_Originals!T$1)/Yield_Originals!$K127</f>
        <v>0.0791330984665889</v>
      </c>
      <c r="U127" s="101" t="n">
        <f aca="false">(Yield_Originals!$I127*Yield_Originals!U$1)/Yield_Originals!$K127</f>
        <v>0.0811114259282536</v>
      </c>
      <c r="V127" s="101" t="n">
        <f aca="false">(Yield_Originals!$I127*Yield_Originals!V$1)/Yield_Originals!$K127</f>
        <v>0.0830897533899183</v>
      </c>
      <c r="W127" s="101" t="n">
        <f aca="false">(Yield_Originals!$I127*Yield_Originals!W$1)/Yield_Originals!$K127</f>
        <v>0.085068080851583</v>
      </c>
      <c r="X127" s="102" t="n">
        <f aca="false">(Yield_Originals!$J127*Yield_Originals!X$1)/Yield_Originals!$K127</f>
        <v>0.0827641045154738</v>
      </c>
      <c r="Y127" s="102" t="n">
        <f aca="false">(Yield_Originals!$J127*Yield_Originals!Y$1)/Yield_Originals!$K127</f>
        <v>0.0846451068908255</v>
      </c>
      <c r="Z127" s="102" t="n">
        <f aca="false">(Yield_Originals!$J127*Yield_Originals!Z$1)/Yield_Originals!$K127</f>
        <v>0.0865261092661771</v>
      </c>
      <c r="AA127" s="102" t="n">
        <f aca="false">(Yield_Originals!$J127*Yield_Originals!AA$1)/Yield_Originals!$K127</f>
        <v>0.0884071116415288</v>
      </c>
      <c r="AB127" s="102" t="n">
        <f aca="false">(Yield_Originals!$J127*Yield_Originals!AB$1)/Yield_Originals!$K127</f>
        <v>0.0902881140168805</v>
      </c>
    </row>
    <row r="128" customFormat="false" ht="15" hidden="false" customHeight="false" outlineLevel="0" collapsed="false">
      <c r="A128" s="66" t="s">
        <v>1044</v>
      </c>
      <c r="B128" s="64" t="n">
        <v>2</v>
      </c>
      <c r="C128" s="93" t="s">
        <v>980</v>
      </c>
      <c r="D128" s="93" t="s">
        <v>1055</v>
      </c>
      <c r="E128" s="94" t="n">
        <v>9</v>
      </c>
      <c r="F128" s="96" t="n">
        <v>0.0470666077564446</v>
      </c>
      <c r="G128" s="96" t="n">
        <v>0.0470666077564446</v>
      </c>
      <c r="H128" s="96" t="n">
        <f aca="false">+(Yield_Originals!I128+Yield_Originals!G128)/2</f>
        <v>0.0499110033670852</v>
      </c>
      <c r="I128" s="96" t="n">
        <v>0.0527553989777259</v>
      </c>
      <c r="J128" s="96" t="n">
        <v>0.0501600633427114</v>
      </c>
      <c r="K128" s="97" t="n">
        <v>1</v>
      </c>
      <c r="L128" s="98" t="n">
        <f aca="false">(Yield_Originals!$G128*Yield_Originals!L$1)/Yield_Originals!$K128</f>
        <v>0.0564799293077335</v>
      </c>
      <c r="M128" s="98" t="n">
        <f aca="false">(Yield_Originals!$G128*Yield_Originals!M$1)/Yield_Originals!$K128</f>
        <v>0.0582449270986002</v>
      </c>
      <c r="N128" s="98" t="n">
        <f aca="false">(Yield_Originals!$G128*Yield_Originals!N$1)/Yield_Originals!$K128</f>
        <v>0.0600099248894669</v>
      </c>
      <c r="O128" s="98" t="n">
        <f aca="false">(Yield_Originals!$G128*Yield_Originals!O$1)/Yield_Originals!$K128</f>
        <v>0.0617749226803335</v>
      </c>
      <c r="P128" s="99" t="n">
        <f aca="false">(Yield_Originals!$H128*Yield_Originals!P$1)/Yield_Originals!$K128</f>
        <v>0.0673798545455651</v>
      </c>
      <c r="Q128" s="99" t="n">
        <f aca="false">(Yield_Originals!$H128*Yield_Originals!Q$1)/Yield_Originals!$K128</f>
        <v>0.0692515171718308</v>
      </c>
      <c r="R128" s="99" t="n">
        <f aca="false">(Yield_Originals!$H128*Yield_Originals!R$1)/Yield_Originals!$K128</f>
        <v>0.0711231797980965</v>
      </c>
      <c r="S128" s="99" t="n">
        <f aca="false">(Yield_Originals!$H128*Yield_Originals!S$1)/Yield_Originals!$K128</f>
        <v>0.0729948424243622</v>
      </c>
      <c r="T128" s="101" t="n">
        <f aca="false">(Yield_Originals!$I128*Yield_Originals!T$1)/Yield_Originals!$K128</f>
        <v>0.0791330984665889</v>
      </c>
      <c r="U128" s="101" t="n">
        <f aca="false">(Yield_Originals!$I128*Yield_Originals!U$1)/Yield_Originals!$K128</f>
        <v>0.0811114259282536</v>
      </c>
      <c r="V128" s="101" t="n">
        <f aca="false">(Yield_Originals!$I128*Yield_Originals!V$1)/Yield_Originals!$K128</f>
        <v>0.0830897533899183</v>
      </c>
      <c r="W128" s="101" t="n">
        <f aca="false">(Yield_Originals!$I128*Yield_Originals!W$1)/Yield_Originals!$K128</f>
        <v>0.085068080851583</v>
      </c>
      <c r="X128" s="102" t="n">
        <f aca="false">(Yield_Originals!$J128*Yield_Originals!X$1)/Yield_Originals!$K128</f>
        <v>0.0827641045154738</v>
      </c>
      <c r="Y128" s="102" t="n">
        <f aca="false">(Yield_Originals!$J128*Yield_Originals!Y$1)/Yield_Originals!$K128</f>
        <v>0.0846451068908255</v>
      </c>
      <c r="Z128" s="102" t="n">
        <f aca="false">(Yield_Originals!$J128*Yield_Originals!Z$1)/Yield_Originals!$K128</f>
        <v>0.0865261092661771</v>
      </c>
      <c r="AA128" s="102" t="n">
        <f aca="false">(Yield_Originals!$J128*Yield_Originals!AA$1)/Yield_Originals!$K128</f>
        <v>0.0884071116415288</v>
      </c>
      <c r="AB128" s="102" t="n">
        <f aca="false">(Yield_Originals!$J128*Yield_Originals!AB$1)/Yield_Originals!$K128</f>
        <v>0.0902881140168805</v>
      </c>
    </row>
    <row r="129" customFormat="false" ht="15" hidden="false" customHeight="false" outlineLevel="0" collapsed="false">
      <c r="A129" s="66" t="s">
        <v>1044</v>
      </c>
      <c r="B129" s="64" t="n">
        <v>2</v>
      </c>
      <c r="C129" s="93" t="s">
        <v>980</v>
      </c>
      <c r="D129" s="93" t="s">
        <v>1055</v>
      </c>
      <c r="E129" s="94" t="n">
        <v>10</v>
      </c>
      <c r="F129" s="96" t="n">
        <v>0.0470666077564446</v>
      </c>
      <c r="G129" s="96" t="n">
        <v>0.0470666077564446</v>
      </c>
      <c r="H129" s="96" t="n">
        <f aca="false">+(Yield_Originals!I129+Yield_Originals!G129)/2</f>
        <v>0.0499110033670852</v>
      </c>
      <c r="I129" s="96" t="n">
        <v>0.0527553989777259</v>
      </c>
      <c r="J129" s="96" t="n">
        <v>0.0501600633427114</v>
      </c>
      <c r="K129" s="97" t="n">
        <v>1</v>
      </c>
      <c r="L129" s="98" t="n">
        <f aca="false">(Yield_Originals!$G129*Yield_Originals!L$1)/Yield_Originals!$K129</f>
        <v>0.0564799293077335</v>
      </c>
      <c r="M129" s="98" t="n">
        <f aca="false">(Yield_Originals!$G129*Yield_Originals!M$1)/Yield_Originals!$K129</f>
        <v>0.0582449270986002</v>
      </c>
      <c r="N129" s="98" t="n">
        <f aca="false">(Yield_Originals!$G129*Yield_Originals!N$1)/Yield_Originals!$K129</f>
        <v>0.0600099248894669</v>
      </c>
      <c r="O129" s="98" t="n">
        <f aca="false">(Yield_Originals!$G129*Yield_Originals!O$1)/Yield_Originals!$K129</f>
        <v>0.0617749226803335</v>
      </c>
      <c r="P129" s="99" t="n">
        <f aca="false">(Yield_Originals!$H129*Yield_Originals!P$1)/Yield_Originals!$K129</f>
        <v>0.0673798545455651</v>
      </c>
      <c r="Q129" s="99" t="n">
        <f aca="false">(Yield_Originals!$H129*Yield_Originals!Q$1)/Yield_Originals!$K129</f>
        <v>0.0692515171718308</v>
      </c>
      <c r="R129" s="99" t="n">
        <f aca="false">(Yield_Originals!$H129*Yield_Originals!R$1)/Yield_Originals!$K129</f>
        <v>0.0711231797980965</v>
      </c>
      <c r="S129" s="99" t="n">
        <f aca="false">(Yield_Originals!$H129*Yield_Originals!S$1)/Yield_Originals!$K129</f>
        <v>0.0729948424243622</v>
      </c>
      <c r="T129" s="101" t="n">
        <f aca="false">(Yield_Originals!$I129*Yield_Originals!T$1)/Yield_Originals!$K129</f>
        <v>0.0791330984665889</v>
      </c>
      <c r="U129" s="101" t="n">
        <f aca="false">(Yield_Originals!$I129*Yield_Originals!U$1)/Yield_Originals!$K129</f>
        <v>0.0811114259282536</v>
      </c>
      <c r="V129" s="101" t="n">
        <f aca="false">(Yield_Originals!$I129*Yield_Originals!V$1)/Yield_Originals!$K129</f>
        <v>0.0830897533899183</v>
      </c>
      <c r="W129" s="101" t="n">
        <f aca="false">(Yield_Originals!$I129*Yield_Originals!W$1)/Yield_Originals!$K129</f>
        <v>0.085068080851583</v>
      </c>
      <c r="X129" s="102" t="n">
        <f aca="false">(Yield_Originals!$J129*Yield_Originals!X$1)/Yield_Originals!$K129</f>
        <v>0.0827641045154738</v>
      </c>
      <c r="Y129" s="102" t="n">
        <f aca="false">(Yield_Originals!$J129*Yield_Originals!Y$1)/Yield_Originals!$K129</f>
        <v>0.0846451068908255</v>
      </c>
      <c r="Z129" s="102" t="n">
        <f aca="false">(Yield_Originals!$J129*Yield_Originals!Z$1)/Yield_Originals!$K129</f>
        <v>0.0865261092661771</v>
      </c>
      <c r="AA129" s="102" t="n">
        <f aca="false">(Yield_Originals!$J129*Yield_Originals!AA$1)/Yield_Originals!$K129</f>
        <v>0.0884071116415288</v>
      </c>
      <c r="AB129" s="102" t="n">
        <f aca="false">(Yield_Originals!$J129*Yield_Originals!AB$1)/Yield_Originals!$K129</f>
        <v>0.0902881140168805</v>
      </c>
    </row>
    <row r="130" customFormat="false" ht="15" hidden="false" customHeight="false" outlineLevel="0" collapsed="false">
      <c r="A130" s="66" t="s">
        <v>1044</v>
      </c>
      <c r="B130" s="64" t="n">
        <v>2</v>
      </c>
      <c r="C130" s="93" t="s">
        <v>980</v>
      </c>
      <c r="D130" s="93" t="s">
        <v>1055</v>
      </c>
      <c r="E130" s="94" t="n">
        <v>11</v>
      </c>
      <c r="F130" s="96" t="n">
        <v>0.0470666077564446</v>
      </c>
      <c r="G130" s="96" t="n">
        <v>0.0470666077564446</v>
      </c>
      <c r="H130" s="96" t="n">
        <f aca="false">+(Yield_Originals!I130+Yield_Originals!G130)/2</f>
        <v>0.0499110033670852</v>
      </c>
      <c r="I130" s="96" t="n">
        <v>0.0527553989777259</v>
      </c>
      <c r="J130" s="96" t="n">
        <v>0.0501600633427114</v>
      </c>
      <c r="K130" s="97" t="n">
        <v>1</v>
      </c>
      <c r="L130" s="98" t="n">
        <f aca="false">(Yield_Originals!$G130*Yield_Originals!L$1)/Yield_Originals!$K130</f>
        <v>0.0564799293077335</v>
      </c>
      <c r="M130" s="98" t="n">
        <f aca="false">(Yield_Originals!$G130*Yield_Originals!M$1)/Yield_Originals!$K130</f>
        <v>0.0582449270986002</v>
      </c>
      <c r="N130" s="98" t="n">
        <f aca="false">(Yield_Originals!$G130*Yield_Originals!N$1)/Yield_Originals!$K130</f>
        <v>0.0600099248894669</v>
      </c>
      <c r="O130" s="98" t="n">
        <f aca="false">(Yield_Originals!$G130*Yield_Originals!O$1)/Yield_Originals!$K130</f>
        <v>0.0617749226803335</v>
      </c>
      <c r="P130" s="99" t="n">
        <f aca="false">(Yield_Originals!$H130*Yield_Originals!P$1)/Yield_Originals!$K130</f>
        <v>0.0673798545455651</v>
      </c>
      <c r="Q130" s="99" t="n">
        <f aca="false">(Yield_Originals!$H130*Yield_Originals!Q$1)/Yield_Originals!$K130</f>
        <v>0.0692515171718308</v>
      </c>
      <c r="R130" s="99" t="n">
        <f aca="false">(Yield_Originals!$H130*Yield_Originals!R$1)/Yield_Originals!$K130</f>
        <v>0.0711231797980965</v>
      </c>
      <c r="S130" s="99" t="n">
        <f aca="false">(Yield_Originals!$H130*Yield_Originals!S$1)/Yield_Originals!$K130</f>
        <v>0.0729948424243622</v>
      </c>
      <c r="T130" s="101" t="n">
        <f aca="false">(Yield_Originals!$I130*Yield_Originals!T$1)/Yield_Originals!$K130</f>
        <v>0.0791330984665889</v>
      </c>
      <c r="U130" s="101" t="n">
        <f aca="false">(Yield_Originals!$I130*Yield_Originals!U$1)/Yield_Originals!$K130</f>
        <v>0.0811114259282536</v>
      </c>
      <c r="V130" s="101" t="n">
        <f aca="false">(Yield_Originals!$I130*Yield_Originals!V$1)/Yield_Originals!$K130</f>
        <v>0.0830897533899183</v>
      </c>
      <c r="W130" s="101" t="n">
        <f aca="false">(Yield_Originals!$I130*Yield_Originals!W$1)/Yield_Originals!$K130</f>
        <v>0.085068080851583</v>
      </c>
      <c r="X130" s="102" t="n">
        <f aca="false">(Yield_Originals!$J130*Yield_Originals!X$1)/Yield_Originals!$K130</f>
        <v>0.0827641045154738</v>
      </c>
      <c r="Y130" s="102" t="n">
        <f aca="false">(Yield_Originals!$J130*Yield_Originals!Y$1)/Yield_Originals!$K130</f>
        <v>0.0846451068908255</v>
      </c>
      <c r="Z130" s="102" t="n">
        <f aca="false">(Yield_Originals!$J130*Yield_Originals!Z$1)/Yield_Originals!$K130</f>
        <v>0.0865261092661771</v>
      </c>
      <c r="AA130" s="102" t="n">
        <f aca="false">(Yield_Originals!$J130*Yield_Originals!AA$1)/Yield_Originals!$K130</f>
        <v>0.0884071116415288</v>
      </c>
      <c r="AB130" s="102" t="n">
        <f aca="false">(Yield_Originals!$J130*Yield_Originals!AB$1)/Yield_Originals!$K130</f>
        <v>0.0902881140168805</v>
      </c>
    </row>
    <row r="131" customFormat="false" ht="15" hidden="false" customHeight="false" outlineLevel="0" collapsed="false">
      <c r="A131" s="66" t="s">
        <v>1044</v>
      </c>
      <c r="B131" s="64" t="n">
        <v>2</v>
      </c>
      <c r="C131" s="93" t="s">
        <v>980</v>
      </c>
      <c r="D131" s="93" t="s">
        <v>1055</v>
      </c>
      <c r="E131" s="94" t="n">
        <v>12</v>
      </c>
      <c r="F131" s="96" t="n">
        <v>0.0470666077564446</v>
      </c>
      <c r="G131" s="96" t="n">
        <v>0.0470666077564446</v>
      </c>
      <c r="H131" s="96" t="n">
        <f aca="false">+(Yield_Originals!I131+Yield_Originals!G131)/2</f>
        <v>0.0499110033670852</v>
      </c>
      <c r="I131" s="96" t="n">
        <v>0.0527553989777259</v>
      </c>
      <c r="J131" s="96" t="n">
        <v>0.0501600633427114</v>
      </c>
      <c r="K131" s="97" t="n">
        <v>1</v>
      </c>
      <c r="L131" s="98" t="n">
        <f aca="false">(Yield_Originals!$G131*Yield_Originals!L$1)/Yield_Originals!$K131</f>
        <v>0.0564799293077335</v>
      </c>
      <c r="M131" s="98" t="n">
        <f aca="false">(Yield_Originals!$G131*Yield_Originals!M$1)/Yield_Originals!$K131</f>
        <v>0.0582449270986002</v>
      </c>
      <c r="N131" s="98" t="n">
        <f aca="false">(Yield_Originals!$G131*Yield_Originals!N$1)/Yield_Originals!$K131</f>
        <v>0.0600099248894669</v>
      </c>
      <c r="O131" s="98" t="n">
        <f aca="false">(Yield_Originals!$G131*Yield_Originals!O$1)/Yield_Originals!$K131</f>
        <v>0.0617749226803335</v>
      </c>
      <c r="P131" s="99" t="n">
        <f aca="false">(Yield_Originals!$H131*Yield_Originals!P$1)/Yield_Originals!$K131</f>
        <v>0.0673798545455651</v>
      </c>
      <c r="Q131" s="99" t="n">
        <f aca="false">(Yield_Originals!$H131*Yield_Originals!Q$1)/Yield_Originals!$K131</f>
        <v>0.0692515171718308</v>
      </c>
      <c r="R131" s="99" t="n">
        <f aca="false">(Yield_Originals!$H131*Yield_Originals!R$1)/Yield_Originals!$K131</f>
        <v>0.0711231797980965</v>
      </c>
      <c r="S131" s="99" t="n">
        <f aca="false">(Yield_Originals!$H131*Yield_Originals!S$1)/Yield_Originals!$K131</f>
        <v>0.0729948424243622</v>
      </c>
      <c r="T131" s="101" t="n">
        <f aca="false">(Yield_Originals!$I131*Yield_Originals!T$1)/Yield_Originals!$K131</f>
        <v>0.0791330984665889</v>
      </c>
      <c r="U131" s="101" t="n">
        <f aca="false">(Yield_Originals!$I131*Yield_Originals!U$1)/Yield_Originals!$K131</f>
        <v>0.0811114259282536</v>
      </c>
      <c r="V131" s="101" t="n">
        <f aca="false">(Yield_Originals!$I131*Yield_Originals!V$1)/Yield_Originals!$K131</f>
        <v>0.0830897533899183</v>
      </c>
      <c r="W131" s="101" t="n">
        <f aca="false">(Yield_Originals!$I131*Yield_Originals!W$1)/Yield_Originals!$K131</f>
        <v>0.085068080851583</v>
      </c>
      <c r="X131" s="102" t="n">
        <f aca="false">(Yield_Originals!$J131*Yield_Originals!X$1)/Yield_Originals!$K131</f>
        <v>0.0827641045154738</v>
      </c>
      <c r="Y131" s="102" t="n">
        <f aca="false">(Yield_Originals!$J131*Yield_Originals!Y$1)/Yield_Originals!$K131</f>
        <v>0.0846451068908255</v>
      </c>
      <c r="Z131" s="102" t="n">
        <f aca="false">(Yield_Originals!$J131*Yield_Originals!Z$1)/Yield_Originals!$K131</f>
        <v>0.0865261092661771</v>
      </c>
      <c r="AA131" s="102" t="n">
        <f aca="false">(Yield_Originals!$J131*Yield_Originals!AA$1)/Yield_Originals!$K131</f>
        <v>0.0884071116415288</v>
      </c>
      <c r="AB131" s="102" t="n">
        <f aca="false">(Yield_Originals!$J131*Yield_Originals!AB$1)/Yield_Originals!$K131</f>
        <v>0.0902881140168805</v>
      </c>
    </row>
    <row r="132" customFormat="false" ht="15" hidden="false" customHeight="false" outlineLevel="0" collapsed="false">
      <c r="A132" s="66" t="s">
        <v>1044</v>
      </c>
      <c r="B132" s="64" t="n">
        <v>2</v>
      </c>
      <c r="C132" s="93" t="s">
        <v>980</v>
      </c>
      <c r="D132" s="93" t="s">
        <v>1055</v>
      </c>
      <c r="E132" s="94" t="n">
        <v>13</v>
      </c>
      <c r="F132" s="96" t="n">
        <v>0.0470666077564446</v>
      </c>
      <c r="G132" s="96" t="n">
        <v>0.0470666077564446</v>
      </c>
      <c r="H132" s="96" t="n">
        <f aca="false">+(Yield_Originals!I132+Yield_Originals!G132)/2</f>
        <v>0.0499110033670852</v>
      </c>
      <c r="I132" s="96" t="n">
        <v>0.0527553989777259</v>
      </c>
      <c r="J132" s="96" t="n">
        <v>0.0501600633427114</v>
      </c>
      <c r="K132" s="97" t="n">
        <v>1</v>
      </c>
      <c r="L132" s="98" t="n">
        <f aca="false">(Yield_Originals!$G132*Yield_Originals!L$1)/Yield_Originals!$K132</f>
        <v>0.0564799293077335</v>
      </c>
      <c r="M132" s="98" t="n">
        <f aca="false">(Yield_Originals!$G132*Yield_Originals!M$1)/Yield_Originals!$K132</f>
        <v>0.0582449270986002</v>
      </c>
      <c r="N132" s="98" t="n">
        <f aca="false">(Yield_Originals!$G132*Yield_Originals!N$1)/Yield_Originals!$K132</f>
        <v>0.0600099248894669</v>
      </c>
      <c r="O132" s="98" t="n">
        <f aca="false">(Yield_Originals!$G132*Yield_Originals!O$1)/Yield_Originals!$K132</f>
        <v>0.0617749226803335</v>
      </c>
      <c r="P132" s="99" t="n">
        <f aca="false">(Yield_Originals!$H132*Yield_Originals!P$1)/Yield_Originals!$K132</f>
        <v>0.0673798545455651</v>
      </c>
      <c r="Q132" s="99" t="n">
        <f aca="false">(Yield_Originals!$H132*Yield_Originals!Q$1)/Yield_Originals!$K132</f>
        <v>0.0692515171718308</v>
      </c>
      <c r="R132" s="99" t="n">
        <f aca="false">(Yield_Originals!$H132*Yield_Originals!R$1)/Yield_Originals!$K132</f>
        <v>0.0711231797980965</v>
      </c>
      <c r="S132" s="99" t="n">
        <f aca="false">(Yield_Originals!$H132*Yield_Originals!S$1)/Yield_Originals!$K132</f>
        <v>0.0729948424243622</v>
      </c>
      <c r="T132" s="101" t="n">
        <f aca="false">(Yield_Originals!$I132*Yield_Originals!T$1)/Yield_Originals!$K132</f>
        <v>0.0791330984665889</v>
      </c>
      <c r="U132" s="101" t="n">
        <f aca="false">(Yield_Originals!$I132*Yield_Originals!U$1)/Yield_Originals!$K132</f>
        <v>0.0811114259282536</v>
      </c>
      <c r="V132" s="101" t="n">
        <f aca="false">(Yield_Originals!$I132*Yield_Originals!V$1)/Yield_Originals!$K132</f>
        <v>0.0830897533899183</v>
      </c>
      <c r="W132" s="101" t="n">
        <f aca="false">(Yield_Originals!$I132*Yield_Originals!W$1)/Yield_Originals!$K132</f>
        <v>0.085068080851583</v>
      </c>
      <c r="X132" s="102" t="n">
        <f aca="false">(Yield_Originals!$J132*Yield_Originals!X$1)/Yield_Originals!$K132</f>
        <v>0.0827641045154738</v>
      </c>
      <c r="Y132" s="102" t="n">
        <f aca="false">(Yield_Originals!$J132*Yield_Originals!Y$1)/Yield_Originals!$K132</f>
        <v>0.0846451068908255</v>
      </c>
      <c r="Z132" s="102" t="n">
        <f aca="false">(Yield_Originals!$J132*Yield_Originals!Z$1)/Yield_Originals!$K132</f>
        <v>0.0865261092661771</v>
      </c>
      <c r="AA132" s="102" t="n">
        <f aca="false">(Yield_Originals!$J132*Yield_Originals!AA$1)/Yield_Originals!$K132</f>
        <v>0.0884071116415288</v>
      </c>
      <c r="AB132" s="102" t="n">
        <f aca="false">(Yield_Originals!$J132*Yield_Originals!AB$1)/Yield_Originals!$K132</f>
        <v>0.0902881140168805</v>
      </c>
    </row>
    <row r="133" customFormat="false" ht="15" hidden="false" customHeight="false" outlineLevel="0" collapsed="false">
      <c r="A133" s="66" t="s">
        <v>1044</v>
      </c>
      <c r="B133" s="64" t="n">
        <v>2</v>
      </c>
      <c r="C133" s="93" t="s">
        <v>980</v>
      </c>
      <c r="D133" s="93" t="s">
        <v>1055</v>
      </c>
      <c r="E133" s="94" t="n">
        <v>14</v>
      </c>
      <c r="F133" s="96" t="n">
        <v>0.0470666077564446</v>
      </c>
      <c r="G133" s="96" t="n">
        <v>0.0470666077564446</v>
      </c>
      <c r="H133" s="96" t="n">
        <f aca="false">+(Yield_Originals!I133+Yield_Originals!G133)/2</f>
        <v>0.0499110033670852</v>
      </c>
      <c r="I133" s="96" t="n">
        <v>0.0527553989777259</v>
      </c>
      <c r="J133" s="96" t="n">
        <v>0.0501600633427114</v>
      </c>
      <c r="K133" s="97" t="n">
        <v>1</v>
      </c>
      <c r="L133" s="98" t="n">
        <f aca="false">(Yield_Originals!$G133*Yield_Originals!L$1)/Yield_Originals!$K133</f>
        <v>0.0564799293077335</v>
      </c>
      <c r="M133" s="98" t="n">
        <f aca="false">(Yield_Originals!$G133*Yield_Originals!M$1)/Yield_Originals!$K133</f>
        <v>0.0582449270986002</v>
      </c>
      <c r="N133" s="98" t="n">
        <f aca="false">(Yield_Originals!$G133*Yield_Originals!N$1)/Yield_Originals!$K133</f>
        <v>0.0600099248894669</v>
      </c>
      <c r="O133" s="98" t="n">
        <f aca="false">(Yield_Originals!$G133*Yield_Originals!O$1)/Yield_Originals!$K133</f>
        <v>0.0617749226803335</v>
      </c>
      <c r="P133" s="99" t="n">
        <f aca="false">(Yield_Originals!$H133*Yield_Originals!P$1)/Yield_Originals!$K133</f>
        <v>0.0673798545455651</v>
      </c>
      <c r="Q133" s="99" t="n">
        <f aca="false">(Yield_Originals!$H133*Yield_Originals!Q$1)/Yield_Originals!$K133</f>
        <v>0.0692515171718308</v>
      </c>
      <c r="R133" s="99" t="n">
        <f aca="false">(Yield_Originals!$H133*Yield_Originals!R$1)/Yield_Originals!$K133</f>
        <v>0.0711231797980965</v>
      </c>
      <c r="S133" s="99" t="n">
        <f aca="false">(Yield_Originals!$H133*Yield_Originals!S$1)/Yield_Originals!$K133</f>
        <v>0.0729948424243622</v>
      </c>
      <c r="T133" s="101" t="n">
        <f aca="false">(Yield_Originals!$I133*Yield_Originals!T$1)/Yield_Originals!$K133</f>
        <v>0.0791330984665889</v>
      </c>
      <c r="U133" s="101" t="n">
        <f aca="false">(Yield_Originals!$I133*Yield_Originals!U$1)/Yield_Originals!$K133</f>
        <v>0.0811114259282536</v>
      </c>
      <c r="V133" s="101" t="n">
        <f aca="false">(Yield_Originals!$I133*Yield_Originals!V$1)/Yield_Originals!$K133</f>
        <v>0.0830897533899183</v>
      </c>
      <c r="W133" s="101" t="n">
        <f aca="false">(Yield_Originals!$I133*Yield_Originals!W$1)/Yield_Originals!$K133</f>
        <v>0.085068080851583</v>
      </c>
      <c r="X133" s="102" t="n">
        <f aca="false">(Yield_Originals!$J133*Yield_Originals!X$1)/Yield_Originals!$K133</f>
        <v>0.0827641045154738</v>
      </c>
      <c r="Y133" s="102" t="n">
        <f aca="false">(Yield_Originals!$J133*Yield_Originals!Y$1)/Yield_Originals!$K133</f>
        <v>0.0846451068908255</v>
      </c>
      <c r="Z133" s="102" t="n">
        <f aca="false">(Yield_Originals!$J133*Yield_Originals!Z$1)/Yield_Originals!$K133</f>
        <v>0.0865261092661771</v>
      </c>
      <c r="AA133" s="102" t="n">
        <f aca="false">(Yield_Originals!$J133*Yield_Originals!AA$1)/Yield_Originals!$K133</f>
        <v>0.0884071116415288</v>
      </c>
      <c r="AB133" s="102" t="n">
        <f aca="false">(Yield_Originals!$J133*Yield_Originals!AB$1)/Yield_Originals!$K133</f>
        <v>0.0902881140168805</v>
      </c>
    </row>
    <row r="134" customFormat="false" ht="15" hidden="false" customHeight="false" outlineLevel="0" collapsed="false">
      <c r="A134" s="66" t="s">
        <v>1044</v>
      </c>
      <c r="B134" s="64" t="n">
        <v>2</v>
      </c>
      <c r="C134" s="93" t="s">
        <v>980</v>
      </c>
      <c r="D134" s="93" t="s">
        <v>1055</v>
      </c>
      <c r="E134" s="94" t="n">
        <v>15</v>
      </c>
      <c r="F134" s="96" t="n">
        <v>0.0470666077564446</v>
      </c>
      <c r="G134" s="96" t="n">
        <v>0.0470666077564446</v>
      </c>
      <c r="H134" s="96" t="n">
        <f aca="false">+(Yield_Originals!I134+Yield_Originals!G134)/2</f>
        <v>0.0499110033670852</v>
      </c>
      <c r="I134" s="96" t="n">
        <v>0.0527553989777259</v>
      </c>
      <c r="J134" s="96" t="n">
        <v>0.0501600633427114</v>
      </c>
      <c r="K134" s="97" t="n">
        <v>1</v>
      </c>
      <c r="L134" s="98" t="n">
        <f aca="false">(Yield_Originals!$G134*Yield_Originals!L$1)/Yield_Originals!$K134</f>
        <v>0.0564799293077335</v>
      </c>
      <c r="M134" s="98" t="n">
        <f aca="false">(Yield_Originals!$G134*Yield_Originals!M$1)/Yield_Originals!$K134</f>
        <v>0.0582449270986002</v>
      </c>
      <c r="N134" s="98" t="n">
        <f aca="false">(Yield_Originals!$G134*Yield_Originals!N$1)/Yield_Originals!$K134</f>
        <v>0.0600099248894669</v>
      </c>
      <c r="O134" s="98" t="n">
        <f aca="false">(Yield_Originals!$G134*Yield_Originals!O$1)/Yield_Originals!$K134</f>
        <v>0.0617749226803335</v>
      </c>
      <c r="P134" s="99" t="n">
        <f aca="false">(Yield_Originals!$H134*Yield_Originals!P$1)/Yield_Originals!$K134</f>
        <v>0.0673798545455651</v>
      </c>
      <c r="Q134" s="99" t="n">
        <f aca="false">(Yield_Originals!$H134*Yield_Originals!Q$1)/Yield_Originals!$K134</f>
        <v>0.0692515171718308</v>
      </c>
      <c r="R134" s="99" t="n">
        <f aca="false">(Yield_Originals!$H134*Yield_Originals!R$1)/Yield_Originals!$K134</f>
        <v>0.0711231797980965</v>
      </c>
      <c r="S134" s="99" t="n">
        <f aca="false">(Yield_Originals!$H134*Yield_Originals!S$1)/Yield_Originals!$K134</f>
        <v>0.0729948424243622</v>
      </c>
      <c r="T134" s="101" t="n">
        <f aca="false">(Yield_Originals!$I134*Yield_Originals!T$1)/Yield_Originals!$K134</f>
        <v>0.0791330984665889</v>
      </c>
      <c r="U134" s="101" t="n">
        <f aca="false">(Yield_Originals!$I134*Yield_Originals!U$1)/Yield_Originals!$K134</f>
        <v>0.0811114259282536</v>
      </c>
      <c r="V134" s="101" t="n">
        <f aca="false">(Yield_Originals!$I134*Yield_Originals!V$1)/Yield_Originals!$K134</f>
        <v>0.0830897533899183</v>
      </c>
      <c r="W134" s="101" t="n">
        <f aca="false">(Yield_Originals!$I134*Yield_Originals!W$1)/Yield_Originals!$K134</f>
        <v>0.085068080851583</v>
      </c>
      <c r="X134" s="102" t="n">
        <f aca="false">(Yield_Originals!$J134*Yield_Originals!X$1)/Yield_Originals!$K134</f>
        <v>0.0827641045154738</v>
      </c>
      <c r="Y134" s="102" t="n">
        <f aca="false">(Yield_Originals!$J134*Yield_Originals!Y$1)/Yield_Originals!$K134</f>
        <v>0.0846451068908255</v>
      </c>
      <c r="Z134" s="102" t="n">
        <f aca="false">(Yield_Originals!$J134*Yield_Originals!Z$1)/Yield_Originals!$K134</f>
        <v>0.0865261092661771</v>
      </c>
      <c r="AA134" s="102" t="n">
        <f aca="false">(Yield_Originals!$J134*Yield_Originals!AA$1)/Yield_Originals!$K134</f>
        <v>0.0884071116415288</v>
      </c>
      <c r="AB134" s="102" t="n">
        <f aca="false">(Yield_Originals!$J134*Yield_Originals!AB$1)/Yield_Originals!$K134</f>
        <v>0.0902881140168805</v>
      </c>
    </row>
    <row r="135" customFormat="false" ht="15" hidden="false" customHeight="false" outlineLevel="0" collapsed="false">
      <c r="A135" s="66" t="s">
        <v>1044</v>
      </c>
      <c r="B135" s="64" t="n">
        <v>2</v>
      </c>
      <c r="C135" s="93" t="s">
        <v>983</v>
      </c>
      <c r="D135" s="93" t="s">
        <v>1052</v>
      </c>
      <c r="E135" s="94" t="n">
        <v>9</v>
      </c>
      <c r="F135" s="96" t="n">
        <v>0.0470666077564446</v>
      </c>
      <c r="G135" s="96" t="n">
        <v>0.0470666077564446</v>
      </c>
      <c r="H135" s="96" t="n">
        <f aca="false">+(Yield_Originals!I135+Yield_Originals!G135)/2</f>
        <v>0.0499110033670852</v>
      </c>
      <c r="I135" s="96" t="n">
        <v>0.0527553989777259</v>
      </c>
      <c r="J135" s="96" t="n">
        <v>0.0501600633427114</v>
      </c>
      <c r="K135" s="97" t="n">
        <v>1</v>
      </c>
      <c r="L135" s="98" t="n">
        <f aca="false">(Yield_Originals!$G135*Yield_Originals!L$1)/Yield_Originals!$K135</f>
        <v>0.0564799293077335</v>
      </c>
      <c r="M135" s="98" t="n">
        <f aca="false">(Yield_Originals!$G135*Yield_Originals!M$1)/Yield_Originals!$K135</f>
        <v>0.0582449270986002</v>
      </c>
      <c r="N135" s="98" t="n">
        <f aca="false">(Yield_Originals!$G135*Yield_Originals!N$1)/Yield_Originals!$K135</f>
        <v>0.0600099248894669</v>
      </c>
      <c r="O135" s="98" t="n">
        <f aca="false">(Yield_Originals!$G135*Yield_Originals!O$1)/Yield_Originals!$K135</f>
        <v>0.0617749226803335</v>
      </c>
      <c r="P135" s="99" t="n">
        <f aca="false">(Yield_Originals!$H135*Yield_Originals!P$1)/Yield_Originals!$K135</f>
        <v>0.0673798545455651</v>
      </c>
      <c r="Q135" s="99"/>
      <c r="R135" s="99"/>
      <c r="S135" s="99"/>
      <c r="T135" s="101"/>
      <c r="U135" s="101"/>
      <c r="V135" s="101"/>
      <c r="W135" s="101"/>
      <c r="X135" s="102"/>
      <c r="Y135" s="102"/>
      <c r="Z135" s="102"/>
      <c r="AA135" s="102"/>
      <c r="AB135" s="102"/>
    </row>
    <row r="136" customFormat="false" ht="15" hidden="false" customHeight="false" outlineLevel="0" collapsed="false">
      <c r="A136" s="66" t="s">
        <v>1044</v>
      </c>
      <c r="B136" s="64" t="n">
        <v>2</v>
      </c>
      <c r="C136" s="93" t="s">
        <v>983</v>
      </c>
      <c r="D136" s="93" t="s">
        <v>1052</v>
      </c>
      <c r="E136" s="94" t="n">
        <v>10</v>
      </c>
      <c r="F136" s="96" t="n">
        <v>0.0470666077564446</v>
      </c>
      <c r="G136" s="96" t="n">
        <v>0.0470666077564446</v>
      </c>
      <c r="H136" s="96" t="n">
        <f aca="false">+(Yield_Originals!I136+Yield_Originals!G136)/2</f>
        <v>0.0499110033670852</v>
      </c>
      <c r="I136" s="96" t="n">
        <v>0.0527553989777259</v>
      </c>
      <c r="J136" s="96" t="n">
        <v>0.0501600633427114</v>
      </c>
      <c r="K136" s="97" t="n">
        <v>1</v>
      </c>
      <c r="L136" s="98" t="n">
        <f aca="false">(Yield_Originals!$G136*Yield_Originals!L$1)/Yield_Originals!$K136</f>
        <v>0.0564799293077335</v>
      </c>
      <c r="M136" s="98" t="n">
        <f aca="false">(Yield_Originals!$G136*Yield_Originals!M$1)/Yield_Originals!$K136</f>
        <v>0.0582449270986002</v>
      </c>
      <c r="N136" s="98" t="n">
        <f aca="false">(Yield_Originals!$G136*Yield_Originals!N$1)/Yield_Originals!$K136</f>
        <v>0.0600099248894669</v>
      </c>
      <c r="O136" s="98" t="n">
        <f aca="false">(Yield_Originals!$G136*Yield_Originals!O$1)/Yield_Originals!$K136</f>
        <v>0.0617749226803335</v>
      </c>
      <c r="P136" s="99" t="n">
        <f aca="false">(Yield_Originals!$H136*Yield_Originals!P$1)/Yield_Originals!$K136</f>
        <v>0.0673798545455651</v>
      </c>
      <c r="Q136" s="99"/>
      <c r="R136" s="99"/>
      <c r="S136" s="99"/>
      <c r="T136" s="101"/>
      <c r="U136" s="101"/>
      <c r="V136" s="101"/>
      <c r="W136" s="101"/>
      <c r="X136" s="102"/>
      <c r="Y136" s="102"/>
      <c r="Z136" s="102"/>
      <c r="AA136" s="102"/>
      <c r="AB136" s="102"/>
    </row>
    <row r="137" customFormat="false" ht="15" hidden="false" customHeight="false" outlineLevel="0" collapsed="false">
      <c r="A137" s="66" t="s">
        <v>1044</v>
      </c>
      <c r="B137" s="64" t="n">
        <v>2</v>
      </c>
      <c r="C137" s="93" t="s">
        <v>983</v>
      </c>
      <c r="D137" s="93" t="s">
        <v>1052</v>
      </c>
      <c r="E137" s="94" t="n">
        <v>11</v>
      </c>
      <c r="F137" s="96" t="n">
        <v>0.0470666077564446</v>
      </c>
      <c r="G137" s="96" t="n">
        <v>0.0470666077564446</v>
      </c>
      <c r="H137" s="96" t="n">
        <f aca="false">+(Yield_Originals!I137+Yield_Originals!G137)/2</f>
        <v>0.0499110033670852</v>
      </c>
      <c r="I137" s="96" t="n">
        <v>0.0527553989777259</v>
      </c>
      <c r="J137" s="96" t="n">
        <v>0.0501600633427114</v>
      </c>
      <c r="K137" s="97" t="n">
        <v>1</v>
      </c>
      <c r="L137" s="98" t="n">
        <f aca="false">(Yield_Originals!$G137*Yield_Originals!L$1)/Yield_Originals!$K137</f>
        <v>0.0564799293077335</v>
      </c>
      <c r="M137" s="98" t="n">
        <f aca="false">(Yield_Originals!$G137*Yield_Originals!M$1)/Yield_Originals!$K137</f>
        <v>0.0582449270986002</v>
      </c>
      <c r="N137" s="98" t="n">
        <f aca="false">(Yield_Originals!$G137*Yield_Originals!N$1)/Yield_Originals!$K137</f>
        <v>0.0600099248894669</v>
      </c>
      <c r="O137" s="98" t="n">
        <f aca="false">(Yield_Originals!$G137*Yield_Originals!O$1)/Yield_Originals!$K137</f>
        <v>0.0617749226803335</v>
      </c>
      <c r="P137" s="99" t="n">
        <f aca="false">(Yield_Originals!$H137*Yield_Originals!P$1)/Yield_Originals!$K137</f>
        <v>0.0673798545455651</v>
      </c>
      <c r="Q137" s="99"/>
      <c r="R137" s="99"/>
      <c r="S137" s="99"/>
      <c r="T137" s="101"/>
      <c r="U137" s="101"/>
      <c r="V137" s="101"/>
      <c r="W137" s="101"/>
      <c r="X137" s="102"/>
      <c r="Y137" s="102"/>
      <c r="Z137" s="102"/>
      <c r="AA137" s="102"/>
      <c r="AB137" s="102"/>
    </row>
    <row r="138" customFormat="false" ht="15" hidden="false" customHeight="false" outlineLevel="0" collapsed="false">
      <c r="A138" s="66" t="s">
        <v>1044</v>
      </c>
      <c r="B138" s="64" t="n">
        <v>2</v>
      </c>
      <c r="C138" s="93" t="s">
        <v>983</v>
      </c>
      <c r="D138" s="93" t="s">
        <v>1052</v>
      </c>
      <c r="E138" s="94" t="n">
        <v>12</v>
      </c>
      <c r="F138" s="96" t="n">
        <v>0.0470666077564446</v>
      </c>
      <c r="G138" s="96" t="n">
        <v>0.0470666077564446</v>
      </c>
      <c r="H138" s="96" t="n">
        <f aca="false">+(Yield_Originals!I138+Yield_Originals!G138)/2</f>
        <v>0.0499110033670852</v>
      </c>
      <c r="I138" s="96" t="n">
        <v>0.0527553989777259</v>
      </c>
      <c r="J138" s="96" t="n">
        <v>0.0501600633427114</v>
      </c>
      <c r="K138" s="97" t="n">
        <v>1</v>
      </c>
      <c r="L138" s="98" t="n">
        <f aca="false">(Yield_Originals!$G138*Yield_Originals!L$1)/Yield_Originals!$K138</f>
        <v>0.0564799293077335</v>
      </c>
      <c r="M138" s="98" t="n">
        <f aca="false">(Yield_Originals!$G138*Yield_Originals!M$1)/Yield_Originals!$K138</f>
        <v>0.0582449270986002</v>
      </c>
      <c r="N138" s="98" t="n">
        <f aca="false">(Yield_Originals!$G138*Yield_Originals!N$1)/Yield_Originals!$K138</f>
        <v>0.0600099248894669</v>
      </c>
      <c r="O138" s="98" t="n">
        <f aca="false">(Yield_Originals!$G138*Yield_Originals!O$1)/Yield_Originals!$K138</f>
        <v>0.0617749226803335</v>
      </c>
      <c r="P138" s="99" t="n">
        <f aca="false">(Yield_Originals!$H138*Yield_Originals!P$1)/Yield_Originals!$K138</f>
        <v>0.0673798545455651</v>
      </c>
      <c r="Q138" s="99"/>
      <c r="R138" s="99"/>
      <c r="S138" s="99"/>
      <c r="T138" s="101"/>
      <c r="U138" s="101"/>
      <c r="V138" s="101"/>
      <c r="W138" s="101"/>
      <c r="X138" s="102"/>
      <c r="Y138" s="102"/>
      <c r="Z138" s="102"/>
      <c r="AA138" s="102"/>
      <c r="AB138" s="102"/>
    </row>
    <row r="139" customFormat="false" ht="15" hidden="false" customHeight="false" outlineLevel="0" collapsed="false">
      <c r="A139" s="66" t="s">
        <v>1044</v>
      </c>
      <c r="B139" s="64" t="n">
        <v>2</v>
      </c>
      <c r="C139" s="93" t="s">
        <v>983</v>
      </c>
      <c r="D139" s="93" t="s">
        <v>1052</v>
      </c>
      <c r="E139" s="94" t="n">
        <v>13</v>
      </c>
      <c r="F139" s="96" t="n">
        <v>0.0470666077564446</v>
      </c>
      <c r="G139" s="96" t="n">
        <v>0.0470666077564446</v>
      </c>
      <c r="H139" s="96" t="n">
        <f aca="false">+(Yield_Originals!I139+Yield_Originals!G139)/2</f>
        <v>0.0499110033670852</v>
      </c>
      <c r="I139" s="96" t="n">
        <v>0.0527553989777259</v>
      </c>
      <c r="J139" s="96" t="n">
        <v>0.0501600633427114</v>
      </c>
      <c r="K139" s="97" t="n">
        <v>1</v>
      </c>
      <c r="L139" s="98" t="n">
        <f aca="false">(Yield_Originals!$G139*Yield_Originals!L$1)/Yield_Originals!$K139</f>
        <v>0.0564799293077335</v>
      </c>
      <c r="M139" s="98" t="n">
        <f aca="false">(Yield_Originals!$G139*Yield_Originals!M$1)/Yield_Originals!$K139</f>
        <v>0.0582449270986002</v>
      </c>
      <c r="N139" s="98" t="n">
        <f aca="false">(Yield_Originals!$G139*Yield_Originals!N$1)/Yield_Originals!$K139</f>
        <v>0.0600099248894669</v>
      </c>
      <c r="O139" s="98" t="n">
        <f aca="false">(Yield_Originals!$G139*Yield_Originals!O$1)/Yield_Originals!$K139</f>
        <v>0.0617749226803335</v>
      </c>
      <c r="P139" s="99" t="n">
        <f aca="false">(Yield_Originals!$H139*Yield_Originals!P$1)/Yield_Originals!$K139</f>
        <v>0.0673798545455651</v>
      </c>
      <c r="Q139" s="99"/>
      <c r="R139" s="99"/>
      <c r="S139" s="99"/>
      <c r="T139" s="101"/>
      <c r="U139" s="101"/>
      <c r="V139" s="101"/>
      <c r="W139" s="101"/>
      <c r="X139" s="102"/>
      <c r="Y139" s="102"/>
      <c r="Z139" s="102"/>
      <c r="AA139" s="102"/>
      <c r="AB139" s="102"/>
    </row>
    <row r="140" customFormat="false" ht="15" hidden="false" customHeight="false" outlineLevel="0" collapsed="false">
      <c r="A140" s="66" t="s">
        <v>1044</v>
      </c>
      <c r="B140" s="64" t="n">
        <v>2</v>
      </c>
      <c r="C140" s="93" t="s">
        <v>983</v>
      </c>
      <c r="D140" s="93" t="s">
        <v>1052</v>
      </c>
      <c r="E140" s="94" t="n">
        <v>14</v>
      </c>
      <c r="F140" s="96" t="n">
        <v>0.0470666077564446</v>
      </c>
      <c r="G140" s="96" t="n">
        <v>0.0470666077564446</v>
      </c>
      <c r="H140" s="96" t="n">
        <f aca="false">+(Yield_Originals!I140+Yield_Originals!G140)/2</f>
        <v>0.0499110033670852</v>
      </c>
      <c r="I140" s="96" t="n">
        <v>0.0527553989777259</v>
      </c>
      <c r="J140" s="96" t="n">
        <v>0.0501600633427114</v>
      </c>
      <c r="K140" s="97" t="n">
        <v>1</v>
      </c>
      <c r="L140" s="98" t="n">
        <f aca="false">(Yield_Originals!$G140*Yield_Originals!L$1)/Yield_Originals!$K140</f>
        <v>0.0564799293077335</v>
      </c>
      <c r="M140" s="98" t="n">
        <f aca="false">(Yield_Originals!$G140*Yield_Originals!M$1)/Yield_Originals!$K140</f>
        <v>0.0582449270986002</v>
      </c>
      <c r="N140" s="98" t="n">
        <f aca="false">(Yield_Originals!$G140*Yield_Originals!N$1)/Yield_Originals!$K140</f>
        <v>0.0600099248894669</v>
      </c>
      <c r="O140" s="98" t="n">
        <f aca="false">(Yield_Originals!$G140*Yield_Originals!O$1)/Yield_Originals!$K140</f>
        <v>0.0617749226803335</v>
      </c>
      <c r="P140" s="99" t="n">
        <f aca="false">(Yield_Originals!$H140*Yield_Originals!P$1)/Yield_Originals!$K140</f>
        <v>0.0673798545455651</v>
      </c>
      <c r="Q140" s="99"/>
      <c r="R140" s="99"/>
      <c r="S140" s="99"/>
      <c r="T140" s="101"/>
      <c r="U140" s="101"/>
      <c r="V140" s="101"/>
      <c r="W140" s="101"/>
      <c r="X140" s="102"/>
      <c r="Y140" s="102"/>
      <c r="Z140" s="102"/>
      <c r="AA140" s="102"/>
      <c r="AB140" s="102"/>
    </row>
    <row r="141" customFormat="false" ht="15" hidden="false" customHeight="false" outlineLevel="0" collapsed="false">
      <c r="A141" s="66" t="s">
        <v>1044</v>
      </c>
      <c r="B141" s="64" t="n">
        <v>2</v>
      </c>
      <c r="C141" s="93" t="s">
        <v>983</v>
      </c>
      <c r="D141" s="93" t="s">
        <v>1052</v>
      </c>
      <c r="E141" s="94" t="n">
        <v>15</v>
      </c>
      <c r="F141" s="96" t="n">
        <v>0.0470666077564446</v>
      </c>
      <c r="G141" s="96" t="n">
        <v>0.0470666077564446</v>
      </c>
      <c r="H141" s="96" t="n">
        <f aca="false">+(Yield_Originals!I141+Yield_Originals!G141)/2</f>
        <v>0.0499110033670852</v>
      </c>
      <c r="I141" s="96" t="n">
        <v>0.0527553989777259</v>
      </c>
      <c r="J141" s="96" t="n">
        <v>0.0501600633427114</v>
      </c>
      <c r="K141" s="97" t="n">
        <v>1</v>
      </c>
      <c r="L141" s="98" t="n">
        <f aca="false">(Yield_Originals!$G141*Yield_Originals!L$1)/Yield_Originals!$K141</f>
        <v>0.0564799293077335</v>
      </c>
      <c r="M141" s="98" t="n">
        <f aca="false">(Yield_Originals!$G141*Yield_Originals!M$1)/Yield_Originals!$K141</f>
        <v>0.0582449270986002</v>
      </c>
      <c r="N141" s="98" t="n">
        <f aca="false">(Yield_Originals!$G141*Yield_Originals!N$1)/Yield_Originals!$K141</f>
        <v>0.0600099248894669</v>
      </c>
      <c r="O141" s="98" t="n">
        <f aca="false">(Yield_Originals!$G141*Yield_Originals!O$1)/Yield_Originals!$K141</f>
        <v>0.0617749226803335</v>
      </c>
      <c r="P141" s="99" t="n">
        <f aca="false">(Yield_Originals!$H141*Yield_Originals!P$1)/Yield_Originals!$K141</f>
        <v>0.0673798545455651</v>
      </c>
      <c r="Q141" s="99"/>
      <c r="R141" s="99"/>
      <c r="S141" s="99"/>
      <c r="T141" s="101"/>
      <c r="U141" s="101"/>
      <c r="V141" s="101"/>
      <c r="W141" s="101"/>
      <c r="X141" s="102"/>
      <c r="Y141" s="102"/>
      <c r="Z141" s="102"/>
      <c r="AA141" s="102"/>
      <c r="AB141" s="102"/>
    </row>
    <row r="142" customFormat="false" ht="15" hidden="false" customHeight="false" outlineLevel="0" collapsed="false">
      <c r="A142" s="66" t="s">
        <v>1059</v>
      </c>
      <c r="B142" s="64" t="n">
        <v>2</v>
      </c>
      <c r="C142" s="104" t="s">
        <v>987</v>
      </c>
      <c r="D142" s="104" t="s">
        <v>1075</v>
      </c>
      <c r="E142" s="94" t="n">
        <v>22</v>
      </c>
      <c r="F142" s="96" t="n">
        <v>0.047920198716335</v>
      </c>
      <c r="G142" s="96" t="n">
        <v>0.047920198716335</v>
      </c>
      <c r="H142" s="96" t="n">
        <f aca="false">+(Yield_Originals!I142+Yield_Originals!G142)/2</f>
        <v>0.0497878218045477</v>
      </c>
      <c r="I142" s="96" t="n">
        <v>0.0516554448927604</v>
      </c>
      <c r="J142" s="96" t="n">
        <v>0.0483315161361219</v>
      </c>
      <c r="K142" s="97" t="n">
        <v>1</v>
      </c>
      <c r="L142" s="98" t="n">
        <f aca="false">(Yield_Originals!$G142*Yield_Originals!L$1)/Yield_Originals!$K142</f>
        <v>0.057504238459602</v>
      </c>
      <c r="M142" s="98" t="n">
        <f aca="false">(Yield_Originals!$G142*Yield_Originals!M$1)/Yield_Originals!$K142</f>
        <v>0.0593012459114646</v>
      </c>
      <c r="N142" s="98" t="n">
        <f aca="false">(Yield_Originals!$G142*Yield_Originals!N$1)/Yield_Originals!$K142</f>
        <v>0.0610982533633271</v>
      </c>
      <c r="O142" s="98" t="n">
        <f aca="false">(Yield_Originals!$G142*Yield_Originals!O$1)/Yield_Originals!$K142</f>
        <v>0.0628952608151897</v>
      </c>
      <c r="P142" s="99" t="n">
        <f aca="false">(Yield_Originals!$H142*Yield_Originals!P$1)/Yield_Originals!$K142</f>
        <v>0.0672135594361394</v>
      </c>
      <c r="Q142" s="99" t="n">
        <f aca="false">(Yield_Originals!$H142*Yield_Originals!Q$1)/Yield_Originals!$K142</f>
        <v>0.06908060275381</v>
      </c>
      <c r="R142" s="99" t="n">
        <f aca="false">(Yield_Originals!$H142*Yield_Originals!R$1)/Yield_Originals!$K142</f>
        <v>0.0709476460714805</v>
      </c>
      <c r="S142" s="99" t="n">
        <f aca="false">(Yield_Originals!$H142*Yield_Originals!S$1)/Yield_Originals!$K142</f>
        <v>0.072814689389151</v>
      </c>
      <c r="T142" s="101" t="n">
        <f aca="false">(Yield_Originals!$I142*Yield_Originals!T$1)/Yield_Originals!$K142</f>
        <v>0.0774831673391406</v>
      </c>
      <c r="U142" s="101" t="n">
        <f aca="false">(Yield_Originals!$I142*Yield_Originals!U$1)/Yield_Originals!$K142</f>
        <v>0.0794202465226191</v>
      </c>
      <c r="V142" s="101" t="n">
        <f aca="false">(Yield_Originals!$I142*Yield_Originals!V$1)/Yield_Originals!$K142</f>
        <v>0.0813573257060977</v>
      </c>
      <c r="W142" s="101" t="n">
        <f aca="false">(Yield_Originals!$I142*Yield_Originals!W$1)/Yield_Originals!$K142</f>
        <v>0.0832944048895761</v>
      </c>
      <c r="X142" s="102" t="n">
        <f aca="false">(Yield_Originals!$J142*Yield_Originals!X$1)/Yield_Originals!$K142</f>
        <v>0.0797470016246011</v>
      </c>
      <c r="Y142" s="102" t="n">
        <f aca="false">(Yield_Originals!$J142*Yield_Originals!Y$1)/Yield_Originals!$K142</f>
        <v>0.0815594334797057</v>
      </c>
      <c r="Z142" s="102" t="n">
        <f aca="false">(Yield_Originals!$J142*Yield_Originals!Z$1)/Yield_Originals!$K142</f>
        <v>0.0833718653348103</v>
      </c>
      <c r="AA142" s="102" t="n">
        <f aca="false">(Yield_Originals!$J142*Yield_Originals!AA$1)/Yield_Originals!$K142</f>
        <v>0.0851842971899148</v>
      </c>
      <c r="AB142" s="102" t="n">
        <f aca="false">(Yield_Originals!$J142*Yield_Originals!AB$1)/Yield_Originals!$K142</f>
        <v>0.0869967290450194</v>
      </c>
    </row>
    <row r="143" customFormat="false" ht="15" hidden="false" customHeight="false" outlineLevel="0" collapsed="false">
      <c r="A143" s="66" t="s">
        <v>1059</v>
      </c>
      <c r="B143" s="64" t="n">
        <v>2</v>
      </c>
      <c r="C143" s="104" t="s">
        <v>460</v>
      </c>
      <c r="D143" s="104" t="s">
        <v>1058</v>
      </c>
      <c r="E143" s="94" t="n">
        <v>16</v>
      </c>
      <c r="F143" s="96" t="n">
        <v>0.047920198716335</v>
      </c>
      <c r="G143" s="96" t="n">
        <v>0.047920198716335</v>
      </c>
      <c r="H143" s="96" t="n">
        <f aca="false">+(Yield_Originals!I143+Yield_Originals!G143)/2</f>
        <v>0.0497878218045477</v>
      </c>
      <c r="I143" s="96" t="n">
        <v>0.0516554448927604</v>
      </c>
      <c r="J143" s="96" t="n">
        <v>0.0483315161361219</v>
      </c>
      <c r="K143" s="97" t="n">
        <v>1</v>
      </c>
      <c r="L143" s="98" t="n">
        <f aca="false">(Yield_Originals!$G143*Yield_Originals!L$1)/Yield_Originals!$K143</f>
        <v>0.057504238459602</v>
      </c>
      <c r="M143" s="98" t="n">
        <f aca="false">(Yield_Originals!$G143*Yield_Originals!M$1)/Yield_Originals!$K143</f>
        <v>0.0593012459114646</v>
      </c>
      <c r="N143" s="98" t="n">
        <f aca="false">(Yield_Originals!$G143*Yield_Originals!N$1)/Yield_Originals!$K143</f>
        <v>0.0610982533633271</v>
      </c>
      <c r="O143" s="98" t="n">
        <f aca="false">(Yield_Originals!$G143*Yield_Originals!O$1)/Yield_Originals!$K143</f>
        <v>0.0628952608151897</v>
      </c>
      <c r="P143" s="99" t="n">
        <f aca="false">(Yield_Originals!$H143*Yield_Originals!P$1)/Yield_Originals!$K143</f>
        <v>0.0672135594361394</v>
      </c>
      <c r="Q143" s="99" t="n">
        <f aca="false">(Yield_Originals!$H143*Yield_Originals!Q$1)/Yield_Originals!$K143</f>
        <v>0.06908060275381</v>
      </c>
      <c r="R143" s="99" t="n">
        <f aca="false">(Yield_Originals!$H143*Yield_Originals!R$1)/Yield_Originals!$K143</f>
        <v>0.0709476460714805</v>
      </c>
      <c r="S143" s="99" t="n">
        <f aca="false">(Yield_Originals!$H143*Yield_Originals!S$1)/Yield_Originals!$K143</f>
        <v>0.072814689389151</v>
      </c>
      <c r="T143" s="101" t="n">
        <f aca="false">(Yield_Originals!$I143*Yield_Originals!T$1)/Yield_Originals!$K143</f>
        <v>0.0774831673391406</v>
      </c>
      <c r="U143" s="101" t="n">
        <f aca="false">(Yield_Originals!$I143*Yield_Originals!U$1)/Yield_Originals!$K143</f>
        <v>0.0794202465226191</v>
      </c>
      <c r="V143" s="101" t="n">
        <f aca="false">(Yield_Originals!$I143*Yield_Originals!V$1)/Yield_Originals!$K143</f>
        <v>0.0813573257060977</v>
      </c>
      <c r="W143" s="101" t="n">
        <f aca="false">(Yield_Originals!$I143*Yield_Originals!W$1)/Yield_Originals!$K143</f>
        <v>0.0832944048895761</v>
      </c>
      <c r="X143" s="102" t="n">
        <f aca="false">(Yield_Originals!$J143*Yield_Originals!X$1)/Yield_Originals!$K143</f>
        <v>0.0797470016246011</v>
      </c>
      <c r="Y143" s="102" t="n">
        <f aca="false">(Yield_Originals!$J143*Yield_Originals!Y$1)/Yield_Originals!$K143</f>
        <v>0.0815594334797057</v>
      </c>
      <c r="Z143" s="102" t="n">
        <f aca="false">(Yield_Originals!$J143*Yield_Originals!Z$1)/Yield_Originals!$K143</f>
        <v>0.0833718653348103</v>
      </c>
      <c r="AA143" s="102" t="n">
        <f aca="false">(Yield_Originals!$J143*Yield_Originals!AA$1)/Yield_Originals!$K143</f>
        <v>0.0851842971899148</v>
      </c>
      <c r="AB143" s="102" t="n">
        <f aca="false">(Yield_Originals!$J143*Yield_Originals!AB$1)/Yield_Originals!$K143</f>
        <v>0.0869967290450194</v>
      </c>
    </row>
    <row r="144" customFormat="false" ht="15" hidden="false" customHeight="false" outlineLevel="0" collapsed="false">
      <c r="A144" s="66" t="s">
        <v>1059</v>
      </c>
      <c r="B144" s="64" t="n">
        <v>2</v>
      </c>
      <c r="C144" s="104" t="s">
        <v>460</v>
      </c>
      <c r="D144" s="104" t="s">
        <v>1058</v>
      </c>
      <c r="E144" s="94" t="n">
        <v>17</v>
      </c>
      <c r="F144" s="96" t="n">
        <v>0.047920198716335</v>
      </c>
      <c r="G144" s="96" t="n">
        <v>0.047920198716335</v>
      </c>
      <c r="H144" s="96" t="n">
        <f aca="false">+(Yield_Originals!I144+Yield_Originals!G144)/2</f>
        <v>0.0497878218045477</v>
      </c>
      <c r="I144" s="96" t="n">
        <v>0.0516554448927604</v>
      </c>
      <c r="J144" s="96" t="n">
        <v>0.0483315161361219</v>
      </c>
      <c r="K144" s="97" t="n">
        <v>1</v>
      </c>
      <c r="L144" s="98" t="n">
        <f aca="false">(Yield_Originals!$G144*Yield_Originals!L$1)/Yield_Originals!$K144</f>
        <v>0.057504238459602</v>
      </c>
      <c r="M144" s="98" t="n">
        <f aca="false">(Yield_Originals!$G144*Yield_Originals!M$1)/Yield_Originals!$K144</f>
        <v>0.0593012459114646</v>
      </c>
      <c r="N144" s="98" t="n">
        <f aca="false">(Yield_Originals!$G144*Yield_Originals!N$1)/Yield_Originals!$K144</f>
        <v>0.0610982533633271</v>
      </c>
      <c r="O144" s="98" t="n">
        <f aca="false">(Yield_Originals!$G144*Yield_Originals!O$1)/Yield_Originals!$K144</f>
        <v>0.0628952608151897</v>
      </c>
      <c r="P144" s="99" t="n">
        <f aca="false">(Yield_Originals!$H144*Yield_Originals!P$1)/Yield_Originals!$K144</f>
        <v>0.0672135594361394</v>
      </c>
      <c r="Q144" s="99" t="n">
        <f aca="false">(Yield_Originals!$H144*Yield_Originals!Q$1)/Yield_Originals!$K144</f>
        <v>0.06908060275381</v>
      </c>
      <c r="R144" s="99" t="n">
        <f aca="false">(Yield_Originals!$H144*Yield_Originals!R$1)/Yield_Originals!$K144</f>
        <v>0.0709476460714805</v>
      </c>
      <c r="S144" s="99" t="n">
        <f aca="false">(Yield_Originals!$H144*Yield_Originals!S$1)/Yield_Originals!$K144</f>
        <v>0.072814689389151</v>
      </c>
      <c r="T144" s="101" t="n">
        <f aca="false">(Yield_Originals!$I144*Yield_Originals!T$1)/Yield_Originals!$K144</f>
        <v>0.0774831673391406</v>
      </c>
      <c r="U144" s="101" t="n">
        <f aca="false">(Yield_Originals!$I144*Yield_Originals!U$1)/Yield_Originals!$K144</f>
        <v>0.0794202465226191</v>
      </c>
      <c r="V144" s="101" t="n">
        <f aca="false">(Yield_Originals!$I144*Yield_Originals!V$1)/Yield_Originals!$K144</f>
        <v>0.0813573257060977</v>
      </c>
      <c r="W144" s="101" t="n">
        <f aca="false">(Yield_Originals!$I144*Yield_Originals!W$1)/Yield_Originals!$K144</f>
        <v>0.0832944048895761</v>
      </c>
      <c r="X144" s="102" t="n">
        <f aca="false">(Yield_Originals!$J144*Yield_Originals!X$1)/Yield_Originals!$K144</f>
        <v>0.0797470016246011</v>
      </c>
      <c r="Y144" s="102" t="n">
        <f aca="false">(Yield_Originals!$J144*Yield_Originals!Y$1)/Yield_Originals!$K144</f>
        <v>0.0815594334797057</v>
      </c>
      <c r="Z144" s="102" t="n">
        <f aca="false">(Yield_Originals!$J144*Yield_Originals!Z$1)/Yield_Originals!$K144</f>
        <v>0.0833718653348103</v>
      </c>
      <c r="AA144" s="102" t="n">
        <f aca="false">(Yield_Originals!$J144*Yield_Originals!AA$1)/Yield_Originals!$K144</f>
        <v>0.0851842971899148</v>
      </c>
      <c r="AB144" s="102" t="n">
        <f aca="false">(Yield_Originals!$J144*Yield_Originals!AB$1)/Yield_Originals!$K144</f>
        <v>0.0869967290450194</v>
      </c>
    </row>
    <row r="145" customFormat="false" ht="15" hidden="false" customHeight="false" outlineLevel="0" collapsed="false">
      <c r="A145" s="66" t="s">
        <v>1059</v>
      </c>
      <c r="B145" s="64" t="n">
        <v>2</v>
      </c>
      <c r="C145" s="104" t="s">
        <v>460</v>
      </c>
      <c r="D145" s="104" t="s">
        <v>1058</v>
      </c>
      <c r="E145" s="94" t="n">
        <v>18</v>
      </c>
      <c r="F145" s="96" t="n">
        <v>0.047920198716335</v>
      </c>
      <c r="G145" s="96" t="n">
        <v>0.047920198716335</v>
      </c>
      <c r="H145" s="96" t="n">
        <f aca="false">+(Yield_Originals!I145+Yield_Originals!G145)/2</f>
        <v>0.0497878218045477</v>
      </c>
      <c r="I145" s="96" t="n">
        <v>0.0516554448927604</v>
      </c>
      <c r="J145" s="96" t="n">
        <v>0.0483315161361219</v>
      </c>
      <c r="K145" s="97" t="n">
        <v>1</v>
      </c>
      <c r="L145" s="98" t="n">
        <f aca="false">(Yield_Originals!$G145*Yield_Originals!L$1)/Yield_Originals!$K145</f>
        <v>0.057504238459602</v>
      </c>
      <c r="M145" s="98" t="n">
        <f aca="false">(Yield_Originals!$G145*Yield_Originals!M$1)/Yield_Originals!$K145</f>
        <v>0.0593012459114646</v>
      </c>
      <c r="N145" s="98" t="n">
        <f aca="false">(Yield_Originals!$G145*Yield_Originals!N$1)/Yield_Originals!$K145</f>
        <v>0.0610982533633271</v>
      </c>
      <c r="O145" s="98" t="n">
        <f aca="false">(Yield_Originals!$G145*Yield_Originals!O$1)/Yield_Originals!$K145</f>
        <v>0.0628952608151897</v>
      </c>
      <c r="P145" s="99" t="n">
        <f aca="false">(Yield_Originals!$H145*Yield_Originals!P$1)/Yield_Originals!$K145</f>
        <v>0.0672135594361394</v>
      </c>
      <c r="Q145" s="99" t="n">
        <f aca="false">(Yield_Originals!$H145*Yield_Originals!Q$1)/Yield_Originals!$K145</f>
        <v>0.06908060275381</v>
      </c>
      <c r="R145" s="99" t="n">
        <f aca="false">(Yield_Originals!$H145*Yield_Originals!R$1)/Yield_Originals!$K145</f>
        <v>0.0709476460714805</v>
      </c>
      <c r="S145" s="99" t="n">
        <f aca="false">(Yield_Originals!$H145*Yield_Originals!S$1)/Yield_Originals!$K145</f>
        <v>0.072814689389151</v>
      </c>
      <c r="T145" s="101" t="n">
        <f aca="false">(Yield_Originals!$I145*Yield_Originals!T$1)/Yield_Originals!$K145</f>
        <v>0.0774831673391406</v>
      </c>
      <c r="U145" s="101" t="n">
        <f aca="false">(Yield_Originals!$I145*Yield_Originals!U$1)/Yield_Originals!$K145</f>
        <v>0.0794202465226191</v>
      </c>
      <c r="V145" s="101" t="n">
        <f aca="false">(Yield_Originals!$I145*Yield_Originals!V$1)/Yield_Originals!$K145</f>
        <v>0.0813573257060977</v>
      </c>
      <c r="W145" s="101" t="n">
        <f aca="false">(Yield_Originals!$I145*Yield_Originals!W$1)/Yield_Originals!$K145</f>
        <v>0.0832944048895761</v>
      </c>
      <c r="X145" s="102" t="n">
        <f aca="false">(Yield_Originals!$J145*Yield_Originals!X$1)/Yield_Originals!$K145</f>
        <v>0.0797470016246011</v>
      </c>
      <c r="Y145" s="102" t="n">
        <f aca="false">(Yield_Originals!$J145*Yield_Originals!Y$1)/Yield_Originals!$K145</f>
        <v>0.0815594334797057</v>
      </c>
      <c r="Z145" s="102" t="n">
        <f aca="false">(Yield_Originals!$J145*Yield_Originals!Z$1)/Yield_Originals!$K145</f>
        <v>0.0833718653348103</v>
      </c>
      <c r="AA145" s="102" t="n">
        <f aca="false">(Yield_Originals!$J145*Yield_Originals!AA$1)/Yield_Originals!$K145</f>
        <v>0.0851842971899148</v>
      </c>
      <c r="AB145" s="102" t="n">
        <f aca="false">(Yield_Originals!$J145*Yield_Originals!AB$1)/Yield_Originals!$K145</f>
        <v>0.0869967290450194</v>
      </c>
    </row>
    <row r="146" customFormat="false" ht="15" hidden="false" customHeight="false" outlineLevel="0" collapsed="false">
      <c r="A146" s="66" t="s">
        <v>1059</v>
      </c>
      <c r="B146" s="64" t="n">
        <v>2</v>
      </c>
      <c r="C146" s="104" t="s">
        <v>460</v>
      </c>
      <c r="D146" s="104" t="s">
        <v>1058</v>
      </c>
      <c r="E146" s="94" t="n">
        <v>19</v>
      </c>
      <c r="F146" s="96" t="n">
        <v>0.047920198716335</v>
      </c>
      <c r="G146" s="96" t="n">
        <v>0.047920198716335</v>
      </c>
      <c r="H146" s="96" t="n">
        <f aca="false">+(Yield_Originals!I146+Yield_Originals!G146)/2</f>
        <v>0.0497878218045477</v>
      </c>
      <c r="I146" s="96" t="n">
        <v>0.0516554448927604</v>
      </c>
      <c r="J146" s="96" t="n">
        <v>0.0483315161361219</v>
      </c>
      <c r="K146" s="97" t="n">
        <v>1</v>
      </c>
      <c r="L146" s="98" t="n">
        <f aca="false">(Yield_Originals!$G146*Yield_Originals!L$1)/Yield_Originals!$K146</f>
        <v>0.057504238459602</v>
      </c>
      <c r="M146" s="98" t="n">
        <f aca="false">(Yield_Originals!$G146*Yield_Originals!M$1)/Yield_Originals!$K146</f>
        <v>0.0593012459114646</v>
      </c>
      <c r="N146" s="98" t="n">
        <f aca="false">(Yield_Originals!$G146*Yield_Originals!N$1)/Yield_Originals!$K146</f>
        <v>0.0610982533633271</v>
      </c>
      <c r="O146" s="98" t="n">
        <f aca="false">(Yield_Originals!$G146*Yield_Originals!O$1)/Yield_Originals!$K146</f>
        <v>0.0628952608151897</v>
      </c>
      <c r="P146" s="99" t="n">
        <f aca="false">(Yield_Originals!$H146*Yield_Originals!P$1)/Yield_Originals!$K146</f>
        <v>0.0672135594361394</v>
      </c>
      <c r="Q146" s="99" t="n">
        <f aca="false">(Yield_Originals!$H146*Yield_Originals!Q$1)/Yield_Originals!$K146</f>
        <v>0.06908060275381</v>
      </c>
      <c r="R146" s="99" t="n">
        <f aca="false">(Yield_Originals!$H146*Yield_Originals!R$1)/Yield_Originals!$K146</f>
        <v>0.0709476460714805</v>
      </c>
      <c r="S146" s="99" t="n">
        <f aca="false">(Yield_Originals!$H146*Yield_Originals!S$1)/Yield_Originals!$K146</f>
        <v>0.072814689389151</v>
      </c>
      <c r="T146" s="101" t="n">
        <f aca="false">(Yield_Originals!$I146*Yield_Originals!T$1)/Yield_Originals!$K146</f>
        <v>0.0774831673391406</v>
      </c>
      <c r="U146" s="101" t="n">
        <f aca="false">(Yield_Originals!$I146*Yield_Originals!U$1)/Yield_Originals!$K146</f>
        <v>0.0794202465226191</v>
      </c>
      <c r="V146" s="101" t="n">
        <f aca="false">(Yield_Originals!$I146*Yield_Originals!V$1)/Yield_Originals!$K146</f>
        <v>0.0813573257060977</v>
      </c>
      <c r="W146" s="101" t="n">
        <f aca="false">(Yield_Originals!$I146*Yield_Originals!W$1)/Yield_Originals!$K146</f>
        <v>0.0832944048895761</v>
      </c>
      <c r="X146" s="102" t="n">
        <f aca="false">(Yield_Originals!$J146*Yield_Originals!X$1)/Yield_Originals!$K146</f>
        <v>0.0797470016246011</v>
      </c>
      <c r="Y146" s="102" t="n">
        <f aca="false">(Yield_Originals!$J146*Yield_Originals!Y$1)/Yield_Originals!$K146</f>
        <v>0.0815594334797057</v>
      </c>
      <c r="Z146" s="102" t="n">
        <f aca="false">(Yield_Originals!$J146*Yield_Originals!Z$1)/Yield_Originals!$K146</f>
        <v>0.0833718653348103</v>
      </c>
      <c r="AA146" s="102" t="n">
        <f aca="false">(Yield_Originals!$J146*Yield_Originals!AA$1)/Yield_Originals!$K146</f>
        <v>0.0851842971899148</v>
      </c>
      <c r="AB146" s="102" t="n">
        <f aca="false">(Yield_Originals!$J146*Yield_Originals!AB$1)/Yield_Originals!$K146</f>
        <v>0.0869967290450194</v>
      </c>
    </row>
    <row r="147" customFormat="false" ht="15" hidden="false" customHeight="false" outlineLevel="0" collapsed="false">
      <c r="A147" s="66" t="s">
        <v>1059</v>
      </c>
      <c r="B147" s="64" t="n">
        <v>2</v>
      </c>
      <c r="C147" s="104" t="s">
        <v>460</v>
      </c>
      <c r="D147" s="104" t="s">
        <v>1058</v>
      </c>
      <c r="E147" s="94" t="n">
        <v>20</v>
      </c>
      <c r="F147" s="96" t="n">
        <v>0.047920198716335</v>
      </c>
      <c r="G147" s="96" t="n">
        <v>0.047920198716335</v>
      </c>
      <c r="H147" s="96" t="n">
        <f aca="false">+(Yield_Originals!I147+Yield_Originals!G147)/2</f>
        <v>0.0497878218045477</v>
      </c>
      <c r="I147" s="96" t="n">
        <v>0.0516554448927604</v>
      </c>
      <c r="J147" s="96" t="n">
        <v>0.0483315161361219</v>
      </c>
      <c r="K147" s="97" t="n">
        <v>1</v>
      </c>
      <c r="L147" s="98" t="n">
        <f aca="false">(Yield_Originals!$G147*Yield_Originals!L$1)/Yield_Originals!$K147</f>
        <v>0.057504238459602</v>
      </c>
      <c r="M147" s="98" t="n">
        <f aca="false">(Yield_Originals!$G147*Yield_Originals!M$1)/Yield_Originals!$K147</f>
        <v>0.0593012459114646</v>
      </c>
      <c r="N147" s="98" t="n">
        <f aca="false">(Yield_Originals!$G147*Yield_Originals!N$1)/Yield_Originals!$K147</f>
        <v>0.0610982533633271</v>
      </c>
      <c r="O147" s="98" t="n">
        <f aca="false">(Yield_Originals!$G147*Yield_Originals!O$1)/Yield_Originals!$K147</f>
        <v>0.0628952608151897</v>
      </c>
      <c r="P147" s="99" t="n">
        <f aca="false">(Yield_Originals!$H147*Yield_Originals!P$1)/Yield_Originals!$K147</f>
        <v>0.0672135594361394</v>
      </c>
      <c r="Q147" s="99" t="n">
        <f aca="false">(Yield_Originals!$H147*Yield_Originals!Q$1)/Yield_Originals!$K147</f>
        <v>0.06908060275381</v>
      </c>
      <c r="R147" s="99" t="n">
        <f aca="false">(Yield_Originals!$H147*Yield_Originals!R$1)/Yield_Originals!$K147</f>
        <v>0.0709476460714805</v>
      </c>
      <c r="S147" s="99" t="n">
        <f aca="false">(Yield_Originals!$H147*Yield_Originals!S$1)/Yield_Originals!$K147</f>
        <v>0.072814689389151</v>
      </c>
      <c r="T147" s="101" t="n">
        <f aca="false">(Yield_Originals!$I147*Yield_Originals!T$1)/Yield_Originals!$K147</f>
        <v>0.0774831673391406</v>
      </c>
      <c r="U147" s="101" t="n">
        <f aca="false">(Yield_Originals!$I147*Yield_Originals!U$1)/Yield_Originals!$K147</f>
        <v>0.0794202465226191</v>
      </c>
      <c r="V147" s="101" t="n">
        <f aca="false">(Yield_Originals!$I147*Yield_Originals!V$1)/Yield_Originals!$K147</f>
        <v>0.0813573257060977</v>
      </c>
      <c r="W147" s="101" t="n">
        <f aca="false">(Yield_Originals!$I147*Yield_Originals!W$1)/Yield_Originals!$K147</f>
        <v>0.0832944048895761</v>
      </c>
      <c r="X147" s="102" t="n">
        <f aca="false">(Yield_Originals!$J147*Yield_Originals!X$1)/Yield_Originals!$K147</f>
        <v>0.0797470016246011</v>
      </c>
      <c r="Y147" s="102" t="n">
        <f aca="false">(Yield_Originals!$J147*Yield_Originals!Y$1)/Yield_Originals!$K147</f>
        <v>0.0815594334797057</v>
      </c>
      <c r="Z147" s="102" t="n">
        <f aca="false">(Yield_Originals!$J147*Yield_Originals!Z$1)/Yield_Originals!$K147</f>
        <v>0.0833718653348103</v>
      </c>
      <c r="AA147" s="102" t="n">
        <f aca="false">(Yield_Originals!$J147*Yield_Originals!AA$1)/Yield_Originals!$K147</f>
        <v>0.0851842971899148</v>
      </c>
      <c r="AB147" s="102" t="n">
        <f aca="false">(Yield_Originals!$J147*Yield_Originals!AB$1)/Yield_Originals!$K147</f>
        <v>0.0869967290450194</v>
      </c>
    </row>
    <row r="148" customFormat="false" ht="15" hidden="false" customHeight="false" outlineLevel="0" collapsed="false">
      <c r="A148" s="66" t="s">
        <v>1059</v>
      </c>
      <c r="B148" s="64" t="n">
        <v>2</v>
      </c>
      <c r="C148" s="104" t="s">
        <v>460</v>
      </c>
      <c r="D148" s="104" t="s">
        <v>1058</v>
      </c>
      <c r="E148" s="94" t="n">
        <v>21</v>
      </c>
      <c r="F148" s="96" t="n">
        <v>0.047920198716335</v>
      </c>
      <c r="G148" s="96" t="n">
        <v>0.047920198716335</v>
      </c>
      <c r="H148" s="96" t="n">
        <f aca="false">+(Yield_Originals!I148+Yield_Originals!G148)/2</f>
        <v>0.0497878218045477</v>
      </c>
      <c r="I148" s="96" t="n">
        <v>0.0516554448927604</v>
      </c>
      <c r="J148" s="96" t="n">
        <v>0.0483315161361219</v>
      </c>
      <c r="K148" s="97" t="n">
        <v>1</v>
      </c>
      <c r="L148" s="98" t="n">
        <f aca="false">(Yield_Originals!$G148*Yield_Originals!L$1)/Yield_Originals!$K148</f>
        <v>0.057504238459602</v>
      </c>
      <c r="M148" s="98" t="n">
        <f aca="false">(Yield_Originals!$G148*Yield_Originals!M$1)/Yield_Originals!$K148</f>
        <v>0.0593012459114646</v>
      </c>
      <c r="N148" s="98" t="n">
        <f aca="false">(Yield_Originals!$G148*Yield_Originals!N$1)/Yield_Originals!$K148</f>
        <v>0.0610982533633271</v>
      </c>
      <c r="O148" s="98" t="n">
        <f aca="false">(Yield_Originals!$G148*Yield_Originals!O$1)/Yield_Originals!$K148</f>
        <v>0.0628952608151897</v>
      </c>
      <c r="P148" s="99" t="n">
        <f aca="false">(Yield_Originals!$H148*Yield_Originals!P$1)/Yield_Originals!$K148</f>
        <v>0.0672135594361394</v>
      </c>
      <c r="Q148" s="99" t="n">
        <f aca="false">(Yield_Originals!$H148*Yield_Originals!Q$1)/Yield_Originals!$K148</f>
        <v>0.06908060275381</v>
      </c>
      <c r="R148" s="99" t="n">
        <f aca="false">(Yield_Originals!$H148*Yield_Originals!R$1)/Yield_Originals!$K148</f>
        <v>0.0709476460714805</v>
      </c>
      <c r="S148" s="99" t="n">
        <f aca="false">(Yield_Originals!$H148*Yield_Originals!S$1)/Yield_Originals!$K148</f>
        <v>0.072814689389151</v>
      </c>
      <c r="T148" s="101" t="n">
        <f aca="false">(Yield_Originals!$I148*Yield_Originals!T$1)/Yield_Originals!$K148</f>
        <v>0.0774831673391406</v>
      </c>
      <c r="U148" s="101" t="n">
        <f aca="false">(Yield_Originals!$I148*Yield_Originals!U$1)/Yield_Originals!$K148</f>
        <v>0.0794202465226191</v>
      </c>
      <c r="V148" s="101" t="n">
        <f aca="false">(Yield_Originals!$I148*Yield_Originals!V$1)/Yield_Originals!$K148</f>
        <v>0.0813573257060977</v>
      </c>
      <c r="W148" s="101" t="n">
        <f aca="false">(Yield_Originals!$I148*Yield_Originals!W$1)/Yield_Originals!$K148</f>
        <v>0.0832944048895761</v>
      </c>
      <c r="X148" s="102" t="n">
        <f aca="false">(Yield_Originals!$J148*Yield_Originals!X$1)/Yield_Originals!$K148</f>
        <v>0.0797470016246011</v>
      </c>
      <c r="Y148" s="102" t="n">
        <f aca="false">(Yield_Originals!$J148*Yield_Originals!Y$1)/Yield_Originals!$K148</f>
        <v>0.0815594334797057</v>
      </c>
      <c r="Z148" s="102" t="n">
        <f aca="false">(Yield_Originals!$J148*Yield_Originals!Z$1)/Yield_Originals!$K148</f>
        <v>0.0833718653348103</v>
      </c>
      <c r="AA148" s="102" t="n">
        <f aca="false">(Yield_Originals!$J148*Yield_Originals!AA$1)/Yield_Originals!$K148</f>
        <v>0.0851842971899148</v>
      </c>
      <c r="AB148" s="102" t="n">
        <f aca="false">(Yield_Originals!$J148*Yield_Originals!AB$1)/Yield_Originals!$K148</f>
        <v>0.0869967290450194</v>
      </c>
    </row>
    <row r="149" customFormat="false" ht="15" hidden="false" customHeight="false" outlineLevel="0" collapsed="false">
      <c r="A149" s="66" t="s">
        <v>1059</v>
      </c>
      <c r="B149" s="64" t="n">
        <v>2</v>
      </c>
      <c r="C149" s="104" t="s">
        <v>462</v>
      </c>
      <c r="D149" s="104" t="s">
        <v>1072</v>
      </c>
      <c r="E149" s="94" t="n">
        <v>16</v>
      </c>
      <c r="F149" s="96" t="n">
        <v>0.047920198716335</v>
      </c>
      <c r="G149" s="96" t="n">
        <v>0.047920198716335</v>
      </c>
      <c r="H149" s="96" t="n">
        <f aca="false">+(Yield_Originals!I149+Yield_Originals!G149)/2</f>
        <v>0.0497878218045477</v>
      </c>
      <c r="I149" s="96" t="n">
        <v>0.0516554448927604</v>
      </c>
      <c r="J149" s="96" t="n">
        <v>0.0483315161361219</v>
      </c>
      <c r="K149" s="97" t="n">
        <v>1</v>
      </c>
      <c r="L149" s="98" t="n">
        <f aca="false">(Yield_Originals!$G149*Yield_Originals!L$1)/Yield_Originals!$K149</f>
        <v>0.057504238459602</v>
      </c>
      <c r="M149" s="98" t="n">
        <f aca="false">(Yield_Originals!$G149*Yield_Originals!M$1)/Yield_Originals!$K149</f>
        <v>0.0593012459114646</v>
      </c>
      <c r="N149" s="98" t="n">
        <f aca="false">(Yield_Originals!$G149*Yield_Originals!N$1)/Yield_Originals!$K149</f>
        <v>0.0610982533633271</v>
      </c>
      <c r="O149" s="98" t="n">
        <f aca="false">(Yield_Originals!$G149*Yield_Originals!O$1)/Yield_Originals!$K149</f>
        <v>0.0628952608151897</v>
      </c>
      <c r="P149" s="99" t="n">
        <f aca="false">(Yield_Originals!$H149*Yield_Originals!P$1)/Yield_Originals!$K149</f>
        <v>0.0672135594361394</v>
      </c>
      <c r="Q149" s="99" t="n">
        <f aca="false">(Yield_Originals!$H149*Yield_Originals!Q$1)/Yield_Originals!$K149</f>
        <v>0.06908060275381</v>
      </c>
      <c r="R149" s="99" t="n">
        <f aca="false">(Yield_Originals!$H149*Yield_Originals!R$1)/Yield_Originals!$K149</f>
        <v>0.0709476460714805</v>
      </c>
      <c r="S149" s="99" t="n">
        <f aca="false">(Yield_Originals!$H149*Yield_Originals!S$1)/Yield_Originals!$K149</f>
        <v>0.072814689389151</v>
      </c>
      <c r="T149" s="101" t="n">
        <f aca="false">(Yield_Originals!$I149*Yield_Originals!T$1)/Yield_Originals!$K149</f>
        <v>0.0774831673391406</v>
      </c>
      <c r="U149" s="101" t="n">
        <f aca="false">(Yield_Originals!$I149*Yield_Originals!U$1)/Yield_Originals!$K149</f>
        <v>0.0794202465226191</v>
      </c>
      <c r="V149" s="101" t="n">
        <f aca="false">(Yield_Originals!$I149*Yield_Originals!V$1)/Yield_Originals!$K149</f>
        <v>0.0813573257060977</v>
      </c>
      <c r="W149" s="101" t="n">
        <f aca="false">(Yield_Originals!$I149*Yield_Originals!W$1)/Yield_Originals!$K149</f>
        <v>0.0832944048895761</v>
      </c>
      <c r="X149" s="102" t="n">
        <f aca="false">(Yield_Originals!$J149*Yield_Originals!X$1)/Yield_Originals!$K149</f>
        <v>0.0797470016246011</v>
      </c>
      <c r="Y149" s="102" t="n">
        <f aca="false">(Yield_Originals!$J149*Yield_Originals!Y$1)/Yield_Originals!$K149</f>
        <v>0.0815594334797057</v>
      </c>
      <c r="Z149" s="102" t="n">
        <f aca="false">(Yield_Originals!$J149*Yield_Originals!Z$1)/Yield_Originals!$K149</f>
        <v>0.0833718653348103</v>
      </c>
      <c r="AA149" s="102" t="n">
        <f aca="false">(Yield_Originals!$J149*Yield_Originals!AA$1)/Yield_Originals!$K149</f>
        <v>0.0851842971899148</v>
      </c>
      <c r="AB149" s="102" t="n">
        <f aca="false">(Yield_Originals!$J149*Yield_Originals!AB$1)/Yield_Originals!$K149</f>
        <v>0.0869967290450194</v>
      </c>
    </row>
    <row r="150" customFormat="false" ht="15" hidden="false" customHeight="false" outlineLevel="0" collapsed="false">
      <c r="A150" s="66" t="s">
        <v>1059</v>
      </c>
      <c r="B150" s="64" t="n">
        <v>2</v>
      </c>
      <c r="C150" s="104" t="s">
        <v>462</v>
      </c>
      <c r="D150" s="104" t="s">
        <v>1072</v>
      </c>
      <c r="E150" s="94" t="n">
        <v>17</v>
      </c>
      <c r="F150" s="96" t="n">
        <v>0.047920198716335</v>
      </c>
      <c r="G150" s="96" t="n">
        <v>0.047920198716335</v>
      </c>
      <c r="H150" s="96" t="n">
        <f aca="false">+(Yield_Originals!I150+Yield_Originals!G150)/2</f>
        <v>0.0497878218045477</v>
      </c>
      <c r="I150" s="96" t="n">
        <v>0.0516554448927604</v>
      </c>
      <c r="J150" s="96" t="n">
        <v>0.0483315161361219</v>
      </c>
      <c r="K150" s="97" t="n">
        <v>1</v>
      </c>
      <c r="L150" s="98" t="n">
        <f aca="false">(Yield_Originals!$G150*Yield_Originals!L$1)/Yield_Originals!$K150</f>
        <v>0.057504238459602</v>
      </c>
      <c r="M150" s="98" t="n">
        <f aca="false">(Yield_Originals!$G150*Yield_Originals!M$1)/Yield_Originals!$K150</f>
        <v>0.0593012459114646</v>
      </c>
      <c r="N150" s="98" t="n">
        <f aca="false">(Yield_Originals!$G150*Yield_Originals!N$1)/Yield_Originals!$K150</f>
        <v>0.0610982533633271</v>
      </c>
      <c r="O150" s="98" t="n">
        <f aca="false">(Yield_Originals!$G150*Yield_Originals!O$1)/Yield_Originals!$K150</f>
        <v>0.0628952608151897</v>
      </c>
      <c r="P150" s="99" t="n">
        <f aca="false">(Yield_Originals!$H150*Yield_Originals!P$1)/Yield_Originals!$K150</f>
        <v>0.0672135594361394</v>
      </c>
      <c r="Q150" s="99" t="n">
        <f aca="false">(Yield_Originals!$H150*Yield_Originals!Q$1)/Yield_Originals!$K150</f>
        <v>0.06908060275381</v>
      </c>
      <c r="R150" s="99" t="n">
        <f aca="false">(Yield_Originals!$H150*Yield_Originals!R$1)/Yield_Originals!$K150</f>
        <v>0.0709476460714805</v>
      </c>
      <c r="S150" s="99" t="n">
        <f aca="false">(Yield_Originals!$H150*Yield_Originals!S$1)/Yield_Originals!$K150</f>
        <v>0.072814689389151</v>
      </c>
      <c r="T150" s="101" t="n">
        <f aca="false">(Yield_Originals!$I150*Yield_Originals!T$1)/Yield_Originals!$K150</f>
        <v>0.0774831673391406</v>
      </c>
      <c r="U150" s="101" t="n">
        <f aca="false">(Yield_Originals!$I150*Yield_Originals!U$1)/Yield_Originals!$K150</f>
        <v>0.0794202465226191</v>
      </c>
      <c r="V150" s="101" t="n">
        <f aca="false">(Yield_Originals!$I150*Yield_Originals!V$1)/Yield_Originals!$K150</f>
        <v>0.0813573257060977</v>
      </c>
      <c r="W150" s="101" t="n">
        <f aca="false">(Yield_Originals!$I150*Yield_Originals!W$1)/Yield_Originals!$K150</f>
        <v>0.0832944048895761</v>
      </c>
      <c r="X150" s="102" t="n">
        <f aca="false">(Yield_Originals!$J150*Yield_Originals!X$1)/Yield_Originals!$K150</f>
        <v>0.0797470016246011</v>
      </c>
      <c r="Y150" s="102" t="n">
        <f aca="false">(Yield_Originals!$J150*Yield_Originals!Y$1)/Yield_Originals!$K150</f>
        <v>0.0815594334797057</v>
      </c>
      <c r="Z150" s="102" t="n">
        <f aca="false">(Yield_Originals!$J150*Yield_Originals!Z$1)/Yield_Originals!$K150</f>
        <v>0.0833718653348103</v>
      </c>
      <c r="AA150" s="102" t="n">
        <f aca="false">(Yield_Originals!$J150*Yield_Originals!AA$1)/Yield_Originals!$K150</f>
        <v>0.0851842971899148</v>
      </c>
      <c r="AB150" s="102" t="n">
        <f aca="false">(Yield_Originals!$J150*Yield_Originals!AB$1)/Yield_Originals!$K150</f>
        <v>0.0869967290450194</v>
      </c>
    </row>
    <row r="151" customFormat="false" ht="15" hidden="false" customHeight="false" outlineLevel="0" collapsed="false">
      <c r="A151" s="66" t="s">
        <v>1059</v>
      </c>
      <c r="B151" s="64" t="n">
        <v>2</v>
      </c>
      <c r="C151" s="104" t="s">
        <v>462</v>
      </c>
      <c r="D151" s="104" t="s">
        <v>1072</v>
      </c>
      <c r="E151" s="94" t="n">
        <v>18</v>
      </c>
      <c r="F151" s="96" t="n">
        <v>0.047920198716335</v>
      </c>
      <c r="G151" s="96" t="n">
        <v>0.047920198716335</v>
      </c>
      <c r="H151" s="96" t="n">
        <f aca="false">+(Yield_Originals!I151+Yield_Originals!G151)/2</f>
        <v>0.0497878218045477</v>
      </c>
      <c r="I151" s="96" t="n">
        <v>0.0516554448927604</v>
      </c>
      <c r="J151" s="96" t="n">
        <v>0.0483315161361219</v>
      </c>
      <c r="K151" s="97" t="n">
        <v>1</v>
      </c>
      <c r="L151" s="98" t="n">
        <f aca="false">(Yield_Originals!$G151*Yield_Originals!L$1)/Yield_Originals!$K151</f>
        <v>0.057504238459602</v>
      </c>
      <c r="M151" s="98" t="n">
        <f aca="false">(Yield_Originals!$G151*Yield_Originals!M$1)/Yield_Originals!$K151</f>
        <v>0.0593012459114646</v>
      </c>
      <c r="N151" s="98" t="n">
        <f aca="false">(Yield_Originals!$G151*Yield_Originals!N$1)/Yield_Originals!$K151</f>
        <v>0.0610982533633271</v>
      </c>
      <c r="O151" s="98" t="n">
        <f aca="false">(Yield_Originals!$G151*Yield_Originals!O$1)/Yield_Originals!$K151</f>
        <v>0.0628952608151897</v>
      </c>
      <c r="P151" s="99" t="n">
        <f aca="false">(Yield_Originals!$H151*Yield_Originals!P$1)/Yield_Originals!$K151</f>
        <v>0.0672135594361394</v>
      </c>
      <c r="Q151" s="99" t="n">
        <f aca="false">(Yield_Originals!$H151*Yield_Originals!Q$1)/Yield_Originals!$K151</f>
        <v>0.06908060275381</v>
      </c>
      <c r="R151" s="99" t="n">
        <f aca="false">(Yield_Originals!$H151*Yield_Originals!R$1)/Yield_Originals!$K151</f>
        <v>0.0709476460714805</v>
      </c>
      <c r="S151" s="99" t="n">
        <f aca="false">(Yield_Originals!$H151*Yield_Originals!S$1)/Yield_Originals!$K151</f>
        <v>0.072814689389151</v>
      </c>
      <c r="T151" s="101" t="n">
        <f aca="false">(Yield_Originals!$I151*Yield_Originals!T$1)/Yield_Originals!$K151</f>
        <v>0.0774831673391406</v>
      </c>
      <c r="U151" s="101" t="n">
        <f aca="false">(Yield_Originals!$I151*Yield_Originals!U$1)/Yield_Originals!$K151</f>
        <v>0.0794202465226191</v>
      </c>
      <c r="V151" s="101" t="n">
        <f aca="false">(Yield_Originals!$I151*Yield_Originals!V$1)/Yield_Originals!$K151</f>
        <v>0.0813573257060977</v>
      </c>
      <c r="W151" s="101" t="n">
        <f aca="false">(Yield_Originals!$I151*Yield_Originals!W$1)/Yield_Originals!$K151</f>
        <v>0.0832944048895761</v>
      </c>
      <c r="X151" s="102" t="n">
        <f aca="false">(Yield_Originals!$J151*Yield_Originals!X$1)/Yield_Originals!$K151</f>
        <v>0.0797470016246011</v>
      </c>
      <c r="Y151" s="102" t="n">
        <f aca="false">(Yield_Originals!$J151*Yield_Originals!Y$1)/Yield_Originals!$K151</f>
        <v>0.0815594334797057</v>
      </c>
      <c r="Z151" s="102" t="n">
        <f aca="false">(Yield_Originals!$J151*Yield_Originals!Z$1)/Yield_Originals!$K151</f>
        <v>0.0833718653348103</v>
      </c>
      <c r="AA151" s="102" t="n">
        <f aca="false">(Yield_Originals!$J151*Yield_Originals!AA$1)/Yield_Originals!$K151</f>
        <v>0.0851842971899148</v>
      </c>
      <c r="AB151" s="102" t="n">
        <f aca="false">(Yield_Originals!$J151*Yield_Originals!AB$1)/Yield_Originals!$K151</f>
        <v>0.0869967290450194</v>
      </c>
    </row>
    <row r="152" customFormat="false" ht="15" hidden="false" customHeight="false" outlineLevel="0" collapsed="false">
      <c r="A152" s="66" t="s">
        <v>1059</v>
      </c>
      <c r="B152" s="64" t="n">
        <v>2</v>
      </c>
      <c r="C152" s="104" t="s">
        <v>462</v>
      </c>
      <c r="D152" s="104" t="s">
        <v>1072</v>
      </c>
      <c r="E152" s="94" t="n">
        <v>19</v>
      </c>
      <c r="F152" s="96" t="n">
        <v>0.047920198716335</v>
      </c>
      <c r="G152" s="96" t="n">
        <v>0.047920198716335</v>
      </c>
      <c r="H152" s="96" t="n">
        <f aca="false">+(Yield_Originals!I152+Yield_Originals!G152)/2</f>
        <v>0.0497878218045477</v>
      </c>
      <c r="I152" s="96" t="n">
        <v>0.0516554448927604</v>
      </c>
      <c r="J152" s="96" t="n">
        <v>0.0483315161361219</v>
      </c>
      <c r="K152" s="97" t="n">
        <v>1</v>
      </c>
      <c r="L152" s="98" t="n">
        <f aca="false">(Yield_Originals!$G152*Yield_Originals!L$1)/Yield_Originals!$K152</f>
        <v>0.057504238459602</v>
      </c>
      <c r="M152" s="98" t="n">
        <f aca="false">(Yield_Originals!$G152*Yield_Originals!M$1)/Yield_Originals!$K152</f>
        <v>0.0593012459114646</v>
      </c>
      <c r="N152" s="98" t="n">
        <f aca="false">(Yield_Originals!$G152*Yield_Originals!N$1)/Yield_Originals!$K152</f>
        <v>0.0610982533633271</v>
      </c>
      <c r="O152" s="98" t="n">
        <f aca="false">(Yield_Originals!$G152*Yield_Originals!O$1)/Yield_Originals!$K152</f>
        <v>0.0628952608151897</v>
      </c>
      <c r="P152" s="99" t="n">
        <f aca="false">(Yield_Originals!$H152*Yield_Originals!P$1)/Yield_Originals!$K152</f>
        <v>0.0672135594361394</v>
      </c>
      <c r="Q152" s="99" t="n">
        <f aca="false">(Yield_Originals!$H152*Yield_Originals!Q$1)/Yield_Originals!$K152</f>
        <v>0.06908060275381</v>
      </c>
      <c r="R152" s="99" t="n">
        <f aca="false">(Yield_Originals!$H152*Yield_Originals!R$1)/Yield_Originals!$K152</f>
        <v>0.0709476460714805</v>
      </c>
      <c r="S152" s="99" t="n">
        <f aca="false">(Yield_Originals!$H152*Yield_Originals!S$1)/Yield_Originals!$K152</f>
        <v>0.072814689389151</v>
      </c>
      <c r="T152" s="101" t="n">
        <f aca="false">(Yield_Originals!$I152*Yield_Originals!T$1)/Yield_Originals!$K152</f>
        <v>0.0774831673391406</v>
      </c>
      <c r="U152" s="101" t="n">
        <f aca="false">(Yield_Originals!$I152*Yield_Originals!U$1)/Yield_Originals!$K152</f>
        <v>0.0794202465226191</v>
      </c>
      <c r="V152" s="101" t="n">
        <f aca="false">(Yield_Originals!$I152*Yield_Originals!V$1)/Yield_Originals!$K152</f>
        <v>0.0813573257060977</v>
      </c>
      <c r="W152" s="101" t="n">
        <f aca="false">(Yield_Originals!$I152*Yield_Originals!W$1)/Yield_Originals!$K152</f>
        <v>0.0832944048895761</v>
      </c>
      <c r="X152" s="102" t="n">
        <f aca="false">(Yield_Originals!$J152*Yield_Originals!X$1)/Yield_Originals!$K152</f>
        <v>0.0797470016246011</v>
      </c>
      <c r="Y152" s="102" t="n">
        <f aca="false">(Yield_Originals!$J152*Yield_Originals!Y$1)/Yield_Originals!$K152</f>
        <v>0.0815594334797057</v>
      </c>
      <c r="Z152" s="102" t="n">
        <f aca="false">(Yield_Originals!$J152*Yield_Originals!Z$1)/Yield_Originals!$K152</f>
        <v>0.0833718653348103</v>
      </c>
      <c r="AA152" s="102" t="n">
        <f aca="false">(Yield_Originals!$J152*Yield_Originals!AA$1)/Yield_Originals!$K152</f>
        <v>0.0851842971899148</v>
      </c>
      <c r="AB152" s="102" t="n">
        <f aca="false">(Yield_Originals!$J152*Yield_Originals!AB$1)/Yield_Originals!$K152</f>
        <v>0.0869967290450194</v>
      </c>
    </row>
    <row r="153" customFormat="false" ht="15" hidden="false" customHeight="false" outlineLevel="0" collapsed="false">
      <c r="A153" s="66" t="s">
        <v>1059</v>
      </c>
      <c r="B153" s="64" t="n">
        <v>2</v>
      </c>
      <c r="C153" s="104" t="s">
        <v>462</v>
      </c>
      <c r="D153" s="104" t="s">
        <v>1072</v>
      </c>
      <c r="E153" s="94" t="n">
        <v>20</v>
      </c>
      <c r="F153" s="96" t="n">
        <v>0.047920198716335</v>
      </c>
      <c r="G153" s="96" t="n">
        <v>0.047920198716335</v>
      </c>
      <c r="H153" s="96" t="n">
        <f aca="false">+(Yield_Originals!I153+Yield_Originals!G153)/2</f>
        <v>0.0497878218045477</v>
      </c>
      <c r="I153" s="96" t="n">
        <v>0.0516554448927604</v>
      </c>
      <c r="J153" s="96" t="n">
        <v>0.0483315161361219</v>
      </c>
      <c r="K153" s="97" t="n">
        <v>1</v>
      </c>
      <c r="L153" s="98" t="n">
        <f aca="false">(Yield_Originals!$G153*Yield_Originals!L$1)/Yield_Originals!$K153</f>
        <v>0.057504238459602</v>
      </c>
      <c r="M153" s="98" t="n">
        <f aca="false">(Yield_Originals!$G153*Yield_Originals!M$1)/Yield_Originals!$K153</f>
        <v>0.0593012459114646</v>
      </c>
      <c r="N153" s="98" t="n">
        <f aca="false">(Yield_Originals!$G153*Yield_Originals!N$1)/Yield_Originals!$K153</f>
        <v>0.0610982533633271</v>
      </c>
      <c r="O153" s="98" t="n">
        <f aca="false">(Yield_Originals!$G153*Yield_Originals!O$1)/Yield_Originals!$K153</f>
        <v>0.0628952608151897</v>
      </c>
      <c r="P153" s="99" t="n">
        <f aca="false">(Yield_Originals!$H153*Yield_Originals!P$1)/Yield_Originals!$K153</f>
        <v>0.0672135594361394</v>
      </c>
      <c r="Q153" s="99" t="n">
        <f aca="false">(Yield_Originals!$H153*Yield_Originals!Q$1)/Yield_Originals!$K153</f>
        <v>0.06908060275381</v>
      </c>
      <c r="R153" s="99" t="n">
        <f aca="false">(Yield_Originals!$H153*Yield_Originals!R$1)/Yield_Originals!$K153</f>
        <v>0.0709476460714805</v>
      </c>
      <c r="S153" s="99" t="n">
        <f aca="false">(Yield_Originals!$H153*Yield_Originals!S$1)/Yield_Originals!$K153</f>
        <v>0.072814689389151</v>
      </c>
      <c r="T153" s="101" t="n">
        <f aca="false">(Yield_Originals!$I153*Yield_Originals!T$1)/Yield_Originals!$K153</f>
        <v>0.0774831673391406</v>
      </c>
      <c r="U153" s="101" t="n">
        <f aca="false">(Yield_Originals!$I153*Yield_Originals!U$1)/Yield_Originals!$K153</f>
        <v>0.0794202465226191</v>
      </c>
      <c r="V153" s="101" t="n">
        <f aca="false">(Yield_Originals!$I153*Yield_Originals!V$1)/Yield_Originals!$K153</f>
        <v>0.0813573257060977</v>
      </c>
      <c r="W153" s="101" t="n">
        <f aca="false">(Yield_Originals!$I153*Yield_Originals!W$1)/Yield_Originals!$K153</f>
        <v>0.0832944048895761</v>
      </c>
      <c r="X153" s="102" t="n">
        <f aca="false">(Yield_Originals!$J153*Yield_Originals!X$1)/Yield_Originals!$K153</f>
        <v>0.0797470016246011</v>
      </c>
      <c r="Y153" s="102" t="n">
        <f aca="false">(Yield_Originals!$J153*Yield_Originals!Y$1)/Yield_Originals!$K153</f>
        <v>0.0815594334797057</v>
      </c>
      <c r="Z153" s="102" t="n">
        <f aca="false">(Yield_Originals!$J153*Yield_Originals!Z$1)/Yield_Originals!$K153</f>
        <v>0.0833718653348103</v>
      </c>
      <c r="AA153" s="102" t="n">
        <f aca="false">(Yield_Originals!$J153*Yield_Originals!AA$1)/Yield_Originals!$K153</f>
        <v>0.0851842971899148</v>
      </c>
      <c r="AB153" s="102" t="n">
        <f aca="false">(Yield_Originals!$J153*Yield_Originals!AB$1)/Yield_Originals!$K153</f>
        <v>0.0869967290450194</v>
      </c>
    </row>
    <row r="154" customFormat="false" ht="15" hidden="false" customHeight="false" outlineLevel="0" collapsed="false">
      <c r="A154" s="66" t="s">
        <v>1059</v>
      </c>
      <c r="B154" s="64" t="n">
        <v>2</v>
      </c>
      <c r="C154" s="104" t="s">
        <v>462</v>
      </c>
      <c r="D154" s="104" t="s">
        <v>1072</v>
      </c>
      <c r="E154" s="94" t="n">
        <v>21</v>
      </c>
      <c r="F154" s="96" t="n">
        <v>0.047920198716335</v>
      </c>
      <c r="G154" s="96" t="n">
        <v>0.047920198716335</v>
      </c>
      <c r="H154" s="96" t="n">
        <f aca="false">+(Yield_Originals!I154+Yield_Originals!G154)/2</f>
        <v>0.0497878218045477</v>
      </c>
      <c r="I154" s="96" t="n">
        <v>0.0516554448927604</v>
      </c>
      <c r="J154" s="96" t="n">
        <v>0.0483315161361219</v>
      </c>
      <c r="K154" s="97" t="n">
        <v>1</v>
      </c>
      <c r="L154" s="98" t="n">
        <f aca="false">(Yield_Originals!$G154*Yield_Originals!L$1)/Yield_Originals!$K154</f>
        <v>0.057504238459602</v>
      </c>
      <c r="M154" s="98" t="n">
        <f aca="false">(Yield_Originals!$G154*Yield_Originals!M$1)/Yield_Originals!$K154</f>
        <v>0.0593012459114646</v>
      </c>
      <c r="N154" s="98" t="n">
        <f aca="false">(Yield_Originals!$G154*Yield_Originals!N$1)/Yield_Originals!$K154</f>
        <v>0.0610982533633271</v>
      </c>
      <c r="O154" s="98" t="n">
        <f aca="false">(Yield_Originals!$G154*Yield_Originals!O$1)/Yield_Originals!$K154</f>
        <v>0.0628952608151897</v>
      </c>
      <c r="P154" s="99" t="n">
        <f aca="false">(Yield_Originals!$H154*Yield_Originals!P$1)/Yield_Originals!$K154</f>
        <v>0.0672135594361394</v>
      </c>
      <c r="Q154" s="99" t="n">
        <f aca="false">(Yield_Originals!$H154*Yield_Originals!Q$1)/Yield_Originals!$K154</f>
        <v>0.06908060275381</v>
      </c>
      <c r="R154" s="99" t="n">
        <f aca="false">(Yield_Originals!$H154*Yield_Originals!R$1)/Yield_Originals!$K154</f>
        <v>0.0709476460714805</v>
      </c>
      <c r="S154" s="99" t="n">
        <f aca="false">(Yield_Originals!$H154*Yield_Originals!S$1)/Yield_Originals!$K154</f>
        <v>0.072814689389151</v>
      </c>
      <c r="T154" s="101" t="n">
        <f aca="false">(Yield_Originals!$I154*Yield_Originals!T$1)/Yield_Originals!$K154</f>
        <v>0.0774831673391406</v>
      </c>
      <c r="U154" s="101" t="n">
        <f aca="false">(Yield_Originals!$I154*Yield_Originals!U$1)/Yield_Originals!$K154</f>
        <v>0.0794202465226191</v>
      </c>
      <c r="V154" s="101" t="n">
        <f aca="false">(Yield_Originals!$I154*Yield_Originals!V$1)/Yield_Originals!$K154</f>
        <v>0.0813573257060977</v>
      </c>
      <c r="W154" s="101" t="n">
        <f aca="false">(Yield_Originals!$I154*Yield_Originals!W$1)/Yield_Originals!$K154</f>
        <v>0.0832944048895761</v>
      </c>
      <c r="X154" s="102" t="n">
        <f aca="false">(Yield_Originals!$J154*Yield_Originals!X$1)/Yield_Originals!$K154</f>
        <v>0.0797470016246011</v>
      </c>
      <c r="Y154" s="102" t="n">
        <f aca="false">(Yield_Originals!$J154*Yield_Originals!Y$1)/Yield_Originals!$K154</f>
        <v>0.0815594334797057</v>
      </c>
      <c r="Z154" s="102" t="n">
        <f aca="false">(Yield_Originals!$J154*Yield_Originals!Z$1)/Yield_Originals!$K154</f>
        <v>0.0833718653348103</v>
      </c>
      <c r="AA154" s="102" t="n">
        <f aca="false">(Yield_Originals!$J154*Yield_Originals!AA$1)/Yield_Originals!$K154</f>
        <v>0.0851842971899148</v>
      </c>
      <c r="AB154" s="102" t="n">
        <f aca="false">(Yield_Originals!$J154*Yield_Originals!AB$1)/Yield_Originals!$K154</f>
        <v>0.0869967290450194</v>
      </c>
    </row>
    <row r="155" customFormat="false" ht="15" hidden="false" customHeight="false" outlineLevel="0" collapsed="false">
      <c r="A155" s="66" t="s">
        <v>1089</v>
      </c>
      <c r="B155" s="64" t="n">
        <v>3</v>
      </c>
      <c r="C155" s="104" t="s">
        <v>236</v>
      </c>
      <c r="D155" s="104" t="s">
        <v>1093</v>
      </c>
      <c r="E155" s="94" t="n">
        <v>27</v>
      </c>
      <c r="F155" s="96" t="n">
        <v>0.197549546027287</v>
      </c>
      <c r="G155" s="96" t="n">
        <v>0.197549546027287</v>
      </c>
      <c r="H155" s="96" t="n">
        <v>0.247224301507888</v>
      </c>
      <c r="I155" s="96" t="n">
        <v>0.257984112860373</v>
      </c>
      <c r="J155" s="96" t="n">
        <v>0.257984112860373</v>
      </c>
      <c r="K155" s="97" t="n">
        <v>1</v>
      </c>
      <c r="L155" s="98"/>
      <c r="M155" s="98"/>
      <c r="N155" s="98"/>
      <c r="O155" s="98"/>
      <c r="P155" s="99"/>
      <c r="Q155" s="99"/>
      <c r="R155" s="99"/>
      <c r="S155" s="99" t="n">
        <f aca="false">(Yield_Originals!$H155*Yield_Originals!S$1)/Yield_Originals!$K155</f>
        <v>0.361565540955286</v>
      </c>
      <c r="T155" s="101" t="n">
        <f aca="false">(Yield_Originals!$I155*Yield_Originals!T$1)/Yield_Originals!$K155</f>
        <v>0.38697616929056</v>
      </c>
      <c r="U155" s="101" t="n">
        <f aca="false">(Yield_Originals!$I155*Yield_Originals!U$1)/Yield_Originals!$K155</f>
        <v>0.396650573522824</v>
      </c>
      <c r="V155" s="101" t="n">
        <f aca="false">(Yield_Originals!$I155*Yield_Originals!V$1)/Yield_Originals!$K155</f>
        <v>0.406324977755088</v>
      </c>
      <c r="W155" s="101" t="n">
        <f aca="false">(Yield_Originals!$I155*Yield_Originals!W$1)/Yield_Originals!$K155</f>
        <v>0.415999381987352</v>
      </c>
      <c r="X155" s="102" t="n">
        <f aca="false">(Yield_Originals!$J155*Yield_Originals!X$1)/Yield_Originals!$K155</f>
        <v>0.425673786219616</v>
      </c>
      <c r="Y155" s="102" t="n">
        <f aca="false">(Yield_Originals!$J155*Yield_Originals!Y$1)/Yield_Originals!$K155</f>
        <v>0.435348190451879</v>
      </c>
      <c r="Z155" s="102" t="n">
        <f aca="false">(Yield_Originals!$J155*Yield_Originals!Z$1)/Yield_Originals!$K155</f>
        <v>0.445022594684143</v>
      </c>
      <c r="AA155" s="102" t="n">
        <f aca="false">(Yield_Originals!$J155*Yield_Originals!AA$1)/Yield_Originals!$K155</f>
        <v>0.454696998916407</v>
      </c>
      <c r="AB155" s="102" t="n">
        <f aca="false">(Yield_Originals!$J155*Yield_Originals!AB$1)/Yield_Originals!$K155</f>
        <v>0.464371403148671</v>
      </c>
    </row>
    <row r="156" customFormat="false" ht="15" hidden="false" customHeight="false" outlineLevel="0" collapsed="false">
      <c r="A156" s="66" t="s">
        <v>1089</v>
      </c>
      <c r="B156" s="64" t="n">
        <v>3</v>
      </c>
      <c r="C156" s="104" t="s">
        <v>124</v>
      </c>
      <c r="D156" s="104" t="s">
        <v>1088</v>
      </c>
      <c r="E156" s="94" t="n">
        <v>27</v>
      </c>
      <c r="F156" s="96" t="n">
        <v>0.197549546027287</v>
      </c>
      <c r="G156" s="96" t="n">
        <v>0.197549546027287</v>
      </c>
      <c r="H156" s="96" t="n">
        <v>0.247224301507888</v>
      </c>
      <c r="I156" s="96" t="n">
        <v>0.257984112860373</v>
      </c>
      <c r="J156" s="96" t="n">
        <v>0.257984112860373</v>
      </c>
      <c r="K156" s="97" t="n">
        <v>1</v>
      </c>
      <c r="L156" s="98" t="n">
        <f aca="false">(Yield_Originals!$G156*Yield_Originals!L$1)/Yield_Originals!$K156</f>
        <v>0.237059455232744</v>
      </c>
      <c r="M156" s="98" t="n">
        <f aca="false">(Yield_Originals!$G156*Yield_Originals!M$1)/Yield_Originals!$K156</f>
        <v>0.244467563208768</v>
      </c>
      <c r="N156" s="98" t="n">
        <f aca="false">(Yield_Originals!$G156*Yield_Originals!N$1)/Yield_Originals!$K156</f>
        <v>0.251875671184791</v>
      </c>
      <c r="O156" s="98" t="n">
        <f aca="false">(Yield_Originals!$G156*Yield_Originals!O$1)/Yield_Originals!$K156</f>
        <v>0.259283779160814</v>
      </c>
      <c r="P156" s="99" t="n">
        <f aca="false">(Yield_Originals!$H156*Yield_Originals!P$1)/Yield_Originals!$K156</f>
        <v>0.333752807035649</v>
      </c>
      <c r="Q156" s="99" t="n">
        <f aca="false">(Yield_Originals!$H156*Yield_Originals!Q$1)/Yield_Originals!$K156</f>
        <v>0.343023718342195</v>
      </c>
      <c r="R156" s="99" t="n">
        <f aca="false">(Yield_Originals!$H156*Yield_Originals!R$1)/Yield_Originals!$K156</f>
        <v>0.35229462964874</v>
      </c>
      <c r="S156" s="99" t="n">
        <f aca="false">(Yield_Originals!$H156*Yield_Originals!S$1)/Yield_Originals!$K156</f>
        <v>0.361565540955286</v>
      </c>
      <c r="T156" s="101" t="n">
        <f aca="false">(Yield_Originals!$I156*Yield_Originals!T$1)/Yield_Originals!$K156</f>
        <v>0.38697616929056</v>
      </c>
      <c r="U156" s="101" t="n">
        <f aca="false">(Yield_Originals!$I156*Yield_Originals!U$1)/Yield_Originals!$K156</f>
        <v>0.396650573522824</v>
      </c>
      <c r="V156" s="101" t="n">
        <f aca="false">(Yield_Originals!$I156*Yield_Originals!V$1)/Yield_Originals!$K156</f>
        <v>0.406324977755088</v>
      </c>
      <c r="W156" s="101" t="n">
        <f aca="false">(Yield_Originals!$I156*Yield_Originals!W$1)/Yield_Originals!$K156</f>
        <v>0.415999381987352</v>
      </c>
      <c r="X156" s="102" t="n">
        <f aca="false">(Yield_Originals!$J156*Yield_Originals!X$1)/Yield_Originals!$K156</f>
        <v>0.425673786219616</v>
      </c>
      <c r="Y156" s="102" t="n">
        <f aca="false">(Yield_Originals!$J156*Yield_Originals!Y$1)/Yield_Originals!$K156</f>
        <v>0.435348190451879</v>
      </c>
      <c r="Z156" s="102" t="n">
        <f aca="false">(Yield_Originals!$J156*Yield_Originals!Z$1)/Yield_Originals!$K156</f>
        <v>0.445022594684143</v>
      </c>
      <c r="AA156" s="102" t="n">
        <f aca="false">(Yield_Originals!$J156*Yield_Originals!AA$1)/Yield_Originals!$K156</f>
        <v>0.454696998916407</v>
      </c>
      <c r="AB156" s="102" t="n">
        <f aca="false">(Yield_Originals!$J156*Yield_Originals!AB$1)/Yield_Originals!$K156</f>
        <v>0.464371403148671</v>
      </c>
    </row>
    <row r="157" customFormat="false" ht="15" hidden="false" customHeight="false" outlineLevel="0" collapsed="false">
      <c r="A157" s="66" t="s">
        <v>1089</v>
      </c>
      <c r="B157" s="64" t="n">
        <v>3</v>
      </c>
      <c r="C157" s="104" t="s">
        <v>237</v>
      </c>
      <c r="D157" s="104" t="s">
        <v>1091</v>
      </c>
      <c r="E157" s="94" t="n">
        <v>27</v>
      </c>
      <c r="F157" s="96" t="n">
        <v>0.197549546027287</v>
      </c>
      <c r="G157" s="96" t="n">
        <v>0.197549546027287</v>
      </c>
      <c r="H157" s="96" t="n">
        <v>0.247224301507888</v>
      </c>
      <c r="I157" s="96" t="n">
        <v>0.257984112860373</v>
      </c>
      <c r="J157" s="96" t="n">
        <v>0.257984112860373</v>
      </c>
      <c r="K157" s="97" t="n">
        <v>1</v>
      </c>
      <c r="L157" s="98" t="n">
        <f aca="false">(Yield_Originals!$G157*Yield_Originals!L$1)/Yield_Originals!$K157</f>
        <v>0.237059455232744</v>
      </c>
      <c r="M157" s="98" t="n">
        <f aca="false">(Yield_Originals!$G157*Yield_Originals!M$1)/Yield_Originals!$K157</f>
        <v>0.244467563208768</v>
      </c>
      <c r="N157" s="98" t="n">
        <f aca="false">(Yield_Originals!$G157*Yield_Originals!N$1)/Yield_Originals!$K157</f>
        <v>0.251875671184791</v>
      </c>
      <c r="O157" s="98" t="n">
        <f aca="false">(Yield_Originals!$G157*Yield_Originals!O$1)/Yield_Originals!$K157</f>
        <v>0.259283779160814</v>
      </c>
      <c r="P157" s="99" t="n">
        <f aca="false">(Yield_Originals!$H157*Yield_Originals!P$1)/Yield_Originals!$K157</f>
        <v>0.333752807035649</v>
      </c>
      <c r="Q157" s="99" t="n">
        <f aca="false">(Yield_Originals!$H157*Yield_Originals!Q$1)/Yield_Originals!$K157</f>
        <v>0.343023718342195</v>
      </c>
      <c r="R157" s="99" t="n">
        <f aca="false">(Yield_Originals!$H157*Yield_Originals!R$1)/Yield_Originals!$K157</f>
        <v>0.35229462964874</v>
      </c>
      <c r="S157" s="99" t="n">
        <f aca="false">(Yield_Originals!$H157*Yield_Originals!S$1)/Yield_Originals!$K157</f>
        <v>0.361565540955286</v>
      </c>
      <c r="T157" s="101" t="n">
        <f aca="false">(Yield_Originals!$I157*Yield_Originals!T$1)/Yield_Originals!$K157</f>
        <v>0.38697616929056</v>
      </c>
      <c r="U157" s="101" t="n">
        <f aca="false">(Yield_Originals!$I157*Yield_Originals!U$1)/Yield_Originals!$K157</f>
        <v>0.396650573522824</v>
      </c>
      <c r="V157" s="101" t="n">
        <f aca="false">(Yield_Originals!$I157*Yield_Originals!V$1)/Yield_Originals!$K157</f>
        <v>0.406324977755088</v>
      </c>
      <c r="W157" s="101" t="n">
        <f aca="false">(Yield_Originals!$I157*Yield_Originals!W$1)/Yield_Originals!$K157</f>
        <v>0.415999381987352</v>
      </c>
      <c r="X157" s="102" t="n">
        <f aca="false">(Yield_Originals!$J157*Yield_Originals!X$1)/Yield_Originals!$K157</f>
        <v>0.425673786219616</v>
      </c>
      <c r="Y157" s="102" t="n">
        <f aca="false">(Yield_Originals!$J157*Yield_Originals!Y$1)/Yield_Originals!$K157</f>
        <v>0.435348190451879</v>
      </c>
      <c r="Z157" s="102" t="n">
        <f aca="false">(Yield_Originals!$J157*Yield_Originals!Z$1)/Yield_Originals!$K157</f>
        <v>0.445022594684143</v>
      </c>
      <c r="AA157" s="102" t="n">
        <f aca="false">(Yield_Originals!$J157*Yield_Originals!AA$1)/Yield_Originals!$K157</f>
        <v>0.454696998916407</v>
      </c>
      <c r="AB157" s="102" t="n">
        <f aca="false">(Yield_Originals!$J157*Yield_Originals!AB$1)/Yield_Originals!$K157</f>
        <v>0.464371403148671</v>
      </c>
    </row>
    <row r="158" customFormat="false" ht="15" hidden="false" customHeight="false" outlineLevel="0" collapsed="false">
      <c r="A158" s="66" t="s">
        <v>1089</v>
      </c>
      <c r="B158" s="64" t="n">
        <v>3</v>
      </c>
      <c r="C158" s="104" t="s">
        <v>1001</v>
      </c>
      <c r="D158" s="104" t="s">
        <v>1095</v>
      </c>
      <c r="E158" s="94" t="n">
        <v>27</v>
      </c>
      <c r="F158" s="96" t="n">
        <v>0.197549546027287</v>
      </c>
      <c r="G158" s="96" t="n">
        <v>0.197549546027287</v>
      </c>
      <c r="H158" s="96" t="n">
        <v>0.247224301507888</v>
      </c>
      <c r="I158" s="96" t="n">
        <v>0.257984112860373</v>
      </c>
      <c r="J158" s="96" t="n">
        <v>0.257984112860373</v>
      </c>
      <c r="K158" s="97" t="n">
        <v>1</v>
      </c>
      <c r="L158" s="98" t="n">
        <f aca="false">(Yield_Originals!$G158*Yield_Originals!L$1)/Yield_Originals!$K158</f>
        <v>0.237059455232744</v>
      </c>
      <c r="M158" s="98" t="n">
        <f aca="false">(Yield_Originals!$G158*Yield_Originals!M$1)/Yield_Originals!$K158</f>
        <v>0.244467563208768</v>
      </c>
      <c r="N158" s="98" t="n">
        <f aca="false">(Yield_Originals!$G158*Yield_Originals!N$1)/Yield_Originals!$K158</f>
        <v>0.251875671184791</v>
      </c>
      <c r="O158" s="98" t="n">
        <f aca="false">(Yield_Originals!$G158*Yield_Originals!O$1)/Yield_Originals!$K158</f>
        <v>0.259283779160814</v>
      </c>
      <c r="P158" s="99" t="n">
        <f aca="false">(Yield_Originals!$H158*Yield_Originals!P$1)/Yield_Originals!$K158</f>
        <v>0.333752807035649</v>
      </c>
      <c r="Q158" s="99" t="n">
        <f aca="false">(Yield_Originals!$H158*Yield_Originals!Q$1)/Yield_Originals!$K158</f>
        <v>0.343023718342195</v>
      </c>
      <c r="R158" s="99" t="n">
        <f aca="false">(Yield_Originals!$H158*Yield_Originals!R$1)/Yield_Originals!$K158</f>
        <v>0.35229462964874</v>
      </c>
      <c r="S158" s="99" t="n">
        <f aca="false">(Yield_Originals!$H158*Yield_Originals!S$1)/Yield_Originals!$K158</f>
        <v>0.361565540955286</v>
      </c>
      <c r="T158" s="101" t="n">
        <f aca="false">(Yield_Originals!$I158*Yield_Originals!T$1)/Yield_Originals!$K158</f>
        <v>0.38697616929056</v>
      </c>
      <c r="U158" s="101" t="n">
        <f aca="false">(Yield_Originals!$I158*Yield_Originals!U$1)/Yield_Originals!$K158</f>
        <v>0.396650573522824</v>
      </c>
      <c r="V158" s="101" t="n">
        <f aca="false">(Yield_Originals!$I158*Yield_Originals!V$1)/Yield_Originals!$K158</f>
        <v>0.406324977755088</v>
      </c>
      <c r="W158" s="101" t="n">
        <f aca="false">(Yield_Originals!$I158*Yield_Originals!W$1)/Yield_Originals!$K158</f>
        <v>0.415999381987352</v>
      </c>
      <c r="X158" s="102" t="n">
        <f aca="false">(Yield_Originals!$J158*Yield_Originals!X$1)/Yield_Originals!$K158</f>
        <v>0.425673786219616</v>
      </c>
      <c r="Y158" s="102" t="n">
        <f aca="false">(Yield_Originals!$J158*Yield_Originals!Y$1)/Yield_Originals!$K158</f>
        <v>0.435348190451879</v>
      </c>
      <c r="Z158" s="102" t="n">
        <f aca="false">(Yield_Originals!$J158*Yield_Originals!Z$1)/Yield_Originals!$K158</f>
        <v>0.445022594684143</v>
      </c>
      <c r="AA158" s="102" t="n">
        <f aca="false">(Yield_Originals!$J158*Yield_Originals!AA$1)/Yield_Originals!$K158</f>
        <v>0.454696998916407</v>
      </c>
      <c r="AB158" s="102" t="n">
        <f aca="false">(Yield_Originals!$J158*Yield_Originals!AB$1)/Yield_Originals!$K158</f>
        <v>0.464371403148671</v>
      </c>
    </row>
    <row r="159" customFormat="false" ht="15" hidden="false" customHeight="false" outlineLevel="0" collapsed="false">
      <c r="A159" s="103" t="s">
        <v>1099</v>
      </c>
      <c r="B159" s="64" t="n">
        <v>3</v>
      </c>
      <c r="C159" s="104" t="s">
        <v>238</v>
      </c>
      <c r="D159" s="104" t="s">
        <v>1098</v>
      </c>
      <c r="E159" s="94" t="n">
        <v>28</v>
      </c>
      <c r="F159" s="96" t="n">
        <v>0.211280805951981</v>
      </c>
      <c r="G159" s="96" t="n">
        <v>0.211280805951981</v>
      </c>
      <c r="H159" s="96" t="n">
        <f aca="false">+(Yield_Originals!I159+Yield_Originals!G159)/2</f>
        <v>0.211988886983249</v>
      </c>
      <c r="I159" s="96" t="n">
        <v>0.212696968014516</v>
      </c>
      <c r="J159" s="96" t="n">
        <v>0.223682586038622</v>
      </c>
      <c r="K159" s="97" t="n">
        <v>1</v>
      </c>
      <c r="L159" s="98" t="n">
        <f aca="false">(Yield_Originals!$G159*Yield_Originals!L$1)/Yield_Originals!$K159</f>
        <v>0.253536967142377</v>
      </c>
      <c r="M159" s="98" t="n">
        <f aca="false">(Yield_Originals!$G159*Yield_Originals!M$1)/Yield_Originals!$K159</f>
        <v>0.261459997365576</v>
      </c>
      <c r="N159" s="98"/>
      <c r="O159" s="98"/>
      <c r="P159" s="99"/>
      <c r="Q159" s="99"/>
      <c r="R159" s="99"/>
      <c r="S159" s="99"/>
      <c r="T159" s="101"/>
      <c r="U159" s="101"/>
      <c r="V159" s="101"/>
      <c r="W159" s="101"/>
      <c r="X159" s="102"/>
      <c r="Y159" s="102"/>
      <c r="Z159" s="102"/>
      <c r="AA159" s="102"/>
      <c r="AB159" s="102"/>
    </row>
    <row r="160" customFormat="false" ht="15" hidden="false" customHeight="false" outlineLevel="0" collapsed="false">
      <c r="A160" s="103" t="s">
        <v>1099</v>
      </c>
      <c r="B160" s="64" t="n">
        <v>3</v>
      </c>
      <c r="C160" s="104" t="s">
        <v>125</v>
      </c>
      <c r="D160" s="104" t="s">
        <v>1101</v>
      </c>
      <c r="E160" s="94" t="n">
        <v>28</v>
      </c>
      <c r="F160" s="96" t="n">
        <v>0.211280805951981</v>
      </c>
      <c r="G160" s="96" t="n">
        <v>0.211280805951981</v>
      </c>
      <c r="H160" s="96" t="n">
        <f aca="false">+(Yield_Originals!I160+Yield_Originals!G160)/2</f>
        <v>0.211988886983249</v>
      </c>
      <c r="I160" s="96" t="n">
        <v>0.212696968014516</v>
      </c>
      <c r="J160" s="96" t="n">
        <v>0.223682586038622</v>
      </c>
      <c r="K160" s="97" t="n">
        <v>1</v>
      </c>
      <c r="L160" s="98" t="n">
        <f aca="false">(Yield_Originals!$G160*Yield_Originals!L$1)/Yield_Originals!$K160</f>
        <v>0.253536967142377</v>
      </c>
      <c r="M160" s="98" t="n">
        <f aca="false">(Yield_Originals!$G160*Yield_Originals!M$1)/Yield_Originals!$K160</f>
        <v>0.261459997365576</v>
      </c>
      <c r="N160" s="98" t="n">
        <f aca="false">(Yield_Originals!$G160*Yield_Originals!N$1)/Yield_Originals!$K160</f>
        <v>0.269383027588776</v>
      </c>
      <c r="O160" s="98" t="n">
        <f aca="false">(Yield_Originals!$G160*Yield_Originals!O$1)/Yield_Originals!$K160</f>
        <v>0.277306057811975</v>
      </c>
      <c r="P160" s="99" t="n">
        <f aca="false">(Yield_Originals!$H160*Yield_Originals!P$1)/Yield_Originals!$K160</f>
        <v>0.286184997427385</v>
      </c>
      <c r="Q160" s="99" t="n">
        <f aca="false">(Yield_Originals!$H160*Yield_Originals!Q$1)/Yield_Originals!$K160</f>
        <v>0.294134580689257</v>
      </c>
      <c r="R160" s="99" t="n">
        <f aca="false">(Yield_Originals!$H160*Yield_Originals!R$1)/Yield_Originals!$K160</f>
        <v>0.302084163951129</v>
      </c>
      <c r="S160" s="99" t="n">
        <f aca="false">(Yield_Originals!$H160*Yield_Originals!S$1)/Yield_Originals!$K160</f>
        <v>0.310033747213001</v>
      </c>
      <c r="T160" s="101" t="n">
        <f aca="false">(Yield_Originals!$I160*Yield_Originals!T$1)/Yield_Originals!$K160</f>
        <v>0.319045452021774</v>
      </c>
      <c r="U160" s="101" t="n">
        <f aca="false">(Yield_Originals!$I160*Yield_Originals!U$1)/Yield_Originals!$K160</f>
        <v>0.327021588322318</v>
      </c>
      <c r="V160" s="101" t="n">
        <f aca="false">(Yield_Originals!$I160*Yield_Originals!V$1)/Yield_Originals!$K160</f>
        <v>0.334997724622863</v>
      </c>
      <c r="W160" s="101" t="n">
        <f aca="false">(Yield_Originals!$I160*Yield_Originals!W$1)/Yield_Originals!$K160</f>
        <v>0.342973860923407</v>
      </c>
      <c r="X160" s="102" t="n">
        <f aca="false">(Yield_Originals!$J160*Yield_Originals!X$1)/Yield_Originals!$K160</f>
        <v>0.369076266963726</v>
      </c>
      <c r="Y160" s="102" t="n">
        <f aca="false">(Yield_Originals!$J160*Yield_Originals!Y$1)/Yield_Originals!$K160</f>
        <v>0.377464363940174</v>
      </c>
      <c r="Z160" s="102" t="n">
        <f aca="false">(Yield_Originals!$J160*Yield_Originals!Z$1)/Yield_Originals!$K160</f>
        <v>0.385852460916623</v>
      </c>
      <c r="AA160" s="102" t="n">
        <f aca="false">(Yield_Originals!$J160*Yield_Originals!AA$1)/Yield_Originals!$K160</f>
        <v>0.394240557893071</v>
      </c>
      <c r="AB160" s="102" t="n">
        <f aca="false">(Yield_Originals!$J160*Yield_Originals!AB$1)/Yield_Originals!$K160</f>
        <v>0.40262865486952</v>
      </c>
    </row>
    <row r="161" customFormat="false" ht="15" hidden="false" customHeight="false" outlineLevel="0" collapsed="false">
      <c r="A161" s="103" t="s">
        <v>1099</v>
      </c>
      <c r="B161" s="64" t="n">
        <v>3</v>
      </c>
      <c r="C161" s="104" t="s">
        <v>239</v>
      </c>
      <c r="D161" s="104" t="s">
        <v>1103</v>
      </c>
      <c r="E161" s="94" t="n">
        <v>28</v>
      </c>
      <c r="F161" s="96" t="n">
        <v>0.211280805951981</v>
      </c>
      <c r="G161" s="96" t="n">
        <v>0.211280805951981</v>
      </c>
      <c r="H161" s="96" t="n">
        <f aca="false">+(Yield_Originals!I161+Yield_Originals!G161)/2</f>
        <v>0.211988886983249</v>
      </c>
      <c r="I161" s="96" t="n">
        <v>0.212696968014516</v>
      </c>
      <c r="J161" s="96" t="n">
        <v>0.223682586038622</v>
      </c>
      <c r="K161" s="97" t="n">
        <v>1</v>
      </c>
      <c r="L161" s="98" t="n">
        <f aca="false">(Yield_Originals!$G161*Yield_Originals!L$1)/Yield_Originals!$K161</f>
        <v>0.253536967142377</v>
      </c>
      <c r="M161" s="98" t="n">
        <f aca="false">(Yield_Originals!$G161*Yield_Originals!M$1)/Yield_Originals!$K161</f>
        <v>0.261459997365576</v>
      </c>
      <c r="N161" s="98" t="n">
        <f aca="false">(Yield_Originals!$G161*Yield_Originals!N$1)/Yield_Originals!$K161</f>
        <v>0.269383027588776</v>
      </c>
      <c r="O161" s="98" t="n">
        <f aca="false">(Yield_Originals!$G161*Yield_Originals!O$1)/Yield_Originals!$K161</f>
        <v>0.277306057811975</v>
      </c>
      <c r="P161" s="99" t="n">
        <f aca="false">(Yield_Originals!$H161*Yield_Originals!P$1)/Yield_Originals!$K161</f>
        <v>0.286184997427385</v>
      </c>
      <c r="Q161" s="99" t="n">
        <f aca="false">(Yield_Originals!$H161*Yield_Originals!Q$1)/Yield_Originals!$K161</f>
        <v>0.294134580689257</v>
      </c>
      <c r="R161" s="99" t="n">
        <f aca="false">(Yield_Originals!$H161*Yield_Originals!R$1)/Yield_Originals!$K161</f>
        <v>0.302084163951129</v>
      </c>
      <c r="S161" s="99" t="n">
        <f aca="false">(Yield_Originals!$H161*Yield_Originals!S$1)/Yield_Originals!$K161</f>
        <v>0.310033747213001</v>
      </c>
      <c r="T161" s="101" t="n">
        <f aca="false">(Yield_Originals!$I161*Yield_Originals!T$1)/Yield_Originals!$K161</f>
        <v>0.319045452021774</v>
      </c>
      <c r="U161" s="101" t="n">
        <f aca="false">(Yield_Originals!$I161*Yield_Originals!U$1)/Yield_Originals!$K161</f>
        <v>0.327021588322318</v>
      </c>
      <c r="V161" s="101" t="n">
        <f aca="false">(Yield_Originals!$I161*Yield_Originals!V$1)/Yield_Originals!$K161</f>
        <v>0.334997724622863</v>
      </c>
      <c r="W161" s="101" t="n">
        <f aca="false">(Yield_Originals!$I161*Yield_Originals!W$1)/Yield_Originals!$K161</f>
        <v>0.342973860923407</v>
      </c>
      <c r="X161" s="102" t="n">
        <f aca="false">(Yield_Originals!$J161*Yield_Originals!X$1)/Yield_Originals!$K161</f>
        <v>0.369076266963726</v>
      </c>
      <c r="Y161" s="102" t="n">
        <f aca="false">(Yield_Originals!$J161*Yield_Originals!Y$1)/Yield_Originals!$K161</f>
        <v>0.377464363940174</v>
      </c>
      <c r="Z161" s="102" t="n">
        <f aca="false">(Yield_Originals!$J161*Yield_Originals!Z$1)/Yield_Originals!$K161</f>
        <v>0.385852460916623</v>
      </c>
      <c r="AA161" s="102" t="n">
        <f aca="false">(Yield_Originals!$J161*Yield_Originals!AA$1)/Yield_Originals!$K161</f>
        <v>0.394240557893071</v>
      </c>
      <c r="AB161" s="102" t="n">
        <f aca="false">(Yield_Originals!$J161*Yield_Originals!AB$1)/Yield_Originals!$K161</f>
        <v>0.40262865486952</v>
      </c>
    </row>
    <row r="162" customFormat="false" ht="15" hidden="false" customHeight="false" outlineLevel="0" collapsed="false">
      <c r="A162" s="103" t="s">
        <v>1099</v>
      </c>
      <c r="B162" s="64" t="n">
        <v>3</v>
      </c>
      <c r="C162" s="104" t="s">
        <v>1010</v>
      </c>
      <c r="D162" s="104" t="s">
        <v>1109</v>
      </c>
      <c r="E162" s="94" t="n">
        <v>28</v>
      </c>
      <c r="F162" s="96" t="n">
        <v>0.211280805951981</v>
      </c>
      <c r="G162" s="96" t="n">
        <v>0.211280805951981</v>
      </c>
      <c r="H162" s="96" t="n">
        <f aca="false">+(Yield_Originals!I162+Yield_Originals!G162)/2</f>
        <v>0.211988886983249</v>
      </c>
      <c r="I162" s="96" t="n">
        <v>0.212696968014516</v>
      </c>
      <c r="J162" s="96" t="n">
        <v>0.223682586038622</v>
      </c>
      <c r="K162" s="97" t="n">
        <v>1</v>
      </c>
      <c r="L162" s="98" t="n">
        <f aca="false">(Yield_Originals!$G162*Yield_Originals!L$1)/Yield_Originals!$K162</f>
        <v>0.253536967142377</v>
      </c>
      <c r="M162" s="98" t="n">
        <f aca="false">(Yield_Originals!$G162*Yield_Originals!M$1)/Yield_Originals!$K162</f>
        <v>0.261459997365576</v>
      </c>
      <c r="N162" s="98" t="n">
        <f aca="false">(Yield_Originals!$G162*Yield_Originals!N$1)/Yield_Originals!$K162</f>
        <v>0.269383027588776</v>
      </c>
      <c r="O162" s="98" t="n">
        <f aca="false">(Yield_Originals!$G162*Yield_Originals!O$1)/Yield_Originals!$K162</f>
        <v>0.277306057811975</v>
      </c>
      <c r="P162" s="99" t="n">
        <f aca="false">(Yield_Originals!$H162*Yield_Originals!P$1)/Yield_Originals!$K162</f>
        <v>0.286184997427385</v>
      </c>
      <c r="Q162" s="99" t="n">
        <f aca="false">(Yield_Originals!$H162*Yield_Originals!Q$1)/Yield_Originals!$K162</f>
        <v>0.294134580689257</v>
      </c>
      <c r="R162" s="99" t="n">
        <f aca="false">(Yield_Originals!$H162*Yield_Originals!R$1)/Yield_Originals!$K162</f>
        <v>0.302084163951129</v>
      </c>
      <c r="S162" s="99" t="n">
        <f aca="false">(Yield_Originals!$H162*Yield_Originals!S$1)/Yield_Originals!$K162</f>
        <v>0.310033747213001</v>
      </c>
      <c r="T162" s="101" t="n">
        <f aca="false">(Yield_Originals!$I162*Yield_Originals!T$1)/Yield_Originals!$K162</f>
        <v>0.319045452021774</v>
      </c>
      <c r="U162" s="101" t="n">
        <f aca="false">(Yield_Originals!$I162*Yield_Originals!U$1)/Yield_Originals!$K162</f>
        <v>0.327021588322318</v>
      </c>
      <c r="V162" s="101" t="n">
        <f aca="false">(Yield_Originals!$I162*Yield_Originals!V$1)/Yield_Originals!$K162</f>
        <v>0.334997724622863</v>
      </c>
      <c r="W162" s="101" t="n">
        <f aca="false">(Yield_Originals!$I162*Yield_Originals!W$1)/Yield_Originals!$K162</f>
        <v>0.342973860923407</v>
      </c>
      <c r="X162" s="102" t="n">
        <f aca="false">(Yield_Originals!$J162*Yield_Originals!X$1)/Yield_Originals!$K162</f>
        <v>0.369076266963726</v>
      </c>
      <c r="Y162" s="102" t="n">
        <f aca="false">(Yield_Originals!$J162*Yield_Originals!Y$1)/Yield_Originals!$K162</f>
        <v>0.377464363940174</v>
      </c>
      <c r="Z162" s="102" t="n">
        <f aca="false">(Yield_Originals!$J162*Yield_Originals!Z$1)/Yield_Originals!$K162</f>
        <v>0.385852460916623</v>
      </c>
      <c r="AA162" s="102" t="n">
        <f aca="false">(Yield_Originals!$J162*Yield_Originals!AA$1)/Yield_Originals!$K162</f>
        <v>0.394240557893071</v>
      </c>
      <c r="AB162" s="102" t="n">
        <f aca="false">(Yield_Originals!$J162*Yield_Originals!AB$1)/Yield_Originals!$K162</f>
        <v>0.40262865486952</v>
      </c>
    </row>
    <row r="163" customFormat="false" ht="15" hidden="false" customHeight="false" outlineLevel="0" collapsed="false">
      <c r="A163" s="103" t="s">
        <v>1099</v>
      </c>
      <c r="B163" s="64" t="n">
        <v>3</v>
      </c>
      <c r="C163" s="104" t="s">
        <v>1013</v>
      </c>
      <c r="D163" s="104" t="s">
        <v>1107</v>
      </c>
      <c r="E163" s="94" t="n">
        <v>28</v>
      </c>
      <c r="F163" s="96" t="n">
        <v>0.211280805951981</v>
      </c>
      <c r="G163" s="96" t="n">
        <v>0.211280805951981</v>
      </c>
      <c r="H163" s="96" t="n">
        <f aca="false">+(Yield_Originals!I163+Yield_Originals!G163)/2</f>
        <v>0.211988886983249</v>
      </c>
      <c r="I163" s="96" t="n">
        <v>0.212696968014516</v>
      </c>
      <c r="J163" s="96" t="n">
        <v>0.223682586038622</v>
      </c>
      <c r="K163" s="97" t="n">
        <v>1</v>
      </c>
      <c r="L163" s="98" t="n">
        <f aca="false">(Yield_Originals!$G163*Yield_Originals!L$1)/Yield_Originals!$K163</f>
        <v>0.253536967142377</v>
      </c>
      <c r="M163" s="98" t="n">
        <f aca="false">(Yield_Originals!$G163*Yield_Originals!M$1)/Yield_Originals!$K163</f>
        <v>0.261459997365576</v>
      </c>
      <c r="N163" s="98" t="n">
        <f aca="false">(Yield_Originals!$G163*Yield_Originals!N$1)/Yield_Originals!$K163</f>
        <v>0.269383027588776</v>
      </c>
      <c r="O163" s="98" t="n">
        <f aca="false">(Yield_Originals!$G163*Yield_Originals!O$1)/Yield_Originals!$K163</f>
        <v>0.277306057811975</v>
      </c>
      <c r="P163" s="99" t="n">
        <f aca="false">(Yield_Originals!$H163*Yield_Originals!P$1)/Yield_Originals!$K163</f>
        <v>0.286184997427385</v>
      </c>
      <c r="Q163" s="99" t="n">
        <f aca="false">(Yield_Originals!$H163*Yield_Originals!Q$1)/Yield_Originals!$K163</f>
        <v>0.294134580689257</v>
      </c>
      <c r="R163" s="99" t="n">
        <f aca="false">(Yield_Originals!$H163*Yield_Originals!R$1)/Yield_Originals!$K163</f>
        <v>0.302084163951129</v>
      </c>
      <c r="S163" s="99" t="n">
        <f aca="false">(Yield_Originals!$H163*Yield_Originals!S$1)/Yield_Originals!$K163</f>
        <v>0.310033747213001</v>
      </c>
      <c r="T163" s="101" t="n">
        <f aca="false">(Yield_Originals!$I163*Yield_Originals!T$1)/Yield_Originals!$K163</f>
        <v>0.319045452021774</v>
      </c>
      <c r="U163" s="101" t="n">
        <f aca="false">(Yield_Originals!$I163*Yield_Originals!U$1)/Yield_Originals!$K163</f>
        <v>0.327021588322318</v>
      </c>
      <c r="V163" s="101" t="n">
        <f aca="false">(Yield_Originals!$I163*Yield_Originals!V$1)/Yield_Originals!$K163</f>
        <v>0.334997724622863</v>
      </c>
      <c r="W163" s="101" t="n">
        <f aca="false">(Yield_Originals!$I163*Yield_Originals!W$1)/Yield_Originals!$K163</f>
        <v>0.342973860923407</v>
      </c>
      <c r="X163" s="102" t="n">
        <f aca="false">(Yield_Originals!$J163*Yield_Originals!X$1)/Yield_Originals!$K163</f>
        <v>0.369076266963726</v>
      </c>
      <c r="Y163" s="102" t="n">
        <f aca="false">(Yield_Originals!$J163*Yield_Originals!Y$1)/Yield_Originals!$K163</f>
        <v>0.377464363940174</v>
      </c>
      <c r="Z163" s="102" t="n">
        <f aca="false">(Yield_Originals!$J163*Yield_Originals!Z$1)/Yield_Originals!$K163</f>
        <v>0.385852460916623</v>
      </c>
      <c r="AA163" s="102" t="n">
        <f aca="false">(Yield_Originals!$J163*Yield_Originals!AA$1)/Yield_Originals!$K163</f>
        <v>0.394240557893071</v>
      </c>
      <c r="AB163" s="102" t="n">
        <f aca="false">(Yield_Originals!$J163*Yield_Originals!AB$1)/Yield_Originals!$K163</f>
        <v>0.40262865486952</v>
      </c>
    </row>
    <row r="164" customFormat="false" ht="15" hidden="false" customHeight="false" outlineLevel="0" collapsed="false">
      <c r="A164" s="103" t="s">
        <v>1171</v>
      </c>
      <c r="B164" s="64" t="n">
        <v>3</v>
      </c>
      <c r="C164" s="104" t="s">
        <v>471</v>
      </c>
      <c r="D164" s="104" t="s">
        <v>1170</v>
      </c>
      <c r="E164" s="94" t="n">
        <v>32</v>
      </c>
      <c r="F164" s="96" t="n">
        <v>0.0756645535834299</v>
      </c>
      <c r="G164" s="96" t="n">
        <v>0.0756645535834299</v>
      </c>
      <c r="H164" s="96" t="n">
        <f aca="false">+(Yield_Originals!I164+Yield_Originals!G164)/2</f>
        <v>0.0743751421558878</v>
      </c>
      <c r="I164" s="96" t="n">
        <v>0.0730857307283457</v>
      </c>
      <c r="J164" s="96" t="n">
        <v>0.0787337631541904</v>
      </c>
      <c r="K164" s="97" t="n">
        <v>1</v>
      </c>
      <c r="L164" s="98" t="n">
        <f aca="false">(Yield_Originals!$G164*Yield_Originals!L$1)/Yield_Originals!$K164</f>
        <v>0.0907974643001159</v>
      </c>
      <c r="M164" s="98" t="n">
        <f aca="false">(Yield_Originals!$G164*Yield_Originals!M$1)/Yield_Originals!$K164</f>
        <v>0.0936348850594945</v>
      </c>
      <c r="N164" s="98" t="n">
        <f aca="false">(Yield_Originals!$G164*Yield_Originals!N$1)/Yield_Originals!$K164</f>
        <v>0.0964723058188731</v>
      </c>
      <c r="O164" s="98" t="n">
        <f aca="false">(Yield_Originals!$G164*Yield_Originals!O$1)/Yield_Originals!$K164</f>
        <v>0.0993097265782517</v>
      </c>
      <c r="P164" s="99" t="n">
        <f aca="false">(Yield_Originals!$H164*Yield_Originals!P$1)/Yield_Originals!$K164</f>
        <v>0.100406441910449</v>
      </c>
      <c r="Q164" s="99" t="n">
        <f aca="false">(Yield_Originals!$H164*Yield_Originals!Q$1)/Yield_Originals!$K164</f>
        <v>0.103195509741294</v>
      </c>
      <c r="R164" s="99" t="n">
        <f aca="false">(Yield_Originals!$H164*Yield_Originals!R$1)/Yield_Originals!$K164</f>
        <v>0.10598457757214</v>
      </c>
      <c r="S164" s="99" t="n">
        <f aca="false">(Yield_Originals!$H164*Yield_Originals!S$1)/Yield_Originals!$K164</f>
        <v>0.108773645402986</v>
      </c>
      <c r="T164" s="101" t="n">
        <f aca="false">(Yield_Originals!$I164*Yield_Originals!T$1)/Yield_Originals!$K164</f>
        <v>0.109628596092519</v>
      </c>
      <c r="U164" s="101" t="n">
        <f aca="false">(Yield_Originals!$I164*Yield_Originals!U$1)/Yield_Originals!$K164</f>
        <v>0.112369310994832</v>
      </c>
      <c r="V164" s="101" t="n">
        <f aca="false">(Yield_Originals!$I164*Yield_Originals!V$1)/Yield_Originals!$K164</f>
        <v>0.115110025897145</v>
      </c>
      <c r="W164" s="101" t="n">
        <f aca="false">(Yield_Originals!$I164*Yield_Originals!W$1)/Yield_Originals!$K164</f>
        <v>0.117850740799457</v>
      </c>
      <c r="X164" s="102" t="n">
        <f aca="false">(Yield_Originals!$J164*Yield_Originals!X$1)/Yield_Originals!$K164</f>
        <v>0.129910709204414</v>
      </c>
      <c r="Y164" s="102" t="n">
        <f aca="false">(Yield_Originals!$J164*Yield_Originals!Y$1)/Yield_Originals!$K164</f>
        <v>0.132863225322696</v>
      </c>
      <c r="Z164" s="102" t="n">
        <f aca="false">(Yield_Originals!$J164*Yield_Originals!Z$1)/Yield_Originals!$K164</f>
        <v>0.135815741440978</v>
      </c>
      <c r="AA164" s="102" t="n">
        <f aca="false">(Yield_Originals!$J164*Yield_Originals!AA$1)/Yield_Originals!$K164</f>
        <v>0.138768257559261</v>
      </c>
      <c r="AB164" s="102" t="n">
        <f aca="false">(Yield_Originals!$J164*Yield_Originals!AB$1)/Yield_Originals!$K164</f>
        <v>0.141720773677543</v>
      </c>
    </row>
    <row r="165" customFormat="false" ht="15" hidden="false" customHeight="false" outlineLevel="0" collapsed="false">
      <c r="A165" s="103" t="s">
        <v>1171</v>
      </c>
      <c r="B165" s="64" t="n">
        <v>3</v>
      </c>
      <c r="C165" s="104" t="s">
        <v>1018</v>
      </c>
      <c r="D165" s="104" t="s">
        <v>1170</v>
      </c>
      <c r="E165" s="94" t="n">
        <v>32</v>
      </c>
      <c r="F165" s="96" t="n">
        <v>0.0756645535834299</v>
      </c>
      <c r="G165" s="96" t="n">
        <v>0.0756645535834299</v>
      </c>
      <c r="H165" s="96" t="n">
        <f aca="false">+(Yield_Originals!I165+Yield_Originals!G165)/2</f>
        <v>0.0743751421558878</v>
      </c>
      <c r="I165" s="96" t="n">
        <v>0.0730857307283457</v>
      </c>
      <c r="J165" s="96" t="n">
        <v>0.0787337631541904</v>
      </c>
      <c r="K165" s="97" t="n">
        <v>1</v>
      </c>
      <c r="L165" s="98" t="n">
        <f aca="false">(Yield_Originals!$G165*Yield_Originals!L$1)/Yield_Originals!$K165</f>
        <v>0.0907974643001159</v>
      </c>
      <c r="M165" s="98" t="n">
        <f aca="false">(Yield_Originals!$G165*Yield_Originals!M$1)/Yield_Originals!$K165</f>
        <v>0.0936348850594945</v>
      </c>
      <c r="N165" s="98" t="n">
        <f aca="false">(Yield_Originals!$G165*Yield_Originals!N$1)/Yield_Originals!$K165</f>
        <v>0.0964723058188731</v>
      </c>
      <c r="O165" s="98" t="n">
        <f aca="false">(Yield_Originals!$G165*Yield_Originals!O$1)/Yield_Originals!$K165</f>
        <v>0.0993097265782517</v>
      </c>
      <c r="P165" s="99" t="n">
        <f aca="false">(Yield_Originals!$H165*Yield_Originals!P$1)/Yield_Originals!$K165</f>
        <v>0.100406441910449</v>
      </c>
      <c r="Q165" s="99" t="n">
        <f aca="false">(Yield_Originals!$H165*Yield_Originals!Q$1)/Yield_Originals!$K165</f>
        <v>0.103195509741294</v>
      </c>
      <c r="R165" s="99" t="n">
        <f aca="false">(Yield_Originals!$H165*Yield_Originals!R$1)/Yield_Originals!$K165</f>
        <v>0.10598457757214</v>
      </c>
      <c r="S165" s="99" t="n">
        <f aca="false">(Yield_Originals!$H165*Yield_Originals!S$1)/Yield_Originals!$K165</f>
        <v>0.108773645402986</v>
      </c>
      <c r="T165" s="101" t="n">
        <f aca="false">(Yield_Originals!$I165*Yield_Originals!T$1)/Yield_Originals!$K165</f>
        <v>0.109628596092519</v>
      </c>
      <c r="U165" s="101" t="n">
        <f aca="false">(Yield_Originals!$I165*Yield_Originals!U$1)/Yield_Originals!$K165</f>
        <v>0.112369310994832</v>
      </c>
      <c r="V165" s="101" t="n">
        <f aca="false">(Yield_Originals!$I165*Yield_Originals!V$1)/Yield_Originals!$K165</f>
        <v>0.115110025897145</v>
      </c>
      <c r="W165" s="101" t="n">
        <f aca="false">(Yield_Originals!$I165*Yield_Originals!W$1)/Yield_Originals!$K165</f>
        <v>0.117850740799457</v>
      </c>
      <c r="X165" s="102" t="n">
        <f aca="false">(Yield_Originals!$J165*Yield_Originals!X$1)/Yield_Originals!$K165</f>
        <v>0.129910709204414</v>
      </c>
      <c r="Y165" s="102" t="n">
        <f aca="false">(Yield_Originals!$J165*Yield_Originals!Y$1)/Yield_Originals!$K165</f>
        <v>0.132863225322696</v>
      </c>
      <c r="Z165" s="102" t="n">
        <f aca="false">(Yield_Originals!$J165*Yield_Originals!Z$1)/Yield_Originals!$K165</f>
        <v>0.135815741440978</v>
      </c>
      <c r="AA165" s="102" t="n">
        <f aca="false">(Yield_Originals!$J165*Yield_Originals!AA$1)/Yield_Originals!$K165</f>
        <v>0.138768257559261</v>
      </c>
      <c r="AB165" s="102" t="n">
        <f aca="false">(Yield_Originals!$J165*Yield_Originals!AB$1)/Yield_Originals!$K165</f>
        <v>0.141720773677543</v>
      </c>
    </row>
    <row r="166" customFormat="false" ht="15" hidden="false" customHeight="false" outlineLevel="0" collapsed="false">
      <c r="A166" s="103" t="s">
        <v>1180</v>
      </c>
      <c r="B166" s="64" t="n">
        <v>3</v>
      </c>
      <c r="C166" s="104" t="s">
        <v>1022</v>
      </c>
      <c r="D166" s="104" t="s">
        <v>1179</v>
      </c>
      <c r="E166" s="94" t="n">
        <v>34</v>
      </c>
      <c r="F166" s="96" t="n">
        <v>0.211280805951981</v>
      </c>
      <c r="G166" s="96" t="n">
        <v>0.211280805951981</v>
      </c>
      <c r="H166" s="96" t="n">
        <f aca="false">+(Yield_Originals!I166+Yield_Originals!G166)/2</f>
        <v>0.211988886983249</v>
      </c>
      <c r="I166" s="96" t="n">
        <v>0.212696968014516</v>
      </c>
      <c r="J166" s="96" t="n">
        <v>0.223682586038622</v>
      </c>
      <c r="K166" s="97" t="n">
        <v>1</v>
      </c>
      <c r="L166" s="98" t="n">
        <f aca="false">(Yield_Originals!$G166*Yield_Originals!L$1)/Yield_Originals!$K166</f>
        <v>0.253536967142377</v>
      </c>
      <c r="M166" s="98" t="n">
        <f aca="false">(Yield_Originals!$G166*Yield_Originals!M$1)/Yield_Originals!$K166</f>
        <v>0.261459997365576</v>
      </c>
      <c r="N166" s="98" t="n">
        <f aca="false">(Yield_Originals!$G166*Yield_Originals!N$1)/Yield_Originals!$K166</f>
        <v>0.269383027588776</v>
      </c>
      <c r="O166" s="98" t="n">
        <f aca="false">(Yield_Originals!$G166*Yield_Originals!O$1)/Yield_Originals!$K166</f>
        <v>0.277306057811975</v>
      </c>
      <c r="P166" s="99" t="n">
        <f aca="false">(Yield_Originals!$H166*Yield_Originals!P$1)/Yield_Originals!$K166</f>
        <v>0.286184997427385</v>
      </c>
      <c r="Q166" s="99" t="n">
        <f aca="false">(Yield_Originals!$H166*Yield_Originals!Q$1)/Yield_Originals!$K166</f>
        <v>0.294134580689257</v>
      </c>
      <c r="R166" s="99" t="n">
        <f aca="false">(Yield_Originals!$H166*Yield_Originals!R$1)/Yield_Originals!$K166</f>
        <v>0.302084163951129</v>
      </c>
      <c r="S166" s="99" t="n">
        <f aca="false">(Yield_Originals!$H166*Yield_Originals!S$1)/Yield_Originals!$K166</f>
        <v>0.310033747213001</v>
      </c>
      <c r="T166" s="101" t="n">
        <f aca="false">(Yield_Originals!$I166*Yield_Originals!T$1)/Yield_Originals!$K166</f>
        <v>0.319045452021774</v>
      </c>
      <c r="U166" s="101" t="n">
        <f aca="false">(Yield_Originals!$I166*Yield_Originals!U$1)/Yield_Originals!$K166</f>
        <v>0.327021588322318</v>
      </c>
      <c r="V166" s="101" t="n">
        <f aca="false">(Yield_Originals!$I166*Yield_Originals!V$1)/Yield_Originals!$K166</f>
        <v>0.334997724622863</v>
      </c>
      <c r="W166" s="101" t="n">
        <f aca="false">(Yield_Originals!$I166*Yield_Originals!W$1)/Yield_Originals!$K166</f>
        <v>0.342973860923407</v>
      </c>
      <c r="X166" s="102" t="n">
        <f aca="false">(Yield_Originals!$J166*Yield_Originals!X$1)/Yield_Originals!$K166</f>
        <v>0.369076266963726</v>
      </c>
      <c r="Y166" s="102" t="n">
        <f aca="false">(Yield_Originals!$J166*Yield_Originals!Y$1)/Yield_Originals!$K166</f>
        <v>0.377464363940174</v>
      </c>
      <c r="Z166" s="102" t="n">
        <f aca="false">(Yield_Originals!$J166*Yield_Originals!Z$1)/Yield_Originals!$K166</f>
        <v>0.385852460916623</v>
      </c>
      <c r="AA166" s="102" t="n">
        <f aca="false">(Yield_Originals!$J166*Yield_Originals!AA$1)/Yield_Originals!$K166</f>
        <v>0.394240557893071</v>
      </c>
      <c r="AB166" s="102" t="n">
        <f aca="false">(Yield_Originals!$J166*Yield_Originals!AB$1)/Yield_Originals!$K166</f>
        <v>0.40262865486952</v>
      </c>
    </row>
    <row r="167" customFormat="false" ht="15" hidden="false" customHeight="false" outlineLevel="0" collapsed="false">
      <c r="A167" s="103" t="s">
        <v>1099</v>
      </c>
      <c r="B167" s="64" t="n">
        <v>3</v>
      </c>
      <c r="C167" s="104" t="s">
        <v>218</v>
      </c>
      <c r="D167" s="104" t="s">
        <v>1105</v>
      </c>
      <c r="E167" s="94" t="n">
        <v>28</v>
      </c>
      <c r="F167" s="96" t="n">
        <v>0.211280805951981</v>
      </c>
      <c r="G167" s="96" t="n">
        <v>0.211280805951981</v>
      </c>
      <c r="H167" s="96" t="n">
        <f aca="false">+(Yield_Originals!I167+Yield_Originals!G167)/2</f>
        <v>0.211988886983249</v>
      </c>
      <c r="I167" s="96" t="n">
        <v>0.212696968014516</v>
      </c>
      <c r="J167" s="96" t="n">
        <v>0.223682586038622</v>
      </c>
      <c r="K167" s="97" t="n">
        <v>1</v>
      </c>
      <c r="L167" s="98" t="n">
        <f aca="false">(Yield_Originals!$G167*Yield_Originals!L$1)/Yield_Originals!$K167</f>
        <v>0.253536967142377</v>
      </c>
      <c r="M167" s="98" t="n">
        <f aca="false">(Yield_Originals!$G167*Yield_Originals!M$1)/Yield_Originals!$K167</f>
        <v>0.261459997365576</v>
      </c>
      <c r="N167" s="98" t="n">
        <f aca="false">(Yield_Originals!$G167*Yield_Originals!N$1)/Yield_Originals!$K167</f>
        <v>0.269383027588776</v>
      </c>
      <c r="O167" s="98" t="n">
        <f aca="false">(Yield_Originals!$G167*Yield_Originals!O$1)/Yield_Originals!$K167</f>
        <v>0.277306057811975</v>
      </c>
      <c r="P167" s="99" t="n">
        <f aca="false">(Yield_Originals!$H167*Yield_Originals!P$1)/Yield_Originals!$K167</f>
        <v>0.286184997427385</v>
      </c>
      <c r="Q167" s="99" t="n">
        <f aca="false">(Yield_Originals!$H167*Yield_Originals!Q$1)/Yield_Originals!$K167</f>
        <v>0.294134580689257</v>
      </c>
      <c r="R167" s="99" t="n">
        <f aca="false">(Yield_Originals!$H167*Yield_Originals!R$1)/Yield_Originals!$K167</f>
        <v>0.302084163951129</v>
      </c>
      <c r="S167" s="99" t="n">
        <f aca="false">(Yield_Originals!$H167*Yield_Originals!S$1)/Yield_Originals!$K167</f>
        <v>0.310033747213001</v>
      </c>
      <c r="T167" s="101" t="n">
        <f aca="false">(Yield_Originals!$I167*Yield_Originals!T$1)/Yield_Originals!$K167</f>
        <v>0.319045452021774</v>
      </c>
      <c r="U167" s="101" t="n">
        <f aca="false">(Yield_Originals!$I167*Yield_Originals!U$1)/Yield_Originals!$K167</f>
        <v>0.327021588322318</v>
      </c>
      <c r="V167" s="101" t="n">
        <f aca="false">(Yield_Originals!$I167*Yield_Originals!V$1)/Yield_Originals!$K167</f>
        <v>0.334997724622863</v>
      </c>
      <c r="W167" s="101" t="n">
        <f aca="false">(Yield_Originals!$I167*Yield_Originals!W$1)/Yield_Originals!$K167</f>
        <v>0.342973860923407</v>
      </c>
      <c r="X167" s="102" t="n">
        <f aca="false">(Yield_Originals!$J167*Yield_Originals!X$1)/Yield_Originals!$K167</f>
        <v>0.369076266963726</v>
      </c>
      <c r="Y167" s="102" t="n">
        <f aca="false">(Yield_Originals!$J167*Yield_Originals!Y$1)/Yield_Originals!$K167</f>
        <v>0.377464363940174</v>
      </c>
      <c r="Z167" s="102" t="n">
        <f aca="false">(Yield_Originals!$J167*Yield_Originals!Z$1)/Yield_Originals!$K167</f>
        <v>0.385852460916623</v>
      </c>
      <c r="AA167" s="102" t="n">
        <f aca="false">(Yield_Originals!$J167*Yield_Originals!AA$1)/Yield_Originals!$K167</f>
        <v>0.394240557893071</v>
      </c>
      <c r="AB167" s="102" t="n">
        <f aca="false">(Yield_Originals!$J167*Yield_Originals!AB$1)/Yield_Originals!$K167</f>
        <v>0.40262865486952</v>
      </c>
    </row>
    <row r="168" customFormat="false" ht="15" hidden="false" customHeight="false" outlineLevel="0" collapsed="false">
      <c r="A168" s="103" t="s">
        <v>1116</v>
      </c>
      <c r="B168" s="64" t="n">
        <v>3</v>
      </c>
      <c r="C168" s="104" t="s">
        <v>240</v>
      </c>
      <c r="D168" s="104" t="s">
        <v>1137</v>
      </c>
      <c r="E168" s="94" t="n">
        <v>30</v>
      </c>
      <c r="F168" s="96" t="n">
        <v>0.149005272863769</v>
      </c>
      <c r="G168" s="96" t="n">
        <v>0.149005272863769</v>
      </c>
      <c r="H168" s="96" t="n">
        <f aca="false">+(Yield_Originals!I168+Yield_Originals!G168)/2</f>
        <v>0.153748071476954</v>
      </c>
      <c r="I168" s="96" t="n">
        <v>0.158490870090138</v>
      </c>
      <c r="J168" s="96" t="n">
        <v>0.169281787727845</v>
      </c>
      <c r="K168" s="97" t="n">
        <v>1</v>
      </c>
      <c r="L168" s="98" t="n">
        <f aca="false">(Yield_Originals!$G168*Yield_Originals!L$1)/Yield_Originals!$K168</f>
        <v>0.178806327436523</v>
      </c>
      <c r="M168" s="98" t="n">
        <f aca="false">(Yield_Originals!$G168*Yield_Originals!M$1)/Yield_Originals!$K168</f>
        <v>0.184394025168914</v>
      </c>
      <c r="N168" s="98" t="n">
        <f aca="false">(Yield_Originals!$G168*Yield_Originals!N$1)/Yield_Originals!$K168</f>
        <v>0.189981722901306</v>
      </c>
      <c r="O168" s="98" t="n">
        <f aca="false">(Yield_Originals!$G168*Yield_Originals!O$1)/Yield_Originals!$K168</f>
        <v>0.195569420633697</v>
      </c>
      <c r="P168" s="99"/>
      <c r="Q168" s="99"/>
      <c r="R168" s="99"/>
      <c r="S168" s="99"/>
      <c r="T168" s="101"/>
      <c r="U168" s="101"/>
      <c r="V168" s="101"/>
      <c r="W168" s="101"/>
      <c r="X168" s="102"/>
      <c r="Y168" s="102"/>
      <c r="Z168" s="102"/>
      <c r="AA168" s="102"/>
      <c r="AB168" s="102"/>
    </row>
    <row r="169" customFormat="false" ht="15" hidden="false" customHeight="false" outlineLevel="0" collapsed="false">
      <c r="A169" s="103" t="s">
        <v>1116</v>
      </c>
      <c r="B169" s="64" t="n">
        <v>3</v>
      </c>
      <c r="C169" s="104" t="s">
        <v>126</v>
      </c>
      <c r="D169" s="104" t="s">
        <v>1121</v>
      </c>
      <c r="E169" s="94" t="n">
        <v>30</v>
      </c>
      <c r="F169" s="96" t="n">
        <v>0.149005272863769</v>
      </c>
      <c r="G169" s="96" t="n">
        <v>0.149005272863769</v>
      </c>
      <c r="H169" s="96" t="n">
        <f aca="false">+(Yield_Originals!I169+Yield_Originals!G169)/2</f>
        <v>0.153748071476954</v>
      </c>
      <c r="I169" s="96" t="n">
        <v>0.158490870090138</v>
      </c>
      <c r="J169" s="96" t="n">
        <v>0.169281787727845</v>
      </c>
      <c r="K169" s="97" t="n">
        <v>1</v>
      </c>
      <c r="L169" s="98"/>
      <c r="M169" s="98"/>
      <c r="N169" s="98"/>
      <c r="O169" s="98"/>
      <c r="P169" s="99" t="n">
        <f aca="false">(Yield_Originals!$H169*Yield_Originals!P$1)/Yield_Originals!$K169</f>
        <v>0.207559896493887</v>
      </c>
      <c r="Q169" s="99" t="n">
        <f aca="false">(Yield_Originals!$H169*Yield_Originals!Q$1)/Yield_Originals!$K169</f>
        <v>0.213325449174273</v>
      </c>
      <c r="R169" s="99" t="n">
        <f aca="false">(Yield_Originals!$H169*Yield_Originals!R$1)/Yield_Originals!$K169</f>
        <v>0.219091001854659</v>
      </c>
      <c r="S169" s="99" t="n">
        <f aca="false">(Yield_Originals!$H169*Yield_Originals!S$1)/Yield_Originals!$K169</f>
        <v>0.224856554535045</v>
      </c>
      <c r="T169" s="101" t="n">
        <f aca="false">(Yield_Originals!$I169*Yield_Originals!T$1)/Yield_Originals!$K169</f>
        <v>0.237736305135207</v>
      </c>
      <c r="U169" s="101" t="n">
        <f aca="false">(Yield_Originals!$I169*Yield_Originals!U$1)/Yield_Originals!$K169</f>
        <v>0.243679712763587</v>
      </c>
      <c r="V169" s="101" t="n">
        <f aca="false">(Yield_Originals!$I169*Yield_Originals!V$1)/Yield_Originals!$K169</f>
        <v>0.249623120391967</v>
      </c>
      <c r="W169" s="101" t="n">
        <f aca="false">(Yield_Originals!$I169*Yield_Originals!W$1)/Yield_Originals!$K169</f>
        <v>0.255566528020347</v>
      </c>
      <c r="X169" s="102" t="n">
        <f aca="false">(Yield_Originals!$J169*Yield_Originals!X$1)/Yield_Originals!$K169</f>
        <v>0.279314949750944</v>
      </c>
      <c r="Y169" s="102" t="n">
        <f aca="false">(Yield_Originals!$J169*Yield_Originals!Y$1)/Yield_Originals!$K169</f>
        <v>0.285663016790738</v>
      </c>
      <c r="Z169" s="102" t="n">
        <f aca="false">(Yield_Originals!$J169*Yield_Originals!Z$1)/Yield_Originals!$K169</f>
        <v>0.292011083830533</v>
      </c>
      <c r="AA169" s="102" t="n">
        <f aca="false">(Yield_Originals!$J169*Yield_Originals!AA$1)/Yield_Originals!$K169</f>
        <v>0.298359150870327</v>
      </c>
      <c r="AB169" s="102" t="n">
        <f aca="false">(Yield_Originals!$J169*Yield_Originals!AB$1)/Yield_Originals!$K169</f>
        <v>0.304707217910121</v>
      </c>
    </row>
    <row r="170" customFormat="false" ht="15" hidden="false" customHeight="false" outlineLevel="0" collapsed="false">
      <c r="A170" s="103" t="s">
        <v>1116</v>
      </c>
      <c r="B170" s="64" t="n">
        <v>3</v>
      </c>
      <c r="C170" s="104" t="s">
        <v>1031</v>
      </c>
      <c r="D170" s="104" t="s">
        <v>1124</v>
      </c>
      <c r="E170" s="94" t="n">
        <v>30</v>
      </c>
      <c r="F170" s="96" t="n">
        <v>0.149005272863769</v>
      </c>
      <c r="G170" s="96" t="n">
        <v>0.149005272863769</v>
      </c>
      <c r="H170" s="96" t="n">
        <f aca="false">+(Yield_Originals!I170+Yield_Originals!G170)/2</f>
        <v>0.153748071476954</v>
      </c>
      <c r="I170" s="96" t="n">
        <v>0.158490870090138</v>
      </c>
      <c r="J170" s="96" t="n">
        <v>0.169281787727845</v>
      </c>
      <c r="K170" s="97" t="n">
        <v>1</v>
      </c>
      <c r="L170" s="98"/>
      <c r="M170" s="98"/>
      <c r="N170" s="98"/>
      <c r="O170" s="98"/>
      <c r="P170" s="99" t="n">
        <f aca="false">(Yield_Originals!$H170*Yield_Originals!P$1)/Yield_Originals!$K170</f>
        <v>0.207559896493887</v>
      </c>
      <c r="Q170" s="99" t="n">
        <f aca="false">(Yield_Originals!$H170*Yield_Originals!Q$1)/Yield_Originals!$K170</f>
        <v>0.213325449174273</v>
      </c>
      <c r="R170" s="99" t="n">
        <f aca="false">(Yield_Originals!$H170*Yield_Originals!R$1)/Yield_Originals!$K170</f>
        <v>0.219091001854659</v>
      </c>
      <c r="S170" s="99" t="n">
        <f aca="false">(Yield_Originals!$H170*Yield_Originals!S$1)/Yield_Originals!$K170</f>
        <v>0.224856554535045</v>
      </c>
      <c r="T170" s="101" t="n">
        <f aca="false">(Yield_Originals!$I170*Yield_Originals!T$1)/Yield_Originals!$K170</f>
        <v>0.237736305135207</v>
      </c>
      <c r="U170" s="101" t="n">
        <f aca="false">(Yield_Originals!$I170*Yield_Originals!U$1)/Yield_Originals!$K170</f>
        <v>0.243679712763587</v>
      </c>
      <c r="V170" s="101" t="n">
        <f aca="false">(Yield_Originals!$I170*Yield_Originals!V$1)/Yield_Originals!$K170</f>
        <v>0.249623120391967</v>
      </c>
      <c r="W170" s="101" t="n">
        <f aca="false">(Yield_Originals!$I170*Yield_Originals!W$1)/Yield_Originals!$K170</f>
        <v>0.255566528020347</v>
      </c>
      <c r="X170" s="102" t="n">
        <f aca="false">(Yield_Originals!$J170*Yield_Originals!X$1)/Yield_Originals!$K170</f>
        <v>0.279314949750944</v>
      </c>
      <c r="Y170" s="102" t="n">
        <f aca="false">(Yield_Originals!$J170*Yield_Originals!Y$1)/Yield_Originals!$K170</f>
        <v>0.285663016790738</v>
      </c>
      <c r="Z170" s="102" t="n">
        <f aca="false">(Yield_Originals!$J170*Yield_Originals!Z$1)/Yield_Originals!$K170</f>
        <v>0.292011083830533</v>
      </c>
      <c r="AA170" s="102" t="n">
        <f aca="false">(Yield_Originals!$J170*Yield_Originals!AA$1)/Yield_Originals!$K170</f>
        <v>0.298359150870327</v>
      </c>
      <c r="AB170" s="102" t="n">
        <f aca="false">(Yield_Originals!$J170*Yield_Originals!AB$1)/Yield_Originals!$K170</f>
        <v>0.304707217910121</v>
      </c>
    </row>
    <row r="171" customFormat="false" ht="15" hidden="false" customHeight="false" outlineLevel="0" collapsed="false">
      <c r="A171" s="103" t="s">
        <v>1116</v>
      </c>
      <c r="B171" s="64" t="n">
        <v>3</v>
      </c>
      <c r="C171" s="104" t="s">
        <v>241</v>
      </c>
      <c r="D171" s="104" t="s">
        <v>1129</v>
      </c>
      <c r="E171" s="94" t="n">
        <v>30</v>
      </c>
      <c r="F171" s="96" t="n">
        <v>0.149005272863769</v>
      </c>
      <c r="G171" s="96" t="n">
        <v>0.149005272863769</v>
      </c>
      <c r="H171" s="96" t="n">
        <f aca="false">+(Yield_Originals!I171+Yield_Originals!G171)/2</f>
        <v>0.153748071476954</v>
      </c>
      <c r="I171" s="96" t="n">
        <v>0.158490870090138</v>
      </c>
      <c r="J171" s="96" t="n">
        <v>0.169281787727845</v>
      </c>
      <c r="K171" s="97" t="n">
        <v>1</v>
      </c>
      <c r="L171" s="98"/>
      <c r="M171" s="98"/>
      <c r="N171" s="98"/>
      <c r="O171" s="98"/>
      <c r="P171" s="99"/>
      <c r="Q171" s="99"/>
      <c r="R171" s="99" t="n">
        <f aca="false">(Yield_Originals!$H171*Yield_Originals!R$1)/Yield_Originals!$K171</f>
        <v>0.219091001854659</v>
      </c>
      <c r="S171" s="99" t="n">
        <f aca="false">(Yield_Originals!$H171*Yield_Originals!S$1)/Yield_Originals!$K171</f>
        <v>0.224856554535045</v>
      </c>
      <c r="T171" s="101" t="n">
        <f aca="false">(Yield_Originals!$I171*Yield_Originals!T$1)/Yield_Originals!$K171</f>
        <v>0.237736305135207</v>
      </c>
      <c r="U171" s="101" t="n">
        <f aca="false">(Yield_Originals!$I171*Yield_Originals!U$1)/Yield_Originals!$K171</f>
        <v>0.243679712763587</v>
      </c>
      <c r="V171" s="101" t="n">
        <f aca="false">(Yield_Originals!$I171*Yield_Originals!V$1)/Yield_Originals!$K171</f>
        <v>0.249623120391967</v>
      </c>
      <c r="W171" s="101" t="n">
        <f aca="false">(Yield_Originals!$I171*Yield_Originals!W$1)/Yield_Originals!$K171</f>
        <v>0.255566528020347</v>
      </c>
      <c r="X171" s="102"/>
      <c r="Y171" s="102"/>
      <c r="Z171" s="102"/>
      <c r="AA171" s="102"/>
      <c r="AB171" s="102"/>
    </row>
    <row r="172" customFormat="false" ht="15" hidden="false" customHeight="false" outlineLevel="0" collapsed="false">
      <c r="A172" s="103" t="s">
        <v>1116</v>
      </c>
      <c r="B172" s="64" t="n">
        <v>3</v>
      </c>
      <c r="C172" s="104" t="s">
        <v>1036</v>
      </c>
      <c r="D172" s="104" t="s">
        <v>1127</v>
      </c>
      <c r="E172" s="94" t="n">
        <v>30</v>
      </c>
      <c r="F172" s="96" t="n">
        <v>0.149005272863769</v>
      </c>
      <c r="G172" s="96" t="n">
        <v>0.149005272863769</v>
      </c>
      <c r="H172" s="96" t="n">
        <f aca="false">+(Yield_Originals!I172+Yield_Originals!G172)/2</f>
        <v>0.153748071476954</v>
      </c>
      <c r="I172" s="96" t="n">
        <v>0.158490870090138</v>
      </c>
      <c r="J172" s="96" t="n">
        <v>0.169281787727845</v>
      </c>
      <c r="K172" s="97" t="n">
        <v>1</v>
      </c>
      <c r="L172" s="98"/>
      <c r="M172" s="98"/>
      <c r="N172" s="98"/>
      <c r="O172" s="98"/>
      <c r="P172" s="99"/>
      <c r="Q172" s="99"/>
      <c r="R172" s="99" t="n">
        <f aca="false">(Yield_Originals!$H172*Yield_Originals!R$1)/Yield_Originals!$K172</f>
        <v>0.219091001854659</v>
      </c>
      <c r="S172" s="99" t="n">
        <f aca="false">(Yield_Originals!$H172*Yield_Originals!S$1)/Yield_Originals!$K172</f>
        <v>0.224856554535045</v>
      </c>
      <c r="T172" s="101" t="n">
        <f aca="false">(Yield_Originals!$I172*Yield_Originals!T$1)/Yield_Originals!$K172</f>
        <v>0.237736305135207</v>
      </c>
      <c r="U172" s="101" t="n">
        <f aca="false">(Yield_Originals!$I172*Yield_Originals!U$1)/Yield_Originals!$K172</f>
        <v>0.243679712763587</v>
      </c>
      <c r="V172" s="101" t="n">
        <f aca="false">(Yield_Originals!$I172*Yield_Originals!V$1)/Yield_Originals!$K172</f>
        <v>0.249623120391967</v>
      </c>
      <c r="W172" s="101" t="n">
        <f aca="false">(Yield_Originals!$I172*Yield_Originals!W$1)/Yield_Originals!$K172</f>
        <v>0.255566528020347</v>
      </c>
      <c r="X172" s="102"/>
      <c r="Y172" s="102"/>
      <c r="Z172" s="102"/>
      <c r="AA172" s="102"/>
      <c r="AB172" s="102"/>
    </row>
    <row r="173" customFormat="false" ht="15" hidden="false" customHeight="false" outlineLevel="0" collapsed="false">
      <c r="A173" s="103" t="s">
        <v>1116</v>
      </c>
      <c r="B173" s="64" t="n">
        <v>3</v>
      </c>
      <c r="C173" s="104" t="s">
        <v>242</v>
      </c>
      <c r="D173" s="104" t="s">
        <v>1131</v>
      </c>
      <c r="E173" s="94" t="n">
        <v>30</v>
      </c>
      <c r="F173" s="96" t="n">
        <v>0.149005272863769</v>
      </c>
      <c r="G173" s="96" t="n">
        <v>0.149005272863769</v>
      </c>
      <c r="H173" s="96" t="n">
        <f aca="false">+(Yield_Originals!I173+Yield_Originals!G173)/2</f>
        <v>0.153748071476954</v>
      </c>
      <c r="I173" s="96" t="n">
        <v>0.158490870090138</v>
      </c>
      <c r="J173" s="96" t="n">
        <v>0.169281787727845</v>
      </c>
      <c r="K173" s="97" t="n">
        <v>1</v>
      </c>
      <c r="L173" s="98" t="n">
        <f aca="false">(Yield_Originals!$G173*Yield_Originals!L$1)/Yield_Originals!$K173</f>
        <v>0.178806327436523</v>
      </c>
      <c r="M173" s="98" t="n">
        <f aca="false">(Yield_Originals!$G173*Yield_Originals!M$1)/Yield_Originals!$K173</f>
        <v>0.184394025168914</v>
      </c>
      <c r="N173" s="98" t="n">
        <f aca="false">(Yield_Originals!$G173*Yield_Originals!N$1)/Yield_Originals!$K173</f>
        <v>0.189981722901306</v>
      </c>
      <c r="O173" s="98" t="n">
        <f aca="false">(Yield_Originals!$G173*Yield_Originals!O$1)/Yield_Originals!$K173</f>
        <v>0.195569420633697</v>
      </c>
      <c r="P173" s="99" t="n">
        <f aca="false">(Yield_Originals!$H173*Yield_Originals!P$1)/Yield_Originals!$K173</f>
        <v>0.207559896493887</v>
      </c>
      <c r="Q173" s="99" t="n">
        <f aca="false">(Yield_Originals!$H173*Yield_Originals!Q$1)/Yield_Originals!$K173</f>
        <v>0.213325449174273</v>
      </c>
      <c r="R173" s="99" t="n">
        <f aca="false">(Yield_Originals!$H173*Yield_Originals!R$1)/Yield_Originals!$K173</f>
        <v>0.219091001854659</v>
      </c>
      <c r="S173" s="99" t="n">
        <f aca="false">(Yield_Originals!$H173*Yield_Originals!S$1)/Yield_Originals!$K173</f>
        <v>0.224856554535045</v>
      </c>
      <c r="T173" s="101" t="n">
        <f aca="false">(Yield_Originals!$I173*Yield_Originals!T$1)/Yield_Originals!$K173</f>
        <v>0.237736305135207</v>
      </c>
      <c r="U173" s="101" t="n">
        <f aca="false">(Yield_Originals!$I173*Yield_Originals!U$1)/Yield_Originals!$K173</f>
        <v>0.243679712763587</v>
      </c>
      <c r="V173" s="101" t="n">
        <f aca="false">(Yield_Originals!$I173*Yield_Originals!V$1)/Yield_Originals!$K173</f>
        <v>0.249623120391967</v>
      </c>
      <c r="W173" s="101" t="n">
        <f aca="false">(Yield_Originals!$I173*Yield_Originals!W$1)/Yield_Originals!$K173</f>
        <v>0.255566528020347</v>
      </c>
      <c r="X173" s="102" t="n">
        <f aca="false">(Yield_Originals!$J173*Yield_Originals!X$1)/Yield_Originals!$K173</f>
        <v>0.279314949750944</v>
      </c>
      <c r="Y173" s="102" t="n">
        <f aca="false">(Yield_Originals!$J173*Yield_Originals!Y$1)/Yield_Originals!$K173</f>
        <v>0.285663016790738</v>
      </c>
      <c r="Z173" s="102" t="n">
        <f aca="false">(Yield_Originals!$J173*Yield_Originals!Z$1)/Yield_Originals!$K173</f>
        <v>0.292011083830533</v>
      </c>
      <c r="AA173" s="102" t="n">
        <f aca="false">(Yield_Originals!$J173*Yield_Originals!AA$1)/Yield_Originals!$K173</f>
        <v>0.298359150870327</v>
      </c>
      <c r="AB173" s="102" t="n">
        <f aca="false">(Yield_Originals!$J173*Yield_Originals!AB$1)/Yield_Originals!$K173</f>
        <v>0.304707217910121</v>
      </c>
    </row>
    <row r="174" customFormat="false" ht="15" hidden="false" customHeight="false" outlineLevel="0" collapsed="false">
      <c r="A174" s="103" t="s">
        <v>1116</v>
      </c>
      <c r="B174" s="64" t="n">
        <v>3</v>
      </c>
      <c r="C174" s="104" t="s">
        <v>219</v>
      </c>
      <c r="D174" s="104" t="s">
        <v>1115</v>
      </c>
      <c r="E174" s="94" t="n">
        <v>30</v>
      </c>
      <c r="F174" s="96" t="n">
        <v>0.149005272863769</v>
      </c>
      <c r="G174" s="96" t="n">
        <v>0.149005272863769</v>
      </c>
      <c r="H174" s="96" t="n">
        <f aca="false">+(Yield_Originals!I174+Yield_Originals!G174)/2</f>
        <v>0.153748071476954</v>
      </c>
      <c r="I174" s="96" t="n">
        <v>0.158490870090138</v>
      </c>
      <c r="J174" s="96" t="n">
        <v>0.169281787727845</v>
      </c>
      <c r="K174" s="97" t="n">
        <v>1</v>
      </c>
      <c r="L174" s="98" t="n">
        <f aca="false">(Yield_Originals!$G174*Yield_Originals!L$1)/Yield_Originals!$K174</f>
        <v>0.178806327436523</v>
      </c>
      <c r="M174" s="98" t="n">
        <f aca="false">(Yield_Originals!$G174*Yield_Originals!M$1)/Yield_Originals!$K174</f>
        <v>0.184394025168914</v>
      </c>
      <c r="N174" s="98" t="n">
        <f aca="false">(Yield_Originals!$G174*Yield_Originals!N$1)/Yield_Originals!$K174</f>
        <v>0.189981722901306</v>
      </c>
      <c r="O174" s="98" t="n">
        <f aca="false">(Yield_Originals!$G174*Yield_Originals!O$1)/Yield_Originals!$K174</f>
        <v>0.195569420633697</v>
      </c>
      <c r="P174" s="99" t="n">
        <f aca="false">(Yield_Originals!$H174*Yield_Originals!P$1)/Yield_Originals!$K174</f>
        <v>0.207559896493887</v>
      </c>
      <c r="Q174" s="99" t="n">
        <f aca="false">(Yield_Originals!$H174*Yield_Originals!Q$1)/Yield_Originals!$K174</f>
        <v>0.213325449174273</v>
      </c>
      <c r="R174" s="99" t="n">
        <f aca="false">(Yield_Originals!$H174*Yield_Originals!R$1)/Yield_Originals!$K174</f>
        <v>0.219091001854659</v>
      </c>
      <c r="S174" s="99" t="n">
        <f aca="false">(Yield_Originals!$H174*Yield_Originals!S$1)/Yield_Originals!$K174</f>
        <v>0.224856554535045</v>
      </c>
      <c r="T174" s="101" t="n">
        <f aca="false">(Yield_Originals!$I174*Yield_Originals!T$1)/Yield_Originals!$K174</f>
        <v>0.237736305135207</v>
      </c>
      <c r="U174" s="101" t="n">
        <f aca="false">(Yield_Originals!$I174*Yield_Originals!U$1)/Yield_Originals!$K174</f>
        <v>0.243679712763587</v>
      </c>
      <c r="V174" s="101" t="n">
        <f aca="false">(Yield_Originals!$I174*Yield_Originals!V$1)/Yield_Originals!$K174</f>
        <v>0.249623120391967</v>
      </c>
      <c r="W174" s="101" t="n">
        <f aca="false">(Yield_Originals!$I174*Yield_Originals!W$1)/Yield_Originals!$K174</f>
        <v>0.255566528020347</v>
      </c>
      <c r="X174" s="102" t="n">
        <f aca="false">(Yield_Originals!$J174*Yield_Originals!X$1)/Yield_Originals!$K174</f>
        <v>0.279314949750944</v>
      </c>
      <c r="Y174" s="102" t="n">
        <f aca="false">(Yield_Originals!$J174*Yield_Originals!Y$1)/Yield_Originals!$K174</f>
        <v>0.285663016790738</v>
      </c>
      <c r="Z174" s="102" t="n">
        <f aca="false">(Yield_Originals!$J174*Yield_Originals!Z$1)/Yield_Originals!$K174</f>
        <v>0.292011083830533</v>
      </c>
      <c r="AA174" s="102" t="n">
        <f aca="false">(Yield_Originals!$J174*Yield_Originals!AA$1)/Yield_Originals!$K174</f>
        <v>0.298359150870327</v>
      </c>
      <c r="AB174" s="102" t="n">
        <f aca="false">(Yield_Originals!$J174*Yield_Originals!AB$1)/Yield_Originals!$K174</f>
        <v>0.304707217910121</v>
      </c>
    </row>
    <row r="175" customFormat="false" ht="15" hidden="false" customHeight="false" outlineLevel="0" collapsed="false">
      <c r="A175" s="103" t="s">
        <v>1116</v>
      </c>
      <c r="B175" s="64" t="n">
        <v>3</v>
      </c>
      <c r="C175" s="104" t="s">
        <v>243</v>
      </c>
      <c r="D175" s="104" t="s">
        <v>1119</v>
      </c>
      <c r="E175" s="94" t="n">
        <v>30</v>
      </c>
      <c r="F175" s="96" t="n">
        <v>0.149005272863769</v>
      </c>
      <c r="G175" s="96" t="n">
        <v>0.149005272863769</v>
      </c>
      <c r="H175" s="96" t="n">
        <f aca="false">+(Yield_Originals!I175+Yield_Originals!G175)/2</f>
        <v>0.153748071476954</v>
      </c>
      <c r="I175" s="96" t="n">
        <v>0.158490870090138</v>
      </c>
      <c r="J175" s="96" t="n">
        <v>0.169281787727845</v>
      </c>
      <c r="K175" s="97" t="n">
        <v>1</v>
      </c>
      <c r="L175" s="98" t="n">
        <f aca="false">(Yield_Originals!$G175*Yield_Originals!L$1)/Yield_Originals!$K175</f>
        <v>0.178806327436523</v>
      </c>
      <c r="M175" s="98" t="n">
        <f aca="false">(Yield_Originals!$G175*Yield_Originals!M$1)/Yield_Originals!$K175</f>
        <v>0.184394025168914</v>
      </c>
      <c r="N175" s="98" t="n">
        <f aca="false">(Yield_Originals!$G175*Yield_Originals!N$1)/Yield_Originals!$K175</f>
        <v>0.189981722901306</v>
      </c>
      <c r="O175" s="98" t="n">
        <f aca="false">(Yield_Originals!$G175*Yield_Originals!O$1)/Yield_Originals!$K175</f>
        <v>0.195569420633697</v>
      </c>
      <c r="P175" s="99" t="n">
        <f aca="false">(Yield_Originals!$H175*Yield_Originals!P$1)/Yield_Originals!$K175</f>
        <v>0.207559896493887</v>
      </c>
      <c r="Q175" s="99" t="n">
        <f aca="false">(Yield_Originals!$H175*Yield_Originals!Q$1)/Yield_Originals!$K175</f>
        <v>0.213325449174273</v>
      </c>
      <c r="R175" s="99" t="n">
        <f aca="false">(Yield_Originals!$H175*Yield_Originals!R$1)/Yield_Originals!$K175</f>
        <v>0.219091001854659</v>
      </c>
      <c r="S175" s="99" t="n">
        <f aca="false">(Yield_Originals!$H175*Yield_Originals!S$1)/Yield_Originals!$K175</f>
        <v>0.224856554535045</v>
      </c>
      <c r="T175" s="101" t="n">
        <f aca="false">(Yield_Originals!$I175*Yield_Originals!T$1)/Yield_Originals!$K175</f>
        <v>0.237736305135207</v>
      </c>
      <c r="U175" s="101" t="n">
        <f aca="false">(Yield_Originals!$I175*Yield_Originals!U$1)/Yield_Originals!$K175</f>
        <v>0.243679712763587</v>
      </c>
      <c r="V175" s="101" t="n">
        <f aca="false">(Yield_Originals!$I175*Yield_Originals!V$1)/Yield_Originals!$K175</f>
        <v>0.249623120391967</v>
      </c>
      <c r="W175" s="101" t="n">
        <f aca="false">(Yield_Originals!$I175*Yield_Originals!W$1)/Yield_Originals!$K175</f>
        <v>0.255566528020347</v>
      </c>
      <c r="X175" s="102" t="n">
        <f aca="false">(Yield_Originals!$J175*Yield_Originals!X$1)/Yield_Originals!$K175</f>
        <v>0.279314949750944</v>
      </c>
      <c r="Y175" s="102" t="n">
        <f aca="false">(Yield_Originals!$J175*Yield_Originals!Y$1)/Yield_Originals!$K175</f>
        <v>0.285663016790738</v>
      </c>
      <c r="Z175" s="102" t="n">
        <f aca="false">(Yield_Originals!$J175*Yield_Originals!Z$1)/Yield_Originals!$K175</f>
        <v>0.292011083830533</v>
      </c>
      <c r="AA175" s="102" t="n">
        <f aca="false">(Yield_Originals!$J175*Yield_Originals!AA$1)/Yield_Originals!$K175</f>
        <v>0.298359150870327</v>
      </c>
      <c r="AB175" s="102" t="n">
        <f aca="false">(Yield_Originals!$J175*Yield_Originals!AB$1)/Yield_Originals!$K175</f>
        <v>0.304707217910121</v>
      </c>
    </row>
    <row r="176" customFormat="false" ht="15" hidden="false" customHeight="false" outlineLevel="0" collapsed="false">
      <c r="A176" s="103" t="s">
        <v>1116</v>
      </c>
      <c r="B176" s="64" t="n">
        <v>3</v>
      </c>
      <c r="C176" s="104" t="s">
        <v>1046</v>
      </c>
      <c r="D176" s="104" t="s">
        <v>1139</v>
      </c>
      <c r="E176" s="94" t="n">
        <v>30</v>
      </c>
      <c r="F176" s="96" t="n">
        <v>0.149005272863769</v>
      </c>
      <c r="G176" s="96" t="n">
        <v>0.149005272863769</v>
      </c>
      <c r="H176" s="96" t="n">
        <f aca="false">+(Yield_Originals!I176+Yield_Originals!G176)/2</f>
        <v>0.153748071476954</v>
      </c>
      <c r="I176" s="96" t="n">
        <v>0.158490870090138</v>
      </c>
      <c r="J176" s="96" t="n">
        <v>0.169281787727845</v>
      </c>
      <c r="K176" s="97" t="n">
        <v>1</v>
      </c>
      <c r="L176" s="98" t="n">
        <f aca="false">(Yield_Originals!$G176*Yield_Originals!L$1)/Yield_Originals!$K176</f>
        <v>0.178806327436523</v>
      </c>
      <c r="M176" s="98" t="n">
        <f aca="false">(Yield_Originals!$G176*Yield_Originals!M$1)/Yield_Originals!$K176</f>
        <v>0.184394025168914</v>
      </c>
      <c r="N176" s="98" t="n">
        <f aca="false">(Yield_Originals!$G176*Yield_Originals!N$1)/Yield_Originals!$K176</f>
        <v>0.189981722901306</v>
      </c>
      <c r="O176" s="98" t="n">
        <f aca="false">(Yield_Originals!$G176*Yield_Originals!O$1)/Yield_Originals!$K176</f>
        <v>0.195569420633697</v>
      </c>
      <c r="P176" s="99" t="n">
        <f aca="false">(Yield_Originals!$H176*Yield_Originals!P$1)/Yield_Originals!$K176</f>
        <v>0.207559896493887</v>
      </c>
      <c r="Q176" s="99" t="n">
        <f aca="false">(Yield_Originals!$H176*Yield_Originals!Q$1)/Yield_Originals!$K176</f>
        <v>0.213325449174273</v>
      </c>
      <c r="R176" s="99" t="n">
        <f aca="false">(Yield_Originals!$H176*Yield_Originals!R$1)/Yield_Originals!$K176</f>
        <v>0.219091001854659</v>
      </c>
      <c r="S176" s="99" t="n">
        <f aca="false">(Yield_Originals!$H176*Yield_Originals!S$1)/Yield_Originals!$K176</f>
        <v>0.224856554535045</v>
      </c>
      <c r="T176" s="101" t="n">
        <f aca="false">(Yield_Originals!$I176*Yield_Originals!T$1)/Yield_Originals!$K176</f>
        <v>0.237736305135207</v>
      </c>
      <c r="U176" s="101" t="n">
        <f aca="false">(Yield_Originals!$I176*Yield_Originals!U$1)/Yield_Originals!$K176</f>
        <v>0.243679712763587</v>
      </c>
      <c r="V176" s="101" t="n">
        <f aca="false">(Yield_Originals!$I176*Yield_Originals!V$1)/Yield_Originals!$K176</f>
        <v>0.249623120391967</v>
      </c>
      <c r="W176" s="101" t="n">
        <f aca="false">(Yield_Originals!$I176*Yield_Originals!W$1)/Yield_Originals!$K176</f>
        <v>0.255566528020347</v>
      </c>
      <c r="X176" s="102" t="n">
        <f aca="false">(Yield_Originals!$J176*Yield_Originals!X$1)/Yield_Originals!$K176</f>
        <v>0.279314949750944</v>
      </c>
      <c r="Y176" s="102" t="n">
        <f aca="false">(Yield_Originals!$J176*Yield_Originals!Y$1)/Yield_Originals!$K176</f>
        <v>0.285663016790738</v>
      </c>
      <c r="Z176" s="102" t="n">
        <f aca="false">(Yield_Originals!$J176*Yield_Originals!Z$1)/Yield_Originals!$K176</f>
        <v>0.292011083830533</v>
      </c>
      <c r="AA176" s="102" t="n">
        <f aca="false">(Yield_Originals!$J176*Yield_Originals!AA$1)/Yield_Originals!$K176</f>
        <v>0.298359150870327</v>
      </c>
      <c r="AB176" s="102" t="n">
        <f aca="false">(Yield_Originals!$J176*Yield_Originals!AB$1)/Yield_Originals!$K176</f>
        <v>0.304707217910121</v>
      </c>
    </row>
    <row r="177" customFormat="false" ht="15" hidden="false" customHeight="false" outlineLevel="0" collapsed="false">
      <c r="A177" s="103" t="s">
        <v>1116</v>
      </c>
      <c r="B177" s="64" t="n">
        <v>3</v>
      </c>
      <c r="C177" s="104" t="s">
        <v>1049</v>
      </c>
      <c r="D177" s="104" t="s">
        <v>1134</v>
      </c>
      <c r="E177" s="94" t="n">
        <v>30</v>
      </c>
      <c r="F177" s="96" t="n">
        <v>0.149005272863769</v>
      </c>
      <c r="G177" s="96" t="n">
        <v>0.149005272863769</v>
      </c>
      <c r="H177" s="96" t="n">
        <f aca="false">+(Yield_Originals!I177+Yield_Originals!G177)/2</f>
        <v>0.153748071476954</v>
      </c>
      <c r="I177" s="96" t="n">
        <v>0.158490870090138</v>
      </c>
      <c r="J177" s="96" t="n">
        <v>0.169281787727845</v>
      </c>
      <c r="K177" s="97" t="n">
        <v>1</v>
      </c>
      <c r="L177" s="98"/>
      <c r="M177" s="98"/>
      <c r="N177" s="98"/>
      <c r="O177" s="98"/>
      <c r="P177" s="99"/>
      <c r="Q177" s="99"/>
      <c r="R177" s="99" t="n">
        <f aca="false">(Yield_Originals!$H177*Yield_Originals!R$1)/Yield_Originals!$K177</f>
        <v>0.219091001854659</v>
      </c>
      <c r="S177" s="99" t="n">
        <f aca="false">(Yield_Originals!$H177*Yield_Originals!S$1)/Yield_Originals!$K177</f>
        <v>0.224856554535045</v>
      </c>
      <c r="T177" s="101" t="n">
        <f aca="false">(Yield_Originals!$I177*Yield_Originals!T$1)/Yield_Originals!$K177</f>
        <v>0.237736305135207</v>
      </c>
      <c r="U177" s="101" t="n">
        <f aca="false">(Yield_Originals!$I177*Yield_Originals!U$1)/Yield_Originals!$K177</f>
        <v>0.243679712763587</v>
      </c>
      <c r="V177" s="101" t="n">
        <f aca="false">(Yield_Originals!$I177*Yield_Originals!V$1)/Yield_Originals!$K177</f>
        <v>0.249623120391967</v>
      </c>
      <c r="W177" s="101" t="n">
        <f aca="false">(Yield_Originals!$I177*Yield_Originals!W$1)/Yield_Originals!$K177</f>
        <v>0.255566528020347</v>
      </c>
      <c r="X177" s="102" t="n">
        <f aca="false">(Yield_Originals!$J177*Yield_Originals!X$1)/Yield_Originals!$K177</f>
        <v>0.279314949750944</v>
      </c>
      <c r="Y177" s="102"/>
      <c r="Z177" s="102"/>
      <c r="AA177" s="102"/>
      <c r="AB177" s="102"/>
    </row>
    <row r="178" customFormat="false" ht="15" hidden="false" customHeight="false" outlineLevel="0" collapsed="false">
      <c r="A178" s="66" t="s">
        <v>1143</v>
      </c>
      <c r="B178" s="64" t="n">
        <v>3</v>
      </c>
      <c r="C178" s="104" t="s">
        <v>244</v>
      </c>
      <c r="D178" s="104" t="s">
        <v>1160</v>
      </c>
      <c r="E178" s="94" t="n">
        <v>31</v>
      </c>
      <c r="F178" s="96" t="n">
        <v>0.12622424002054</v>
      </c>
      <c r="G178" s="96" t="n">
        <v>0.12622424002054</v>
      </c>
      <c r="H178" s="96" t="n">
        <f aca="false">+(Yield_Originals!I178+Yield_Originals!G178)/2</f>
        <v>0.128366102056243</v>
      </c>
      <c r="I178" s="96" t="n">
        <v>0.130507964091947</v>
      </c>
      <c r="J178" s="96" t="n">
        <v>0.14189303832344</v>
      </c>
      <c r="K178" s="97" t="n">
        <v>1</v>
      </c>
      <c r="L178" s="98"/>
      <c r="M178" s="98"/>
      <c r="N178" s="98"/>
      <c r="O178" s="98"/>
      <c r="P178" s="99"/>
      <c r="Q178" s="99"/>
      <c r="R178" s="99" t="n">
        <f aca="false">(Yield_Originals!$H178*Yield_Originals!R$1)/Yield_Originals!$K178</f>
        <v>0.182921695430147</v>
      </c>
      <c r="S178" s="99" t="n">
        <f aca="false">(Yield_Originals!$H178*Yield_Originals!S$1)/Yield_Originals!$K178</f>
        <v>0.187735424257256</v>
      </c>
      <c r="T178" s="101" t="n">
        <f aca="false">(Yield_Originals!$I178*Yield_Originals!T$1)/Yield_Originals!$K178</f>
        <v>0.195761946137921</v>
      </c>
      <c r="U178" s="101" t="n">
        <f aca="false">(Yield_Originals!$I178*Yield_Originals!U$1)/Yield_Originals!$K178</f>
        <v>0.200655994791368</v>
      </c>
      <c r="V178" s="101" t="n">
        <f aca="false">(Yield_Originals!$I178*Yield_Originals!V$1)/Yield_Originals!$K178</f>
        <v>0.205550043444817</v>
      </c>
      <c r="W178" s="101" t="n">
        <f aca="false">(Yield_Originals!$I178*Yield_Originals!W$1)/Yield_Originals!$K178</f>
        <v>0.210444092098265</v>
      </c>
      <c r="X178" s="102" t="n">
        <f aca="false">(Yield_Originals!$J178*Yield_Originals!X$1)/Yield_Originals!$K178</f>
        <v>0.234123513233676</v>
      </c>
      <c r="Y178" s="102"/>
      <c r="Z178" s="102"/>
      <c r="AA178" s="102"/>
      <c r="AB178" s="102"/>
    </row>
    <row r="179" customFormat="false" ht="15" hidden="false" customHeight="false" outlineLevel="0" collapsed="false">
      <c r="A179" s="66" t="s">
        <v>1143</v>
      </c>
      <c r="B179" s="64" t="n">
        <v>3</v>
      </c>
      <c r="C179" s="104" t="s">
        <v>244</v>
      </c>
      <c r="D179" s="104" t="s">
        <v>1160</v>
      </c>
      <c r="E179" s="94" t="n">
        <v>32</v>
      </c>
      <c r="F179" s="96" t="n">
        <v>0.12622424002054</v>
      </c>
      <c r="G179" s="96" t="n">
        <v>0.12622424002054</v>
      </c>
      <c r="H179" s="96" t="n">
        <f aca="false">+(Yield_Originals!I179+Yield_Originals!G179)/2</f>
        <v>0.128366102056243</v>
      </c>
      <c r="I179" s="96" t="n">
        <v>0.130507964091947</v>
      </c>
      <c r="J179" s="96" t="n">
        <v>0.14189303832344</v>
      </c>
      <c r="K179" s="97" t="n">
        <v>1</v>
      </c>
      <c r="L179" s="98"/>
      <c r="M179" s="98"/>
      <c r="N179" s="98"/>
      <c r="O179" s="98"/>
      <c r="P179" s="99"/>
      <c r="Q179" s="99"/>
      <c r="R179" s="99" t="n">
        <f aca="false">(Yield_Originals!$H179*Yield_Originals!R$1)/Yield_Originals!$K179</f>
        <v>0.182921695430147</v>
      </c>
      <c r="S179" s="99" t="n">
        <f aca="false">(Yield_Originals!$H179*Yield_Originals!S$1)/Yield_Originals!$K179</f>
        <v>0.187735424257256</v>
      </c>
      <c r="T179" s="101" t="n">
        <f aca="false">(Yield_Originals!$I179*Yield_Originals!T$1)/Yield_Originals!$K179</f>
        <v>0.195761946137921</v>
      </c>
      <c r="U179" s="101" t="n">
        <f aca="false">(Yield_Originals!$I179*Yield_Originals!U$1)/Yield_Originals!$K179</f>
        <v>0.200655994791368</v>
      </c>
      <c r="V179" s="101" t="n">
        <f aca="false">(Yield_Originals!$I179*Yield_Originals!V$1)/Yield_Originals!$K179</f>
        <v>0.205550043444817</v>
      </c>
      <c r="W179" s="101" t="n">
        <f aca="false">(Yield_Originals!$I179*Yield_Originals!W$1)/Yield_Originals!$K179</f>
        <v>0.210444092098265</v>
      </c>
      <c r="X179" s="102" t="n">
        <f aca="false">(Yield_Originals!$J179*Yield_Originals!X$1)/Yield_Originals!$K179</f>
        <v>0.234123513233676</v>
      </c>
      <c r="Y179" s="102"/>
      <c r="Z179" s="102"/>
      <c r="AA179" s="102"/>
      <c r="AB179" s="102"/>
    </row>
    <row r="180" customFormat="false" ht="15" hidden="false" customHeight="false" outlineLevel="0" collapsed="false">
      <c r="A180" s="66" t="s">
        <v>1143</v>
      </c>
      <c r="B180" s="64" t="n">
        <v>3</v>
      </c>
      <c r="C180" s="104" t="s">
        <v>1054</v>
      </c>
      <c r="D180" s="104" t="s">
        <v>1162</v>
      </c>
      <c r="E180" s="94" t="n">
        <v>31</v>
      </c>
      <c r="F180" s="96" t="n">
        <v>0.12622424002054</v>
      </c>
      <c r="G180" s="96" t="n">
        <v>0.12622424002054</v>
      </c>
      <c r="H180" s="96" t="n">
        <f aca="false">+(Yield_Originals!I180+Yield_Originals!G180)/2</f>
        <v>0.128366102056243</v>
      </c>
      <c r="I180" s="96" t="n">
        <v>0.130507964091947</v>
      </c>
      <c r="J180" s="96" t="n">
        <v>0.14189303832344</v>
      </c>
      <c r="K180" s="97" t="n">
        <v>1</v>
      </c>
      <c r="L180" s="98" t="n">
        <f aca="false">(Yield_Originals!$G180*Yield_Originals!L$1)/Yield_Originals!$K180</f>
        <v>0.151469088024648</v>
      </c>
      <c r="M180" s="98" t="n">
        <f aca="false">(Yield_Originals!$G180*Yield_Originals!M$1)/Yield_Originals!$K180</f>
        <v>0.156202497025418</v>
      </c>
      <c r="N180" s="98" t="n">
        <f aca="false">(Yield_Originals!$G180*Yield_Originals!N$1)/Yield_Originals!$K180</f>
        <v>0.160935906026189</v>
      </c>
      <c r="O180" s="98" t="n">
        <f aca="false">(Yield_Originals!$G180*Yield_Originals!O$1)/Yield_Originals!$K180</f>
        <v>0.165669315026959</v>
      </c>
      <c r="P180" s="99"/>
      <c r="Q180" s="99"/>
      <c r="R180" s="99"/>
      <c r="S180" s="99"/>
      <c r="T180" s="101"/>
      <c r="U180" s="101"/>
      <c r="V180" s="101"/>
      <c r="W180" s="101"/>
      <c r="X180" s="102"/>
      <c r="Y180" s="102"/>
      <c r="Z180" s="102"/>
      <c r="AA180" s="102"/>
      <c r="AB180" s="102"/>
    </row>
    <row r="181" customFormat="false" ht="15" hidden="false" customHeight="false" outlineLevel="0" collapsed="false">
      <c r="A181" s="66" t="s">
        <v>1143</v>
      </c>
      <c r="B181" s="64" t="n">
        <v>3</v>
      </c>
      <c r="C181" s="104" t="s">
        <v>1054</v>
      </c>
      <c r="D181" s="104" t="s">
        <v>1162</v>
      </c>
      <c r="E181" s="94" t="n">
        <v>32</v>
      </c>
      <c r="F181" s="96" t="n">
        <v>0.12622424002054</v>
      </c>
      <c r="G181" s="96" t="n">
        <v>0.12622424002054</v>
      </c>
      <c r="H181" s="96" t="n">
        <f aca="false">+(Yield_Originals!I181+Yield_Originals!G181)/2</f>
        <v>0.128366102056243</v>
      </c>
      <c r="I181" s="96" t="n">
        <v>0.130507964091947</v>
      </c>
      <c r="J181" s="96" t="n">
        <v>0.14189303832344</v>
      </c>
      <c r="K181" s="97" t="n">
        <v>1</v>
      </c>
      <c r="L181" s="98" t="n">
        <f aca="false">(Yield_Originals!$G181*Yield_Originals!L$1)/Yield_Originals!$K181</f>
        <v>0.151469088024648</v>
      </c>
      <c r="M181" s="98" t="n">
        <f aca="false">(Yield_Originals!$G181*Yield_Originals!M$1)/Yield_Originals!$K181</f>
        <v>0.156202497025418</v>
      </c>
      <c r="N181" s="98" t="n">
        <f aca="false">(Yield_Originals!$G181*Yield_Originals!N$1)/Yield_Originals!$K181</f>
        <v>0.160935906026189</v>
      </c>
      <c r="O181" s="98" t="n">
        <f aca="false">(Yield_Originals!$G181*Yield_Originals!O$1)/Yield_Originals!$K181</f>
        <v>0.165669315026959</v>
      </c>
      <c r="P181" s="99" t="n">
        <f aca="false">(Yield_Originals!$H181*Yield_Originals!P$1)/Yield_Originals!$K181</f>
        <v>0.173294237775929</v>
      </c>
      <c r="Q181" s="99" t="n">
        <f aca="false">(Yield_Originals!$H181*Yield_Originals!Q$1)/Yield_Originals!$K181</f>
        <v>0.178107966603038</v>
      </c>
      <c r="R181" s="99" t="n">
        <f aca="false">(Yield_Originals!$H181*Yield_Originals!R$1)/Yield_Originals!$K181</f>
        <v>0.182921695430147</v>
      </c>
      <c r="S181" s="99" t="n">
        <f aca="false">(Yield_Originals!$H181*Yield_Originals!S$1)/Yield_Originals!$K181</f>
        <v>0.187735424257256</v>
      </c>
      <c r="T181" s="101" t="n">
        <f aca="false">(Yield_Originals!$I181*Yield_Originals!T$1)/Yield_Originals!$K181</f>
        <v>0.195761946137921</v>
      </c>
      <c r="U181" s="101" t="n">
        <f aca="false">(Yield_Originals!$I181*Yield_Originals!U$1)/Yield_Originals!$K181</f>
        <v>0.200655994791368</v>
      </c>
      <c r="V181" s="101" t="n">
        <f aca="false">(Yield_Originals!$I181*Yield_Originals!V$1)/Yield_Originals!$K181</f>
        <v>0.205550043444817</v>
      </c>
      <c r="W181" s="101" t="n">
        <f aca="false">(Yield_Originals!$I181*Yield_Originals!W$1)/Yield_Originals!$K181</f>
        <v>0.210444092098265</v>
      </c>
      <c r="X181" s="102" t="n">
        <f aca="false">(Yield_Originals!$J181*Yield_Originals!X$1)/Yield_Originals!$K181</f>
        <v>0.234123513233676</v>
      </c>
      <c r="Y181" s="102" t="n">
        <f aca="false">(Yield_Originals!$J181*Yield_Originals!Y$1)/Yield_Originals!$K181</f>
        <v>0.239444502170805</v>
      </c>
      <c r="Z181" s="102" t="n">
        <f aca="false">(Yield_Originals!$J181*Yield_Originals!Z$1)/Yield_Originals!$K181</f>
        <v>0.244765491107934</v>
      </c>
      <c r="AA181" s="102" t="n">
        <f aca="false">(Yield_Originals!$J181*Yield_Originals!AA$1)/Yield_Originals!$K181</f>
        <v>0.250086480045063</v>
      </c>
      <c r="AB181" s="102" t="n">
        <f aca="false">(Yield_Originals!$J181*Yield_Originals!AB$1)/Yield_Originals!$K181</f>
        <v>0.255407468982192</v>
      </c>
    </row>
    <row r="182" customFormat="false" ht="15" hidden="false" customHeight="false" outlineLevel="0" collapsed="false">
      <c r="A182" s="66" t="s">
        <v>1143</v>
      </c>
      <c r="B182" s="64" t="n">
        <v>3</v>
      </c>
      <c r="C182" s="104" t="s">
        <v>1057</v>
      </c>
      <c r="D182" s="104" t="s">
        <v>1164</v>
      </c>
      <c r="E182" s="94" t="n">
        <v>31</v>
      </c>
      <c r="F182" s="96" t="n">
        <v>0.12622424002054</v>
      </c>
      <c r="G182" s="96" t="n">
        <v>0.12622424002054</v>
      </c>
      <c r="H182" s="96" t="n">
        <f aca="false">+(Yield_Originals!I182+Yield_Originals!G182)/2</f>
        <v>0.128366102056243</v>
      </c>
      <c r="I182" s="96" t="n">
        <v>0.130507964091947</v>
      </c>
      <c r="J182" s="96" t="n">
        <v>0.14189303832344</v>
      </c>
      <c r="K182" s="97" t="n">
        <v>1</v>
      </c>
      <c r="L182" s="98" t="n">
        <f aca="false">(Yield_Originals!$G182*Yield_Originals!L$1)/Yield_Originals!$K182</f>
        <v>0.151469088024648</v>
      </c>
      <c r="M182" s="98" t="n">
        <f aca="false">(Yield_Originals!$G182*Yield_Originals!M$1)/Yield_Originals!$K182</f>
        <v>0.156202497025418</v>
      </c>
      <c r="N182" s="98" t="n">
        <f aca="false">(Yield_Originals!$G182*Yield_Originals!N$1)/Yield_Originals!$K182</f>
        <v>0.160935906026189</v>
      </c>
      <c r="O182" s="98" t="n">
        <f aca="false">(Yield_Originals!$G182*Yield_Originals!O$1)/Yield_Originals!$K182</f>
        <v>0.165669315026959</v>
      </c>
      <c r="P182" s="99"/>
      <c r="Q182" s="99"/>
      <c r="R182" s="99"/>
      <c r="S182" s="99"/>
      <c r="T182" s="101"/>
      <c r="U182" s="101"/>
      <c r="V182" s="101"/>
      <c r="W182" s="101"/>
      <c r="X182" s="102"/>
      <c r="Y182" s="102"/>
      <c r="Z182" s="102"/>
      <c r="AA182" s="102"/>
      <c r="AB182" s="102"/>
    </row>
    <row r="183" customFormat="false" ht="15" hidden="false" customHeight="false" outlineLevel="0" collapsed="false">
      <c r="A183" s="66" t="s">
        <v>1143</v>
      </c>
      <c r="B183" s="64" t="n">
        <v>3</v>
      </c>
      <c r="C183" s="104" t="s">
        <v>1057</v>
      </c>
      <c r="D183" s="104" t="s">
        <v>1164</v>
      </c>
      <c r="E183" s="94" t="n">
        <v>32</v>
      </c>
      <c r="F183" s="96" t="n">
        <v>0.12622424002054</v>
      </c>
      <c r="G183" s="96" t="n">
        <v>0.12622424002054</v>
      </c>
      <c r="H183" s="96" t="n">
        <f aca="false">+(Yield_Originals!I183+Yield_Originals!G183)/2</f>
        <v>0.128366102056243</v>
      </c>
      <c r="I183" s="96" t="n">
        <v>0.130507964091947</v>
      </c>
      <c r="J183" s="96" t="n">
        <v>0.14189303832344</v>
      </c>
      <c r="K183" s="97" t="n">
        <v>1</v>
      </c>
      <c r="L183" s="98" t="n">
        <f aca="false">(Yield_Originals!$G183*Yield_Originals!L$1)/Yield_Originals!$K183</f>
        <v>0.151469088024648</v>
      </c>
      <c r="M183" s="98" t="n">
        <f aca="false">(Yield_Originals!$G183*Yield_Originals!M$1)/Yield_Originals!$K183</f>
        <v>0.156202497025418</v>
      </c>
      <c r="N183" s="98" t="n">
        <f aca="false">(Yield_Originals!$G183*Yield_Originals!N$1)/Yield_Originals!$K183</f>
        <v>0.160935906026189</v>
      </c>
      <c r="O183" s="98" t="n">
        <f aca="false">(Yield_Originals!$G183*Yield_Originals!O$1)/Yield_Originals!$K183</f>
        <v>0.165669315026959</v>
      </c>
      <c r="P183" s="99" t="n">
        <f aca="false">(Yield_Originals!$H183*Yield_Originals!P$1)/Yield_Originals!$K183</f>
        <v>0.173294237775929</v>
      </c>
      <c r="Q183" s="99" t="n">
        <f aca="false">(Yield_Originals!$H183*Yield_Originals!Q$1)/Yield_Originals!$K183</f>
        <v>0.178107966603038</v>
      </c>
      <c r="R183" s="99" t="n">
        <f aca="false">(Yield_Originals!$H183*Yield_Originals!R$1)/Yield_Originals!$K183</f>
        <v>0.182921695430147</v>
      </c>
      <c r="S183" s="99" t="n">
        <f aca="false">(Yield_Originals!$H183*Yield_Originals!S$1)/Yield_Originals!$K183</f>
        <v>0.187735424257256</v>
      </c>
      <c r="T183" s="101" t="n">
        <f aca="false">(Yield_Originals!$I183*Yield_Originals!T$1)/Yield_Originals!$K183</f>
        <v>0.195761946137921</v>
      </c>
      <c r="U183" s="101" t="n">
        <f aca="false">(Yield_Originals!$I183*Yield_Originals!U$1)/Yield_Originals!$K183</f>
        <v>0.200655994791368</v>
      </c>
      <c r="V183" s="101" t="n">
        <f aca="false">(Yield_Originals!$I183*Yield_Originals!V$1)/Yield_Originals!$K183</f>
        <v>0.205550043444817</v>
      </c>
      <c r="W183" s="101" t="n">
        <f aca="false">(Yield_Originals!$I183*Yield_Originals!W$1)/Yield_Originals!$K183</f>
        <v>0.210444092098265</v>
      </c>
      <c r="X183" s="102" t="n">
        <f aca="false">(Yield_Originals!$J183*Yield_Originals!X$1)/Yield_Originals!$K183</f>
        <v>0.234123513233676</v>
      </c>
      <c r="Y183" s="102" t="n">
        <f aca="false">(Yield_Originals!$J183*Yield_Originals!Y$1)/Yield_Originals!$K183</f>
        <v>0.239444502170805</v>
      </c>
      <c r="Z183" s="102" t="n">
        <f aca="false">(Yield_Originals!$J183*Yield_Originals!Z$1)/Yield_Originals!$K183</f>
        <v>0.244765491107934</v>
      </c>
      <c r="AA183" s="102" t="n">
        <f aca="false">(Yield_Originals!$J183*Yield_Originals!AA$1)/Yield_Originals!$K183</f>
        <v>0.250086480045063</v>
      </c>
      <c r="AB183" s="102" t="n">
        <f aca="false">(Yield_Originals!$J183*Yield_Originals!AB$1)/Yield_Originals!$K183</f>
        <v>0.255407468982192</v>
      </c>
    </row>
    <row r="184" customFormat="false" ht="15" hidden="false" customHeight="false" outlineLevel="0" collapsed="false">
      <c r="A184" s="66" t="s">
        <v>1143</v>
      </c>
      <c r="B184" s="64" t="n">
        <v>3</v>
      </c>
      <c r="C184" s="104" t="s">
        <v>1061</v>
      </c>
      <c r="D184" s="104" t="s">
        <v>1168</v>
      </c>
      <c r="E184" s="94" t="n">
        <v>31</v>
      </c>
      <c r="F184" s="96" t="n">
        <v>0.12622424002054</v>
      </c>
      <c r="G184" s="96" t="n">
        <v>0.12622424002054</v>
      </c>
      <c r="H184" s="96" t="n">
        <f aca="false">+(Yield_Originals!I184+Yield_Originals!G184)/2</f>
        <v>0.128366102056243</v>
      </c>
      <c r="I184" s="96" t="n">
        <v>0.130507964091947</v>
      </c>
      <c r="J184" s="96" t="n">
        <v>0.14189303832344</v>
      </c>
      <c r="K184" s="97" t="n">
        <v>1</v>
      </c>
      <c r="L184" s="98"/>
      <c r="M184" s="98"/>
      <c r="N184" s="98" t="n">
        <f aca="false">(Yield_Originals!$G184*Yield_Originals!N$1)/Yield_Originals!$K184</f>
        <v>0.160935906026189</v>
      </c>
      <c r="O184" s="98" t="n">
        <f aca="false">(Yield_Originals!$G184*Yield_Originals!O$1)/Yield_Originals!$K184</f>
        <v>0.165669315026959</v>
      </c>
      <c r="P184" s="99" t="n">
        <f aca="false">(Yield_Originals!$H184*Yield_Originals!P$1)/Yield_Originals!$K184</f>
        <v>0.173294237775929</v>
      </c>
      <c r="Q184" s="99" t="n">
        <f aca="false">(Yield_Originals!$H184*Yield_Originals!Q$1)/Yield_Originals!$K184</f>
        <v>0.178107966603038</v>
      </c>
      <c r="R184" s="99" t="n">
        <f aca="false">(Yield_Originals!$H184*Yield_Originals!R$1)/Yield_Originals!$K184</f>
        <v>0.182921695430147</v>
      </c>
      <c r="S184" s="99" t="n">
        <f aca="false">(Yield_Originals!$H184*Yield_Originals!S$1)/Yield_Originals!$K184</f>
        <v>0.187735424257256</v>
      </c>
      <c r="T184" s="101"/>
      <c r="U184" s="101"/>
      <c r="V184" s="101"/>
      <c r="W184" s="101"/>
      <c r="X184" s="102"/>
      <c r="Y184" s="102"/>
      <c r="Z184" s="102"/>
      <c r="AA184" s="102"/>
      <c r="AB184" s="102"/>
    </row>
    <row r="185" customFormat="false" ht="15" hidden="false" customHeight="false" outlineLevel="0" collapsed="false">
      <c r="A185" s="66" t="s">
        <v>1143</v>
      </c>
      <c r="B185" s="64" t="n">
        <v>3</v>
      </c>
      <c r="C185" s="104" t="s">
        <v>1061</v>
      </c>
      <c r="D185" s="104" t="s">
        <v>1168</v>
      </c>
      <c r="E185" s="94" t="n">
        <v>32</v>
      </c>
      <c r="F185" s="96" t="n">
        <v>0.12622424002054</v>
      </c>
      <c r="G185" s="96" t="n">
        <v>0.12622424002054</v>
      </c>
      <c r="H185" s="96" t="n">
        <f aca="false">+(Yield_Originals!I185+Yield_Originals!G185)/2</f>
        <v>0.128366102056243</v>
      </c>
      <c r="I185" s="96" t="n">
        <v>0.130507964091947</v>
      </c>
      <c r="J185" s="96" t="n">
        <v>0.14189303832344</v>
      </c>
      <c r="K185" s="97" t="n">
        <v>1</v>
      </c>
      <c r="L185" s="98"/>
      <c r="M185" s="98"/>
      <c r="N185" s="98" t="n">
        <f aca="false">(Yield_Originals!$G185*Yield_Originals!N$1)/Yield_Originals!$K185</f>
        <v>0.160935906026189</v>
      </c>
      <c r="O185" s="98" t="n">
        <f aca="false">(Yield_Originals!$G185*Yield_Originals!O$1)/Yield_Originals!$K185</f>
        <v>0.165669315026959</v>
      </c>
      <c r="P185" s="99" t="n">
        <f aca="false">(Yield_Originals!$H185*Yield_Originals!P$1)/Yield_Originals!$K185</f>
        <v>0.173294237775929</v>
      </c>
      <c r="Q185" s="99" t="n">
        <f aca="false">(Yield_Originals!$H185*Yield_Originals!Q$1)/Yield_Originals!$K185</f>
        <v>0.178107966603038</v>
      </c>
      <c r="R185" s="99" t="n">
        <f aca="false">(Yield_Originals!$H185*Yield_Originals!R$1)/Yield_Originals!$K185</f>
        <v>0.182921695430147</v>
      </c>
      <c r="S185" s="99" t="n">
        <f aca="false">(Yield_Originals!$H185*Yield_Originals!S$1)/Yield_Originals!$K185</f>
        <v>0.187735424257256</v>
      </c>
      <c r="T185" s="101"/>
      <c r="U185" s="101"/>
      <c r="V185" s="101"/>
      <c r="W185" s="101"/>
      <c r="X185" s="102"/>
      <c r="Y185" s="102"/>
      <c r="Z185" s="102"/>
      <c r="AA185" s="102"/>
      <c r="AB185" s="102"/>
    </row>
    <row r="186" customFormat="false" ht="15" hidden="false" customHeight="false" outlineLevel="0" collapsed="false">
      <c r="A186" s="66" t="s">
        <v>1143</v>
      </c>
      <c r="B186" s="64" t="n">
        <v>3</v>
      </c>
      <c r="C186" s="104" t="s">
        <v>1064</v>
      </c>
      <c r="D186" s="104" t="s">
        <v>1166</v>
      </c>
      <c r="E186" s="94" t="n">
        <v>31</v>
      </c>
      <c r="F186" s="96" t="n">
        <v>0.12622424002054</v>
      </c>
      <c r="G186" s="96" t="n">
        <v>0.12622424002054</v>
      </c>
      <c r="H186" s="96" t="n">
        <f aca="false">+(Yield_Originals!I186+Yield_Originals!G186)/2</f>
        <v>0.128366102056243</v>
      </c>
      <c r="I186" s="96" t="n">
        <v>0.130507964091947</v>
      </c>
      <c r="J186" s="96" t="n">
        <v>0.14189303832344</v>
      </c>
      <c r="K186" s="97" t="n">
        <v>1</v>
      </c>
      <c r="L186" s="98"/>
      <c r="M186" s="98"/>
      <c r="N186" s="98"/>
      <c r="O186" s="98"/>
      <c r="P186" s="99" t="n">
        <f aca="false">(Yield_Originals!$H186*Yield_Originals!P$1)/Yield_Originals!$K186</f>
        <v>0.173294237775929</v>
      </c>
      <c r="Q186" s="99" t="n">
        <f aca="false">(Yield_Originals!$H186*Yield_Originals!Q$1)/Yield_Originals!$K186</f>
        <v>0.178107966603038</v>
      </c>
      <c r="R186" s="99" t="n">
        <f aca="false">(Yield_Originals!$H186*Yield_Originals!R$1)/Yield_Originals!$K186</f>
        <v>0.182921695430147</v>
      </c>
      <c r="S186" s="99" t="n">
        <f aca="false">(Yield_Originals!$H186*Yield_Originals!S$1)/Yield_Originals!$K186</f>
        <v>0.187735424257256</v>
      </c>
      <c r="T186" s="101" t="n">
        <f aca="false">(Yield_Originals!$I186*Yield_Originals!T$1)/Yield_Originals!$K186</f>
        <v>0.195761946137921</v>
      </c>
      <c r="U186" s="101" t="n">
        <f aca="false">(Yield_Originals!$I186*Yield_Originals!U$1)/Yield_Originals!$K186</f>
        <v>0.200655994791368</v>
      </c>
      <c r="V186" s="101" t="n">
        <f aca="false">(Yield_Originals!$I186*Yield_Originals!V$1)/Yield_Originals!$K186</f>
        <v>0.205550043444817</v>
      </c>
      <c r="W186" s="101" t="n">
        <f aca="false">(Yield_Originals!$I186*Yield_Originals!W$1)/Yield_Originals!$K186</f>
        <v>0.210444092098265</v>
      </c>
      <c r="X186" s="102"/>
      <c r="Y186" s="102"/>
      <c r="Z186" s="102"/>
      <c r="AA186" s="102"/>
      <c r="AB186" s="102"/>
    </row>
    <row r="187" customFormat="false" ht="15" hidden="false" customHeight="false" outlineLevel="0" collapsed="false">
      <c r="A187" s="66" t="s">
        <v>1143</v>
      </c>
      <c r="B187" s="64" t="n">
        <v>3</v>
      </c>
      <c r="C187" s="104" t="s">
        <v>1064</v>
      </c>
      <c r="D187" s="104" t="s">
        <v>1166</v>
      </c>
      <c r="E187" s="94" t="n">
        <v>32</v>
      </c>
      <c r="F187" s="96" t="n">
        <v>0.12622424002054</v>
      </c>
      <c r="G187" s="96" t="n">
        <v>0.12622424002054</v>
      </c>
      <c r="H187" s="96" t="n">
        <f aca="false">+(Yield_Originals!I187+Yield_Originals!G187)/2</f>
        <v>0.128366102056243</v>
      </c>
      <c r="I187" s="96" t="n">
        <v>0.130507964091947</v>
      </c>
      <c r="J187" s="96" t="n">
        <v>0.14189303832344</v>
      </c>
      <c r="K187" s="97" t="n">
        <v>1</v>
      </c>
      <c r="L187" s="98"/>
      <c r="M187" s="98"/>
      <c r="N187" s="98"/>
      <c r="O187" s="98"/>
      <c r="P187" s="99" t="n">
        <f aca="false">(Yield_Originals!$H187*Yield_Originals!P$1)/Yield_Originals!$K187</f>
        <v>0.173294237775929</v>
      </c>
      <c r="Q187" s="99" t="n">
        <f aca="false">(Yield_Originals!$H187*Yield_Originals!Q$1)/Yield_Originals!$K187</f>
        <v>0.178107966603038</v>
      </c>
      <c r="R187" s="99" t="n">
        <f aca="false">(Yield_Originals!$H187*Yield_Originals!R$1)/Yield_Originals!$K187</f>
        <v>0.182921695430147</v>
      </c>
      <c r="S187" s="99" t="n">
        <f aca="false">(Yield_Originals!$H187*Yield_Originals!S$1)/Yield_Originals!$K187</f>
        <v>0.187735424257256</v>
      </c>
      <c r="T187" s="101" t="n">
        <f aca="false">(Yield_Originals!$I187*Yield_Originals!T$1)/Yield_Originals!$K187</f>
        <v>0.195761946137921</v>
      </c>
      <c r="U187" s="101" t="n">
        <f aca="false">(Yield_Originals!$I187*Yield_Originals!U$1)/Yield_Originals!$K187</f>
        <v>0.200655994791368</v>
      </c>
      <c r="V187" s="101" t="n">
        <f aca="false">(Yield_Originals!$I187*Yield_Originals!V$1)/Yield_Originals!$K187</f>
        <v>0.205550043444817</v>
      </c>
      <c r="W187" s="101" t="n">
        <f aca="false">(Yield_Originals!$I187*Yield_Originals!W$1)/Yield_Originals!$K187</f>
        <v>0.210444092098265</v>
      </c>
      <c r="X187" s="102"/>
      <c r="Y187" s="102"/>
      <c r="Z187" s="102"/>
      <c r="AA187" s="102"/>
      <c r="AB187" s="102"/>
    </row>
    <row r="188" customFormat="false" ht="15" hidden="false" customHeight="false" outlineLevel="0" collapsed="false">
      <c r="A188" s="66" t="s">
        <v>1143</v>
      </c>
      <c r="B188" s="64" t="n">
        <v>3</v>
      </c>
      <c r="C188" s="104" t="s">
        <v>127</v>
      </c>
      <c r="D188" s="104" t="s">
        <v>1142</v>
      </c>
      <c r="E188" s="94" t="n">
        <v>31</v>
      </c>
      <c r="F188" s="96" t="n">
        <v>0.12622424002054</v>
      </c>
      <c r="G188" s="96" t="n">
        <v>0.12622424002054</v>
      </c>
      <c r="H188" s="96" t="n">
        <f aca="false">+(Yield_Originals!I188+Yield_Originals!G188)/2</f>
        <v>0.128366102056243</v>
      </c>
      <c r="I188" s="96" t="n">
        <v>0.130507964091947</v>
      </c>
      <c r="J188" s="96" t="n">
        <v>0.14189303832344</v>
      </c>
      <c r="K188" s="97" t="n">
        <v>1</v>
      </c>
      <c r="L188" s="98" t="n">
        <f aca="false">(Yield_Originals!$G188*Yield_Originals!L$1)/Yield_Originals!$K188</f>
        <v>0.151469088024648</v>
      </c>
      <c r="M188" s="98" t="n">
        <f aca="false">(Yield_Originals!$G188*Yield_Originals!M$1)/Yield_Originals!$K188</f>
        <v>0.156202497025418</v>
      </c>
      <c r="N188" s="98" t="n">
        <f aca="false">(Yield_Originals!$G188*Yield_Originals!N$1)/Yield_Originals!$K188</f>
        <v>0.160935906026189</v>
      </c>
      <c r="O188" s="98" t="n">
        <f aca="false">(Yield_Originals!$G188*Yield_Originals!O$1)/Yield_Originals!$K188</f>
        <v>0.165669315026959</v>
      </c>
      <c r="P188" s="99" t="n">
        <f aca="false">(Yield_Originals!$H188*Yield_Originals!P$1)/Yield_Originals!$K188</f>
        <v>0.173294237775929</v>
      </c>
      <c r="Q188" s="99" t="n">
        <f aca="false">(Yield_Originals!$H188*Yield_Originals!Q$1)/Yield_Originals!$K188</f>
        <v>0.178107966603038</v>
      </c>
      <c r="R188" s="99" t="n">
        <f aca="false">(Yield_Originals!$H188*Yield_Originals!R$1)/Yield_Originals!$K188</f>
        <v>0.182921695430147</v>
      </c>
      <c r="S188" s="99" t="n">
        <f aca="false">(Yield_Originals!$H188*Yield_Originals!S$1)/Yield_Originals!$K188</f>
        <v>0.187735424257256</v>
      </c>
      <c r="T188" s="101" t="n">
        <f aca="false">(Yield_Originals!$I188*Yield_Originals!T$1)/Yield_Originals!$K188</f>
        <v>0.195761946137921</v>
      </c>
      <c r="U188" s="101" t="n">
        <f aca="false">(Yield_Originals!$I188*Yield_Originals!U$1)/Yield_Originals!$K188</f>
        <v>0.200655994791368</v>
      </c>
      <c r="V188" s="101" t="n">
        <f aca="false">(Yield_Originals!$I188*Yield_Originals!V$1)/Yield_Originals!$K188</f>
        <v>0.205550043444817</v>
      </c>
      <c r="W188" s="101" t="n">
        <f aca="false">(Yield_Originals!$I188*Yield_Originals!W$1)/Yield_Originals!$K188</f>
        <v>0.210444092098265</v>
      </c>
      <c r="X188" s="102" t="n">
        <f aca="false">(Yield_Originals!$J188*Yield_Originals!X$1)/Yield_Originals!$K188</f>
        <v>0.234123513233676</v>
      </c>
      <c r="Y188" s="102" t="n">
        <f aca="false">(Yield_Originals!$J188*Yield_Originals!Y$1)/Yield_Originals!$K188</f>
        <v>0.239444502170805</v>
      </c>
      <c r="Z188" s="102" t="n">
        <f aca="false">(Yield_Originals!$J188*Yield_Originals!Z$1)/Yield_Originals!$K188</f>
        <v>0.244765491107934</v>
      </c>
      <c r="AA188" s="102" t="n">
        <f aca="false">(Yield_Originals!$J188*Yield_Originals!AA$1)/Yield_Originals!$K188</f>
        <v>0.250086480045063</v>
      </c>
      <c r="AB188" s="102" t="n">
        <f aca="false">(Yield_Originals!$J188*Yield_Originals!AB$1)/Yield_Originals!$K188</f>
        <v>0.255407468982192</v>
      </c>
    </row>
    <row r="189" customFormat="false" ht="15" hidden="false" customHeight="false" outlineLevel="0" collapsed="false">
      <c r="A189" s="66" t="s">
        <v>1143</v>
      </c>
      <c r="B189" s="64" t="n">
        <v>3</v>
      </c>
      <c r="C189" s="104" t="s">
        <v>127</v>
      </c>
      <c r="D189" s="104" t="s">
        <v>1142</v>
      </c>
      <c r="E189" s="94" t="n">
        <v>32</v>
      </c>
      <c r="F189" s="96" t="n">
        <v>0.12622424002054</v>
      </c>
      <c r="G189" s="96" t="n">
        <v>0.12622424002054</v>
      </c>
      <c r="H189" s="96" t="n">
        <f aca="false">+(Yield_Originals!I189+Yield_Originals!G189)/2</f>
        <v>0.128366102056243</v>
      </c>
      <c r="I189" s="96" t="n">
        <v>0.130507964091947</v>
      </c>
      <c r="J189" s="96" t="n">
        <v>0.14189303832344</v>
      </c>
      <c r="K189" s="97" t="n">
        <v>1</v>
      </c>
      <c r="L189" s="98" t="n">
        <f aca="false">(Yield_Originals!$G189*Yield_Originals!L$1)/Yield_Originals!$K189</f>
        <v>0.151469088024648</v>
      </c>
      <c r="M189" s="98" t="n">
        <f aca="false">(Yield_Originals!$G189*Yield_Originals!M$1)/Yield_Originals!$K189</f>
        <v>0.156202497025418</v>
      </c>
      <c r="N189" s="98" t="n">
        <f aca="false">(Yield_Originals!$G189*Yield_Originals!N$1)/Yield_Originals!$K189</f>
        <v>0.160935906026189</v>
      </c>
      <c r="O189" s="98" t="n">
        <f aca="false">(Yield_Originals!$G189*Yield_Originals!O$1)/Yield_Originals!$K189</f>
        <v>0.165669315026959</v>
      </c>
      <c r="P189" s="99" t="n">
        <f aca="false">(Yield_Originals!$H189*Yield_Originals!P$1)/Yield_Originals!$K189</f>
        <v>0.173294237775929</v>
      </c>
      <c r="Q189" s="99" t="n">
        <f aca="false">(Yield_Originals!$H189*Yield_Originals!Q$1)/Yield_Originals!$K189</f>
        <v>0.178107966603038</v>
      </c>
      <c r="R189" s="99" t="n">
        <f aca="false">(Yield_Originals!$H189*Yield_Originals!R$1)/Yield_Originals!$K189</f>
        <v>0.182921695430147</v>
      </c>
      <c r="S189" s="99" t="n">
        <f aca="false">(Yield_Originals!$H189*Yield_Originals!S$1)/Yield_Originals!$K189</f>
        <v>0.187735424257256</v>
      </c>
      <c r="T189" s="101" t="n">
        <f aca="false">(Yield_Originals!$I189*Yield_Originals!T$1)/Yield_Originals!$K189</f>
        <v>0.195761946137921</v>
      </c>
      <c r="U189" s="101" t="n">
        <f aca="false">(Yield_Originals!$I189*Yield_Originals!U$1)/Yield_Originals!$K189</f>
        <v>0.200655994791368</v>
      </c>
      <c r="V189" s="101" t="n">
        <f aca="false">(Yield_Originals!$I189*Yield_Originals!V$1)/Yield_Originals!$K189</f>
        <v>0.205550043444817</v>
      </c>
      <c r="W189" s="101" t="n">
        <f aca="false">(Yield_Originals!$I189*Yield_Originals!W$1)/Yield_Originals!$K189</f>
        <v>0.210444092098265</v>
      </c>
      <c r="X189" s="102" t="n">
        <f aca="false">(Yield_Originals!$J189*Yield_Originals!X$1)/Yield_Originals!$K189</f>
        <v>0.234123513233676</v>
      </c>
      <c r="Y189" s="102" t="n">
        <f aca="false">(Yield_Originals!$J189*Yield_Originals!Y$1)/Yield_Originals!$K189</f>
        <v>0.239444502170805</v>
      </c>
      <c r="Z189" s="102" t="n">
        <f aca="false">(Yield_Originals!$J189*Yield_Originals!Z$1)/Yield_Originals!$K189</f>
        <v>0.244765491107934</v>
      </c>
      <c r="AA189" s="102" t="n">
        <f aca="false">(Yield_Originals!$J189*Yield_Originals!AA$1)/Yield_Originals!$K189</f>
        <v>0.250086480045063</v>
      </c>
      <c r="AB189" s="102" t="n">
        <f aca="false">(Yield_Originals!$J189*Yield_Originals!AB$1)/Yield_Originals!$K189</f>
        <v>0.255407468982192</v>
      </c>
    </row>
    <row r="190" customFormat="false" ht="15" hidden="false" customHeight="false" outlineLevel="0" collapsed="false">
      <c r="A190" s="66" t="s">
        <v>1143</v>
      </c>
      <c r="B190" s="64" t="n">
        <v>3</v>
      </c>
      <c r="C190" s="104" t="s">
        <v>245</v>
      </c>
      <c r="D190" s="104" t="s">
        <v>1146</v>
      </c>
      <c r="E190" s="94" t="n">
        <v>31</v>
      </c>
      <c r="F190" s="96" t="n">
        <v>0.12622424002054</v>
      </c>
      <c r="G190" s="96" t="n">
        <v>0.12622424002054</v>
      </c>
      <c r="H190" s="96" t="n">
        <f aca="false">+(Yield_Originals!I190+Yield_Originals!G190)/2</f>
        <v>0.128366102056243</v>
      </c>
      <c r="I190" s="96" t="n">
        <v>0.130507964091947</v>
      </c>
      <c r="J190" s="96" t="n">
        <v>0.14189303832344</v>
      </c>
      <c r="K190" s="97" t="n">
        <v>1</v>
      </c>
      <c r="L190" s="98" t="n">
        <f aca="false">(Yield_Originals!$G190*Yield_Originals!L$1)/Yield_Originals!$K190</f>
        <v>0.151469088024648</v>
      </c>
      <c r="M190" s="98" t="n">
        <f aca="false">(Yield_Originals!$G190*Yield_Originals!M$1)/Yield_Originals!$K190</f>
        <v>0.156202497025418</v>
      </c>
      <c r="N190" s="98" t="n">
        <f aca="false">(Yield_Originals!$G190*Yield_Originals!N$1)/Yield_Originals!$K190</f>
        <v>0.160935906026189</v>
      </c>
      <c r="O190" s="98" t="n">
        <f aca="false">(Yield_Originals!$G190*Yield_Originals!O$1)/Yield_Originals!$K190</f>
        <v>0.165669315026959</v>
      </c>
      <c r="P190" s="99" t="n">
        <f aca="false">(Yield_Originals!$H190*Yield_Originals!P$1)/Yield_Originals!$K190</f>
        <v>0.173294237775929</v>
      </c>
      <c r="Q190" s="99" t="n">
        <f aca="false">(Yield_Originals!$H190*Yield_Originals!Q$1)/Yield_Originals!$K190</f>
        <v>0.178107966603038</v>
      </c>
      <c r="R190" s="99" t="n">
        <f aca="false">(Yield_Originals!$H190*Yield_Originals!R$1)/Yield_Originals!$K190</f>
        <v>0.182921695430147</v>
      </c>
      <c r="S190" s="99" t="n">
        <f aca="false">(Yield_Originals!$H190*Yield_Originals!S$1)/Yield_Originals!$K190</f>
        <v>0.187735424257256</v>
      </c>
      <c r="T190" s="101" t="n">
        <f aca="false">(Yield_Originals!$I190*Yield_Originals!T$1)/Yield_Originals!$K190</f>
        <v>0.195761946137921</v>
      </c>
      <c r="U190" s="101" t="n">
        <f aca="false">(Yield_Originals!$I190*Yield_Originals!U$1)/Yield_Originals!$K190</f>
        <v>0.200655994791368</v>
      </c>
      <c r="V190" s="101" t="n">
        <f aca="false">(Yield_Originals!$I190*Yield_Originals!V$1)/Yield_Originals!$K190</f>
        <v>0.205550043444817</v>
      </c>
      <c r="W190" s="101" t="n">
        <f aca="false">(Yield_Originals!$I190*Yield_Originals!W$1)/Yield_Originals!$K190</f>
        <v>0.210444092098265</v>
      </c>
      <c r="X190" s="102" t="n">
        <f aca="false">(Yield_Originals!$J190*Yield_Originals!X$1)/Yield_Originals!$K190</f>
        <v>0.234123513233676</v>
      </c>
      <c r="Y190" s="102" t="n">
        <f aca="false">(Yield_Originals!$J190*Yield_Originals!Y$1)/Yield_Originals!$K190</f>
        <v>0.239444502170805</v>
      </c>
      <c r="Z190" s="102" t="n">
        <f aca="false">(Yield_Originals!$J190*Yield_Originals!Z$1)/Yield_Originals!$K190</f>
        <v>0.244765491107934</v>
      </c>
      <c r="AA190" s="102" t="n">
        <f aca="false">(Yield_Originals!$J190*Yield_Originals!AA$1)/Yield_Originals!$K190</f>
        <v>0.250086480045063</v>
      </c>
      <c r="AB190" s="102" t="n">
        <f aca="false">(Yield_Originals!$J190*Yield_Originals!AB$1)/Yield_Originals!$K190</f>
        <v>0.255407468982192</v>
      </c>
    </row>
    <row r="191" customFormat="false" ht="15" hidden="false" customHeight="false" outlineLevel="0" collapsed="false">
      <c r="A191" s="66" t="s">
        <v>1143</v>
      </c>
      <c r="B191" s="64" t="n">
        <v>3</v>
      </c>
      <c r="C191" s="104" t="s">
        <v>245</v>
      </c>
      <c r="D191" s="104" t="s">
        <v>1146</v>
      </c>
      <c r="E191" s="94" t="n">
        <v>32</v>
      </c>
      <c r="F191" s="96" t="n">
        <v>0.12622424002054</v>
      </c>
      <c r="G191" s="96" t="n">
        <v>0.12622424002054</v>
      </c>
      <c r="H191" s="96" t="n">
        <f aca="false">+(Yield_Originals!I191+Yield_Originals!G191)/2</f>
        <v>0.128366102056243</v>
      </c>
      <c r="I191" s="96" t="n">
        <v>0.130507964091947</v>
      </c>
      <c r="J191" s="96" t="n">
        <v>0.14189303832344</v>
      </c>
      <c r="K191" s="97" t="n">
        <v>1</v>
      </c>
      <c r="L191" s="98" t="n">
        <f aca="false">(Yield_Originals!$G191*Yield_Originals!L$1)/Yield_Originals!$K191</f>
        <v>0.151469088024648</v>
      </c>
      <c r="M191" s="98" t="n">
        <f aca="false">(Yield_Originals!$G191*Yield_Originals!M$1)/Yield_Originals!$K191</f>
        <v>0.156202497025418</v>
      </c>
      <c r="N191" s="98" t="n">
        <f aca="false">(Yield_Originals!$G191*Yield_Originals!N$1)/Yield_Originals!$K191</f>
        <v>0.160935906026189</v>
      </c>
      <c r="O191" s="98" t="n">
        <f aca="false">(Yield_Originals!$G191*Yield_Originals!O$1)/Yield_Originals!$K191</f>
        <v>0.165669315026959</v>
      </c>
      <c r="P191" s="99" t="n">
        <f aca="false">(Yield_Originals!$H191*Yield_Originals!P$1)/Yield_Originals!$K191</f>
        <v>0.173294237775929</v>
      </c>
      <c r="Q191" s="99" t="n">
        <f aca="false">(Yield_Originals!$H191*Yield_Originals!Q$1)/Yield_Originals!$K191</f>
        <v>0.178107966603038</v>
      </c>
      <c r="R191" s="99" t="n">
        <f aca="false">(Yield_Originals!$H191*Yield_Originals!R$1)/Yield_Originals!$K191</f>
        <v>0.182921695430147</v>
      </c>
      <c r="S191" s="99" t="n">
        <f aca="false">(Yield_Originals!$H191*Yield_Originals!S$1)/Yield_Originals!$K191</f>
        <v>0.187735424257256</v>
      </c>
      <c r="T191" s="101" t="n">
        <f aca="false">(Yield_Originals!$I191*Yield_Originals!T$1)/Yield_Originals!$K191</f>
        <v>0.195761946137921</v>
      </c>
      <c r="U191" s="101" t="n">
        <f aca="false">(Yield_Originals!$I191*Yield_Originals!U$1)/Yield_Originals!$K191</f>
        <v>0.200655994791368</v>
      </c>
      <c r="V191" s="101" t="n">
        <f aca="false">(Yield_Originals!$I191*Yield_Originals!V$1)/Yield_Originals!$K191</f>
        <v>0.205550043444817</v>
      </c>
      <c r="W191" s="101" t="n">
        <f aca="false">(Yield_Originals!$I191*Yield_Originals!W$1)/Yield_Originals!$K191</f>
        <v>0.210444092098265</v>
      </c>
      <c r="X191" s="102" t="n">
        <f aca="false">(Yield_Originals!$J191*Yield_Originals!X$1)/Yield_Originals!$K191</f>
        <v>0.234123513233676</v>
      </c>
      <c r="Y191" s="102" t="n">
        <f aca="false">(Yield_Originals!$J191*Yield_Originals!Y$1)/Yield_Originals!$K191</f>
        <v>0.239444502170805</v>
      </c>
      <c r="Z191" s="102" t="n">
        <f aca="false">(Yield_Originals!$J191*Yield_Originals!Z$1)/Yield_Originals!$K191</f>
        <v>0.244765491107934</v>
      </c>
      <c r="AA191" s="102" t="n">
        <f aca="false">(Yield_Originals!$J191*Yield_Originals!AA$1)/Yield_Originals!$K191</f>
        <v>0.250086480045063</v>
      </c>
      <c r="AB191" s="102" t="n">
        <f aca="false">(Yield_Originals!$J191*Yield_Originals!AB$1)/Yield_Originals!$K191</f>
        <v>0.255407468982192</v>
      </c>
    </row>
    <row r="192" customFormat="false" ht="15" hidden="false" customHeight="false" outlineLevel="0" collapsed="false">
      <c r="A192" s="66" t="s">
        <v>1143</v>
      </c>
      <c r="B192" s="64" t="n">
        <v>3</v>
      </c>
      <c r="C192" s="104" t="s">
        <v>1071</v>
      </c>
      <c r="D192" s="104" t="s">
        <v>1158</v>
      </c>
      <c r="E192" s="94" t="n">
        <v>31</v>
      </c>
      <c r="F192" s="96" t="n">
        <v>0.12622424002054</v>
      </c>
      <c r="G192" s="96" t="n">
        <v>0.12622424002054</v>
      </c>
      <c r="H192" s="96" t="n">
        <f aca="false">+(Yield_Originals!I192+Yield_Originals!G192)/2</f>
        <v>0.128366102056243</v>
      </c>
      <c r="I192" s="96" t="n">
        <v>0.130507964091947</v>
      </c>
      <c r="J192" s="96" t="n">
        <v>0.14189303832344</v>
      </c>
      <c r="K192" s="97" t="n">
        <v>1</v>
      </c>
      <c r="L192" s="98" t="n">
        <f aca="false">(Yield_Originals!$G192*Yield_Originals!L$1)/Yield_Originals!$K192</f>
        <v>0.151469088024648</v>
      </c>
      <c r="M192" s="98" t="n">
        <f aca="false">(Yield_Originals!$G192*Yield_Originals!M$1)/Yield_Originals!$K192</f>
        <v>0.156202497025418</v>
      </c>
      <c r="N192" s="98" t="n">
        <f aca="false">(Yield_Originals!$G192*Yield_Originals!N$1)/Yield_Originals!$K192</f>
        <v>0.160935906026189</v>
      </c>
      <c r="O192" s="98" t="n">
        <f aca="false">(Yield_Originals!$G192*Yield_Originals!O$1)/Yield_Originals!$K192</f>
        <v>0.165669315026959</v>
      </c>
      <c r="P192" s="99" t="n">
        <f aca="false">(Yield_Originals!$H192*Yield_Originals!P$1)/Yield_Originals!$K192</f>
        <v>0.173294237775929</v>
      </c>
      <c r="Q192" s="99" t="n">
        <f aca="false">(Yield_Originals!$H192*Yield_Originals!Q$1)/Yield_Originals!$K192</f>
        <v>0.178107966603038</v>
      </c>
      <c r="R192" s="99" t="n">
        <f aca="false">(Yield_Originals!$H192*Yield_Originals!R$1)/Yield_Originals!$K192</f>
        <v>0.182921695430147</v>
      </c>
      <c r="S192" s="99" t="n">
        <f aca="false">(Yield_Originals!$H192*Yield_Originals!S$1)/Yield_Originals!$K192</f>
        <v>0.187735424257256</v>
      </c>
      <c r="T192" s="101" t="n">
        <f aca="false">(Yield_Originals!$I192*Yield_Originals!T$1)/Yield_Originals!$K192</f>
        <v>0.195761946137921</v>
      </c>
      <c r="U192" s="101" t="n">
        <f aca="false">(Yield_Originals!$I192*Yield_Originals!U$1)/Yield_Originals!$K192</f>
        <v>0.200655994791368</v>
      </c>
      <c r="V192" s="101" t="n">
        <f aca="false">(Yield_Originals!$I192*Yield_Originals!V$1)/Yield_Originals!$K192</f>
        <v>0.205550043444817</v>
      </c>
      <c r="W192" s="101" t="n">
        <f aca="false">(Yield_Originals!$I192*Yield_Originals!W$1)/Yield_Originals!$K192</f>
        <v>0.210444092098265</v>
      </c>
      <c r="X192" s="102" t="n">
        <f aca="false">(Yield_Originals!$J192*Yield_Originals!X$1)/Yield_Originals!$K192</f>
        <v>0.234123513233676</v>
      </c>
      <c r="Y192" s="102" t="n">
        <f aca="false">(Yield_Originals!$J192*Yield_Originals!Y$1)/Yield_Originals!$K192</f>
        <v>0.239444502170805</v>
      </c>
      <c r="Z192" s="102" t="n">
        <f aca="false">(Yield_Originals!$J192*Yield_Originals!Z$1)/Yield_Originals!$K192</f>
        <v>0.244765491107934</v>
      </c>
      <c r="AA192" s="102" t="n">
        <f aca="false">(Yield_Originals!$J192*Yield_Originals!AA$1)/Yield_Originals!$K192</f>
        <v>0.250086480045063</v>
      </c>
      <c r="AB192" s="102" t="n">
        <f aca="false">(Yield_Originals!$J192*Yield_Originals!AB$1)/Yield_Originals!$K192</f>
        <v>0.255407468982192</v>
      </c>
    </row>
    <row r="193" customFormat="false" ht="15" hidden="false" customHeight="false" outlineLevel="0" collapsed="false">
      <c r="A193" s="66" t="s">
        <v>1143</v>
      </c>
      <c r="B193" s="64" t="n">
        <v>3</v>
      </c>
      <c r="C193" s="104" t="s">
        <v>1071</v>
      </c>
      <c r="D193" s="104" t="s">
        <v>1158</v>
      </c>
      <c r="E193" s="94" t="n">
        <v>32</v>
      </c>
      <c r="F193" s="96" t="n">
        <v>0.12622424002054</v>
      </c>
      <c r="G193" s="96" t="n">
        <v>0.12622424002054</v>
      </c>
      <c r="H193" s="96" t="n">
        <f aca="false">+(Yield_Originals!I193+Yield_Originals!G193)/2</f>
        <v>0.128366102056243</v>
      </c>
      <c r="I193" s="96" t="n">
        <v>0.130507964091947</v>
      </c>
      <c r="J193" s="96" t="n">
        <v>0.14189303832344</v>
      </c>
      <c r="K193" s="97" t="n">
        <v>1</v>
      </c>
      <c r="L193" s="98" t="n">
        <f aca="false">(Yield_Originals!$G193*Yield_Originals!L$1)/Yield_Originals!$K193</f>
        <v>0.151469088024648</v>
      </c>
      <c r="M193" s="98" t="n">
        <f aca="false">(Yield_Originals!$G193*Yield_Originals!M$1)/Yield_Originals!$K193</f>
        <v>0.156202497025418</v>
      </c>
      <c r="N193" s="98" t="n">
        <f aca="false">(Yield_Originals!$G193*Yield_Originals!N$1)/Yield_Originals!$K193</f>
        <v>0.160935906026189</v>
      </c>
      <c r="O193" s="98" t="n">
        <f aca="false">(Yield_Originals!$G193*Yield_Originals!O$1)/Yield_Originals!$K193</f>
        <v>0.165669315026959</v>
      </c>
      <c r="P193" s="99" t="n">
        <f aca="false">(Yield_Originals!$H193*Yield_Originals!P$1)/Yield_Originals!$K193</f>
        <v>0.173294237775929</v>
      </c>
      <c r="Q193" s="99" t="n">
        <f aca="false">(Yield_Originals!$H193*Yield_Originals!Q$1)/Yield_Originals!$K193</f>
        <v>0.178107966603038</v>
      </c>
      <c r="R193" s="99" t="n">
        <f aca="false">(Yield_Originals!$H193*Yield_Originals!R$1)/Yield_Originals!$K193</f>
        <v>0.182921695430147</v>
      </c>
      <c r="S193" s="99" t="n">
        <f aca="false">(Yield_Originals!$H193*Yield_Originals!S$1)/Yield_Originals!$K193</f>
        <v>0.187735424257256</v>
      </c>
      <c r="T193" s="101" t="n">
        <f aca="false">(Yield_Originals!$I193*Yield_Originals!T$1)/Yield_Originals!$K193</f>
        <v>0.195761946137921</v>
      </c>
      <c r="U193" s="101" t="n">
        <f aca="false">(Yield_Originals!$I193*Yield_Originals!U$1)/Yield_Originals!$K193</f>
        <v>0.200655994791368</v>
      </c>
      <c r="V193" s="101" t="n">
        <f aca="false">(Yield_Originals!$I193*Yield_Originals!V$1)/Yield_Originals!$K193</f>
        <v>0.205550043444817</v>
      </c>
      <c r="W193" s="101" t="n">
        <f aca="false">(Yield_Originals!$I193*Yield_Originals!W$1)/Yield_Originals!$K193</f>
        <v>0.210444092098265</v>
      </c>
      <c r="X193" s="102" t="n">
        <f aca="false">(Yield_Originals!$J193*Yield_Originals!X$1)/Yield_Originals!$K193</f>
        <v>0.234123513233676</v>
      </c>
      <c r="Y193" s="102" t="n">
        <f aca="false">(Yield_Originals!$J193*Yield_Originals!Y$1)/Yield_Originals!$K193</f>
        <v>0.239444502170805</v>
      </c>
      <c r="Z193" s="102" t="n">
        <f aca="false">(Yield_Originals!$J193*Yield_Originals!Z$1)/Yield_Originals!$K193</f>
        <v>0.244765491107934</v>
      </c>
      <c r="AA193" s="102" t="n">
        <f aca="false">(Yield_Originals!$J193*Yield_Originals!AA$1)/Yield_Originals!$K193</f>
        <v>0.250086480045063</v>
      </c>
      <c r="AB193" s="102" t="n">
        <f aca="false">(Yield_Originals!$J193*Yield_Originals!AB$1)/Yield_Originals!$K193</f>
        <v>0.255407468982192</v>
      </c>
    </row>
    <row r="194" customFormat="false" ht="15" hidden="false" customHeight="false" outlineLevel="0" collapsed="false">
      <c r="A194" s="66" t="s">
        <v>1143</v>
      </c>
      <c r="B194" s="64" t="n">
        <v>3</v>
      </c>
      <c r="C194" s="104" t="s">
        <v>1074</v>
      </c>
      <c r="D194" s="104" t="s">
        <v>1155</v>
      </c>
      <c r="E194" s="94" t="n">
        <v>31</v>
      </c>
      <c r="F194" s="96" t="n">
        <v>0.12622424002054</v>
      </c>
      <c r="G194" s="96" t="n">
        <v>0.12622424002054</v>
      </c>
      <c r="H194" s="96" t="n">
        <f aca="false">+(Yield_Originals!I194+Yield_Originals!G194)/2</f>
        <v>0.128366102056243</v>
      </c>
      <c r="I194" s="96" t="n">
        <v>0.130507964091947</v>
      </c>
      <c r="J194" s="96" t="n">
        <v>0.14189303832344</v>
      </c>
      <c r="K194" s="97" t="n">
        <v>1</v>
      </c>
      <c r="L194" s="98" t="n">
        <f aca="false">(Yield_Originals!$G194*Yield_Originals!L$1)/Yield_Originals!$K194</f>
        <v>0.151469088024648</v>
      </c>
      <c r="M194" s="98" t="n">
        <f aca="false">(Yield_Originals!$G194*Yield_Originals!M$1)/Yield_Originals!$K194</f>
        <v>0.156202497025418</v>
      </c>
      <c r="N194" s="98" t="n">
        <f aca="false">(Yield_Originals!$G194*Yield_Originals!N$1)/Yield_Originals!$K194</f>
        <v>0.160935906026189</v>
      </c>
      <c r="O194" s="98" t="n">
        <f aca="false">(Yield_Originals!$G194*Yield_Originals!O$1)/Yield_Originals!$K194</f>
        <v>0.165669315026959</v>
      </c>
      <c r="P194" s="99" t="n">
        <f aca="false">(Yield_Originals!$H194*Yield_Originals!P$1)/Yield_Originals!$K194</f>
        <v>0.173294237775929</v>
      </c>
      <c r="Q194" s="99" t="n">
        <f aca="false">(Yield_Originals!$H194*Yield_Originals!Q$1)/Yield_Originals!$K194</f>
        <v>0.178107966603038</v>
      </c>
      <c r="R194" s="99" t="n">
        <f aca="false">(Yield_Originals!$H194*Yield_Originals!R$1)/Yield_Originals!$K194</f>
        <v>0.182921695430147</v>
      </c>
      <c r="S194" s="99" t="n">
        <f aca="false">(Yield_Originals!$H194*Yield_Originals!S$1)/Yield_Originals!$K194</f>
        <v>0.187735424257256</v>
      </c>
      <c r="T194" s="101" t="n">
        <f aca="false">(Yield_Originals!$I194*Yield_Originals!T$1)/Yield_Originals!$K194</f>
        <v>0.195761946137921</v>
      </c>
      <c r="U194" s="101" t="n">
        <f aca="false">(Yield_Originals!$I194*Yield_Originals!U$1)/Yield_Originals!$K194</f>
        <v>0.200655994791368</v>
      </c>
      <c r="V194" s="101" t="n">
        <f aca="false">(Yield_Originals!$I194*Yield_Originals!V$1)/Yield_Originals!$K194</f>
        <v>0.205550043444817</v>
      </c>
      <c r="W194" s="101" t="n">
        <f aca="false">(Yield_Originals!$I194*Yield_Originals!W$1)/Yield_Originals!$K194</f>
        <v>0.210444092098265</v>
      </c>
      <c r="X194" s="102" t="n">
        <f aca="false">(Yield_Originals!$J194*Yield_Originals!X$1)/Yield_Originals!$K194</f>
        <v>0.234123513233676</v>
      </c>
      <c r="Y194" s="102" t="n">
        <f aca="false">(Yield_Originals!$J194*Yield_Originals!Y$1)/Yield_Originals!$K194</f>
        <v>0.239444502170805</v>
      </c>
      <c r="Z194" s="102" t="n">
        <f aca="false">(Yield_Originals!$J194*Yield_Originals!Z$1)/Yield_Originals!$K194</f>
        <v>0.244765491107934</v>
      </c>
      <c r="AA194" s="102" t="n">
        <f aca="false">(Yield_Originals!$J194*Yield_Originals!AA$1)/Yield_Originals!$K194</f>
        <v>0.250086480045063</v>
      </c>
      <c r="AB194" s="102" t="n">
        <f aca="false">(Yield_Originals!$J194*Yield_Originals!AB$1)/Yield_Originals!$K194</f>
        <v>0.255407468982192</v>
      </c>
    </row>
    <row r="195" customFormat="false" ht="15" hidden="false" customHeight="false" outlineLevel="0" collapsed="false">
      <c r="A195" s="66" t="s">
        <v>1143</v>
      </c>
      <c r="B195" s="64" t="n">
        <v>3</v>
      </c>
      <c r="C195" s="104" t="s">
        <v>1074</v>
      </c>
      <c r="D195" s="104" t="s">
        <v>1155</v>
      </c>
      <c r="E195" s="94" t="n">
        <v>32</v>
      </c>
      <c r="F195" s="96" t="n">
        <v>0.12622424002054</v>
      </c>
      <c r="G195" s="96" t="n">
        <v>0.12622424002054</v>
      </c>
      <c r="H195" s="96" t="n">
        <f aca="false">+(Yield_Originals!I195+Yield_Originals!G195)/2</f>
        <v>0.128366102056243</v>
      </c>
      <c r="I195" s="96" t="n">
        <v>0.130507964091947</v>
      </c>
      <c r="J195" s="96" t="n">
        <v>0.14189303832344</v>
      </c>
      <c r="K195" s="97" t="n">
        <v>1</v>
      </c>
      <c r="L195" s="98" t="n">
        <f aca="false">(Yield_Originals!$G195*Yield_Originals!L$1)/Yield_Originals!$K195</f>
        <v>0.151469088024648</v>
      </c>
      <c r="M195" s="98" t="n">
        <f aca="false">(Yield_Originals!$G195*Yield_Originals!M$1)/Yield_Originals!$K195</f>
        <v>0.156202497025418</v>
      </c>
      <c r="N195" s="98" t="n">
        <f aca="false">(Yield_Originals!$G195*Yield_Originals!N$1)/Yield_Originals!$K195</f>
        <v>0.160935906026189</v>
      </c>
      <c r="O195" s="98" t="n">
        <f aca="false">(Yield_Originals!$G195*Yield_Originals!O$1)/Yield_Originals!$K195</f>
        <v>0.165669315026959</v>
      </c>
      <c r="P195" s="99" t="n">
        <f aca="false">(Yield_Originals!$H195*Yield_Originals!P$1)/Yield_Originals!$K195</f>
        <v>0.173294237775929</v>
      </c>
      <c r="Q195" s="99" t="n">
        <f aca="false">(Yield_Originals!$H195*Yield_Originals!Q$1)/Yield_Originals!$K195</f>
        <v>0.178107966603038</v>
      </c>
      <c r="R195" s="99" t="n">
        <f aca="false">(Yield_Originals!$H195*Yield_Originals!R$1)/Yield_Originals!$K195</f>
        <v>0.182921695430147</v>
      </c>
      <c r="S195" s="99" t="n">
        <f aca="false">(Yield_Originals!$H195*Yield_Originals!S$1)/Yield_Originals!$K195</f>
        <v>0.187735424257256</v>
      </c>
      <c r="T195" s="101" t="n">
        <f aca="false">(Yield_Originals!$I195*Yield_Originals!T$1)/Yield_Originals!$K195</f>
        <v>0.195761946137921</v>
      </c>
      <c r="U195" s="101" t="n">
        <f aca="false">(Yield_Originals!$I195*Yield_Originals!U$1)/Yield_Originals!$K195</f>
        <v>0.200655994791368</v>
      </c>
      <c r="V195" s="101" t="n">
        <f aca="false">(Yield_Originals!$I195*Yield_Originals!V$1)/Yield_Originals!$K195</f>
        <v>0.205550043444817</v>
      </c>
      <c r="W195" s="101" t="n">
        <f aca="false">(Yield_Originals!$I195*Yield_Originals!W$1)/Yield_Originals!$K195</f>
        <v>0.210444092098265</v>
      </c>
      <c r="X195" s="102" t="n">
        <f aca="false">(Yield_Originals!$J195*Yield_Originals!X$1)/Yield_Originals!$K195</f>
        <v>0.234123513233676</v>
      </c>
      <c r="Y195" s="102" t="n">
        <f aca="false">(Yield_Originals!$J195*Yield_Originals!Y$1)/Yield_Originals!$K195</f>
        <v>0.239444502170805</v>
      </c>
      <c r="Z195" s="102" t="n">
        <f aca="false">(Yield_Originals!$J195*Yield_Originals!Z$1)/Yield_Originals!$K195</f>
        <v>0.244765491107934</v>
      </c>
      <c r="AA195" s="102" t="n">
        <f aca="false">(Yield_Originals!$J195*Yield_Originals!AA$1)/Yield_Originals!$K195</f>
        <v>0.250086480045063</v>
      </c>
      <c r="AB195" s="102" t="n">
        <f aca="false">(Yield_Originals!$J195*Yield_Originals!AB$1)/Yield_Originals!$K195</f>
        <v>0.255407468982192</v>
      </c>
    </row>
    <row r="196" customFormat="false" ht="15" hidden="false" customHeight="false" outlineLevel="0" collapsed="false">
      <c r="A196" s="66" t="s">
        <v>1143</v>
      </c>
      <c r="B196" s="64" t="n">
        <v>3</v>
      </c>
      <c r="C196" s="104" t="s">
        <v>128</v>
      </c>
      <c r="D196" s="104" t="s">
        <v>1148</v>
      </c>
      <c r="E196" s="94" t="n">
        <v>31</v>
      </c>
      <c r="F196" s="96" t="n">
        <v>0.12622424002054</v>
      </c>
      <c r="G196" s="96" t="n">
        <v>0.12622424002054</v>
      </c>
      <c r="H196" s="96" t="n">
        <f aca="false">+(Yield_Originals!I196+Yield_Originals!G196)/2</f>
        <v>0.128366102056243</v>
      </c>
      <c r="I196" s="96" t="n">
        <v>0.130507964091947</v>
      </c>
      <c r="J196" s="96" t="n">
        <v>0.14189303832344</v>
      </c>
      <c r="K196" s="97" t="n">
        <v>1</v>
      </c>
      <c r="L196" s="98" t="n">
        <f aca="false">(Yield_Originals!$G196*Yield_Originals!L$1)/Yield_Originals!$K196</f>
        <v>0.151469088024648</v>
      </c>
      <c r="M196" s="98" t="n">
        <f aca="false">(Yield_Originals!$G196*Yield_Originals!M$1)/Yield_Originals!$K196</f>
        <v>0.156202497025418</v>
      </c>
      <c r="N196" s="98" t="n">
        <f aca="false">(Yield_Originals!$G196*Yield_Originals!N$1)/Yield_Originals!$K196</f>
        <v>0.160935906026189</v>
      </c>
      <c r="O196" s="98" t="n">
        <f aca="false">(Yield_Originals!$G196*Yield_Originals!O$1)/Yield_Originals!$K196</f>
        <v>0.165669315026959</v>
      </c>
      <c r="P196" s="99" t="n">
        <f aca="false">(Yield_Originals!$H196*Yield_Originals!P$1)/Yield_Originals!$K196</f>
        <v>0.173294237775929</v>
      </c>
      <c r="Q196" s="99" t="n">
        <f aca="false">(Yield_Originals!$H196*Yield_Originals!Q$1)/Yield_Originals!$K196</f>
        <v>0.178107966603038</v>
      </c>
      <c r="R196" s="99" t="n">
        <f aca="false">(Yield_Originals!$H196*Yield_Originals!R$1)/Yield_Originals!$K196</f>
        <v>0.182921695430147</v>
      </c>
      <c r="S196" s="99" t="n">
        <f aca="false">(Yield_Originals!$H196*Yield_Originals!S$1)/Yield_Originals!$K196</f>
        <v>0.187735424257256</v>
      </c>
      <c r="T196" s="101" t="n">
        <f aca="false">(Yield_Originals!$I196*Yield_Originals!T$1)/Yield_Originals!$K196</f>
        <v>0.195761946137921</v>
      </c>
      <c r="U196" s="101" t="n">
        <f aca="false">(Yield_Originals!$I196*Yield_Originals!U$1)/Yield_Originals!$K196</f>
        <v>0.200655994791368</v>
      </c>
      <c r="V196" s="101" t="n">
        <f aca="false">(Yield_Originals!$I196*Yield_Originals!V$1)/Yield_Originals!$K196</f>
        <v>0.205550043444817</v>
      </c>
      <c r="W196" s="101" t="n">
        <f aca="false">(Yield_Originals!$I196*Yield_Originals!W$1)/Yield_Originals!$K196</f>
        <v>0.210444092098265</v>
      </c>
      <c r="X196" s="102" t="n">
        <f aca="false">(Yield_Originals!$J196*Yield_Originals!X$1)/Yield_Originals!$K196</f>
        <v>0.234123513233676</v>
      </c>
      <c r="Y196" s="102" t="n">
        <f aca="false">(Yield_Originals!$J196*Yield_Originals!Y$1)/Yield_Originals!$K196</f>
        <v>0.239444502170805</v>
      </c>
      <c r="Z196" s="102" t="n">
        <f aca="false">(Yield_Originals!$J196*Yield_Originals!Z$1)/Yield_Originals!$K196</f>
        <v>0.244765491107934</v>
      </c>
      <c r="AA196" s="102" t="n">
        <f aca="false">(Yield_Originals!$J196*Yield_Originals!AA$1)/Yield_Originals!$K196</f>
        <v>0.250086480045063</v>
      </c>
      <c r="AB196" s="102" t="n">
        <f aca="false">(Yield_Originals!$J196*Yield_Originals!AB$1)/Yield_Originals!$K196</f>
        <v>0.255407468982192</v>
      </c>
    </row>
    <row r="197" customFormat="false" ht="15" hidden="false" customHeight="false" outlineLevel="0" collapsed="false">
      <c r="A197" s="66" t="s">
        <v>1143</v>
      </c>
      <c r="B197" s="64" t="n">
        <v>3</v>
      </c>
      <c r="C197" s="104" t="s">
        <v>128</v>
      </c>
      <c r="D197" s="104" t="s">
        <v>1148</v>
      </c>
      <c r="E197" s="94" t="n">
        <v>32</v>
      </c>
      <c r="F197" s="96" t="n">
        <v>0.12622424002054</v>
      </c>
      <c r="G197" s="96" t="n">
        <v>0.12622424002054</v>
      </c>
      <c r="H197" s="96" t="n">
        <f aca="false">+(Yield_Originals!I197+Yield_Originals!G197)/2</f>
        <v>0.128366102056243</v>
      </c>
      <c r="I197" s="96" t="n">
        <v>0.130507964091947</v>
      </c>
      <c r="J197" s="96" t="n">
        <v>0.14189303832344</v>
      </c>
      <c r="K197" s="97" t="n">
        <v>1</v>
      </c>
      <c r="L197" s="98" t="n">
        <f aca="false">(Yield_Originals!$G197*Yield_Originals!L$1)/Yield_Originals!$K197</f>
        <v>0.151469088024648</v>
      </c>
      <c r="M197" s="98" t="n">
        <f aca="false">(Yield_Originals!$G197*Yield_Originals!M$1)/Yield_Originals!$K197</f>
        <v>0.156202497025418</v>
      </c>
      <c r="N197" s="98" t="n">
        <f aca="false">(Yield_Originals!$G197*Yield_Originals!N$1)/Yield_Originals!$K197</f>
        <v>0.160935906026189</v>
      </c>
      <c r="O197" s="98" t="n">
        <f aca="false">(Yield_Originals!$G197*Yield_Originals!O$1)/Yield_Originals!$K197</f>
        <v>0.165669315026959</v>
      </c>
      <c r="P197" s="99" t="n">
        <f aca="false">(Yield_Originals!$H197*Yield_Originals!P$1)/Yield_Originals!$K197</f>
        <v>0.173294237775929</v>
      </c>
      <c r="Q197" s="99" t="n">
        <f aca="false">(Yield_Originals!$H197*Yield_Originals!Q$1)/Yield_Originals!$K197</f>
        <v>0.178107966603038</v>
      </c>
      <c r="R197" s="99" t="n">
        <f aca="false">(Yield_Originals!$H197*Yield_Originals!R$1)/Yield_Originals!$K197</f>
        <v>0.182921695430147</v>
      </c>
      <c r="S197" s="99" t="n">
        <f aca="false">(Yield_Originals!$H197*Yield_Originals!S$1)/Yield_Originals!$K197</f>
        <v>0.187735424257256</v>
      </c>
      <c r="T197" s="101" t="n">
        <f aca="false">(Yield_Originals!$I197*Yield_Originals!T$1)/Yield_Originals!$K197</f>
        <v>0.195761946137921</v>
      </c>
      <c r="U197" s="101" t="n">
        <f aca="false">(Yield_Originals!$I197*Yield_Originals!U$1)/Yield_Originals!$K197</f>
        <v>0.200655994791368</v>
      </c>
      <c r="V197" s="101" t="n">
        <f aca="false">(Yield_Originals!$I197*Yield_Originals!V$1)/Yield_Originals!$K197</f>
        <v>0.205550043444817</v>
      </c>
      <c r="W197" s="101" t="n">
        <f aca="false">(Yield_Originals!$I197*Yield_Originals!W$1)/Yield_Originals!$K197</f>
        <v>0.210444092098265</v>
      </c>
      <c r="X197" s="102" t="n">
        <f aca="false">(Yield_Originals!$J197*Yield_Originals!X$1)/Yield_Originals!$K197</f>
        <v>0.234123513233676</v>
      </c>
      <c r="Y197" s="102" t="n">
        <f aca="false">(Yield_Originals!$J197*Yield_Originals!Y$1)/Yield_Originals!$K197</f>
        <v>0.239444502170805</v>
      </c>
      <c r="Z197" s="102" t="n">
        <f aca="false">(Yield_Originals!$J197*Yield_Originals!Z$1)/Yield_Originals!$K197</f>
        <v>0.244765491107934</v>
      </c>
      <c r="AA197" s="102" t="n">
        <f aca="false">(Yield_Originals!$J197*Yield_Originals!AA$1)/Yield_Originals!$K197</f>
        <v>0.250086480045063</v>
      </c>
      <c r="AB197" s="102" t="n">
        <f aca="false">(Yield_Originals!$J197*Yield_Originals!AB$1)/Yield_Originals!$K197</f>
        <v>0.255407468982192</v>
      </c>
    </row>
    <row r="198" customFormat="false" ht="15" hidden="false" customHeight="false" outlineLevel="0" collapsed="false">
      <c r="A198" s="66" t="s">
        <v>1143</v>
      </c>
      <c r="B198" s="64" t="n">
        <v>3</v>
      </c>
      <c r="C198" s="104" t="s">
        <v>246</v>
      </c>
      <c r="D198" s="104" t="s">
        <v>1150</v>
      </c>
      <c r="E198" s="94" t="n">
        <v>31</v>
      </c>
      <c r="F198" s="96" t="n">
        <v>0.12622424002054</v>
      </c>
      <c r="G198" s="96" t="n">
        <v>0.12622424002054</v>
      </c>
      <c r="H198" s="96" t="n">
        <f aca="false">+(Yield_Originals!I198+Yield_Originals!G198)/2</f>
        <v>0.128366102056243</v>
      </c>
      <c r="I198" s="96" t="n">
        <v>0.130507964091947</v>
      </c>
      <c r="J198" s="96" t="n">
        <v>0.14189303832344</v>
      </c>
      <c r="K198" s="97" t="n">
        <v>1</v>
      </c>
      <c r="L198" s="98" t="n">
        <f aca="false">(Yield_Originals!$G198*Yield_Originals!L$1)/Yield_Originals!$K198</f>
        <v>0.151469088024648</v>
      </c>
      <c r="M198" s="98" t="n">
        <f aca="false">(Yield_Originals!$G198*Yield_Originals!M$1)/Yield_Originals!$K198</f>
        <v>0.156202497025418</v>
      </c>
      <c r="N198" s="98" t="n">
        <f aca="false">(Yield_Originals!$G198*Yield_Originals!N$1)/Yield_Originals!$K198</f>
        <v>0.160935906026189</v>
      </c>
      <c r="O198" s="98" t="n">
        <f aca="false">(Yield_Originals!$G198*Yield_Originals!O$1)/Yield_Originals!$K198</f>
        <v>0.165669315026959</v>
      </c>
      <c r="P198" s="99" t="n">
        <f aca="false">(Yield_Originals!$H198*Yield_Originals!P$1)/Yield_Originals!$K198</f>
        <v>0.173294237775929</v>
      </c>
      <c r="Q198" s="99" t="n">
        <f aca="false">(Yield_Originals!$H198*Yield_Originals!Q$1)/Yield_Originals!$K198</f>
        <v>0.178107966603038</v>
      </c>
      <c r="R198" s="99" t="n">
        <f aca="false">(Yield_Originals!$H198*Yield_Originals!R$1)/Yield_Originals!$K198</f>
        <v>0.182921695430147</v>
      </c>
      <c r="S198" s="99" t="n">
        <f aca="false">(Yield_Originals!$H198*Yield_Originals!S$1)/Yield_Originals!$K198</f>
        <v>0.187735424257256</v>
      </c>
      <c r="T198" s="101" t="n">
        <f aca="false">(Yield_Originals!$I198*Yield_Originals!T$1)/Yield_Originals!$K198</f>
        <v>0.195761946137921</v>
      </c>
      <c r="U198" s="101" t="n">
        <f aca="false">(Yield_Originals!$I198*Yield_Originals!U$1)/Yield_Originals!$K198</f>
        <v>0.200655994791368</v>
      </c>
      <c r="V198" s="101" t="n">
        <f aca="false">(Yield_Originals!$I198*Yield_Originals!V$1)/Yield_Originals!$K198</f>
        <v>0.205550043444817</v>
      </c>
      <c r="W198" s="101" t="n">
        <f aca="false">(Yield_Originals!$I198*Yield_Originals!W$1)/Yield_Originals!$K198</f>
        <v>0.210444092098265</v>
      </c>
      <c r="X198" s="102" t="n">
        <f aca="false">(Yield_Originals!$J198*Yield_Originals!X$1)/Yield_Originals!$K198</f>
        <v>0.234123513233676</v>
      </c>
      <c r="Y198" s="102" t="n">
        <f aca="false">(Yield_Originals!$J198*Yield_Originals!Y$1)/Yield_Originals!$K198</f>
        <v>0.239444502170805</v>
      </c>
      <c r="Z198" s="102" t="n">
        <f aca="false">(Yield_Originals!$J198*Yield_Originals!Z$1)/Yield_Originals!$K198</f>
        <v>0.244765491107934</v>
      </c>
      <c r="AA198" s="102" t="n">
        <f aca="false">(Yield_Originals!$J198*Yield_Originals!AA$1)/Yield_Originals!$K198</f>
        <v>0.250086480045063</v>
      </c>
      <c r="AB198" s="102" t="n">
        <f aca="false">(Yield_Originals!$J198*Yield_Originals!AB$1)/Yield_Originals!$K198</f>
        <v>0.255407468982192</v>
      </c>
    </row>
    <row r="199" customFormat="false" ht="15" hidden="false" customHeight="false" outlineLevel="0" collapsed="false">
      <c r="A199" s="66" t="s">
        <v>1143</v>
      </c>
      <c r="B199" s="64" t="n">
        <v>3</v>
      </c>
      <c r="C199" s="104" t="s">
        <v>246</v>
      </c>
      <c r="D199" s="104" t="s">
        <v>1150</v>
      </c>
      <c r="E199" s="94" t="n">
        <v>32</v>
      </c>
      <c r="F199" s="96" t="n">
        <v>0.12622424002054</v>
      </c>
      <c r="G199" s="96" t="n">
        <v>0.12622424002054</v>
      </c>
      <c r="H199" s="96" t="n">
        <f aca="false">+(Yield_Originals!I199+Yield_Originals!G199)/2</f>
        <v>0.128366102056243</v>
      </c>
      <c r="I199" s="96" t="n">
        <v>0.130507964091947</v>
      </c>
      <c r="J199" s="96" t="n">
        <v>0.14189303832344</v>
      </c>
      <c r="K199" s="97" t="n">
        <v>1</v>
      </c>
      <c r="L199" s="98" t="n">
        <f aca="false">(Yield_Originals!$G199*Yield_Originals!L$1)/Yield_Originals!$K199</f>
        <v>0.151469088024648</v>
      </c>
      <c r="M199" s="98" t="n">
        <f aca="false">(Yield_Originals!$G199*Yield_Originals!M$1)/Yield_Originals!$K199</f>
        <v>0.156202497025418</v>
      </c>
      <c r="N199" s="98" t="n">
        <f aca="false">(Yield_Originals!$G199*Yield_Originals!N$1)/Yield_Originals!$K199</f>
        <v>0.160935906026189</v>
      </c>
      <c r="O199" s="98" t="n">
        <f aca="false">(Yield_Originals!$G199*Yield_Originals!O$1)/Yield_Originals!$K199</f>
        <v>0.165669315026959</v>
      </c>
      <c r="P199" s="99" t="n">
        <f aca="false">(Yield_Originals!$H199*Yield_Originals!P$1)/Yield_Originals!$K199</f>
        <v>0.173294237775929</v>
      </c>
      <c r="Q199" s="99" t="n">
        <f aca="false">(Yield_Originals!$H199*Yield_Originals!Q$1)/Yield_Originals!$K199</f>
        <v>0.178107966603038</v>
      </c>
      <c r="R199" s="99" t="n">
        <f aca="false">(Yield_Originals!$H199*Yield_Originals!R$1)/Yield_Originals!$K199</f>
        <v>0.182921695430147</v>
      </c>
      <c r="S199" s="99" t="n">
        <f aca="false">(Yield_Originals!$H199*Yield_Originals!S$1)/Yield_Originals!$K199</f>
        <v>0.187735424257256</v>
      </c>
      <c r="T199" s="101" t="n">
        <f aca="false">(Yield_Originals!$I199*Yield_Originals!T$1)/Yield_Originals!$K199</f>
        <v>0.195761946137921</v>
      </c>
      <c r="U199" s="101" t="n">
        <f aca="false">(Yield_Originals!$I199*Yield_Originals!U$1)/Yield_Originals!$K199</f>
        <v>0.200655994791368</v>
      </c>
      <c r="V199" s="101" t="n">
        <f aca="false">(Yield_Originals!$I199*Yield_Originals!V$1)/Yield_Originals!$K199</f>
        <v>0.205550043444817</v>
      </c>
      <c r="W199" s="101" t="n">
        <f aca="false">(Yield_Originals!$I199*Yield_Originals!W$1)/Yield_Originals!$K199</f>
        <v>0.210444092098265</v>
      </c>
      <c r="X199" s="102" t="n">
        <f aca="false">(Yield_Originals!$J199*Yield_Originals!X$1)/Yield_Originals!$K199</f>
        <v>0.234123513233676</v>
      </c>
      <c r="Y199" s="102" t="n">
        <f aca="false">(Yield_Originals!$J199*Yield_Originals!Y$1)/Yield_Originals!$K199</f>
        <v>0.239444502170805</v>
      </c>
      <c r="Z199" s="102" t="n">
        <f aca="false">(Yield_Originals!$J199*Yield_Originals!Z$1)/Yield_Originals!$K199</f>
        <v>0.244765491107934</v>
      </c>
      <c r="AA199" s="102" t="n">
        <f aca="false">(Yield_Originals!$J199*Yield_Originals!AA$1)/Yield_Originals!$K199</f>
        <v>0.250086480045063</v>
      </c>
      <c r="AB199" s="102" t="n">
        <f aca="false">(Yield_Originals!$J199*Yield_Originals!AB$1)/Yield_Originals!$K199</f>
        <v>0.255407468982192</v>
      </c>
    </row>
    <row r="200" customFormat="false" ht="15" hidden="false" customHeight="false" outlineLevel="0" collapsed="false">
      <c r="A200" s="66" t="s">
        <v>1177</v>
      </c>
      <c r="B200" s="64" t="n">
        <v>3</v>
      </c>
      <c r="C200" s="104" t="s">
        <v>247</v>
      </c>
      <c r="D200" s="104" t="s">
        <v>1176</v>
      </c>
      <c r="E200" s="94" t="n">
        <v>33</v>
      </c>
      <c r="F200" s="96" t="n">
        <v>0.211280805951981</v>
      </c>
      <c r="G200" s="96" t="n">
        <v>0.211280805951981</v>
      </c>
      <c r="H200" s="96" t="n">
        <f aca="false">+(Yield_Originals!I200+Yield_Originals!G200)/2</f>
        <v>0.211988886983249</v>
      </c>
      <c r="I200" s="96" t="n">
        <v>0.212696968014516</v>
      </c>
      <c r="J200" s="96" t="n">
        <v>0.223682586038622</v>
      </c>
      <c r="K200" s="97" t="n">
        <v>1</v>
      </c>
      <c r="L200" s="98" t="n">
        <f aca="false">(Yield_Originals!$G200*Yield_Originals!L$1)/Yield_Originals!$K200</f>
        <v>0.253536967142377</v>
      </c>
      <c r="M200" s="98" t="n">
        <f aca="false">(Yield_Originals!$G200*Yield_Originals!M$1)/Yield_Originals!$K200</f>
        <v>0.261459997365576</v>
      </c>
      <c r="N200" s="98" t="n">
        <f aca="false">(Yield_Originals!$G200*Yield_Originals!N$1)/Yield_Originals!$K200</f>
        <v>0.269383027588776</v>
      </c>
      <c r="O200" s="98" t="n">
        <f aca="false">(Yield_Originals!$G200*Yield_Originals!O$1)/Yield_Originals!$K200</f>
        <v>0.277306057811975</v>
      </c>
      <c r="P200" s="99" t="n">
        <f aca="false">(Yield_Originals!$H200*Yield_Originals!P$1)/Yield_Originals!$K200</f>
        <v>0.286184997427385</v>
      </c>
      <c r="Q200" s="99" t="n">
        <f aca="false">(Yield_Originals!$H200*Yield_Originals!Q$1)/Yield_Originals!$K200</f>
        <v>0.294134580689257</v>
      </c>
      <c r="R200" s="99" t="n">
        <f aca="false">(Yield_Originals!$H200*Yield_Originals!R$1)/Yield_Originals!$K200</f>
        <v>0.302084163951129</v>
      </c>
      <c r="S200" s="99" t="n">
        <f aca="false">(Yield_Originals!$H200*Yield_Originals!S$1)/Yield_Originals!$K200</f>
        <v>0.310033747213001</v>
      </c>
      <c r="T200" s="101" t="n">
        <f aca="false">(Yield_Originals!$I200*Yield_Originals!T$1)/Yield_Originals!$K200</f>
        <v>0.319045452021774</v>
      </c>
      <c r="U200" s="101" t="n">
        <f aca="false">(Yield_Originals!$I200*Yield_Originals!U$1)/Yield_Originals!$K200</f>
        <v>0.327021588322318</v>
      </c>
      <c r="V200" s="101" t="n">
        <f aca="false">(Yield_Originals!$I200*Yield_Originals!V$1)/Yield_Originals!$K200</f>
        <v>0.334997724622863</v>
      </c>
      <c r="W200" s="101" t="n">
        <f aca="false">(Yield_Originals!$I200*Yield_Originals!W$1)/Yield_Originals!$K200</f>
        <v>0.342973860923407</v>
      </c>
      <c r="X200" s="102" t="n">
        <f aca="false">(Yield_Originals!$J200*Yield_Originals!X$1)/Yield_Originals!$K200</f>
        <v>0.369076266963726</v>
      </c>
      <c r="Y200" s="102" t="n">
        <f aca="false">(Yield_Originals!$J200*Yield_Originals!Y$1)/Yield_Originals!$K200</f>
        <v>0.377464363940174</v>
      </c>
      <c r="Z200" s="102" t="n">
        <f aca="false">(Yield_Originals!$J200*Yield_Originals!Z$1)/Yield_Originals!$K200</f>
        <v>0.385852460916623</v>
      </c>
      <c r="AA200" s="102" t="n">
        <f aca="false">(Yield_Originals!$J200*Yield_Originals!AA$1)/Yield_Originals!$K200</f>
        <v>0.394240557893071</v>
      </c>
      <c r="AB200" s="102" t="n">
        <f aca="false">(Yield_Originals!$J200*Yield_Originals!AB$1)/Yield_Originals!$K200</f>
        <v>0.40262865486952</v>
      </c>
    </row>
    <row r="201" customFormat="false" ht="15" hidden="false" customHeight="false" outlineLevel="0" collapsed="false">
      <c r="A201" s="66" t="s">
        <v>1143</v>
      </c>
      <c r="B201" s="64" t="n">
        <v>3</v>
      </c>
      <c r="C201" s="104" t="s">
        <v>129</v>
      </c>
      <c r="D201" s="104" t="s">
        <v>1153</v>
      </c>
      <c r="E201" s="94" t="n">
        <v>31</v>
      </c>
      <c r="F201" s="96" t="n">
        <v>0.12622424002054</v>
      </c>
      <c r="G201" s="96" t="n">
        <v>0.12622424002054</v>
      </c>
      <c r="H201" s="96" t="n">
        <f aca="false">+(Yield_Originals!I201+Yield_Originals!G201)/2</f>
        <v>0.128366102056243</v>
      </c>
      <c r="I201" s="96" t="n">
        <v>0.130507964091947</v>
      </c>
      <c r="J201" s="96" t="n">
        <v>0.14189303832344</v>
      </c>
      <c r="K201" s="97" t="n">
        <v>1</v>
      </c>
      <c r="L201" s="98" t="n">
        <f aca="false">(Yield_Originals!$G201*Yield_Originals!L$1)/Yield_Originals!$K201</f>
        <v>0.151469088024648</v>
      </c>
      <c r="M201" s="98" t="n">
        <f aca="false">(Yield_Originals!$G201*Yield_Originals!M$1)/Yield_Originals!$K201</f>
        <v>0.156202497025418</v>
      </c>
      <c r="N201" s="98" t="n">
        <f aca="false">(Yield_Originals!$G201*Yield_Originals!N$1)/Yield_Originals!$K201</f>
        <v>0.160935906026189</v>
      </c>
      <c r="O201" s="98" t="n">
        <f aca="false">(Yield_Originals!$G201*Yield_Originals!O$1)/Yield_Originals!$K201</f>
        <v>0.165669315026959</v>
      </c>
      <c r="P201" s="99" t="n">
        <f aca="false">(Yield_Originals!$H201*Yield_Originals!P$1)/Yield_Originals!$K201</f>
        <v>0.173294237775929</v>
      </c>
      <c r="Q201" s="99" t="n">
        <f aca="false">(Yield_Originals!$H201*Yield_Originals!Q$1)/Yield_Originals!$K201</f>
        <v>0.178107966603038</v>
      </c>
      <c r="R201" s="99" t="n">
        <f aca="false">(Yield_Originals!$H201*Yield_Originals!R$1)/Yield_Originals!$K201</f>
        <v>0.182921695430147</v>
      </c>
      <c r="S201" s="99" t="n">
        <f aca="false">(Yield_Originals!$H201*Yield_Originals!S$1)/Yield_Originals!$K201</f>
        <v>0.187735424257256</v>
      </c>
      <c r="T201" s="101" t="n">
        <f aca="false">(Yield_Originals!$I201*Yield_Originals!T$1)/Yield_Originals!$K201</f>
        <v>0.195761946137921</v>
      </c>
      <c r="U201" s="101" t="n">
        <f aca="false">(Yield_Originals!$I201*Yield_Originals!U$1)/Yield_Originals!$K201</f>
        <v>0.200655994791368</v>
      </c>
      <c r="V201" s="101" t="n">
        <f aca="false">(Yield_Originals!$I201*Yield_Originals!V$1)/Yield_Originals!$K201</f>
        <v>0.205550043444817</v>
      </c>
      <c r="W201" s="101" t="n">
        <f aca="false">(Yield_Originals!$I201*Yield_Originals!W$1)/Yield_Originals!$K201</f>
        <v>0.210444092098265</v>
      </c>
      <c r="X201" s="102" t="n">
        <f aca="false">(Yield_Originals!$J201*Yield_Originals!X$1)/Yield_Originals!$K201</f>
        <v>0.234123513233676</v>
      </c>
      <c r="Y201" s="102" t="n">
        <f aca="false">(Yield_Originals!$J201*Yield_Originals!Y$1)/Yield_Originals!$K201</f>
        <v>0.239444502170805</v>
      </c>
      <c r="Z201" s="102" t="n">
        <f aca="false">(Yield_Originals!$J201*Yield_Originals!Z$1)/Yield_Originals!$K201</f>
        <v>0.244765491107934</v>
      </c>
      <c r="AA201" s="102" t="n">
        <f aca="false">(Yield_Originals!$J201*Yield_Originals!AA$1)/Yield_Originals!$K201</f>
        <v>0.250086480045063</v>
      </c>
      <c r="AB201" s="102" t="n">
        <f aca="false">(Yield_Originals!$J201*Yield_Originals!AB$1)/Yield_Originals!$K201</f>
        <v>0.255407468982192</v>
      </c>
    </row>
    <row r="202" customFormat="false" ht="15" hidden="false" customHeight="false" outlineLevel="0" collapsed="false">
      <c r="A202" s="66" t="s">
        <v>1143</v>
      </c>
      <c r="B202" s="64" t="n">
        <v>3</v>
      </c>
      <c r="C202" s="104" t="s">
        <v>129</v>
      </c>
      <c r="D202" s="104" t="s">
        <v>1153</v>
      </c>
      <c r="E202" s="94" t="n">
        <v>32</v>
      </c>
      <c r="F202" s="96" t="n">
        <v>0.12622424002054</v>
      </c>
      <c r="G202" s="96" t="n">
        <v>0.12622424002054</v>
      </c>
      <c r="H202" s="96" t="n">
        <f aca="false">+(Yield_Originals!I202+Yield_Originals!G202)/2</f>
        <v>0.128366102056243</v>
      </c>
      <c r="I202" s="96" t="n">
        <v>0.130507964091947</v>
      </c>
      <c r="J202" s="96" t="n">
        <v>0.14189303832344</v>
      </c>
      <c r="K202" s="97" t="n">
        <v>1</v>
      </c>
      <c r="L202" s="98" t="n">
        <f aca="false">(Yield_Originals!$G202*Yield_Originals!L$1)/Yield_Originals!$K202</f>
        <v>0.151469088024648</v>
      </c>
      <c r="M202" s="98" t="n">
        <f aca="false">(Yield_Originals!$G202*Yield_Originals!M$1)/Yield_Originals!$K202</f>
        <v>0.156202497025418</v>
      </c>
      <c r="N202" s="98" t="n">
        <f aca="false">(Yield_Originals!$G202*Yield_Originals!N$1)/Yield_Originals!$K202</f>
        <v>0.160935906026189</v>
      </c>
      <c r="O202" s="98" t="n">
        <f aca="false">(Yield_Originals!$G202*Yield_Originals!O$1)/Yield_Originals!$K202</f>
        <v>0.165669315026959</v>
      </c>
      <c r="P202" s="99" t="n">
        <f aca="false">(Yield_Originals!$H202*Yield_Originals!P$1)/Yield_Originals!$K202</f>
        <v>0.173294237775929</v>
      </c>
      <c r="Q202" s="99" t="n">
        <f aca="false">(Yield_Originals!$H202*Yield_Originals!Q$1)/Yield_Originals!$K202</f>
        <v>0.178107966603038</v>
      </c>
      <c r="R202" s="99" t="n">
        <f aca="false">(Yield_Originals!$H202*Yield_Originals!R$1)/Yield_Originals!$K202</f>
        <v>0.182921695430147</v>
      </c>
      <c r="S202" s="99" t="n">
        <f aca="false">(Yield_Originals!$H202*Yield_Originals!S$1)/Yield_Originals!$K202</f>
        <v>0.187735424257256</v>
      </c>
      <c r="T202" s="101" t="n">
        <f aca="false">(Yield_Originals!$I202*Yield_Originals!T$1)/Yield_Originals!$K202</f>
        <v>0.195761946137921</v>
      </c>
      <c r="U202" s="101" t="n">
        <f aca="false">(Yield_Originals!$I202*Yield_Originals!U$1)/Yield_Originals!$K202</f>
        <v>0.200655994791368</v>
      </c>
      <c r="V202" s="101" t="n">
        <f aca="false">(Yield_Originals!$I202*Yield_Originals!V$1)/Yield_Originals!$K202</f>
        <v>0.205550043444817</v>
      </c>
      <c r="W202" s="101" t="n">
        <f aca="false">(Yield_Originals!$I202*Yield_Originals!W$1)/Yield_Originals!$K202</f>
        <v>0.210444092098265</v>
      </c>
      <c r="X202" s="102" t="n">
        <f aca="false">(Yield_Originals!$J202*Yield_Originals!X$1)/Yield_Originals!$K202</f>
        <v>0.234123513233676</v>
      </c>
      <c r="Y202" s="102" t="n">
        <f aca="false">(Yield_Originals!$J202*Yield_Originals!Y$1)/Yield_Originals!$K202</f>
        <v>0.239444502170805</v>
      </c>
      <c r="Z202" s="102" t="n">
        <f aca="false">(Yield_Originals!$J202*Yield_Originals!Z$1)/Yield_Originals!$K202</f>
        <v>0.244765491107934</v>
      </c>
      <c r="AA202" s="102" t="n">
        <f aca="false">(Yield_Originals!$J202*Yield_Originals!AA$1)/Yield_Originals!$K202</f>
        <v>0.250086480045063</v>
      </c>
      <c r="AB202" s="102" t="n">
        <f aca="false">(Yield_Originals!$J202*Yield_Originals!AB$1)/Yield_Originals!$K202</f>
        <v>0.255407468982192</v>
      </c>
    </row>
    <row r="203" customFormat="false" ht="15" hidden="false" customHeight="false" outlineLevel="0" collapsed="false">
      <c r="A203" s="64" t="s">
        <v>1264</v>
      </c>
      <c r="B203" s="64" t="s">
        <v>1460</v>
      </c>
      <c r="C203" s="0" t="s">
        <v>1087</v>
      </c>
      <c r="D203" s="0" t="s">
        <v>1299</v>
      </c>
      <c r="E203" s="64" t="n">
        <v>4</v>
      </c>
      <c r="F203" s="105" t="n">
        <f aca="false">Yield_Originals!G203</f>
        <v>0.9</v>
      </c>
      <c r="G203" s="106" t="n">
        <v>0.9</v>
      </c>
      <c r="H203" s="106" t="n">
        <v>0.9</v>
      </c>
      <c r="I203" s="106" t="n">
        <v>0.9</v>
      </c>
      <c r="J203" s="106" t="n">
        <v>0.9</v>
      </c>
      <c r="K203" s="97" t="n">
        <v>1</v>
      </c>
      <c r="L203" s="107"/>
      <c r="M203" s="107"/>
      <c r="N203" s="107"/>
      <c r="O203" s="108"/>
      <c r="P203" s="109"/>
      <c r="Q203" s="109" t="n">
        <f aca="false">(Yield_Originals!$H203*Yield_Originals!Q$1)/Yield_Originals!$K203</f>
        <v>1.24875</v>
      </c>
      <c r="R203" s="109" t="n">
        <f aca="false">(Yield_Originals!$H203*Yield_Originals!R$1)/Yield_Originals!$K203</f>
        <v>1.2825</v>
      </c>
      <c r="S203" s="109" t="n">
        <f aca="false">(Yield_Originals!$H203*Yield_Originals!S$1)/Yield_Originals!$K203</f>
        <v>1.31625</v>
      </c>
      <c r="T203" s="101" t="n">
        <f aca="false">(Yield_Originals!$I203*Yield_Originals!T$1)/Yield_Originals!$K203</f>
        <v>1.35</v>
      </c>
      <c r="U203" s="0"/>
      <c r="V203" s="0"/>
      <c r="W203" s="0"/>
      <c r="X203" s="0"/>
      <c r="Y203" s="0"/>
      <c r="Z203" s="0"/>
      <c r="AA203" s="0"/>
      <c r="AB203" s="0"/>
    </row>
    <row r="204" customFormat="false" ht="15" hidden="false" customHeight="false" outlineLevel="0" collapsed="false">
      <c r="A204" s="64" t="s">
        <v>1183</v>
      </c>
      <c r="B204" s="64" t="n">
        <v>1</v>
      </c>
      <c r="C204" s="0" t="s">
        <v>248</v>
      </c>
      <c r="D204" s="0" t="s">
        <v>1198</v>
      </c>
      <c r="E204" s="64" t="n">
        <v>1</v>
      </c>
      <c r="F204" s="105" t="n">
        <f aca="false">Yield_Originals!G204</f>
        <v>0.1529214653185</v>
      </c>
      <c r="G204" s="96" t="n">
        <v>0.1529214653185</v>
      </c>
      <c r="H204" s="96" t="n">
        <v>0.1529214653185</v>
      </c>
      <c r="I204" s="96" t="n">
        <f aca="false">+(Yield_Originals!H204+Yield_Originals!J204)/2</f>
        <v>0.15646073265925</v>
      </c>
      <c r="J204" s="96" t="n">
        <v>0.16</v>
      </c>
      <c r="K204" s="97" t="n">
        <v>2</v>
      </c>
      <c r="L204" s="98" t="n">
        <f aca="false">(Yield_Originals!$G204*Yield_Originals!L$1)/Yield_Originals!$K204</f>
        <v>0.0917528791911</v>
      </c>
      <c r="M204" s="98" t="n">
        <f aca="false">(Yield_Originals!$G204*Yield_Originals!M$1)/Yield_Originals!$K204</f>
        <v>0.0946201566658219</v>
      </c>
      <c r="N204" s="98" t="n">
        <f aca="false">(Yield_Originals!$G204*Yield_Originals!N$1)/Yield_Originals!$K204</f>
        <v>0.0974874341405438</v>
      </c>
      <c r="O204" s="98" t="n">
        <f aca="false">(Yield_Originals!$G204*Yield_Originals!O$1)/Yield_Originals!$K204</f>
        <v>0.100354711615266</v>
      </c>
      <c r="P204" s="99" t="n">
        <f aca="false">(Yield_Originals!$H204*Yield_Originals!P$1)/Yield_Originals!$K204</f>
        <v>0.103221989089988</v>
      </c>
      <c r="Q204" s="99" t="n">
        <f aca="false">(Yield_Originals!$H204*Yield_Originals!Q$1)/Yield_Originals!$K204</f>
        <v>0.106089266564709</v>
      </c>
      <c r="R204" s="99" t="n">
        <f aca="false">(Yield_Originals!$H204*Yield_Originals!R$1)/Yield_Originals!$K204</f>
        <v>0.108956544039431</v>
      </c>
      <c r="S204" s="99" t="n">
        <f aca="false">(Yield_Originals!$H204*Yield_Originals!S$1)/Yield_Originals!$K204</f>
        <v>0.111823821514153</v>
      </c>
      <c r="T204" s="101" t="n">
        <f aca="false">(Yield_Originals!$I204*Yield_Originals!T$1)/Yield_Originals!$K204</f>
        <v>0.117345549494438</v>
      </c>
      <c r="U204" s="101" t="n">
        <f aca="false">(Yield_Originals!$I204*Yield_Originals!U$1)/Yield_Originals!$K204</f>
        <v>0.120279188231798</v>
      </c>
      <c r="V204" s="101" t="n">
        <f aca="false">(Yield_Originals!$I204*Yield_Originals!V$1)/Yield_Originals!$K204</f>
        <v>0.123212826969159</v>
      </c>
      <c r="W204" s="101" t="n">
        <f aca="false">(Yield_Originals!$I204*Yield_Originals!W$1)/Yield_Originals!$K204</f>
        <v>0.12614646570652</v>
      </c>
      <c r="X204" s="102" t="n">
        <f aca="false">(Yield_Originals!$I204*Yield_Originals!X$1)/Yield_Originals!$K204</f>
        <v>0.129080104443881</v>
      </c>
      <c r="Y204" s="102"/>
      <c r="Z204" s="0"/>
      <c r="AA204" s="0"/>
      <c r="AB204" s="0"/>
    </row>
    <row r="205" customFormat="false" ht="15" hidden="false" customHeight="false" outlineLevel="0" collapsed="false">
      <c r="A205" s="64" t="s">
        <v>1183</v>
      </c>
      <c r="B205" s="64" t="n">
        <v>1</v>
      </c>
      <c r="C205" s="0" t="s">
        <v>130</v>
      </c>
      <c r="D205" s="0" t="s">
        <v>1182</v>
      </c>
      <c r="E205" s="64" t="n">
        <v>1</v>
      </c>
      <c r="F205" s="105" t="n">
        <f aca="false">Yield_Originals!G205</f>
        <v>0.1529214653185</v>
      </c>
      <c r="G205" s="96" t="n">
        <v>0.1529214653185</v>
      </c>
      <c r="H205" s="96" t="n">
        <v>0.1529214653185</v>
      </c>
      <c r="I205" s="96" t="n">
        <f aca="false">+(Yield_Originals!H205+Yield_Originals!J205)/2</f>
        <v>0.15646073265925</v>
      </c>
      <c r="J205" s="96" t="n">
        <v>0.16</v>
      </c>
      <c r="K205" s="97" t="n">
        <v>2</v>
      </c>
      <c r="L205" s="98" t="n">
        <f aca="false">(Yield_Originals!$G205*Yield_Originals!L$1)/Yield_Originals!$K205</f>
        <v>0.0917528791911</v>
      </c>
      <c r="M205" s="98" t="n">
        <f aca="false">(Yield_Originals!$G205*Yield_Originals!M$1)/Yield_Originals!$K205</f>
        <v>0.0946201566658219</v>
      </c>
      <c r="N205" s="98" t="n">
        <f aca="false">(Yield_Originals!$G205*Yield_Originals!N$1)/Yield_Originals!$K205</f>
        <v>0.0974874341405438</v>
      </c>
      <c r="O205" s="98" t="n">
        <f aca="false">(Yield_Originals!$G205*Yield_Originals!O$1)/Yield_Originals!$K205</f>
        <v>0.100354711615266</v>
      </c>
      <c r="P205" s="99"/>
      <c r="Q205" s="99"/>
      <c r="R205" s="99"/>
      <c r="S205" s="99"/>
      <c r="T205" s="0"/>
      <c r="U205" s="0"/>
      <c r="V205" s="0"/>
      <c r="W205" s="0"/>
      <c r="X205" s="0"/>
      <c r="Y205" s="0"/>
      <c r="Z205" s="0"/>
      <c r="AA205" s="0"/>
      <c r="AB205" s="0"/>
    </row>
    <row r="206" customFormat="false" ht="15" hidden="false" customHeight="false" outlineLevel="0" collapsed="false">
      <c r="A206" s="64" t="s">
        <v>1183</v>
      </c>
      <c r="B206" s="64" t="n">
        <v>1</v>
      </c>
      <c r="C206" s="0" t="s">
        <v>249</v>
      </c>
      <c r="D206" s="0" t="s">
        <v>1182</v>
      </c>
      <c r="E206" s="64" t="n">
        <v>1</v>
      </c>
      <c r="F206" s="105" t="n">
        <f aca="false">Yield_Originals!G206</f>
        <v>0.1529214653185</v>
      </c>
      <c r="G206" s="96" t="n">
        <v>0.1529214653185</v>
      </c>
      <c r="H206" s="96" t="n">
        <v>0.1529214653185</v>
      </c>
      <c r="I206" s="96" t="n">
        <f aca="false">+(Yield_Originals!H206+Yield_Originals!J206)/2</f>
        <v>0.15646073265925</v>
      </c>
      <c r="J206" s="96" t="n">
        <v>0.16</v>
      </c>
      <c r="K206" s="97" t="n">
        <v>2</v>
      </c>
      <c r="L206" s="98" t="n">
        <f aca="false">(Yield_Originals!$G206*Yield_Originals!L$1)/Yield_Originals!$K206</f>
        <v>0.0917528791911</v>
      </c>
      <c r="M206" s="98" t="n">
        <f aca="false">(Yield_Originals!$G206*Yield_Originals!M$1)/Yield_Originals!$K206</f>
        <v>0.0946201566658219</v>
      </c>
      <c r="N206" s="98" t="n">
        <f aca="false">(Yield_Originals!$G206*Yield_Originals!N$1)/Yield_Originals!$K206</f>
        <v>0.0974874341405438</v>
      </c>
      <c r="O206" s="98" t="n">
        <f aca="false">(Yield_Originals!$G206*Yield_Originals!O$1)/Yield_Originals!$K206</f>
        <v>0.100354711615266</v>
      </c>
      <c r="P206" s="99"/>
      <c r="Q206" s="99"/>
      <c r="R206" s="99"/>
      <c r="S206" s="99"/>
      <c r="T206" s="0"/>
      <c r="U206" s="0"/>
      <c r="V206" s="0"/>
      <c r="W206" s="0"/>
      <c r="X206" s="0"/>
      <c r="Y206" s="0"/>
      <c r="Z206" s="0"/>
      <c r="AA206" s="0"/>
      <c r="AB206" s="0"/>
    </row>
    <row r="207" customFormat="false" ht="15" hidden="false" customHeight="false" outlineLevel="0" collapsed="false">
      <c r="A207" s="64" t="s">
        <v>1183</v>
      </c>
      <c r="B207" s="64" t="n">
        <v>1</v>
      </c>
      <c r="C207" s="0" t="s">
        <v>1097</v>
      </c>
      <c r="D207" s="0" t="s">
        <v>1186</v>
      </c>
      <c r="E207" s="64" t="n">
        <v>1</v>
      </c>
      <c r="F207" s="105" t="n">
        <f aca="false">Yield_Originals!G207</f>
        <v>0.1529214653185</v>
      </c>
      <c r="G207" s="96" t="n">
        <v>0.1529214653185</v>
      </c>
      <c r="H207" s="96" t="n">
        <v>0.1529214653185</v>
      </c>
      <c r="I207" s="96" t="n">
        <f aca="false">+(Yield_Originals!H207+Yield_Originals!J207)/2</f>
        <v>0.15646073265925</v>
      </c>
      <c r="J207" s="96" t="n">
        <v>0.16</v>
      </c>
      <c r="K207" s="97" t="n">
        <v>2</v>
      </c>
      <c r="L207" s="98" t="n">
        <f aca="false">(Yield_Originals!$G207*Yield_Originals!L$1)/Yield_Originals!$K207</f>
        <v>0.0917528791911</v>
      </c>
      <c r="M207" s="98" t="n">
        <f aca="false">(Yield_Originals!$G207*Yield_Originals!M$1)/Yield_Originals!$K207</f>
        <v>0.0946201566658219</v>
      </c>
      <c r="N207" s="98" t="n">
        <f aca="false">(Yield_Originals!$G207*Yield_Originals!N$1)/Yield_Originals!$K207</f>
        <v>0.0974874341405438</v>
      </c>
      <c r="O207" s="98" t="n">
        <f aca="false">(Yield_Originals!$G207*Yield_Originals!O$1)/Yield_Originals!$K207</f>
        <v>0.100354711615266</v>
      </c>
      <c r="P207" s="99" t="n">
        <f aca="false">(Yield_Originals!$H207*Yield_Originals!P$1)/Yield_Originals!$K207</f>
        <v>0.103221989089988</v>
      </c>
      <c r="Q207" s="99" t="n">
        <f aca="false">(Yield_Originals!$H207*Yield_Originals!Q$1)/Yield_Originals!$K207</f>
        <v>0.106089266564709</v>
      </c>
      <c r="R207" s="99" t="n">
        <f aca="false">(Yield_Originals!$H207*Yield_Originals!R$1)/Yield_Originals!$K207</f>
        <v>0.108956544039431</v>
      </c>
      <c r="S207" s="99" t="n">
        <f aca="false">(Yield_Originals!$H207*Yield_Originals!S$1)/Yield_Originals!$K207</f>
        <v>0.111823821514153</v>
      </c>
      <c r="T207" s="0"/>
      <c r="U207" s="0"/>
      <c r="V207" s="0"/>
      <c r="W207" s="0"/>
      <c r="X207" s="0"/>
      <c r="Y207" s="0"/>
      <c r="Z207" s="0"/>
      <c r="AA207" s="0"/>
      <c r="AB207" s="0"/>
    </row>
    <row r="208" customFormat="false" ht="15" hidden="false" customHeight="false" outlineLevel="0" collapsed="false">
      <c r="A208" s="64" t="s">
        <v>1183</v>
      </c>
      <c r="B208" s="64" t="n">
        <v>1</v>
      </c>
      <c r="C208" s="0" t="s">
        <v>250</v>
      </c>
      <c r="D208" s="0" t="s">
        <v>1189</v>
      </c>
      <c r="E208" s="64" t="n">
        <v>1</v>
      </c>
      <c r="F208" s="105" t="n">
        <f aca="false">Yield_Originals!G208</f>
        <v>0.1529214653185</v>
      </c>
      <c r="G208" s="96" t="n">
        <v>0.1529214653185</v>
      </c>
      <c r="H208" s="96" t="n">
        <v>0.1529214653185</v>
      </c>
      <c r="I208" s="96" t="n">
        <f aca="false">+(Yield_Originals!H208+Yield_Originals!J208)/2</f>
        <v>0.15646073265925</v>
      </c>
      <c r="J208" s="96" t="n">
        <v>0.16</v>
      </c>
      <c r="K208" s="97" t="n">
        <v>2</v>
      </c>
      <c r="L208" s="98"/>
      <c r="M208" s="98"/>
      <c r="N208" s="98"/>
      <c r="O208" s="98"/>
      <c r="P208" s="99" t="n">
        <f aca="false">(Yield_Originals!$H208*Yield_Originals!P$1)/Yield_Originals!$K208</f>
        <v>0.103221989089988</v>
      </c>
      <c r="Q208" s="99" t="n">
        <f aca="false">(Yield_Originals!$H208*Yield_Originals!Q$1)/Yield_Originals!$K208</f>
        <v>0.106089266564709</v>
      </c>
      <c r="R208" s="99" t="n">
        <f aca="false">(Yield_Originals!$H208*Yield_Originals!R$1)/Yield_Originals!$K208</f>
        <v>0.108956544039431</v>
      </c>
      <c r="S208" s="99" t="n">
        <f aca="false">(Yield_Originals!$H208*Yield_Originals!S$1)/Yield_Originals!$K208</f>
        <v>0.111823821514153</v>
      </c>
      <c r="T208" s="101" t="n">
        <f aca="false">(Yield_Originals!$I208*Yield_Originals!T$1)/Yield_Originals!$K208</f>
        <v>0.117345549494438</v>
      </c>
      <c r="U208" s="101" t="n">
        <f aca="false">(Yield_Originals!$I208*Yield_Originals!U$1)/Yield_Originals!$K208</f>
        <v>0.120279188231798</v>
      </c>
      <c r="V208" s="101" t="n">
        <f aca="false">(Yield_Originals!$I208*Yield_Originals!V$1)/Yield_Originals!$K208</f>
        <v>0.123212826969159</v>
      </c>
      <c r="W208" s="101" t="n">
        <f aca="false">(Yield_Originals!$I208*Yield_Originals!W$1)/Yield_Originals!$K208</f>
        <v>0.12614646570652</v>
      </c>
      <c r="X208" s="102" t="n">
        <f aca="false">(Yield_Originals!$I208*Yield_Originals!X$1)/Yield_Originals!$K208</f>
        <v>0.129080104443881</v>
      </c>
      <c r="Y208" s="102"/>
      <c r="Z208" s="0"/>
      <c r="AA208" s="0"/>
      <c r="AB208" s="0"/>
    </row>
    <row r="209" customFormat="false" ht="15" hidden="false" customHeight="false" outlineLevel="0" collapsed="false">
      <c r="A209" s="64" t="s">
        <v>1183</v>
      </c>
      <c r="B209" s="64" t="n">
        <v>1</v>
      </c>
      <c r="C209" s="0" t="s">
        <v>131</v>
      </c>
      <c r="D209" s="0" t="s">
        <v>1191</v>
      </c>
      <c r="E209" s="64" t="n">
        <v>1</v>
      </c>
      <c r="F209" s="105" t="n">
        <f aca="false">Yield_Originals!G209</f>
        <v>0.1529214653185</v>
      </c>
      <c r="G209" s="96" t="n">
        <v>0.1529214653185</v>
      </c>
      <c r="H209" s="96" t="n">
        <v>0.1529214653185</v>
      </c>
      <c r="I209" s="96" t="n">
        <f aca="false">+(Yield_Originals!H209+Yield_Originals!J209)/2</f>
        <v>0.15646073265925</v>
      </c>
      <c r="J209" s="96" t="n">
        <v>0.16</v>
      </c>
      <c r="K209" s="97" t="n">
        <v>2</v>
      </c>
      <c r="L209" s="98"/>
      <c r="M209" s="98"/>
      <c r="N209" s="98"/>
      <c r="O209" s="98"/>
      <c r="P209" s="99" t="n">
        <f aca="false">(Yield_Originals!$H209*Yield_Originals!P$1)/Yield_Originals!$K209</f>
        <v>0.103221989089988</v>
      </c>
      <c r="Q209" s="99" t="n">
        <f aca="false">(Yield_Originals!$H209*Yield_Originals!Q$1)/Yield_Originals!$K209</f>
        <v>0.106089266564709</v>
      </c>
      <c r="R209" s="99" t="n">
        <f aca="false">(Yield_Originals!$H209*Yield_Originals!R$1)/Yield_Originals!$K209</f>
        <v>0.108956544039431</v>
      </c>
      <c r="S209" s="99" t="n">
        <f aca="false">(Yield_Originals!$H209*Yield_Originals!S$1)/Yield_Originals!$K209</f>
        <v>0.111823821514153</v>
      </c>
      <c r="T209" s="101" t="n">
        <f aca="false">(Yield_Originals!$I209*Yield_Originals!T$1)/Yield_Originals!$K209</f>
        <v>0.117345549494438</v>
      </c>
      <c r="U209" s="101" t="n">
        <f aca="false">(Yield_Originals!$I209*Yield_Originals!U$1)/Yield_Originals!$K209</f>
        <v>0.120279188231798</v>
      </c>
      <c r="V209" s="101" t="n">
        <f aca="false">(Yield_Originals!$I209*Yield_Originals!V$1)/Yield_Originals!$K209</f>
        <v>0.123212826969159</v>
      </c>
      <c r="W209" s="101" t="n">
        <f aca="false">(Yield_Originals!$I209*Yield_Originals!W$1)/Yield_Originals!$K209</f>
        <v>0.12614646570652</v>
      </c>
      <c r="X209" s="102" t="n">
        <f aca="false">(Yield_Originals!$I209*Yield_Originals!X$1)/Yield_Originals!$K209</f>
        <v>0.129080104443881</v>
      </c>
      <c r="Y209" s="102"/>
      <c r="Z209" s="0"/>
      <c r="AA209" s="0"/>
      <c r="AB209" s="0"/>
    </row>
    <row r="210" customFormat="false" ht="15" hidden="false" customHeight="false" outlineLevel="0" collapsed="false">
      <c r="A210" s="64" t="s">
        <v>1183</v>
      </c>
      <c r="B210" s="64" t="n">
        <v>1</v>
      </c>
      <c r="C210" s="0" t="s">
        <v>251</v>
      </c>
      <c r="D210" s="0" t="s">
        <v>1191</v>
      </c>
      <c r="E210" s="64" t="n">
        <v>1</v>
      </c>
      <c r="F210" s="105" t="n">
        <f aca="false">Yield_Originals!G210</f>
        <v>0.1529214653185</v>
      </c>
      <c r="G210" s="96" t="n">
        <v>0.1529214653185</v>
      </c>
      <c r="H210" s="96" t="n">
        <v>0.1529214653185</v>
      </c>
      <c r="I210" s="96" t="n">
        <f aca="false">+(Yield_Originals!H210+Yield_Originals!J210)/2</f>
        <v>0.15646073265925</v>
      </c>
      <c r="J210" s="96" t="n">
        <v>0.16</v>
      </c>
      <c r="K210" s="97" t="n">
        <v>2</v>
      </c>
      <c r="L210" s="98"/>
      <c r="M210" s="98"/>
      <c r="N210" s="98"/>
      <c r="O210" s="98"/>
      <c r="P210" s="99" t="n">
        <f aca="false">(Yield_Originals!$H210*Yield_Originals!P$1)/Yield_Originals!$K210</f>
        <v>0.103221989089988</v>
      </c>
      <c r="Q210" s="99" t="n">
        <f aca="false">(Yield_Originals!$H210*Yield_Originals!Q$1)/Yield_Originals!$K210</f>
        <v>0.106089266564709</v>
      </c>
      <c r="R210" s="99" t="n">
        <f aca="false">(Yield_Originals!$H210*Yield_Originals!R$1)/Yield_Originals!$K210</f>
        <v>0.108956544039431</v>
      </c>
      <c r="S210" s="99" t="n">
        <f aca="false">(Yield_Originals!$H210*Yield_Originals!S$1)/Yield_Originals!$K210</f>
        <v>0.111823821514153</v>
      </c>
      <c r="T210" s="101" t="n">
        <f aca="false">(Yield_Originals!$I210*Yield_Originals!T$1)/Yield_Originals!$K210</f>
        <v>0.117345549494438</v>
      </c>
      <c r="U210" s="101" t="n">
        <f aca="false">(Yield_Originals!$I210*Yield_Originals!U$1)/Yield_Originals!$K210</f>
        <v>0.120279188231798</v>
      </c>
      <c r="V210" s="101" t="n">
        <f aca="false">(Yield_Originals!$I210*Yield_Originals!V$1)/Yield_Originals!$K210</f>
        <v>0.123212826969159</v>
      </c>
      <c r="W210" s="101" t="n">
        <f aca="false">(Yield_Originals!$I210*Yield_Originals!W$1)/Yield_Originals!$K210</f>
        <v>0.12614646570652</v>
      </c>
      <c r="X210" s="102" t="n">
        <f aca="false">(Yield_Originals!$I210*Yield_Originals!X$1)/Yield_Originals!$K210</f>
        <v>0.129080104443881</v>
      </c>
      <c r="Y210" s="102"/>
      <c r="Z210" s="0"/>
      <c r="AA210" s="0"/>
      <c r="AB210" s="0"/>
    </row>
    <row r="211" customFormat="false" ht="15" hidden="false" customHeight="false" outlineLevel="0" collapsed="false">
      <c r="A211" s="64" t="s">
        <v>1183</v>
      </c>
      <c r="B211" s="64" t="n">
        <v>1</v>
      </c>
      <c r="C211" s="0" t="s">
        <v>496</v>
      </c>
      <c r="D211" s="0" t="s">
        <v>1194</v>
      </c>
      <c r="E211" s="64" t="n">
        <v>1</v>
      </c>
      <c r="F211" s="105" t="n">
        <f aca="false">Yield_Originals!G211</f>
        <v>0.1529214653185</v>
      </c>
      <c r="G211" s="96" t="n">
        <v>0.1529214653185</v>
      </c>
      <c r="H211" s="96" t="n">
        <v>0.1529214653185</v>
      </c>
      <c r="I211" s="96" t="n">
        <f aca="false">+(Yield_Originals!H211+Yield_Originals!J211)/2</f>
        <v>0.15646073265925</v>
      </c>
      <c r="J211" s="96" t="n">
        <v>0.16</v>
      </c>
      <c r="K211" s="97" t="n">
        <v>2</v>
      </c>
      <c r="L211" s="98"/>
      <c r="M211" s="98"/>
      <c r="N211" s="98"/>
      <c r="O211" s="98"/>
      <c r="P211" s="99" t="n">
        <f aca="false">(Yield_Originals!$H211*Yield_Originals!P$1)/Yield_Originals!$K211</f>
        <v>0.103221989089988</v>
      </c>
      <c r="Q211" s="99" t="n">
        <f aca="false">(Yield_Originals!$H211*Yield_Originals!Q$1)/Yield_Originals!$K211</f>
        <v>0.106089266564709</v>
      </c>
      <c r="R211" s="99" t="n">
        <f aca="false">(Yield_Originals!$H211*Yield_Originals!R$1)/Yield_Originals!$K211</f>
        <v>0.108956544039431</v>
      </c>
      <c r="S211" s="99" t="n">
        <f aca="false">(Yield_Originals!$H211*Yield_Originals!S$1)/Yield_Originals!$K211</f>
        <v>0.111823821514153</v>
      </c>
      <c r="T211" s="101" t="n">
        <f aca="false">(Yield_Originals!$I211*Yield_Originals!T$1)/Yield_Originals!$K211</f>
        <v>0.117345549494438</v>
      </c>
      <c r="U211" s="101" t="n">
        <f aca="false">(Yield_Originals!$I211*Yield_Originals!U$1)/Yield_Originals!$K211</f>
        <v>0.120279188231798</v>
      </c>
      <c r="V211" s="101" t="n">
        <f aca="false">(Yield_Originals!$I211*Yield_Originals!V$1)/Yield_Originals!$K211</f>
        <v>0.123212826969159</v>
      </c>
      <c r="W211" s="101" t="n">
        <f aca="false">(Yield_Originals!$I211*Yield_Originals!W$1)/Yield_Originals!$K211</f>
        <v>0.12614646570652</v>
      </c>
      <c r="X211" s="102" t="n">
        <f aca="false">(Yield_Originals!$I211*Yield_Originals!X$1)/Yield_Originals!$K211</f>
        <v>0.129080104443881</v>
      </c>
      <c r="Y211" s="102"/>
      <c r="Z211" s="0"/>
      <c r="AA211" s="0"/>
      <c r="AB211" s="0"/>
    </row>
    <row r="212" customFormat="false" ht="15" hidden="false" customHeight="false" outlineLevel="0" collapsed="false">
      <c r="A212" s="64" t="s">
        <v>1183</v>
      </c>
      <c r="B212" s="64" t="n">
        <v>1</v>
      </c>
      <c r="C212" s="0" t="s">
        <v>252</v>
      </c>
      <c r="D212" s="0" t="s">
        <v>1194</v>
      </c>
      <c r="E212" s="64" t="n">
        <v>1</v>
      </c>
      <c r="F212" s="105" t="n">
        <f aca="false">Yield_Originals!G212</f>
        <v>0.1529214653185</v>
      </c>
      <c r="G212" s="96" t="n">
        <v>0.1529214653185</v>
      </c>
      <c r="H212" s="96" t="n">
        <v>0.1529214653185</v>
      </c>
      <c r="I212" s="96" t="n">
        <f aca="false">+(Yield_Originals!H212+Yield_Originals!J212)/2</f>
        <v>0.15646073265925</v>
      </c>
      <c r="J212" s="96" t="n">
        <v>0.16</v>
      </c>
      <c r="K212" s="97" t="n">
        <v>2</v>
      </c>
      <c r="L212" s="98"/>
      <c r="M212" s="98"/>
      <c r="N212" s="98"/>
      <c r="O212" s="98"/>
      <c r="P212" s="99" t="n">
        <f aca="false">(Yield_Originals!$H212*Yield_Originals!P$1)/Yield_Originals!$K212</f>
        <v>0.103221989089988</v>
      </c>
      <c r="Q212" s="99" t="n">
        <f aca="false">(Yield_Originals!$H212*Yield_Originals!Q$1)/Yield_Originals!$K212</f>
        <v>0.106089266564709</v>
      </c>
      <c r="R212" s="99" t="n">
        <f aca="false">(Yield_Originals!$H212*Yield_Originals!R$1)/Yield_Originals!$K212</f>
        <v>0.108956544039431</v>
      </c>
      <c r="S212" s="99" t="n">
        <f aca="false">(Yield_Originals!$H212*Yield_Originals!S$1)/Yield_Originals!$K212</f>
        <v>0.111823821514153</v>
      </c>
      <c r="T212" s="101" t="n">
        <f aca="false">(Yield_Originals!$I212*Yield_Originals!T$1)/Yield_Originals!$K212</f>
        <v>0.117345549494438</v>
      </c>
      <c r="U212" s="101" t="n">
        <f aca="false">(Yield_Originals!$I212*Yield_Originals!U$1)/Yield_Originals!$K212</f>
        <v>0.120279188231798</v>
      </c>
      <c r="V212" s="101" t="n">
        <f aca="false">(Yield_Originals!$I212*Yield_Originals!V$1)/Yield_Originals!$K212</f>
        <v>0.123212826969159</v>
      </c>
      <c r="W212" s="101" t="n">
        <f aca="false">(Yield_Originals!$I212*Yield_Originals!W$1)/Yield_Originals!$K212</f>
        <v>0.12614646570652</v>
      </c>
      <c r="X212" s="102" t="n">
        <f aca="false">(Yield_Originals!$I212*Yield_Originals!X$1)/Yield_Originals!$K212</f>
        <v>0.129080104443881</v>
      </c>
      <c r="Y212" s="102"/>
      <c r="Z212" s="0"/>
      <c r="AA212" s="0"/>
      <c r="AB212" s="0"/>
    </row>
    <row r="213" customFormat="false" ht="15" hidden="false" customHeight="false" outlineLevel="0" collapsed="false">
      <c r="A213" s="64" t="s">
        <v>1183</v>
      </c>
      <c r="B213" s="64" t="n">
        <v>1</v>
      </c>
      <c r="C213" s="0" t="s">
        <v>1111</v>
      </c>
      <c r="D213" s="0" t="s">
        <v>1202</v>
      </c>
      <c r="E213" s="64" t="n">
        <v>1</v>
      </c>
      <c r="F213" s="105" t="n">
        <f aca="false">Yield_Originals!G213</f>
        <v>0.1529214653185</v>
      </c>
      <c r="G213" s="96" t="n">
        <v>0.1529214653185</v>
      </c>
      <c r="H213" s="96" t="n">
        <v>0.1529214653185</v>
      </c>
      <c r="I213" s="96" t="n">
        <f aca="false">+(Yield_Originals!H213+Yield_Originals!J213)/2</f>
        <v>0.15646073265925</v>
      </c>
      <c r="J213" s="96" t="n">
        <v>0.16</v>
      </c>
      <c r="K213" s="97" t="n">
        <v>2</v>
      </c>
      <c r="L213" s="98" t="n">
        <f aca="false">(Yield_Originals!$G213*Yield_Originals!L$1)/Yield_Originals!$K213</f>
        <v>0.0917528791911</v>
      </c>
      <c r="M213" s="98" t="n">
        <f aca="false">(Yield_Originals!$G213*Yield_Originals!M$1)/Yield_Originals!$K213</f>
        <v>0.0946201566658219</v>
      </c>
      <c r="N213" s="98" t="n">
        <f aca="false">(Yield_Originals!$G213*Yield_Originals!N$1)/Yield_Originals!$K213</f>
        <v>0.0974874341405438</v>
      </c>
      <c r="O213" s="98" t="n">
        <f aca="false">(Yield_Originals!$G213*Yield_Originals!O$1)/Yield_Originals!$K213</f>
        <v>0.100354711615266</v>
      </c>
      <c r="P213" s="99" t="n">
        <f aca="false">(Yield_Originals!$H213*Yield_Originals!P$1)/Yield_Originals!$K213</f>
        <v>0.103221989089988</v>
      </c>
      <c r="Q213" s="99" t="n">
        <f aca="false">(Yield_Originals!$H213*Yield_Originals!Q$1)/Yield_Originals!$K213</f>
        <v>0.106089266564709</v>
      </c>
      <c r="R213" s="99" t="n">
        <f aca="false">(Yield_Originals!$H213*Yield_Originals!R$1)/Yield_Originals!$K213</f>
        <v>0.108956544039431</v>
      </c>
      <c r="S213" s="99" t="n">
        <f aca="false">(Yield_Originals!$H213*Yield_Originals!S$1)/Yield_Originals!$K213</f>
        <v>0.111823821514153</v>
      </c>
      <c r="T213" s="101" t="n">
        <f aca="false">(Yield_Originals!$I213*Yield_Originals!T$1)/Yield_Originals!$K213</f>
        <v>0.117345549494438</v>
      </c>
      <c r="U213" s="101" t="n">
        <f aca="false">(Yield_Originals!$I213*Yield_Originals!U$1)/Yield_Originals!$K213</f>
        <v>0.120279188231798</v>
      </c>
      <c r="V213" s="101" t="n">
        <f aca="false">(Yield_Originals!$I213*Yield_Originals!V$1)/Yield_Originals!$K213</f>
        <v>0.123212826969159</v>
      </c>
      <c r="W213" s="101" t="n">
        <f aca="false">(Yield_Originals!$I213*Yield_Originals!W$1)/Yield_Originals!$K213</f>
        <v>0.12614646570652</v>
      </c>
      <c r="X213" s="102" t="n">
        <f aca="false">(Yield_Originals!$I213*Yield_Originals!X$1)/Yield_Originals!$K213</f>
        <v>0.129080104443881</v>
      </c>
      <c r="Y213" s="102"/>
      <c r="Z213" s="0"/>
      <c r="AA213" s="0"/>
      <c r="AB213" s="0"/>
    </row>
    <row r="214" customFormat="false" ht="15" hidden="false" customHeight="false" outlineLevel="0" collapsed="false">
      <c r="A214" s="64" t="s">
        <v>1183</v>
      </c>
      <c r="B214" s="64" t="n">
        <v>1</v>
      </c>
      <c r="C214" s="0" t="s">
        <v>253</v>
      </c>
      <c r="D214" s="0" t="s">
        <v>1204</v>
      </c>
      <c r="E214" s="64" t="n">
        <v>1</v>
      </c>
      <c r="F214" s="105" t="n">
        <f aca="false">Yield_Originals!G214</f>
        <v>0.1529214653185</v>
      </c>
      <c r="G214" s="96" t="n">
        <v>0.1529214653185</v>
      </c>
      <c r="H214" s="96" t="n">
        <v>0.1529214653185</v>
      </c>
      <c r="I214" s="96" t="n">
        <f aca="false">+(Yield_Originals!H214+Yield_Originals!J214)/2</f>
        <v>0.15646073265925</v>
      </c>
      <c r="J214" s="96" t="n">
        <v>0.16</v>
      </c>
      <c r="K214" s="97" t="n">
        <v>2</v>
      </c>
      <c r="L214" s="98" t="n">
        <f aca="false">(Yield_Originals!$G214*Yield_Originals!L$1)/Yield_Originals!$K214</f>
        <v>0.0917528791911</v>
      </c>
      <c r="M214" s="98" t="n">
        <f aca="false">(Yield_Originals!$G214*Yield_Originals!M$1)/Yield_Originals!$K214</f>
        <v>0.0946201566658219</v>
      </c>
      <c r="N214" s="98" t="n">
        <f aca="false">(Yield_Originals!$G214*Yield_Originals!N$1)/Yield_Originals!$K214</f>
        <v>0.0974874341405438</v>
      </c>
      <c r="O214" s="98" t="n">
        <f aca="false">(Yield_Originals!$G214*Yield_Originals!O$1)/Yield_Originals!$K214</f>
        <v>0.100354711615266</v>
      </c>
      <c r="P214" s="99" t="n">
        <f aca="false">(Yield_Originals!$H214*Yield_Originals!P$1)/Yield_Originals!$K214</f>
        <v>0.103221989089988</v>
      </c>
      <c r="Q214" s="99" t="n">
        <f aca="false">(Yield_Originals!$H214*Yield_Originals!Q$1)/Yield_Originals!$K214</f>
        <v>0.106089266564709</v>
      </c>
      <c r="R214" s="99" t="n">
        <f aca="false">(Yield_Originals!$H214*Yield_Originals!R$1)/Yield_Originals!$K214</f>
        <v>0.108956544039431</v>
      </c>
      <c r="S214" s="99" t="n">
        <f aca="false">(Yield_Originals!$H214*Yield_Originals!S$1)/Yield_Originals!$K214</f>
        <v>0.111823821514153</v>
      </c>
      <c r="T214" s="101" t="n">
        <f aca="false">(Yield_Originals!$I214*Yield_Originals!T$1)/Yield_Originals!$K214</f>
        <v>0.117345549494438</v>
      </c>
      <c r="U214" s="101" t="n">
        <f aca="false">(Yield_Originals!$I214*Yield_Originals!U$1)/Yield_Originals!$K214</f>
        <v>0.120279188231798</v>
      </c>
      <c r="V214" s="101" t="n">
        <f aca="false">(Yield_Originals!$I214*Yield_Originals!V$1)/Yield_Originals!$K214</f>
        <v>0.123212826969159</v>
      </c>
      <c r="W214" s="101" t="n">
        <f aca="false">(Yield_Originals!$I214*Yield_Originals!W$1)/Yield_Originals!$K214</f>
        <v>0.12614646570652</v>
      </c>
      <c r="X214" s="102" t="n">
        <f aca="false">(Yield_Originals!$I214*Yield_Originals!X$1)/Yield_Originals!$K214</f>
        <v>0.129080104443881</v>
      </c>
      <c r="Y214" s="102"/>
      <c r="Z214" s="0"/>
      <c r="AA214" s="0"/>
      <c r="AB214" s="0"/>
    </row>
    <row r="215" customFormat="false" ht="15" hidden="false" customHeight="false" outlineLevel="0" collapsed="false">
      <c r="A215" s="64" t="s">
        <v>1183</v>
      </c>
      <c r="B215" s="64" t="n">
        <v>1</v>
      </c>
      <c r="C215" s="0" t="s">
        <v>1118</v>
      </c>
      <c r="D215" s="0" t="s">
        <v>1200</v>
      </c>
      <c r="E215" s="64" t="n">
        <v>1</v>
      </c>
      <c r="F215" s="105" t="n">
        <f aca="false">Yield_Originals!G215</f>
        <v>0.1529214653185</v>
      </c>
      <c r="G215" s="96" t="n">
        <v>0.1529214653185</v>
      </c>
      <c r="H215" s="96" t="n">
        <v>0.1529214653185</v>
      </c>
      <c r="I215" s="96" t="n">
        <f aca="false">+(Yield_Originals!H215+Yield_Originals!J215)/2</f>
        <v>0.15646073265925</v>
      </c>
      <c r="J215" s="96" t="n">
        <v>0.16</v>
      </c>
      <c r="K215" s="97" t="n">
        <v>2</v>
      </c>
      <c r="L215" s="98" t="n">
        <f aca="false">(Yield_Originals!$G215*Yield_Originals!L$1)/Yield_Originals!$K215</f>
        <v>0.0917528791911</v>
      </c>
      <c r="M215" s="98" t="n">
        <f aca="false">(Yield_Originals!$G215*Yield_Originals!M$1)/Yield_Originals!$K215</f>
        <v>0.0946201566658219</v>
      </c>
      <c r="N215" s="98" t="n">
        <f aca="false">(Yield_Originals!$G215*Yield_Originals!N$1)/Yield_Originals!$K215</f>
        <v>0.0974874341405438</v>
      </c>
      <c r="O215" s="98" t="n">
        <f aca="false">(Yield_Originals!$G215*Yield_Originals!O$1)/Yield_Originals!$K215</f>
        <v>0.100354711615266</v>
      </c>
      <c r="P215" s="99" t="n">
        <f aca="false">(Yield_Originals!$H215*Yield_Originals!P$1)/Yield_Originals!$K215</f>
        <v>0.103221989089988</v>
      </c>
      <c r="Q215" s="99" t="n">
        <f aca="false">(Yield_Originals!$H215*Yield_Originals!Q$1)/Yield_Originals!$K215</f>
        <v>0.106089266564709</v>
      </c>
      <c r="R215" s="99" t="n">
        <f aca="false">(Yield_Originals!$H215*Yield_Originals!R$1)/Yield_Originals!$K215</f>
        <v>0.108956544039431</v>
      </c>
      <c r="S215" s="99" t="n">
        <f aca="false">(Yield_Originals!$H215*Yield_Originals!S$1)/Yield_Originals!$K215</f>
        <v>0.111823821514153</v>
      </c>
      <c r="T215" s="101" t="n">
        <f aca="false">(Yield_Originals!$I215*Yield_Originals!T$1)/Yield_Originals!$K215</f>
        <v>0.117345549494438</v>
      </c>
      <c r="U215" s="101" t="n">
        <f aca="false">(Yield_Originals!$I215*Yield_Originals!U$1)/Yield_Originals!$K215</f>
        <v>0.120279188231798</v>
      </c>
      <c r="V215" s="101" t="n">
        <f aca="false">(Yield_Originals!$I215*Yield_Originals!V$1)/Yield_Originals!$K215</f>
        <v>0.123212826969159</v>
      </c>
      <c r="W215" s="101" t="n">
        <f aca="false">(Yield_Originals!$I215*Yield_Originals!W$1)/Yield_Originals!$K215</f>
        <v>0.12614646570652</v>
      </c>
      <c r="X215" s="102" t="n">
        <f aca="false">(Yield_Originals!$I215*Yield_Originals!X$1)/Yield_Originals!$K215</f>
        <v>0.129080104443881</v>
      </c>
      <c r="Y215" s="102"/>
      <c r="Z215" s="0"/>
      <c r="AA215" s="0"/>
      <c r="AB215" s="0"/>
    </row>
    <row r="216" customFormat="false" ht="15" hidden="false" customHeight="false" outlineLevel="0" collapsed="false">
      <c r="A216" s="64" t="s">
        <v>1264</v>
      </c>
      <c r="B216" s="64" t="s">
        <v>1460</v>
      </c>
      <c r="C216" s="0" t="s">
        <v>132</v>
      </c>
      <c r="D216" s="0" t="s">
        <v>1263</v>
      </c>
      <c r="E216" s="64" t="n">
        <v>5</v>
      </c>
      <c r="F216" s="105" t="n">
        <f aca="false">Yield_Originals!G216</f>
        <v>0.9</v>
      </c>
      <c r="G216" s="106" t="n">
        <v>0.9</v>
      </c>
      <c r="H216" s="106" t="n">
        <v>0.9</v>
      </c>
      <c r="I216" s="106" t="n">
        <v>0.9</v>
      </c>
      <c r="J216" s="106" t="n">
        <v>0.9</v>
      </c>
      <c r="K216" s="97" t="n">
        <v>1</v>
      </c>
      <c r="L216" s="108" t="n">
        <f aca="false">(Yield_Originals!$G216*Yield_Originals!L$1)/Yield_Originals!$K216</f>
        <v>1.08</v>
      </c>
      <c r="M216" s="108" t="n">
        <f aca="false">(Yield_Originals!$G216*Yield_Originals!M$1)/Yield_Originals!$K216</f>
        <v>1.11375</v>
      </c>
      <c r="N216" s="108"/>
      <c r="O216" s="108"/>
      <c r="P216" s="0"/>
      <c r="Q216" s="0"/>
      <c r="R216" s="0"/>
      <c r="S216" s="0"/>
      <c r="T216" s="0"/>
      <c r="U216" s="0"/>
      <c r="V216" s="0"/>
      <c r="W216" s="0"/>
      <c r="X216" s="0"/>
      <c r="Y216" s="0"/>
      <c r="Z216" s="0"/>
      <c r="AA216" s="0"/>
      <c r="AB216" s="0"/>
    </row>
    <row r="217" customFormat="false" ht="15" hidden="false" customHeight="false" outlineLevel="0" collapsed="false">
      <c r="A217" s="61" t="s">
        <v>1264</v>
      </c>
      <c r="B217" s="61" t="s">
        <v>1460</v>
      </c>
      <c r="C217" s="38" t="s">
        <v>1123</v>
      </c>
      <c r="D217" s="38" t="s">
        <v>1297</v>
      </c>
      <c r="E217" s="61" t="n">
        <v>5</v>
      </c>
      <c r="F217" s="105" t="n">
        <f aca="false">Yield_Originals!G217</f>
        <v>0.9</v>
      </c>
      <c r="G217" s="106" t="n">
        <v>0.9</v>
      </c>
      <c r="H217" s="106" t="n">
        <v>0.9</v>
      </c>
      <c r="I217" s="106" t="n">
        <v>0.9</v>
      </c>
      <c r="J217" s="106" t="n">
        <v>0.9</v>
      </c>
      <c r="K217" s="97" t="n">
        <v>1</v>
      </c>
      <c r="L217" s="108"/>
      <c r="M217" s="108"/>
      <c r="N217" s="108"/>
      <c r="O217" s="108" t="n">
        <f aca="false">(Yield_Originals!$G217*Yield_Originals!O$1)/Yield_Originals!$K217</f>
        <v>1.18125</v>
      </c>
      <c r="P217" s="109" t="n">
        <f aca="false">(Yield_Originals!$H217*Yield_Originals!P$1)/Yield_Originals!$K217</f>
        <v>1.215</v>
      </c>
      <c r="Q217" s="109" t="n">
        <f aca="false">(Yield_Originals!$H217*Yield_Originals!Q$1)/Yield_Originals!$K217</f>
        <v>1.24875</v>
      </c>
      <c r="R217" s="109" t="n">
        <f aca="false">(Yield_Originals!$H217*Yield_Originals!R$1)/Yield_Originals!$K217</f>
        <v>1.2825</v>
      </c>
      <c r="S217" s="67"/>
      <c r="T217" s="110"/>
      <c r="U217" s="110"/>
      <c r="V217" s="110"/>
      <c r="W217" s="110"/>
      <c r="X217" s="111"/>
      <c r="Y217" s="111"/>
      <c r="Z217" s="111"/>
      <c r="AA217" s="111"/>
      <c r="AB217" s="111"/>
    </row>
    <row r="218" customFormat="false" ht="15" hidden="false" customHeight="false" outlineLevel="0" collapsed="false">
      <c r="A218" s="64" t="s">
        <v>1264</v>
      </c>
      <c r="B218" s="64" t="s">
        <v>1460</v>
      </c>
      <c r="C218" s="0" t="s">
        <v>1126</v>
      </c>
      <c r="D218" s="0" t="s">
        <v>1285</v>
      </c>
      <c r="E218" s="64" t="n">
        <v>2</v>
      </c>
      <c r="F218" s="105" t="n">
        <f aca="false">Yield_Originals!G218</f>
        <v>0.9</v>
      </c>
      <c r="G218" s="105" t="n">
        <v>0.9</v>
      </c>
      <c r="H218" s="105" t="n">
        <v>0.9</v>
      </c>
      <c r="I218" s="105" t="n">
        <v>0.9</v>
      </c>
      <c r="J218" s="105" t="n">
        <v>0.9</v>
      </c>
      <c r="K218" s="97" t="n">
        <v>1</v>
      </c>
      <c r="L218" s="98"/>
      <c r="M218" s="98"/>
      <c r="N218" s="98"/>
      <c r="O218" s="98" t="n">
        <f aca="false">(Yield_Originals!$G218*Yield_Originals!O$1)/Yield_Originals!$K218</f>
        <v>1.18125</v>
      </c>
      <c r="P218" s="99" t="n">
        <f aca="false">(Yield_Originals!$H218*Yield_Originals!P$1)/Yield_Originals!$K218</f>
        <v>1.215</v>
      </c>
      <c r="Q218" s="99" t="n">
        <f aca="false">(Yield_Originals!$H218*Yield_Originals!Q$1)/Yield_Originals!$K218</f>
        <v>1.24875</v>
      </c>
      <c r="R218" s="99" t="n">
        <f aca="false">(Yield_Originals!$H218*Yield_Originals!R$1)/Yield_Originals!$K218</f>
        <v>1.2825</v>
      </c>
      <c r="S218" s="0"/>
      <c r="T218" s="0"/>
      <c r="U218" s="0"/>
      <c r="V218" s="0"/>
      <c r="W218" s="0"/>
      <c r="X218" s="0"/>
      <c r="Y218" s="0"/>
      <c r="Z218" s="0"/>
      <c r="AA218" s="0"/>
      <c r="AB218" s="0"/>
    </row>
    <row r="219" customFormat="false" ht="15" hidden="false" customHeight="false" outlineLevel="0" collapsed="false">
      <c r="A219" s="64" t="s">
        <v>1264</v>
      </c>
      <c r="B219" s="64" t="s">
        <v>1460</v>
      </c>
      <c r="C219" s="0" t="s">
        <v>133</v>
      </c>
      <c r="D219" s="0" t="s">
        <v>1271</v>
      </c>
      <c r="E219" s="64" t="n">
        <v>1</v>
      </c>
      <c r="F219" s="105" t="n">
        <f aca="false">Yield_Originals!G219</f>
        <v>0.9</v>
      </c>
      <c r="G219" s="105" t="n">
        <v>0.9</v>
      </c>
      <c r="H219" s="105" t="n">
        <v>0.9</v>
      </c>
      <c r="I219" s="105" t="n">
        <v>0.9</v>
      </c>
      <c r="J219" s="105" t="n">
        <v>0.9</v>
      </c>
      <c r="K219" s="97" t="n">
        <v>1</v>
      </c>
      <c r="L219" s="98" t="n">
        <f aca="false">(Yield_Originals!$G219*Yield_Originals!L$1)/Yield_Originals!$K219</f>
        <v>1.08</v>
      </c>
      <c r="M219" s="98" t="n">
        <f aca="false">(Yield_Originals!$G219*Yield_Originals!M$1)/Yield_Originals!$K219</f>
        <v>1.11375</v>
      </c>
      <c r="N219" s="98" t="n">
        <f aca="false">(Yield_Originals!$G219*Yield_Originals!N$1)/Yield_Originals!$K219</f>
        <v>1.1475</v>
      </c>
      <c r="O219" s="98" t="n">
        <f aca="false">(Yield_Originals!$G219*Yield_Originals!O$1)/Yield_Originals!$K219</f>
        <v>1.18125</v>
      </c>
      <c r="P219" s="99" t="n">
        <f aca="false">(Yield_Originals!$H219*Yield_Originals!P$1)/Yield_Originals!$K219</f>
        <v>1.215</v>
      </c>
      <c r="Q219" s="99" t="n">
        <f aca="false">(Yield_Originals!$H219*Yield_Originals!Q$1)/Yield_Originals!$K219</f>
        <v>1.24875</v>
      </c>
      <c r="R219" s="99"/>
      <c r="S219" s="99"/>
      <c r="T219" s="101"/>
      <c r="U219" s="101"/>
      <c r="V219" s="101"/>
      <c r="W219" s="101"/>
      <c r="X219" s="102"/>
      <c r="Y219" s="102"/>
      <c r="Z219" s="102"/>
      <c r="AA219" s="102"/>
      <c r="AB219" s="102"/>
    </row>
    <row r="220" customFormat="false" ht="15" hidden="false" customHeight="false" outlineLevel="0" collapsed="false">
      <c r="A220" s="64" t="s">
        <v>1264</v>
      </c>
      <c r="B220" s="64" t="s">
        <v>1460</v>
      </c>
      <c r="C220" s="0" t="s">
        <v>254</v>
      </c>
      <c r="D220" s="0" t="s">
        <v>1271</v>
      </c>
      <c r="E220" s="64" t="n">
        <v>1</v>
      </c>
      <c r="F220" s="105" t="n">
        <f aca="false">Yield_Originals!G220</f>
        <v>0.9</v>
      </c>
      <c r="G220" s="105" t="n">
        <v>0.9</v>
      </c>
      <c r="H220" s="105" t="n">
        <v>0.9</v>
      </c>
      <c r="I220" s="105" t="n">
        <v>0.9</v>
      </c>
      <c r="J220" s="105" t="n">
        <v>0.9</v>
      </c>
      <c r="K220" s="97" t="n">
        <v>1</v>
      </c>
      <c r="L220" s="98" t="n">
        <f aca="false">(Yield_Originals!$G220*Yield_Originals!L$1)/Yield_Originals!$K220</f>
        <v>1.08</v>
      </c>
      <c r="M220" s="98" t="n">
        <f aca="false">(Yield_Originals!$G220*Yield_Originals!M$1)/Yield_Originals!$K220</f>
        <v>1.11375</v>
      </c>
      <c r="N220" s="98" t="n">
        <f aca="false">(Yield_Originals!$G220*Yield_Originals!N$1)/Yield_Originals!$K220</f>
        <v>1.1475</v>
      </c>
      <c r="O220" s="98" t="n">
        <f aca="false">(Yield_Originals!$G220*Yield_Originals!O$1)/Yield_Originals!$K220</f>
        <v>1.18125</v>
      </c>
      <c r="P220" s="99" t="n">
        <f aca="false">(Yield_Originals!$H220*Yield_Originals!P$1)/Yield_Originals!$K220</f>
        <v>1.215</v>
      </c>
      <c r="Q220" s="99" t="n">
        <f aca="false">(Yield_Originals!$H220*Yield_Originals!Q$1)/Yield_Originals!$K220</f>
        <v>1.24875</v>
      </c>
      <c r="R220" s="99"/>
      <c r="S220" s="99"/>
      <c r="T220" s="101"/>
      <c r="U220" s="101"/>
      <c r="V220" s="101"/>
      <c r="W220" s="101"/>
      <c r="X220" s="102"/>
      <c r="Y220" s="102"/>
      <c r="Z220" s="102"/>
      <c r="AA220" s="102"/>
      <c r="AB220" s="102"/>
    </row>
    <row r="221" customFormat="false" ht="15" hidden="false" customHeight="false" outlineLevel="0" collapsed="false">
      <c r="A221" s="64" t="s">
        <v>1264</v>
      </c>
      <c r="B221" s="64" t="s">
        <v>1460</v>
      </c>
      <c r="C221" s="0" t="s">
        <v>1133</v>
      </c>
      <c r="D221" s="0" t="s">
        <v>1288</v>
      </c>
      <c r="E221" s="64" t="n">
        <v>1</v>
      </c>
      <c r="F221" s="105" t="n">
        <f aca="false">Yield_Originals!G221</f>
        <v>0.9</v>
      </c>
      <c r="G221" s="105" t="n">
        <v>0.9</v>
      </c>
      <c r="H221" s="105" t="n">
        <v>0.9</v>
      </c>
      <c r="I221" s="105" t="n">
        <v>0.9</v>
      </c>
      <c r="J221" s="105" t="n">
        <v>0.9</v>
      </c>
      <c r="K221" s="97" t="n">
        <v>1</v>
      </c>
      <c r="L221" s="98" t="n">
        <f aca="false">(Yield_Originals!$G221*Yield_Originals!L$1)/Yield_Originals!$K221</f>
        <v>1.08</v>
      </c>
      <c r="M221" s="98" t="n">
        <f aca="false">(Yield_Originals!$G221*Yield_Originals!M$1)/Yield_Originals!$K221</f>
        <v>1.11375</v>
      </c>
      <c r="N221" s="98" t="n">
        <f aca="false">(Yield_Originals!$G221*Yield_Originals!N$1)/Yield_Originals!$K221</f>
        <v>1.1475</v>
      </c>
      <c r="O221" s="98" t="n">
        <f aca="false">(Yield_Originals!$G221*Yield_Originals!O$1)/Yield_Originals!$K221</f>
        <v>1.18125</v>
      </c>
      <c r="P221" s="99" t="n">
        <f aca="false">(Yield_Originals!$H221*Yield_Originals!P$1)/Yield_Originals!$K221</f>
        <v>1.215</v>
      </c>
      <c r="Q221" s="99" t="n">
        <f aca="false">(Yield_Originals!$H221*Yield_Originals!Q$1)/Yield_Originals!$K221</f>
        <v>1.24875</v>
      </c>
      <c r="R221" s="99"/>
      <c r="S221" s="99"/>
      <c r="T221" s="101"/>
      <c r="U221" s="101"/>
      <c r="V221" s="101"/>
      <c r="W221" s="101"/>
      <c r="X221" s="102"/>
      <c r="Y221" s="102"/>
      <c r="Z221" s="102"/>
      <c r="AA221" s="102"/>
      <c r="AB221" s="102"/>
    </row>
    <row r="222" customFormat="false" ht="15" hidden="false" customHeight="false" outlineLevel="0" collapsed="false">
      <c r="A222" s="64" t="s">
        <v>1264</v>
      </c>
      <c r="B222" s="64" t="s">
        <v>1460</v>
      </c>
      <c r="C222" s="0" t="s">
        <v>1136</v>
      </c>
      <c r="D222" s="0" t="s">
        <v>1267</v>
      </c>
      <c r="E222" s="64" t="n">
        <v>1</v>
      </c>
      <c r="F222" s="105" t="n">
        <f aca="false">Yield_Originals!G222</f>
        <v>0.9</v>
      </c>
      <c r="G222" s="105" t="n">
        <v>0.9</v>
      </c>
      <c r="H222" s="105" t="n">
        <v>0.9</v>
      </c>
      <c r="I222" s="105" t="n">
        <v>0.9</v>
      </c>
      <c r="J222" s="105" t="n">
        <v>0.9</v>
      </c>
      <c r="K222" s="97" t="n">
        <v>1</v>
      </c>
      <c r="L222" s="98" t="n">
        <f aca="false">(Yield_Originals!$G222*Yield_Originals!L$1)/Yield_Originals!$K222</f>
        <v>1.08</v>
      </c>
      <c r="M222" s="98" t="n">
        <f aca="false">(Yield_Originals!$G222*Yield_Originals!M$1)/Yield_Originals!$K222</f>
        <v>1.11375</v>
      </c>
      <c r="N222" s="98" t="n">
        <f aca="false">(Yield_Originals!$G222*Yield_Originals!N$1)/Yield_Originals!$K222</f>
        <v>1.1475</v>
      </c>
      <c r="O222" s="98" t="n">
        <f aca="false">(Yield_Originals!$G222*Yield_Originals!O$1)/Yield_Originals!$K222</f>
        <v>1.18125</v>
      </c>
      <c r="P222" s="99" t="n">
        <f aca="false">(Yield_Originals!$H222*Yield_Originals!P$1)/Yield_Originals!$K222</f>
        <v>1.215</v>
      </c>
      <c r="Q222" s="99" t="n">
        <f aca="false">(Yield_Originals!$H222*Yield_Originals!Q$1)/Yield_Originals!$K222</f>
        <v>1.24875</v>
      </c>
      <c r="R222" s="99"/>
      <c r="S222" s="99"/>
      <c r="T222" s="101"/>
      <c r="U222" s="101"/>
      <c r="V222" s="101"/>
      <c r="W222" s="101"/>
      <c r="X222" s="102"/>
      <c r="Y222" s="102"/>
      <c r="Z222" s="102"/>
      <c r="AA222" s="102"/>
      <c r="AB222" s="102"/>
    </row>
    <row r="223" customFormat="false" ht="15" hidden="false" customHeight="false" outlineLevel="0" collapsed="false">
      <c r="A223" s="64" t="s">
        <v>1264</v>
      </c>
      <c r="B223" s="64" t="s">
        <v>1460</v>
      </c>
      <c r="C223" s="0" t="s">
        <v>504</v>
      </c>
      <c r="D223" s="0" t="s">
        <v>1278</v>
      </c>
      <c r="E223" s="64" t="n">
        <v>1</v>
      </c>
      <c r="F223" s="105" t="n">
        <f aca="false">Yield_Originals!G223</f>
        <v>0.9</v>
      </c>
      <c r="G223" s="105" t="n">
        <v>0.9</v>
      </c>
      <c r="H223" s="105" t="n">
        <v>0.9</v>
      </c>
      <c r="I223" s="105" t="n">
        <v>0.9</v>
      </c>
      <c r="J223" s="105" t="n">
        <v>0.9</v>
      </c>
      <c r="K223" s="97" t="n">
        <v>1</v>
      </c>
      <c r="L223" s="98" t="n">
        <f aca="false">(Yield_Originals!$G223*Yield_Originals!L$1)/Yield_Originals!$K223</f>
        <v>1.08</v>
      </c>
      <c r="M223" s="98" t="n">
        <f aca="false">(Yield_Originals!$G223*Yield_Originals!M$1)/Yield_Originals!$K223</f>
        <v>1.11375</v>
      </c>
      <c r="N223" s="98" t="n">
        <f aca="false">(Yield_Originals!$G223*Yield_Originals!N$1)/Yield_Originals!$K223</f>
        <v>1.1475</v>
      </c>
      <c r="O223" s="98" t="n">
        <f aca="false">(Yield_Originals!$G223*Yield_Originals!O$1)/Yield_Originals!$K223</f>
        <v>1.18125</v>
      </c>
      <c r="P223" s="99" t="n">
        <f aca="false">(Yield_Originals!$H223*Yield_Originals!P$1)/Yield_Originals!$K223</f>
        <v>1.215</v>
      </c>
      <c r="Q223" s="99" t="n">
        <f aca="false">(Yield_Originals!$H223*Yield_Originals!Q$1)/Yield_Originals!$K223</f>
        <v>1.24875</v>
      </c>
      <c r="R223" s="99"/>
      <c r="S223" s="99"/>
      <c r="T223" s="101"/>
      <c r="U223" s="101"/>
      <c r="V223" s="101"/>
      <c r="W223" s="101"/>
      <c r="X223" s="102"/>
      <c r="Y223" s="102"/>
      <c r="Z223" s="102"/>
      <c r="AA223" s="102"/>
      <c r="AB223" s="102"/>
    </row>
    <row r="224" customFormat="false" ht="15" hidden="false" customHeight="false" outlineLevel="0" collapsed="false">
      <c r="A224" s="64" t="s">
        <v>1264</v>
      </c>
      <c r="B224" s="64" t="s">
        <v>1460</v>
      </c>
      <c r="C224" s="0" t="s">
        <v>1141</v>
      </c>
      <c r="D224" s="0" t="s">
        <v>1278</v>
      </c>
      <c r="E224" s="64" t="n">
        <v>1</v>
      </c>
      <c r="F224" s="105" t="n">
        <f aca="false">Yield_Originals!G224</f>
        <v>0.9</v>
      </c>
      <c r="G224" s="105" t="n">
        <v>0.9</v>
      </c>
      <c r="H224" s="105" t="n">
        <v>0.9</v>
      </c>
      <c r="I224" s="105" t="n">
        <v>0.9</v>
      </c>
      <c r="J224" s="105" t="n">
        <v>0.9</v>
      </c>
      <c r="K224" s="97" t="n">
        <v>1</v>
      </c>
      <c r="L224" s="98" t="n">
        <f aca="false">(Yield_Originals!$G224*Yield_Originals!L$1)/Yield_Originals!$K224</f>
        <v>1.08</v>
      </c>
      <c r="M224" s="98" t="n">
        <f aca="false">(Yield_Originals!$G224*Yield_Originals!M$1)/Yield_Originals!$K224</f>
        <v>1.11375</v>
      </c>
      <c r="N224" s="98" t="n">
        <f aca="false">(Yield_Originals!$G224*Yield_Originals!N$1)/Yield_Originals!$K224</f>
        <v>1.1475</v>
      </c>
      <c r="O224" s="98" t="n">
        <f aca="false">(Yield_Originals!$G224*Yield_Originals!O$1)/Yield_Originals!$K224</f>
        <v>1.18125</v>
      </c>
      <c r="P224" s="99" t="n">
        <f aca="false">(Yield_Originals!$H224*Yield_Originals!P$1)/Yield_Originals!$K224</f>
        <v>1.215</v>
      </c>
      <c r="Q224" s="99" t="n">
        <f aca="false">(Yield_Originals!$H224*Yield_Originals!Q$1)/Yield_Originals!$K224</f>
        <v>1.24875</v>
      </c>
      <c r="R224" s="99"/>
      <c r="S224" s="99"/>
      <c r="T224" s="101"/>
      <c r="U224" s="101"/>
      <c r="V224" s="101"/>
      <c r="W224" s="101"/>
      <c r="X224" s="102"/>
      <c r="Y224" s="102"/>
      <c r="Z224" s="102"/>
      <c r="AA224" s="102"/>
      <c r="AB224" s="102"/>
    </row>
    <row r="225" customFormat="false" ht="15" hidden="false" customHeight="false" outlineLevel="0" collapsed="false">
      <c r="A225" s="64" t="s">
        <v>1264</v>
      </c>
      <c r="B225" s="64" t="s">
        <v>1460</v>
      </c>
      <c r="C225" s="0" t="s">
        <v>1145</v>
      </c>
      <c r="D225" s="0" t="s">
        <v>1295</v>
      </c>
      <c r="E225" s="64" t="n">
        <v>1</v>
      </c>
      <c r="F225" s="105" t="n">
        <f aca="false">Yield_Originals!G225</f>
        <v>0.9</v>
      </c>
      <c r="G225" s="105" t="n">
        <v>0.9</v>
      </c>
      <c r="H225" s="105" t="n">
        <v>0.9</v>
      </c>
      <c r="I225" s="105" t="n">
        <v>0.9</v>
      </c>
      <c r="J225" s="105" t="n">
        <v>0.9</v>
      </c>
      <c r="K225" s="97" t="n">
        <v>1</v>
      </c>
      <c r="L225" s="98"/>
      <c r="M225" s="98"/>
      <c r="N225" s="98"/>
      <c r="O225" s="98" t="n">
        <f aca="false">(Yield_Originals!$G225*Yield_Originals!O$1)/Yield_Originals!$K225</f>
        <v>1.18125</v>
      </c>
      <c r="P225" s="99" t="n">
        <f aca="false">(Yield_Originals!$H225*Yield_Originals!P$1)/Yield_Originals!$K225</f>
        <v>1.215</v>
      </c>
      <c r="Q225" s="99" t="n">
        <f aca="false">(Yield_Originals!$H225*Yield_Originals!Q$1)/Yield_Originals!$K225</f>
        <v>1.24875</v>
      </c>
      <c r="R225" s="99" t="n">
        <f aca="false">(Yield_Originals!$H225*Yield_Originals!R$1)/Yield_Originals!$K225</f>
        <v>1.2825</v>
      </c>
      <c r="S225" s="99"/>
      <c r="T225" s="101"/>
      <c r="U225" s="101"/>
      <c r="V225" s="101"/>
      <c r="W225" s="101"/>
      <c r="X225" s="102"/>
      <c r="Y225" s="102"/>
      <c r="Z225" s="102"/>
      <c r="AA225" s="102"/>
      <c r="AB225" s="102"/>
    </row>
    <row r="226" customFormat="false" ht="15" hidden="false" customHeight="false" outlineLevel="0" collapsed="false">
      <c r="A226" s="64" t="s">
        <v>1264</v>
      </c>
      <c r="B226" s="64" t="s">
        <v>1460</v>
      </c>
      <c r="C226" s="0" t="s">
        <v>255</v>
      </c>
      <c r="D226" s="0" t="s">
        <v>1269</v>
      </c>
      <c r="E226" s="64" t="n">
        <v>1</v>
      </c>
      <c r="F226" s="105" t="n">
        <f aca="false">Yield_Originals!G226</f>
        <v>0.9</v>
      </c>
      <c r="G226" s="105" t="n">
        <v>0.9</v>
      </c>
      <c r="H226" s="105" t="n">
        <v>0.9</v>
      </c>
      <c r="I226" s="105" t="n">
        <v>0.9</v>
      </c>
      <c r="J226" s="105" t="n">
        <v>0.9</v>
      </c>
      <c r="K226" s="97" t="n">
        <v>1</v>
      </c>
      <c r="L226" s="98" t="n">
        <f aca="false">(Yield_Originals!$G226*Yield_Originals!L$1)/Yield_Originals!$K226</f>
        <v>1.08</v>
      </c>
      <c r="M226" s="98" t="n">
        <f aca="false">(Yield_Originals!$G226*Yield_Originals!M$1)/Yield_Originals!$K226</f>
        <v>1.11375</v>
      </c>
      <c r="N226" s="98" t="n">
        <f aca="false">(Yield_Originals!$G226*Yield_Originals!N$1)/Yield_Originals!$K226</f>
        <v>1.1475</v>
      </c>
      <c r="O226" s="98" t="n">
        <f aca="false">(Yield_Originals!$G226*Yield_Originals!O$1)/Yield_Originals!$K226</f>
        <v>1.18125</v>
      </c>
      <c r="P226" s="99" t="n">
        <f aca="false">(Yield_Originals!$H226*Yield_Originals!P$1)/Yield_Originals!$K226</f>
        <v>1.215</v>
      </c>
      <c r="Q226" s="99" t="n">
        <f aca="false">(Yield_Originals!$H226*Yield_Originals!Q$1)/Yield_Originals!$K226</f>
        <v>1.24875</v>
      </c>
      <c r="R226" s="99"/>
      <c r="S226" s="99"/>
      <c r="T226" s="101"/>
      <c r="U226" s="101"/>
      <c r="V226" s="101"/>
      <c r="W226" s="101"/>
      <c r="X226" s="102"/>
      <c r="Y226" s="102"/>
      <c r="Z226" s="102"/>
      <c r="AA226" s="102"/>
      <c r="AB226" s="102"/>
    </row>
    <row r="227" customFormat="false" ht="15" hidden="false" customHeight="false" outlineLevel="0" collapsed="false">
      <c r="A227" s="64" t="s">
        <v>1264</v>
      </c>
      <c r="B227" s="64" t="s">
        <v>1460</v>
      </c>
      <c r="C227" s="0" t="s">
        <v>510</v>
      </c>
      <c r="D227" s="0" t="s">
        <v>1278</v>
      </c>
      <c r="E227" s="64" t="n">
        <v>1</v>
      </c>
      <c r="F227" s="105" t="n">
        <f aca="false">Yield_Originals!G227</f>
        <v>0.9</v>
      </c>
      <c r="G227" s="105" t="n">
        <v>0.9</v>
      </c>
      <c r="H227" s="105" t="n">
        <v>0.9</v>
      </c>
      <c r="I227" s="105" t="n">
        <v>0.9</v>
      </c>
      <c r="J227" s="105" t="n">
        <v>0.9</v>
      </c>
      <c r="K227" s="97" t="n">
        <v>1</v>
      </c>
      <c r="L227" s="98" t="n">
        <f aca="false">(Yield_Originals!$G227*Yield_Originals!L$1)/Yield_Originals!$K227</f>
        <v>1.08</v>
      </c>
      <c r="M227" s="98" t="n">
        <f aca="false">(Yield_Originals!$G227*Yield_Originals!M$1)/Yield_Originals!$K227</f>
        <v>1.11375</v>
      </c>
      <c r="N227" s="98" t="n">
        <f aca="false">(Yield_Originals!$G227*Yield_Originals!N$1)/Yield_Originals!$K227</f>
        <v>1.1475</v>
      </c>
      <c r="O227" s="98" t="n">
        <f aca="false">(Yield_Originals!$G227*Yield_Originals!O$1)/Yield_Originals!$K227</f>
        <v>1.18125</v>
      </c>
      <c r="P227" s="99" t="n">
        <f aca="false">(Yield_Originals!$H227*Yield_Originals!P$1)/Yield_Originals!$K227</f>
        <v>1.215</v>
      </c>
      <c r="Q227" s="99" t="n">
        <f aca="false">(Yield_Originals!$H227*Yield_Originals!Q$1)/Yield_Originals!$K227</f>
        <v>1.24875</v>
      </c>
      <c r="R227" s="99"/>
      <c r="S227" s="99"/>
      <c r="T227" s="101"/>
      <c r="U227" s="101"/>
      <c r="V227" s="101"/>
      <c r="W227" s="101"/>
      <c r="X227" s="102"/>
      <c r="Y227" s="102"/>
      <c r="Z227" s="102"/>
      <c r="AA227" s="102"/>
      <c r="AB227" s="102"/>
    </row>
    <row r="228" customFormat="false" ht="15" hidden="false" customHeight="false" outlineLevel="0" collapsed="false">
      <c r="A228" s="64" t="s">
        <v>1264</v>
      </c>
      <c r="B228" s="64" t="s">
        <v>1460</v>
      </c>
      <c r="C228" s="0" t="s">
        <v>1152</v>
      </c>
      <c r="D228" s="0" t="s">
        <v>1278</v>
      </c>
      <c r="E228" s="64" t="n">
        <v>1</v>
      </c>
      <c r="F228" s="105" t="n">
        <f aca="false">Yield_Originals!G228</f>
        <v>0.9</v>
      </c>
      <c r="G228" s="105" t="n">
        <v>0.9</v>
      </c>
      <c r="H228" s="105" t="n">
        <v>0.9</v>
      </c>
      <c r="I228" s="105" t="n">
        <v>0.9</v>
      </c>
      <c r="J228" s="105" t="n">
        <v>0.9</v>
      </c>
      <c r="K228" s="97" t="n">
        <v>1</v>
      </c>
      <c r="L228" s="98" t="n">
        <f aca="false">(Yield_Originals!$G228*Yield_Originals!L$1)/Yield_Originals!$K228</f>
        <v>1.08</v>
      </c>
      <c r="M228" s="98" t="n">
        <f aca="false">(Yield_Originals!$G228*Yield_Originals!M$1)/Yield_Originals!$K228</f>
        <v>1.11375</v>
      </c>
      <c r="N228" s="98" t="n">
        <f aca="false">(Yield_Originals!$G228*Yield_Originals!N$1)/Yield_Originals!$K228</f>
        <v>1.1475</v>
      </c>
      <c r="O228" s="98" t="n">
        <f aca="false">(Yield_Originals!$G228*Yield_Originals!O$1)/Yield_Originals!$K228</f>
        <v>1.18125</v>
      </c>
      <c r="P228" s="99" t="n">
        <f aca="false">(Yield_Originals!$H228*Yield_Originals!P$1)/Yield_Originals!$K228</f>
        <v>1.215</v>
      </c>
      <c r="Q228" s="99" t="n">
        <f aca="false">(Yield_Originals!$H228*Yield_Originals!Q$1)/Yield_Originals!$K228</f>
        <v>1.24875</v>
      </c>
      <c r="R228" s="99"/>
      <c r="S228" s="99"/>
      <c r="T228" s="101"/>
      <c r="U228" s="101"/>
      <c r="V228" s="101"/>
      <c r="W228" s="101"/>
      <c r="X228" s="102"/>
      <c r="Y228" s="102"/>
      <c r="Z228" s="102"/>
      <c r="AA228" s="102"/>
      <c r="AB228" s="102"/>
    </row>
    <row r="229" customFormat="false" ht="15" hidden="false" customHeight="false" outlineLevel="0" collapsed="false">
      <c r="A229" s="64" t="s">
        <v>1264</v>
      </c>
      <c r="B229" s="64" t="s">
        <v>1460</v>
      </c>
      <c r="C229" s="0" t="s">
        <v>512</v>
      </c>
      <c r="D229" s="0" t="s">
        <v>1291</v>
      </c>
      <c r="E229" s="64" t="n">
        <v>1</v>
      </c>
      <c r="F229" s="105" t="n">
        <f aca="false">Yield_Originals!G229</f>
        <v>0.9</v>
      </c>
      <c r="G229" s="105" t="n">
        <v>0.9</v>
      </c>
      <c r="H229" s="105" t="n">
        <v>0.9</v>
      </c>
      <c r="I229" s="105" t="n">
        <v>0.9</v>
      </c>
      <c r="J229" s="105" t="n">
        <v>0.9</v>
      </c>
      <c r="K229" s="97" t="n">
        <v>1</v>
      </c>
      <c r="L229" s="98" t="n">
        <f aca="false">(Yield_Originals!$G229*Yield_Originals!L$1)/Yield_Originals!$K229</f>
        <v>1.08</v>
      </c>
      <c r="M229" s="98" t="n">
        <f aca="false">(Yield_Originals!$G229*Yield_Originals!M$1)/Yield_Originals!$K229</f>
        <v>1.11375</v>
      </c>
      <c r="N229" s="98" t="n">
        <f aca="false">(Yield_Originals!$G229*Yield_Originals!N$1)/Yield_Originals!$K229</f>
        <v>1.1475</v>
      </c>
      <c r="O229" s="98" t="n">
        <f aca="false">(Yield_Originals!$G229*Yield_Originals!O$1)/Yield_Originals!$K229</f>
        <v>1.18125</v>
      </c>
      <c r="P229" s="99" t="n">
        <f aca="false">(Yield_Originals!$H229*Yield_Originals!P$1)/Yield_Originals!$K229</f>
        <v>1.215</v>
      </c>
      <c r="Q229" s="99" t="n">
        <f aca="false">(Yield_Originals!$H229*Yield_Originals!Q$1)/Yield_Originals!$K229</f>
        <v>1.24875</v>
      </c>
      <c r="R229" s="99"/>
      <c r="S229" s="99"/>
      <c r="T229" s="101"/>
      <c r="U229" s="101"/>
      <c r="V229" s="101"/>
      <c r="W229" s="101"/>
      <c r="X229" s="102"/>
      <c r="Y229" s="102"/>
      <c r="Z229" s="102"/>
      <c r="AA229" s="102"/>
      <c r="AB229" s="102"/>
    </row>
    <row r="230" customFormat="false" ht="15" hidden="false" customHeight="false" outlineLevel="0" collapsed="false">
      <c r="A230" s="64" t="s">
        <v>1264</v>
      </c>
      <c r="B230" s="64" t="s">
        <v>1460</v>
      </c>
      <c r="C230" s="0" t="s">
        <v>1157</v>
      </c>
      <c r="D230" s="0" t="s">
        <v>1293</v>
      </c>
      <c r="E230" s="64" t="n">
        <v>1</v>
      </c>
      <c r="F230" s="105" t="n">
        <f aca="false">Yield_Originals!G230</f>
        <v>0.9</v>
      </c>
      <c r="G230" s="105" t="n">
        <v>0.9</v>
      </c>
      <c r="H230" s="105" t="n">
        <v>0.9</v>
      </c>
      <c r="I230" s="105" t="n">
        <v>0.9</v>
      </c>
      <c r="J230" s="105" t="n">
        <v>0.9</v>
      </c>
      <c r="K230" s="97" t="n">
        <v>1</v>
      </c>
      <c r="L230" s="98" t="n">
        <f aca="false">(Yield_Originals!$G230*Yield_Originals!L$1)/Yield_Originals!$K230</f>
        <v>1.08</v>
      </c>
      <c r="M230" s="98" t="n">
        <f aca="false">(Yield_Originals!$G230*Yield_Originals!M$1)/Yield_Originals!$K230</f>
        <v>1.11375</v>
      </c>
      <c r="N230" s="98" t="n">
        <f aca="false">(Yield_Originals!$G230*Yield_Originals!N$1)/Yield_Originals!$K230</f>
        <v>1.1475</v>
      </c>
      <c r="O230" s="98" t="n">
        <f aca="false">(Yield_Originals!$G230*Yield_Originals!O$1)/Yield_Originals!$K230</f>
        <v>1.18125</v>
      </c>
      <c r="P230" s="99" t="n">
        <f aca="false">(Yield_Originals!$H230*Yield_Originals!P$1)/Yield_Originals!$K230</f>
        <v>1.215</v>
      </c>
      <c r="Q230" s="99" t="n">
        <f aca="false">(Yield_Originals!$H230*Yield_Originals!Q$1)/Yield_Originals!$K230</f>
        <v>1.24875</v>
      </c>
      <c r="R230" s="99"/>
      <c r="S230" s="99"/>
      <c r="T230" s="101"/>
      <c r="U230" s="101"/>
      <c r="V230" s="101"/>
      <c r="W230" s="101"/>
      <c r="X230" s="102"/>
      <c r="Y230" s="102"/>
      <c r="Z230" s="102"/>
      <c r="AA230" s="102"/>
      <c r="AB230" s="102"/>
    </row>
    <row r="231" customFormat="false" ht="15" hidden="false" customHeight="false" outlineLevel="0" collapsed="false">
      <c r="A231" s="64" t="s">
        <v>1264</v>
      </c>
      <c r="B231" s="64" t="s">
        <v>1460</v>
      </c>
      <c r="C231" s="0" t="s">
        <v>134</v>
      </c>
      <c r="D231" s="0" t="s">
        <v>1274</v>
      </c>
      <c r="E231" s="64" t="n">
        <v>1</v>
      </c>
      <c r="F231" s="105" t="n">
        <f aca="false">Yield_Originals!G231</f>
        <v>0.9</v>
      </c>
      <c r="G231" s="105" t="n">
        <v>0.9</v>
      </c>
      <c r="H231" s="105" t="n">
        <v>0.9</v>
      </c>
      <c r="I231" s="105" t="n">
        <v>0.9</v>
      </c>
      <c r="J231" s="105" t="n">
        <v>0.9</v>
      </c>
      <c r="K231" s="97" t="n">
        <v>1</v>
      </c>
      <c r="L231" s="98"/>
      <c r="M231" s="98"/>
      <c r="N231" s="98"/>
      <c r="O231" s="98"/>
      <c r="P231" s="99" t="n">
        <f aca="false">(Yield_Originals!$H231*Yield_Originals!P$1)/Yield_Originals!$K231</f>
        <v>1.215</v>
      </c>
      <c r="Q231" s="99" t="n">
        <f aca="false">(Yield_Originals!$H231*Yield_Originals!Q$1)/Yield_Originals!$K231</f>
        <v>1.24875</v>
      </c>
      <c r="R231" s="99" t="n">
        <f aca="false">(Yield_Originals!$H231*Yield_Originals!R$1)/Yield_Originals!$K231</f>
        <v>1.2825</v>
      </c>
      <c r="S231" s="99" t="n">
        <f aca="false">(Yield_Originals!$H231*Yield_Originals!S$1)/Yield_Originals!$K231</f>
        <v>1.31625</v>
      </c>
      <c r="T231" s="101" t="n">
        <f aca="false">(Yield_Originals!$I231*Yield_Originals!T$1)/Yield_Originals!$K231</f>
        <v>1.35</v>
      </c>
      <c r="U231" s="101" t="n">
        <f aca="false">(Yield_Originals!$I231*Yield_Originals!U$1)/Yield_Originals!$K231</f>
        <v>1.38375</v>
      </c>
      <c r="V231" s="101" t="n">
        <f aca="false">(Yield_Originals!$I231*Yield_Originals!V$1)/Yield_Originals!$K231</f>
        <v>1.4175</v>
      </c>
      <c r="W231" s="101" t="n">
        <f aca="false">(Yield_Originals!$I231*Yield_Originals!W$1)/Yield_Originals!$K231</f>
        <v>1.45125</v>
      </c>
      <c r="X231" s="102"/>
      <c r="Y231" s="102"/>
      <c r="Z231" s="102"/>
      <c r="AA231" s="102"/>
      <c r="AB231" s="102"/>
    </row>
    <row r="232" customFormat="false" ht="15" hidden="false" customHeight="false" outlineLevel="0" collapsed="false">
      <c r="A232" s="64" t="s">
        <v>1264</v>
      </c>
      <c r="B232" s="64" t="s">
        <v>1460</v>
      </c>
      <c r="C232" s="0" t="s">
        <v>256</v>
      </c>
      <c r="D232" s="0" t="s">
        <v>1274</v>
      </c>
      <c r="E232" s="64" t="n">
        <v>1</v>
      </c>
      <c r="F232" s="105" t="n">
        <f aca="false">Yield_Originals!G232</f>
        <v>0.9</v>
      </c>
      <c r="G232" s="105" t="n">
        <v>0.9</v>
      </c>
      <c r="H232" s="105" t="n">
        <v>0.9</v>
      </c>
      <c r="I232" s="105" t="n">
        <v>0.9</v>
      </c>
      <c r="J232" s="105" t="n">
        <v>0.9</v>
      </c>
      <c r="K232" s="97" t="n">
        <v>1</v>
      </c>
      <c r="L232" s="98"/>
      <c r="M232" s="98"/>
      <c r="N232" s="98"/>
      <c r="O232" s="98"/>
      <c r="P232" s="99" t="n">
        <f aca="false">(Yield_Originals!$H232*Yield_Originals!P$1)/Yield_Originals!$K232</f>
        <v>1.215</v>
      </c>
      <c r="Q232" s="99" t="n">
        <f aca="false">(Yield_Originals!$H232*Yield_Originals!Q$1)/Yield_Originals!$K232</f>
        <v>1.24875</v>
      </c>
      <c r="R232" s="99" t="n">
        <f aca="false">(Yield_Originals!$H232*Yield_Originals!R$1)/Yield_Originals!$K232</f>
        <v>1.2825</v>
      </c>
      <c r="S232" s="99" t="n">
        <f aca="false">(Yield_Originals!$H232*Yield_Originals!S$1)/Yield_Originals!$K232</f>
        <v>1.31625</v>
      </c>
      <c r="T232" s="101" t="n">
        <f aca="false">(Yield_Originals!$I232*Yield_Originals!T$1)/Yield_Originals!$K232</f>
        <v>1.35</v>
      </c>
      <c r="U232" s="101" t="n">
        <f aca="false">(Yield_Originals!$I232*Yield_Originals!U$1)/Yield_Originals!$K232</f>
        <v>1.38375</v>
      </c>
      <c r="V232" s="101" t="n">
        <f aca="false">(Yield_Originals!$I232*Yield_Originals!V$1)/Yield_Originals!$K232</f>
        <v>1.4175</v>
      </c>
      <c r="W232" s="101" t="n">
        <f aca="false">(Yield_Originals!$I232*Yield_Originals!W$1)/Yield_Originals!$K232</f>
        <v>1.45125</v>
      </c>
      <c r="X232" s="102"/>
      <c r="Y232" s="102"/>
      <c r="Z232" s="102"/>
      <c r="AA232" s="102"/>
      <c r="AB232" s="102"/>
    </row>
    <row r="233" customFormat="false" ht="15" hidden="false" customHeight="false" outlineLevel="0" collapsed="false">
      <c r="A233" s="64" t="s">
        <v>1347</v>
      </c>
      <c r="B233" s="64" t="n">
        <v>2</v>
      </c>
      <c r="C233" s="93" t="s">
        <v>515</v>
      </c>
      <c r="D233" s="93" t="s">
        <v>1354</v>
      </c>
      <c r="E233" s="94" t="n">
        <v>23</v>
      </c>
      <c r="F233" s="105" t="n">
        <f aca="false">Yield_Originals!G233</f>
        <v>0.41</v>
      </c>
      <c r="G233" s="96" t="n">
        <v>0.41</v>
      </c>
      <c r="H233" s="96" t="n">
        <v>0.41</v>
      </c>
      <c r="I233" s="96" t="n">
        <v>0.41</v>
      </c>
      <c r="J233" s="96" t="n">
        <v>0.41</v>
      </c>
      <c r="K233" s="97" t="n">
        <v>1</v>
      </c>
      <c r="L233" s="98" t="n">
        <f aca="false">(Yield_Originals!$G233*Yield_Originals!L$1)/Yield_Originals!$K233</f>
        <v>0.492</v>
      </c>
      <c r="M233" s="98" t="n">
        <f aca="false">(Yield_Originals!$G233*Yield_Originals!M$1)/Yield_Originals!$K233</f>
        <v>0.507375</v>
      </c>
      <c r="N233" s="98" t="n">
        <f aca="false">(Yield_Originals!$G233*Yield_Originals!N$1)/Yield_Originals!$K233</f>
        <v>0.52275</v>
      </c>
      <c r="O233" s="98" t="n">
        <f aca="false">(Yield_Originals!$G233*Yield_Originals!O$1)/Yield_Originals!$K233</f>
        <v>0.538125</v>
      </c>
      <c r="P233" s="99" t="n">
        <f aca="false">(Yield_Originals!$H233*Yield_Originals!P$1)/Yield_Originals!$K233</f>
        <v>0.5535</v>
      </c>
      <c r="Q233" s="99" t="n">
        <f aca="false">(Yield_Originals!$H233*Yield_Originals!Q$1)/Yield_Originals!$K233</f>
        <v>0.568875</v>
      </c>
      <c r="R233" s="99" t="n">
        <f aca="false">(Yield_Originals!$H233*Yield_Originals!R$1)/Yield_Originals!$K233</f>
        <v>0.58425</v>
      </c>
      <c r="S233" s="99" t="n">
        <f aca="false">(Yield_Originals!$H233*Yield_Originals!S$1)/Yield_Originals!$K233</f>
        <v>0.599625</v>
      </c>
      <c r="T233" s="101" t="n">
        <f aca="false">(Yield_Originals!$I233*Yield_Originals!T$1)/Yield_Originals!$K233</f>
        <v>0.615</v>
      </c>
      <c r="U233" s="101" t="n">
        <f aca="false">(Yield_Originals!$I233*Yield_Originals!U$1)/Yield_Originals!$K233</f>
        <v>0.630375</v>
      </c>
      <c r="V233" s="101" t="n">
        <f aca="false">(Yield_Originals!$I233*Yield_Originals!V$1)/Yield_Originals!$K233</f>
        <v>0.64575</v>
      </c>
      <c r="W233" s="101" t="n">
        <f aca="false">(Yield_Originals!$I233*Yield_Originals!W$1)/Yield_Originals!$K233</f>
        <v>0.661125</v>
      </c>
      <c r="X233" s="102" t="n">
        <f aca="false">(Yield_Originals!$I233*Yield_Originals!X$1)/Yield_Originals!$K233</f>
        <v>0.6765</v>
      </c>
      <c r="Y233" s="102" t="n">
        <f aca="false">(Yield_Originals!$I233*Yield_Originals!Y$1)/Yield_Originals!$K233</f>
        <v>0.691875</v>
      </c>
      <c r="Z233" s="0"/>
      <c r="AA233" s="0"/>
      <c r="AB233" s="0"/>
    </row>
    <row r="234" customFormat="false" ht="15" hidden="false" customHeight="false" outlineLevel="0" collapsed="false">
      <c r="A234" s="64" t="s">
        <v>1347</v>
      </c>
      <c r="B234" s="64" t="n">
        <v>2</v>
      </c>
      <c r="C234" s="93" t="s">
        <v>343</v>
      </c>
      <c r="D234" s="93" t="s">
        <v>1354</v>
      </c>
      <c r="E234" s="94" t="n">
        <v>23</v>
      </c>
      <c r="F234" s="105" t="n">
        <f aca="false">Yield_Originals!G234</f>
        <v>0.41</v>
      </c>
      <c r="G234" s="96" t="n">
        <v>0.41</v>
      </c>
      <c r="H234" s="96" t="n">
        <v>0.41</v>
      </c>
      <c r="I234" s="96" t="n">
        <v>0.41</v>
      </c>
      <c r="J234" s="96" t="n">
        <v>0.41</v>
      </c>
      <c r="K234" s="97" t="n">
        <v>1</v>
      </c>
      <c r="L234" s="98" t="n">
        <f aca="false">(Yield_Originals!$G234*Yield_Originals!L$1)/Yield_Originals!$K234</f>
        <v>0.492</v>
      </c>
      <c r="M234" s="98" t="n">
        <f aca="false">(Yield_Originals!$G234*Yield_Originals!M$1)/Yield_Originals!$K234</f>
        <v>0.507375</v>
      </c>
      <c r="N234" s="98" t="n">
        <f aca="false">(Yield_Originals!$G234*Yield_Originals!N$1)/Yield_Originals!$K234</f>
        <v>0.52275</v>
      </c>
      <c r="O234" s="98" t="n">
        <f aca="false">(Yield_Originals!$G234*Yield_Originals!O$1)/Yield_Originals!$K234</f>
        <v>0.538125</v>
      </c>
      <c r="P234" s="99" t="n">
        <f aca="false">(Yield_Originals!$H234*Yield_Originals!P$1)/Yield_Originals!$K234</f>
        <v>0.5535</v>
      </c>
      <c r="Q234" s="99" t="n">
        <f aca="false">(Yield_Originals!$H234*Yield_Originals!Q$1)/Yield_Originals!$K234</f>
        <v>0.568875</v>
      </c>
      <c r="R234" s="99" t="n">
        <f aca="false">(Yield_Originals!$H234*Yield_Originals!R$1)/Yield_Originals!$K234</f>
        <v>0.58425</v>
      </c>
      <c r="S234" s="99" t="n">
        <f aca="false">(Yield_Originals!$H234*Yield_Originals!S$1)/Yield_Originals!$K234</f>
        <v>0.599625</v>
      </c>
      <c r="T234" s="101" t="n">
        <f aca="false">(Yield_Originals!$I234*Yield_Originals!T$1)/Yield_Originals!$K234</f>
        <v>0.615</v>
      </c>
      <c r="U234" s="101" t="n">
        <f aca="false">(Yield_Originals!$I234*Yield_Originals!U$1)/Yield_Originals!$K234</f>
        <v>0.630375</v>
      </c>
      <c r="V234" s="101" t="n">
        <f aca="false">(Yield_Originals!$I234*Yield_Originals!V$1)/Yield_Originals!$K234</f>
        <v>0.64575</v>
      </c>
      <c r="W234" s="101" t="n">
        <f aca="false">(Yield_Originals!$I234*Yield_Originals!W$1)/Yield_Originals!$K234</f>
        <v>0.661125</v>
      </c>
      <c r="X234" s="102" t="n">
        <f aca="false">(Yield_Originals!$I234*Yield_Originals!X$1)/Yield_Originals!$K234</f>
        <v>0.6765</v>
      </c>
      <c r="Y234" s="102" t="n">
        <f aca="false">(Yield_Originals!$I234*Yield_Originals!Y$1)/Yield_Originals!$K234</f>
        <v>0.691875</v>
      </c>
      <c r="Z234" s="0"/>
      <c r="AA234" s="0"/>
      <c r="AB234" s="0"/>
    </row>
    <row r="235" customFormat="false" ht="15" hidden="false" customHeight="false" outlineLevel="0" collapsed="false">
      <c r="A235" s="64" t="s">
        <v>1347</v>
      </c>
      <c r="B235" s="64" t="n">
        <v>2</v>
      </c>
      <c r="C235" s="93" t="s">
        <v>135</v>
      </c>
      <c r="D235" s="93" t="s">
        <v>1346</v>
      </c>
      <c r="E235" s="94" t="n">
        <v>23</v>
      </c>
      <c r="F235" s="105" t="n">
        <f aca="false">Yield_Originals!G235</f>
        <v>0.41</v>
      </c>
      <c r="G235" s="96" t="n">
        <v>0.41</v>
      </c>
      <c r="H235" s="96" t="n">
        <v>0.41</v>
      </c>
      <c r="I235" s="96" t="n">
        <v>0.41</v>
      </c>
      <c r="J235" s="96" t="n">
        <v>0.41</v>
      </c>
      <c r="K235" s="97" t="n">
        <v>1</v>
      </c>
      <c r="L235" s="98" t="n">
        <f aca="false">(Yield_Originals!$G235*Yield_Originals!L$1)/Yield_Originals!$K235</f>
        <v>0.492</v>
      </c>
      <c r="M235" s="98" t="n">
        <f aca="false">(Yield_Originals!$G235*Yield_Originals!M$1)/Yield_Originals!$K235</f>
        <v>0.507375</v>
      </c>
      <c r="N235" s="98" t="n">
        <f aca="false">(Yield_Originals!$G235*Yield_Originals!N$1)/Yield_Originals!$K235</f>
        <v>0.52275</v>
      </c>
      <c r="O235" s="98" t="n">
        <f aca="false">(Yield_Originals!$G235*Yield_Originals!O$1)/Yield_Originals!$K235</f>
        <v>0.538125</v>
      </c>
      <c r="P235" s="99" t="n">
        <f aca="false">(Yield_Originals!$H235*Yield_Originals!P$1)/Yield_Originals!$K235</f>
        <v>0.5535</v>
      </c>
      <c r="Q235" s="99" t="n">
        <f aca="false">(Yield_Originals!$H235*Yield_Originals!Q$1)/Yield_Originals!$K235</f>
        <v>0.568875</v>
      </c>
      <c r="R235" s="99" t="n">
        <f aca="false">(Yield_Originals!$H235*Yield_Originals!R$1)/Yield_Originals!$K235</f>
        <v>0.58425</v>
      </c>
      <c r="S235" s="99" t="n">
        <f aca="false">(Yield_Originals!$H235*Yield_Originals!S$1)/Yield_Originals!$K235</f>
        <v>0.599625</v>
      </c>
      <c r="T235" s="101" t="n">
        <f aca="false">(Yield_Originals!$I235*Yield_Originals!T$1)/Yield_Originals!$K235</f>
        <v>0.615</v>
      </c>
      <c r="U235" s="101" t="n">
        <f aca="false">(Yield_Originals!$I235*Yield_Originals!U$1)/Yield_Originals!$K235</f>
        <v>0.630375</v>
      </c>
      <c r="V235" s="101" t="n">
        <f aca="false">(Yield_Originals!$I235*Yield_Originals!V$1)/Yield_Originals!$K235</f>
        <v>0.64575</v>
      </c>
      <c r="W235" s="101" t="n">
        <f aca="false">(Yield_Originals!$I235*Yield_Originals!W$1)/Yield_Originals!$K235</f>
        <v>0.661125</v>
      </c>
      <c r="X235" s="102" t="n">
        <f aca="false">(Yield_Originals!$I235*Yield_Originals!X$1)/Yield_Originals!$K235</f>
        <v>0.6765</v>
      </c>
      <c r="Y235" s="102" t="n">
        <f aca="false">(Yield_Originals!$I235*Yield_Originals!Y$1)/Yield_Originals!$K235</f>
        <v>0.691875</v>
      </c>
      <c r="Z235" s="0"/>
      <c r="AA235" s="0"/>
      <c r="AB235" s="0"/>
    </row>
    <row r="236" customFormat="false" ht="15" hidden="false" customHeight="false" outlineLevel="0" collapsed="false">
      <c r="A236" s="64" t="s">
        <v>1347</v>
      </c>
      <c r="B236" s="64" t="n">
        <v>2</v>
      </c>
      <c r="C236" s="93" t="s">
        <v>257</v>
      </c>
      <c r="D236" s="93" t="s">
        <v>1346</v>
      </c>
      <c r="E236" s="94" t="n">
        <v>23</v>
      </c>
      <c r="F236" s="105" t="n">
        <f aca="false">Yield_Originals!G236</f>
        <v>0.41</v>
      </c>
      <c r="G236" s="96" t="n">
        <v>0.41</v>
      </c>
      <c r="H236" s="96" t="n">
        <v>0.41</v>
      </c>
      <c r="I236" s="96" t="n">
        <v>0.41</v>
      </c>
      <c r="J236" s="96" t="n">
        <v>0.41</v>
      </c>
      <c r="K236" s="97" t="n">
        <v>1</v>
      </c>
      <c r="L236" s="98" t="n">
        <f aca="false">(Yield_Originals!$G236*Yield_Originals!L$1)/Yield_Originals!$K236</f>
        <v>0.492</v>
      </c>
      <c r="M236" s="98" t="n">
        <f aca="false">(Yield_Originals!$G236*Yield_Originals!M$1)/Yield_Originals!$K236</f>
        <v>0.507375</v>
      </c>
      <c r="N236" s="98" t="n">
        <f aca="false">(Yield_Originals!$G236*Yield_Originals!N$1)/Yield_Originals!$K236</f>
        <v>0.52275</v>
      </c>
      <c r="O236" s="98" t="n">
        <f aca="false">(Yield_Originals!$G236*Yield_Originals!O$1)/Yield_Originals!$K236</f>
        <v>0.538125</v>
      </c>
      <c r="P236" s="99" t="n">
        <f aca="false">(Yield_Originals!$H236*Yield_Originals!P$1)/Yield_Originals!$K236</f>
        <v>0.5535</v>
      </c>
      <c r="Q236" s="99" t="n">
        <f aca="false">(Yield_Originals!$H236*Yield_Originals!Q$1)/Yield_Originals!$K236</f>
        <v>0.568875</v>
      </c>
      <c r="R236" s="99" t="n">
        <f aca="false">(Yield_Originals!$H236*Yield_Originals!R$1)/Yield_Originals!$K236</f>
        <v>0.58425</v>
      </c>
      <c r="S236" s="99" t="n">
        <f aca="false">(Yield_Originals!$H236*Yield_Originals!S$1)/Yield_Originals!$K236</f>
        <v>0.599625</v>
      </c>
      <c r="T236" s="101" t="n">
        <f aca="false">(Yield_Originals!$I236*Yield_Originals!T$1)/Yield_Originals!$K236</f>
        <v>0.615</v>
      </c>
      <c r="U236" s="101" t="n">
        <f aca="false">(Yield_Originals!$I236*Yield_Originals!U$1)/Yield_Originals!$K236</f>
        <v>0.630375</v>
      </c>
      <c r="V236" s="101" t="n">
        <f aca="false">(Yield_Originals!$I236*Yield_Originals!V$1)/Yield_Originals!$K236</f>
        <v>0.64575</v>
      </c>
      <c r="W236" s="101" t="n">
        <f aca="false">(Yield_Originals!$I236*Yield_Originals!W$1)/Yield_Originals!$K236</f>
        <v>0.661125</v>
      </c>
      <c r="X236" s="102" t="n">
        <f aca="false">(Yield_Originals!$I236*Yield_Originals!X$1)/Yield_Originals!$K236</f>
        <v>0.6765</v>
      </c>
      <c r="Y236" s="102" t="n">
        <f aca="false">(Yield_Originals!$I236*Yield_Originals!Y$1)/Yield_Originals!$K236</f>
        <v>0.691875</v>
      </c>
      <c r="Z236" s="0"/>
      <c r="AA236" s="0"/>
      <c r="AB236" s="0"/>
    </row>
    <row r="237" customFormat="false" ht="15" hidden="false" customHeight="false" outlineLevel="0" collapsed="false">
      <c r="A237" s="64" t="s">
        <v>1347</v>
      </c>
      <c r="B237" s="64" t="n">
        <v>2</v>
      </c>
      <c r="C237" s="93" t="s">
        <v>1173</v>
      </c>
      <c r="D237" s="93" t="s">
        <v>1351</v>
      </c>
      <c r="E237" s="94" t="n">
        <v>23</v>
      </c>
      <c r="F237" s="105" t="n">
        <f aca="false">Yield_Originals!G237</f>
        <v>0.41</v>
      </c>
      <c r="G237" s="96" t="n">
        <v>0.41</v>
      </c>
      <c r="H237" s="96" t="n">
        <v>0.41</v>
      </c>
      <c r="I237" s="96" t="n">
        <v>0.41</v>
      </c>
      <c r="J237" s="96" t="n">
        <v>0.41</v>
      </c>
      <c r="K237" s="97" t="n">
        <v>1</v>
      </c>
      <c r="L237" s="98" t="n">
        <f aca="false">(Yield_Originals!$G237*Yield_Originals!L$1)/Yield_Originals!$K237</f>
        <v>0.492</v>
      </c>
      <c r="M237" s="98" t="n">
        <f aca="false">(Yield_Originals!$G237*Yield_Originals!M$1)/Yield_Originals!$K237</f>
        <v>0.507375</v>
      </c>
      <c r="N237" s="98" t="n">
        <f aca="false">(Yield_Originals!$G237*Yield_Originals!N$1)/Yield_Originals!$K237</f>
        <v>0.52275</v>
      </c>
      <c r="O237" s="98" t="n">
        <f aca="false">(Yield_Originals!$G237*Yield_Originals!O$1)/Yield_Originals!$K237</f>
        <v>0.538125</v>
      </c>
      <c r="P237" s="99" t="n">
        <f aca="false">(Yield_Originals!$H237*Yield_Originals!P$1)/Yield_Originals!$K237</f>
        <v>0.5535</v>
      </c>
      <c r="Q237" s="99" t="n">
        <f aca="false">(Yield_Originals!$H237*Yield_Originals!Q$1)/Yield_Originals!$K237</f>
        <v>0.568875</v>
      </c>
      <c r="R237" s="99" t="n">
        <f aca="false">(Yield_Originals!$H237*Yield_Originals!R$1)/Yield_Originals!$K237</f>
        <v>0.58425</v>
      </c>
      <c r="S237" s="99" t="n">
        <f aca="false">(Yield_Originals!$H237*Yield_Originals!S$1)/Yield_Originals!$K237</f>
        <v>0.599625</v>
      </c>
      <c r="T237" s="101" t="n">
        <f aca="false">(Yield_Originals!$I237*Yield_Originals!T$1)/Yield_Originals!$K237</f>
        <v>0.615</v>
      </c>
      <c r="U237" s="101" t="n">
        <f aca="false">(Yield_Originals!$I237*Yield_Originals!U$1)/Yield_Originals!$K237</f>
        <v>0.630375</v>
      </c>
      <c r="V237" s="101" t="n">
        <f aca="false">(Yield_Originals!$I237*Yield_Originals!V$1)/Yield_Originals!$K237</f>
        <v>0.64575</v>
      </c>
      <c r="W237" s="101" t="n">
        <f aca="false">(Yield_Originals!$I237*Yield_Originals!W$1)/Yield_Originals!$K237</f>
        <v>0.661125</v>
      </c>
      <c r="X237" s="102" t="n">
        <f aca="false">(Yield_Originals!$I237*Yield_Originals!X$1)/Yield_Originals!$K237</f>
        <v>0.6765</v>
      </c>
      <c r="Y237" s="102" t="n">
        <f aca="false">(Yield_Originals!$I237*Yield_Originals!Y$1)/Yield_Originals!$K237</f>
        <v>0.691875</v>
      </c>
      <c r="Z237" s="0"/>
      <c r="AA237" s="0"/>
      <c r="AB237" s="0"/>
    </row>
    <row r="238" customFormat="false" ht="15" hidden="false" customHeight="false" outlineLevel="0" collapsed="false">
      <c r="A238" s="64" t="s">
        <v>1207</v>
      </c>
      <c r="B238" s="64" t="s">
        <v>1461</v>
      </c>
      <c r="C238" s="0" t="s">
        <v>1175</v>
      </c>
      <c r="D238" s="0" t="s">
        <v>1211</v>
      </c>
      <c r="E238" s="64" t="n">
        <v>3</v>
      </c>
      <c r="F238" s="105" t="n">
        <f aca="false">Yield_Originals!G238</f>
        <v>0.9</v>
      </c>
      <c r="G238" s="106" t="n">
        <v>0.9</v>
      </c>
      <c r="H238" s="106" t="n">
        <v>0.9</v>
      </c>
      <c r="I238" s="106" t="n">
        <v>0.9</v>
      </c>
      <c r="J238" s="106" t="n">
        <v>0.9</v>
      </c>
      <c r="K238" s="97" t="n">
        <v>1</v>
      </c>
      <c r="L238" s="98" t="n">
        <f aca="false">(Yield_Originals!$G238*Yield_Originals!L$1)/Yield_Originals!$K238</f>
        <v>1.08</v>
      </c>
      <c r="M238" s="98" t="n">
        <f aca="false">(Yield_Originals!$G238*Yield_Originals!M$1)/Yield_Originals!$K238</f>
        <v>1.11375</v>
      </c>
      <c r="N238" s="98" t="n">
        <f aca="false">(Yield_Originals!$G238*Yield_Originals!N$1)/Yield_Originals!$K238</f>
        <v>1.1475</v>
      </c>
      <c r="O238" s="98" t="n">
        <f aca="false">(Yield_Originals!$G238*Yield_Originals!O$1)/Yield_Originals!$K238</f>
        <v>1.18125</v>
      </c>
      <c r="P238" s="99" t="n">
        <f aca="false">(Yield_Originals!$H238*Yield_Originals!P$1)/Yield_Originals!$K238</f>
        <v>1.215</v>
      </c>
      <c r="Q238" s="99" t="n">
        <f aca="false">(Yield_Originals!$H238*Yield_Originals!Q$1)/Yield_Originals!$K238</f>
        <v>1.24875</v>
      </c>
      <c r="R238" s="99" t="n">
        <f aca="false">(Yield_Originals!$H238*Yield_Originals!R$1)/Yield_Originals!$K238</f>
        <v>1.2825</v>
      </c>
      <c r="S238" s="99" t="n">
        <f aca="false">(Yield_Originals!$H238*Yield_Originals!S$1)/Yield_Originals!$K238</f>
        <v>1.31625</v>
      </c>
      <c r="T238" s="101" t="n">
        <f aca="false">(Yield_Originals!$I238*Yield_Originals!T$1)/Yield_Originals!$K238</f>
        <v>1.35</v>
      </c>
      <c r="U238" s="101" t="n">
        <f aca="false">(Yield_Originals!$I238*Yield_Originals!U$1)/Yield_Originals!$K238</f>
        <v>1.38375</v>
      </c>
      <c r="V238" s="101" t="n">
        <f aca="false">(Yield_Originals!$I238*Yield_Originals!V$1)/Yield_Originals!$K238</f>
        <v>1.4175</v>
      </c>
      <c r="W238" s="101" t="n">
        <f aca="false">(Yield_Originals!$I238*Yield_Originals!W$1)/Yield_Originals!$K238</f>
        <v>1.45125</v>
      </c>
      <c r="X238" s="0"/>
      <c r="Y238" s="0"/>
      <c r="Z238" s="0"/>
      <c r="AA238" s="0"/>
      <c r="AB238" s="0"/>
    </row>
    <row r="239" customFormat="false" ht="15" hidden="false" customHeight="false" outlineLevel="0" collapsed="false">
      <c r="A239" s="64" t="s">
        <v>1207</v>
      </c>
      <c r="B239" s="64" t="s">
        <v>1460</v>
      </c>
      <c r="C239" s="0" t="s">
        <v>136</v>
      </c>
      <c r="D239" s="0" t="s">
        <v>1206</v>
      </c>
      <c r="E239" s="64" t="n">
        <v>3</v>
      </c>
      <c r="F239" s="105" t="n">
        <f aca="false">Yield_Originals!G239</f>
        <v>0.9</v>
      </c>
      <c r="G239" s="106" t="n">
        <v>0.9</v>
      </c>
      <c r="H239" s="106" t="n">
        <v>0.9</v>
      </c>
      <c r="I239" s="106" t="n">
        <v>0.9</v>
      </c>
      <c r="J239" s="106" t="n">
        <v>0.9</v>
      </c>
      <c r="K239" s="97" t="n">
        <v>1</v>
      </c>
      <c r="L239" s="98" t="n">
        <f aca="false">(Yield_Originals!$G239*Yield_Originals!L$1)/Yield_Originals!$K239</f>
        <v>1.08</v>
      </c>
      <c r="M239" s="98" t="n">
        <f aca="false">(Yield_Originals!$G239*Yield_Originals!M$1)/Yield_Originals!$K239</f>
        <v>1.11375</v>
      </c>
      <c r="N239" s="98" t="n">
        <f aca="false">(Yield_Originals!$G239*Yield_Originals!N$1)/Yield_Originals!$K239</f>
        <v>1.1475</v>
      </c>
      <c r="O239" s="98" t="n">
        <f aca="false">(Yield_Originals!$G239*Yield_Originals!O$1)/Yield_Originals!$K239</f>
        <v>1.18125</v>
      </c>
      <c r="P239" s="99" t="n">
        <f aca="false">(Yield_Originals!$H239*Yield_Originals!P$1)/Yield_Originals!$K239</f>
        <v>1.215</v>
      </c>
      <c r="Q239" s="99" t="n">
        <f aca="false">(Yield_Originals!$H239*Yield_Originals!Q$1)/Yield_Originals!$K239</f>
        <v>1.24875</v>
      </c>
      <c r="R239" s="99" t="n">
        <f aca="false">(Yield_Originals!$H239*Yield_Originals!R$1)/Yield_Originals!$K239</f>
        <v>1.2825</v>
      </c>
      <c r="S239" s="99" t="n">
        <f aca="false">(Yield_Originals!$H239*Yield_Originals!S$1)/Yield_Originals!$K239</f>
        <v>1.31625</v>
      </c>
      <c r="T239" s="101" t="n">
        <f aca="false">(Yield_Originals!$I239*Yield_Originals!T$1)/Yield_Originals!$K239</f>
        <v>1.35</v>
      </c>
      <c r="U239" s="101" t="n">
        <f aca="false">(Yield_Originals!$I239*Yield_Originals!U$1)/Yield_Originals!$K239</f>
        <v>1.38375</v>
      </c>
      <c r="V239" s="101" t="n">
        <f aca="false">(Yield_Originals!$I239*Yield_Originals!V$1)/Yield_Originals!$K239</f>
        <v>1.4175</v>
      </c>
      <c r="W239" s="101" t="n">
        <f aca="false">(Yield_Originals!$I239*Yield_Originals!W$1)/Yield_Originals!$K239</f>
        <v>1.45125</v>
      </c>
      <c r="X239" s="0"/>
      <c r="Y239" s="0"/>
      <c r="Z239" s="0"/>
      <c r="AA239" s="0"/>
      <c r="AB239" s="0"/>
    </row>
    <row r="240" customFormat="false" ht="15" hidden="false" customHeight="false" outlineLevel="0" collapsed="false">
      <c r="A240" s="64" t="s">
        <v>1207</v>
      </c>
      <c r="B240" s="64" t="s">
        <v>1460</v>
      </c>
      <c r="C240" s="0" t="s">
        <v>137</v>
      </c>
      <c r="D240" s="0" t="s">
        <v>1206</v>
      </c>
      <c r="E240" s="64" t="n">
        <v>3</v>
      </c>
      <c r="F240" s="105" t="n">
        <f aca="false">Yield_Originals!G240</f>
        <v>0.9</v>
      </c>
      <c r="G240" s="106" t="n">
        <v>0.9</v>
      </c>
      <c r="H240" s="106" t="n">
        <v>0.9</v>
      </c>
      <c r="I240" s="106" t="n">
        <v>0.9</v>
      </c>
      <c r="J240" s="106" t="n">
        <v>0.9</v>
      </c>
      <c r="K240" s="97" t="n">
        <v>1</v>
      </c>
      <c r="L240" s="98" t="n">
        <f aca="false">(Yield_Originals!$G240*Yield_Originals!L$1)/Yield_Originals!$K240</f>
        <v>1.08</v>
      </c>
      <c r="M240" s="98" t="n">
        <f aca="false">(Yield_Originals!$G240*Yield_Originals!M$1)/Yield_Originals!$K240</f>
        <v>1.11375</v>
      </c>
      <c r="N240" s="98" t="n">
        <f aca="false">(Yield_Originals!$G240*Yield_Originals!N$1)/Yield_Originals!$K240</f>
        <v>1.1475</v>
      </c>
      <c r="O240" s="98" t="n">
        <f aca="false">(Yield_Originals!$G240*Yield_Originals!O$1)/Yield_Originals!$K240</f>
        <v>1.18125</v>
      </c>
      <c r="P240" s="99" t="n">
        <f aca="false">(Yield_Originals!$H240*Yield_Originals!P$1)/Yield_Originals!$K240</f>
        <v>1.215</v>
      </c>
      <c r="Q240" s="99" t="n">
        <f aca="false">(Yield_Originals!$H240*Yield_Originals!Q$1)/Yield_Originals!$K240</f>
        <v>1.24875</v>
      </c>
      <c r="R240" s="99" t="n">
        <f aca="false">(Yield_Originals!$H240*Yield_Originals!R$1)/Yield_Originals!$K240</f>
        <v>1.2825</v>
      </c>
      <c r="S240" s="99" t="n">
        <f aca="false">(Yield_Originals!$H240*Yield_Originals!S$1)/Yield_Originals!$K240</f>
        <v>1.31625</v>
      </c>
      <c r="T240" s="101" t="n">
        <f aca="false">(Yield_Originals!$I240*Yield_Originals!T$1)/Yield_Originals!$K240</f>
        <v>1.35</v>
      </c>
      <c r="U240" s="101" t="n">
        <f aca="false">(Yield_Originals!$I240*Yield_Originals!U$1)/Yield_Originals!$K240</f>
        <v>1.38375</v>
      </c>
      <c r="V240" s="101" t="n">
        <f aca="false">(Yield_Originals!$I240*Yield_Originals!V$1)/Yield_Originals!$K240</f>
        <v>1.4175</v>
      </c>
      <c r="W240" s="101" t="n">
        <f aca="false">(Yield_Originals!$I240*Yield_Originals!W$1)/Yield_Originals!$K240</f>
        <v>1.45125</v>
      </c>
      <c r="X240" s="0"/>
      <c r="Y240" s="0"/>
      <c r="Z240" s="0"/>
      <c r="AA240" s="0"/>
      <c r="AB240" s="0"/>
    </row>
    <row r="241" customFormat="false" ht="15" hidden="false" customHeight="false" outlineLevel="0" collapsed="false">
      <c r="A241" s="64" t="s">
        <v>1207</v>
      </c>
      <c r="B241" s="64" t="s">
        <v>1460</v>
      </c>
      <c r="C241" s="0" t="s">
        <v>258</v>
      </c>
      <c r="D241" s="0" t="s">
        <v>1206</v>
      </c>
      <c r="E241" s="64" t="n">
        <v>3</v>
      </c>
      <c r="F241" s="105" t="n">
        <f aca="false">Yield_Originals!G241</f>
        <v>0.9</v>
      </c>
      <c r="G241" s="106" t="n">
        <v>0.9</v>
      </c>
      <c r="H241" s="106" t="n">
        <v>0.9</v>
      </c>
      <c r="I241" s="106" t="n">
        <v>0.9</v>
      </c>
      <c r="J241" s="106" t="n">
        <v>0.9</v>
      </c>
      <c r="K241" s="97" t="n">
        <v>1</v>
      </c>
      <c r="L241" s="98" t="n">
        <f aca="false">(Yield_Originals!$G241*Yield_Originals!L$1)/Yield_Originals!$K241</f>
        <v>1.08</v>
      </c>
      <c r="M241" s="98" t="n">
        <f aca="false">(Yield_Originals!$G241*Yield_Originals!M$1)/Yield_Originals!$K241</f>
        <v>1.11375</v>
      </c>
      <c r="N241" s="98" t="n">
        <f aca="false">(Yield_Originals!$G241*Yield_Originals!N$1)/Yield_Originals!$K241</f>
        <v>1.1475</v>
      </c>
      <c r="O241" s="98" t="n">
        <f aca="false">(Yield_Originals!$G241*Yield_Originals!O$1)/Yield_Originals!$K241</f>
        <v>1.18125</v>
      </c>
      <c r="P241" s="99" t="n">
        <f aca="false">(Yield_Originals!$H241*Yield_Originals!P$1)/Yield_Originals!$K241</f>
        <v>1.215</v>
      </c>
      <c r="Q241" s="99" t="n">
        <f aca="false">(Yield_Originals!$H241*Yield_Originals!Q$1)/Yield_Originals!$K241</f>
        <v>1.24875</v>
      </c>
      <c r="R241" s="99" t="n">
        <f aca="false">(Yield_Originals!$H241*Yield_Originals!R$1)/Yield_Originals!$K241</f>
        <v>1.2825</v>
      </c>
      <c r="S241" s="99" t="n">
        <f aca="false">(Yield_Originals!$H241*Yield_Originals!S$1)/Yield_Originals!$K241</f>
        <v>1.31625</v>
      </c>
      <c r="T241" s="101" t="n">
        <f aca="false">(Yield_Originals!$I241*Yield_Originals!T$1)/Yield_Originals!$K241</f>
        <v>1.35</v>
      </c>
      <c r="U241" s="101" t="n">
        <f aca="false">(Yield_Originals!$I241*Yield_Originals!U$1)/Yield_Originals!$K241</f>
        <v>1.38375</v>
      </c>
      <c r="V241" s="101" t="n">
        <f aca="false">(Yield_Originals!$I241*Yield_Originals!V$1)/Yield_Originals!$K241</f>
        <v>1.4175</v>
      </c>
      <c r="W241" s="101" t="n">
        <f aca="false">(Yield_Originals!$I241*Yield_Originals!W$1)/Yield_Originals!$K241</f>
        <v>1.45125</v>
      </c>
      <c r="X241" s="0"/>
      <c r="Y241" s="0"/>
      <c r="Z241" s="0"/>
      <c r="AA241" s="0"/>
      <c r="AB241" s="0"/>
    </row>
    <row r="242" customFormat="false" ht="15" hidden="false" customHeight="false" outlineLevel="0" collapsed="false">
      <c r="A242" s="64" t="s">
        <v>1207</v>
      </c>
      <c r="B242" s="64" t="s">
        <v>1460</v>
      </c>
      <c r="C242" s="0" t="s">
        <v>342</v>
      </c>
      <c r="D242" s="0" t="s">
        <v>1206</v>
      </c>
      <c r="E242" s="64" t="n">
        <v>3</v>
      </c>
      <c r="F242" s="105" t="n">
        <f aca="false">Yield_Originals!G242</f>
        <v>0.9</v>
      </c>
      <c r="G242" s="106" t="n">
        <v>0.9</v>
      </c>
      <c r="H242" s="106" t="n">
        <v>0.9</v>
      </c>
      <c r="I242" s="106" t="n">
        <v>0.9</v>
      </c>
      <c r="J242" s="106" t="n">
        <v>0.9</v>
      </c>
      <c r="K242" s="97" t="n">
        <v>1</v>
      </c>
      <c r="L242" s="98" t="n">
        <f aca="false">(Yield_Originals!$G242*Yield_Originals!L$1)/Yield_Originals!$K242</f>
        <v>1.08</v>
      </c>
      <c r="M242" s="98" t="n">
        <f aca="false">(Yield_Originals!$G242*Yield_Originals!M$1)/Yield_Originals!$K242</f>
        <v>1.11375</v>
      </c>
      <c r="N242" s="98" t="n">
        <f aca="false">(Yield_Originals!$G242*Yield_Originals!N$1)/Yield_Originals!$K242</f>
        <v>1.1475</v>
      </c>
      <c r="O242" s="98" t="n">
        <f aca="false">(Yield_Originals!$G242*Yield_Originals!O$1)/Yield_Originals!$K242</f>
        <v>1.18125</v>
      </c>
      <c r="P242" s="99" t="n">
        <f aca="false">(Yield_Originals!$H242*Yield_Originals!P$1)/Yield_Originals!$K242</f>
        <v>1.215</v>
      </c>
      <c r="Q242" s="99" t="n">
        <f aca="false">(Yield_Originals!$H242*Yield_Originals!Q$1)/Yield_Originals!$K242</f>
        <v>1.24875</v>
      </c>
      <c r="R242" s="99" t="n">
        <f aca="false">(Yield_Originals!$H242*Yield_Originals!R$1)/Yield_Originals!$K242</f>
        <v>1.2825</v>
      </c>
      <c r="S242" s="99" t="n">
        <f aca="false">(Yield_Originals!$H242*Yield_Originals!S$1)/Yield_Originals!$K242</f>
        <v>1.31625</v>
      </c>
      <c r="T242" s="101" t="n">
        <f aca="false">(Yield_Originals!$I242*Yield_Originals!T$1)/Yield_Originals!$K242</f>
        <v>1.35</v>
      </c>
      <c r="U242" s="101" t="n">
        <f aca="false">(Yield_Originals!$I242*Yield_Originals!U$1)/Yield_Originals!$K242</f>
        <v>1.38375</v>
      </c>
      <c r="V242" s="101" t="n">
        <f aca="false">(Yield_Originals!$I242*Yield_Originals!V$1)/Yield_Originals!$K242</f>
        <v>1.4175</v>
      </c>
      <c r="W242" s="101" t="n">
        <f aca="false">(Yield_Originals!$I242*Yield_Originals!W$1)/Yield_Originals!$K242</f>
        <v>1.45125</v>
      </c>
      <c r="X242" s="0"/>
      <c r="Y242" s="0"/>
      <c r="Z242" s="0"/>
      <c r="AA242" s="0"/>
      <c r="AB242" s="0"/>
    </row>
    <row r="243" customFormat="false" ht="15" hidden="false" customHeight="false" outlineLevel="0" collapsed="false">
      <c r="A243" s="64" t="s">
        <v>1207</v>
      </c>
      <c r="B243" s="64" t="s">
        <v>1460</v>
      </c>
      <c r="C243" s="0" t="s">
        <v>1188</v>
      </c>
      <c r="D243" s="0" t="s">
        <v>1206</v>
      </c>
      <c r="E243" s="64" t="n">
        <v>3</v>
      </c>
      <c r="F243" s="105" t="n">
        <f aca="false">Yield_Originals!G243</f>
        <v>0.9</v>
      </c>
      <c r="G243" s="106" t="n">
        <v>0.9</v>
      </c>
      <c r="H243" s="106" t="n">
        <v>0.9</v>
      </c>
      <c r="I243" s="106" t="n">
        <v>0.9</v>
      </c>
      <c r="J243" s="106" t="n">
        <v>0.9</v>
      </c>
      <c r="K243" s="97" t="n">
        <v>1</v>
      </c>
      <c r="L243" s="98" t="n">
        <f aca="false">(Yield_Originals!$G243*Yield_Originals!L$1)/Yield_Originals!$K243</f>
        <v>1.08</v>
      </c>
      <c r="M243" s="98" t="n">
        <f aca="false">(Yield_Originals!$G243*Yield_Originals!M$1)/Yield_Originals!$K243</f>
        <v>1.11375</v>
      </c>
      <c r="N243" s="98" t="n">
        <f aca="false">(Yield_Originals!$G243*Yield_Originals!N$1)/Yield_Originals!$K243</f>
        <v>1.1475</v>
      </c>
      <c r="O243" s="98" t="n">
        <f aca="false">(Yield_Originals!$G243*Yield_Originals!O$1)/Yield_Originals!$K243</f>
        <v>1.18125</v>
      </c>
      <c r="P243" s="99" t="n">
        <f aca="false">(Yield_Originals!$H243*Yield_Originals!P$1)/Yield_Originals!$K243</f>
        <v>1.215</v>
      </c>
      <c r="Q243" s="99" t="n">
        <f aca="false">(Yield_Originals!$H243*Yield_Originals!Q$1)/Yield_Originals!$K243</f>
        <v>1.24875</v>
      </c>
      <c r="R243" s="99" t="n">
        <f aca="false">(Yield_Originals!$H243*Yield_Originals!R$1)/Yield_Originals!$K243</f>
        <v>1.2825</v>
      </c>
      <c r="S243" s="99" t="n">
        <f aca="false">(Yield_Originals!$H243*Yield_Originals!S$1)/Yield_Originals!$K243</f>
        <v>1.31625</v>
      </c>
      <c r="T243" s="101" t="n">
        <f aca="false">(Yield_Originals!$I243*Yield_Originals!T$1)/Yield_Originals!$K243</f>
        <v>1.35</v>
      </c>
      <c r="U243" s="101" t="n">
        <f aca="false">(Yield_Originals!$I243*Yield_Originals!U$1)/Yield_Originals!$K243</f>
        <v>1.38375</v>
      </c>
      <c r="V243" s="101" t="n">
        <f aca="false">(Yield_Originals!$I243*Yield_Originals!V$1)/Yield_Originals!$K243</f>
        <v>1.4175</v>
      </c>
      <c r="W243" s="101" t="n">
        <f aca="false">(Yield_Originals!$I243*Yield_Originals!W$1)/Yield_Originals!$K243</f>
        <v>1.45125</v>
      </c>
      <c r="X243" s="0"/>
      <c r="Y243" s="0"/>
      <c r="Z243" s="0"/>
      <c r="AA243" s="0"/>
      <c r="AB243" s="0"/>
    </row>
    <row r="244" customFormat="false" ht="15" hidden="false" customHeight="false" outlineLevel="0" collapsed="false">
      <c r="A244" s="64" t="s">
        <v>1113</v>
      </c>
      <c r="B244" s="64" t="n">
        <v>3</v>
      </c>
      <c r="C244" s="93" t="s">
        <v>138</v>
      </c>
      <c r="D244" s="93" t="s">
        <v>1236</v>
      </c>
      <c r="E244" s="94" t="n">
        <v>26</v>
      </c>
      <c r="F244" s="105" t="n">
        <f aca="false">Yield_Originals!G244</f>
        <v>0.148112988969661</v>
      </c>
      <c r="G244" s="96" t="n">
        <v>0.148112988969661</v>
      </c>
      <c r="H244" s="96" t="n">
        <v>0.148112988969661</v>
      </c>
      <c r="I244" s="96" t="n">
        <f aca="false">+(Yield_Originals!H244+Yield_Originals!J244)/2</f>
        <v>0.154056494484831</v>
      </c>
      <c r="J244" s="96" t="n">
        <v>0.16</v>
      </c>
      <c r="K244" s="97" t="n">
        <v>2</v>
      </c>
      <c r="L244" s="98" t="n">
        <f aca="false">(Yield_Originals!$G244*Yield_Originals!L$1)/Yield_Originals!$K244</f>
        <v>0.0888677933817966</v>
      </c>
      <c r="M244" s="98" t="n">
        <f aca="false">(Yield_Originals!$G244*Yield_Originals!M$1)/Yield_Originals!$K244</f>
        <v>0.0916449119249778</v>
      </c>
      <c r="N244" s="98" t="n">
        <f aca="false">(Yield_Originals!$G244*Yield_Originals!N$1)/Yield_Originals!$K244</f>
        <v>0.0944220304681589</v>
      </c>
      <c r="O244" s="98" t="n">
        <f aca="false">(Yield_Originals!$G244*Yield_Originals!O$1)/Yield_Originals!$K244</f>
        <v>0.0971991490113401</v>
      </c>
      <c r="P244" s="99" t="n">
        <f aca="false">(Yield_Originals!$H244*Yield_Originals!P$1)/Yield_Originals!$K244</f>
        <v>0.0999762675545212</v>
      </c>
      <c r="Q244" s="99" t="n">
        <f aca="false">(Yield_Originals!$H244*Yield_Originals!Q$1)/Yield_Originals!$K244</f>
        <v>0.102753386097702</v>
      </c>
      <c r="R244" s="99" t="n">
        <f aca="false">(Yield_Originals!$H244*Yield_Originals!R$1)/Yield_Originals!$K244</f>
        <v>0.105530504640884</v>
      </c>
      <c r="S244" s="99" t="n">
        <f aca="false">(Yield_Originals!$H244*Yield_Originals!S$1)/Yield_Originals!$K244</f>
        <v>0.108307623184065</v>
      </c>
      <c r="T244" s="101"/>
      <c r="U244" s="101"/>
      <c r="V244" s="101"/>
      <c r="W244" s="101"/>
      <c r="X244" s="102"/>
      <c r="Y244" s="102"/>
      <c r="Z244" s="0"/>
      <c r="AA244" s="0"/>
      <c r="AB244" s="0"/>
    </row>
    <row r="245" customFormat="false" ht="15" hidden="false" customHeight="false" outlineLevel="0" collapsed="false">
      <c r="A245" s="64" t="s">
        <v>1113</v>
      </c>
      <c r="B245" s="64" t="n">
        <v>3</v>
      </c>
      <c r="C245" s="93" t="s">
        <v>138</v>
      </c>
      <c r="D245" s="93" t="s">
        <v>1236</v>
      </c>
      <c r="E245" s="94" t="n">
        <v>30</v>
      </c>
      <c r="F245" s="105" t="n">
        <f aca="false">Yield_Originals!G245</f>
        <v>0.148112988969661</v>
      </c>
      <c r="G245" s="96" t="n">
        <v>0.148112988969661</v>
      </c>
      <c r="H245" s="96" t="n">
        <v>0.148112988969661</v>
      </c>
      <c r="I245" s="96" t="n">
        <f aca="false">+(Yield_Originals!H245+Yield_Originals!J245)/2</f>
        <v>0.154056494484831</v>
      </c>
      <c r="J245" s="96" t="n">
        <v>0.16</v>
      </c>
      <c r="K245" s="97" t="n">
        <v>2</v>
      </c>
      <c r="L245" s="98" t="n">
        <f aca="false">(Yield_Originals!$G245*Yield_Originals!L$1)/Yield_Originals!$K245</f>
        <v>0.0888677933817966</v>
      </c>
      <c r="M245" s="98" t="n">
        <f aca="false">(Yield_Originals!$G245*Yield_Originals!M$1)/Yield_Originals!$K245</f>
        <v>0.0916449119249778</v>
      </c>
      <c r="N245" s="98" t="n">
        <f aca="false">(Yield_Originals!$G245*Yield_Originals!N$1)/Yield_Originals!$K245</f>
        <v>0.0944220304681589</v>
      </c>
      <c r="O245" s="98" t="n">
        <f aca="false">(Yield_Originals!$G245*Yield_Originals!O$1)/Yield_Originals!$K245</f>
        <v>0.0971991490113401</v>
      </c>
      <c r="P245" s="99" t="n">
        <f aca="false">(Yield_Originals!$H245*Yield_Originals!P$1)/Yield_Originals!$K245</f>
        <v>0.0999762675545212</v>
      </c>
      <c r="Q245" s="99" t="n">
        <f aca="false">(Yield_Originals!$H245*Yield_Originals!Q$1)/Yield_Originals!$K245</f>
        <v>0.102753386097702</v>
      </c>
      <c r="R245" s="99" t="n">
        <f aca="false">(Yield_Originals!$H245*Yield_Originals!R$1)/Yield_Originals!$K245</f>
        <v>0.105530504640884</v>
      </c>
      <c r="S245" s="99" t="n">
        <f aca="false">(Yield_Originals!$H245*Yield_Originals!S$1)/Yield_Originals!$K245</f>
        <v>0.108307623184065</v>
      </c>
      <c r="T245" s="101"/>
      <c r="U245" s="101"/>
      <c r="V245" s="101"/>
      <c r="W245" s="101"/>
      <c r="X245" s="102"/>
      <c r="Y245" s="102"/>
      <c r="Z245" s="0"/>
      <c r="AA245" s="0"/>
      <c r="AB245" s="0"/>
    </row>
    <row r="246" customFormat="false" ht="15" hidden="false" customHeight="false" outlineLevel="0" collapsed="false">
      <c r="A246" s="64" t="s">
        <v>1113</v>
      </c>
      <c r="B246" s="64" t="n">
        <v>3</v>
      </c>
      <c r="C246" s="93" t="s">
        <v>138</v>
      </c>
      <c r="D246" s="93" t="s">
        <v>1236</v>
      </c>
      <c r="E246" s="94" t="n">
        <v>31</v>
      </c>
      <c r="F246" s="105" t="n">
        <f aca="false">Yield_Originals!G246</f>
        <v>0.148112988969661</v>
      </c>
      <c r="G246" s="96" t="n">
        <v>0.148112988969661</v>
      </c>
      <c r="H246" s="96" t="n">
        <v>0.148112988969661</v>
      </c>
      <c r="I246" s="96" t="n">
        <f aca="false">+(Yield_Originals!H246+Yield_Originals!J246)/2</f>
        <v>0.154056494484831</v>
      </c>
      <c r="J246" s="96" t="n">
        <v>0.16</v>
      </c>
      <c r="K246" s="97" t="n">
        <v>2</v>
      </c>
      <c r="L246" s="98" t="n">
        <f aca="false">(Yield_Originals!$G246*Yield_Originals!L$1)/Yield_Originals!$K246</f>
        <v>0.0888677933817966</v>
      </c>
      <c r="M246" s="98" t="n">
        <f aca="false">(Yield_Originals!$G246*Yield_Originals!M$1)/Yield_Originals!$K246</f>
        <v>0.0916449119249778</v>
      </c>
      <c r="N246" s="98" t="n">
        <f aca="false">(Yield_Originals!$G246*Yield_Originals!N$1)/Yield_Originals!$K246</f>
        <v>0.0944220304681589</v>
      </c>
      <c r="O246" s="98" t="n">
        <f aca="false">(Yield_Originals!$G246*Yield_Originals!O$1)/Yield_Originals!$K246</f>
        <v>0.0971991490113401</v>
      </c>
      <c r="P246" s="99" t="n">
        <f aca="false">(Yield_Originals!$H246*Yield_Originals!P$1)/Yield_Originals!$K246</f>
        <v>0.0999762675545212</v>
      </c>
      <c r="Q246" s="99" t="n">
        <f aca="false">(Yield_Originals!$H246*Yield_Originals!Q$1)/Yield_Originals!$K246</f>
        <v>0.102753386097702</v>
      </c>
      <c r="R246" s="99" t="n">
        <f aca="false">(Yield_Originals!$H246*Yield_Originals!R$1)/Yield_Originals!$K246</f>
        <v>0.105530504640884</v>
      </c>
      <c r="S246" s="99" t="n">
        <f aca="false">(Yield_Originals!$H246*Yield_Originals!S$1)/Yield_Originals!$K246</f>
        <v>0.108307623184065</v>
      </c>
      <c r="T246" s="101"/>
      <c r="U246" s="101"/>
      <c r="V246" s="101"/>
      <c r="W246" s="101"/>
      <c r="X246" s="102"/>
      <c r="Y246" s="102"/>
      <c r="Z246" s="0"/>
      <c r="AA246" s="0"/>
      <c r="AB246" s="0"/>
    </row>
    <row r="247" customFormat="false" ht="15" hidden="false" customHeight="false" outlineLevel="0" collapsed="false">
      <c r="A247" s="64" t="s">
        <v>1113</v>
      </c>
      <c r="B247" s="64" t="n">
        <v>3</v>
      </c>
      <c r="C247" s="0" t="s">
        <v>138</v>
      </c>
      <c r="D247" s="0" t="s">
        <v>1236</v>
      </c>
      <c r="E247" s="94" t="n">
        <v>1</v>
      </c>
      <c r="F247" s="105" t="n">
        <f aca="false">Yield_Originals!G247</f>
        <v>0.148112988969661</v>
      </c>
      <c r="G247" s="96" t="n">
        <v>0.148112988969661</v>
      </c>
      <c r="H247" s="96" t="n">
        <v>0.148112988969661</v>
      </c>
      <c r="I247" s="96" t="n">
        <f aca="false">+(Yield_Originals!H247+Yield_Originals!J247)/2</f>
        <v>0.154056494484831</v>
      </c>
      <c r="J247" s="96" t="n">
        <v>0.16</v>
      </c>
      <c r="K247" s="97" t="n">
        <v>2</v>
      </c>
      <c r="L247" s="98" t="n">
        <f aca="false">(Yield_Originals!$G247*Yield_Originals!L$1)/Yield_Originals!$K247</f>
        <v>0.0888677933817966</v>
      </c>
      <c r="M247" s="98" t="n">
        <f aca="false">(Yield_Originals!$G247*Yield_Originals!M$1)/Yield_Originals!$K247</f>
        <v>0.0916449119249778</v>
      </c>
      <c r="N247" s="98" t="n">
        <f aca="false">(Yield_Originals!$G247*Yield_Originals!N$1)/Yield_Originals!$K247</f>
        <v>0.0944220304681589</v>
      </c>
      <c r="O247" s="98" t="n">
        <f aca="false">(Yield_Originals!$G247*Yield_Originals!O$1)/Yield_Originals!$K247</f>
        <v>0.0971991490113401</v>
      </c>
      <c r="P247" s="99" t="n">
        <f aca="false">(Yield_Originals!$H247*Yield_Originals!P$1)/Yield_Originals!$K247</f>
        <v>0.0999762675545212</v>
      </c>
      <c r="Q247" s="99" t="n">
        <f aca="false">(Yield_Originals!$H247*Yield_Originals!Q$1)/Yield_Originals!$K247</f>
        <v>0.102753386097702</v>
      </c>
      <c r="R247" s="99" t="n">
        <f aca="false">(Yield_Originals!$H247*Yield_Originals!R$1)/Yield_Originals!$K247</f>
        <v>0.105530504640884</v>
      </c>
      <c r="S247" s="99" t="n">
        <f aca="false">(Yield_Originals!$H247*Yield_Originals!S$1)/Yield_Originals!$K247</f>
        <v>0.108307623184065</v>
      </c>
      <c r="T247" s="101"/>
      <c r="U247" s="101"/>
      <c r="V247" s="101"/>
      <c r="W247" s="101"/>
      <c r="X247" s="102"/>
      <c r="Y247" s="102"/>
      <c r="Z247" s="0"/>
      <c r="AA247" s="0"/>
      <c r="AB247" s="0"/>
    </row>
    <row r="248" customFormat="false" ht="15" hidden="false" customHeight="false" outlineLevel="0" collapsed="false">
      <c r="A248" s="64" t="s">
        <v>1113</v>
      </c>
      <c r="B248" s="64" t="n">
        <v>3</v>
      </c>
      <c r="C248" s="0" t="s">
        <v>138</v>
      </c>
      <c r="D248" s="0" t="s">
        <v>1236</v>
      </c>
      <c r="E248" s="94" t="n">
        <v>2</v>
      </c>
      <c r="F248" s="105" t="n">
        <f aca="false">Yield_Originals!G248</f>
        <v>0.148112988969661</v>
      </c>
      <c r="G248" s="96" t="n">
        <v>0.148112988969661</v>
      </c>
      <c r="H248" s="96" t="n">
        <v>0.148112988969661</v>
      </c>
      <c r="I248" s="96" t="n">
        <f aca="false">+(Yield_Originals!H248+Yield_Originals!J248)/2</f>
        <v>0.154056494484831</v>
      </c>
      <c r="J248" s="96" t="n">
        <v>0.16</v>
      </c>
      <c r="K248" s="97" t="n">
        <v>2</v>
      </c>
      <c r="L248" s="98" t="n">
        <f aca="false">(Yield_Originals!$G248*Yield_Originals!L$1)/Yield_Originals!$K248</f>
        <v>0.0888677933817966</v>
      </c>
      <c r="M248" s="98" t="n">
        <f aca="false">(Yield_Originals!$G248*Yield_Originals!M$1)/Yield_Originals!$K248</f>
        <v>0.0916449119249778</v>
      </c>
      <c r="N248" s="98" t="n">
        <f aca="false">(Yield_Originals!$G248*Yield_Originals!N$1)/Yield_Originals!$K248</f>
        <v>0.0944220304681589</v>
      </c>
      <c r="O248" s="98" t="n">
        <f aca="false">(Yield_Originals!$G248*Yield_Originals!O$1)/Yield_Originals!$K248</f>
        <v>0.0971991490113401</v>
      </c>
      <c r="P248" s="99" t="n">
        <f aca="false">(Yield_Originals!$H248*Yield_Originals!P$1)/Yield_Originals!$K248</f>
        <v>0.0999762675545212</v>
      </c>
      <c r="Q248" s="99" t="n">
        <f aca="false">(Yield_Originals!$H248*Yield_Originals!Q$1)/Yield_Originals!$K248</f>
        <v>0.102753386097702</v>
      </c>
      <c r="R248" s="99" t="n">
        <f aca="false">(Yield_Originals!$H248*Yield_Originals!R$1)/Yield_Originals!$K248</f>
        <v>0.105530504640884</v>
      </c>
      <c r="S248" s="99" t="n">
        <f aca="false">(Yield_Originals!$H248*Yield_Originals!S$1)/Yield_Originals!$K248</f>
        <v>0.108307623184065</v>
      </c>
      <c r="T248" s="101"/>
      <c r="U248" s="101"/>
      <c r="V248" s="101"/>
      <c r="W248" s="101"/>
      <c r="X248" s="102"/>
      <c r="Y248" s="102"/>
      <c r="Z248" s="0"/>
      <c r="AA248" s="0"/>
      <c r="AB248" s="0"/>
    </row>
    <row r="249" customFormat="false" ht="15" hidden="false" customHeight="false" outlineLevel="0" collapsed="false">
      <c r="A249" s="64" t="s">
        <v>1113</v>
      </c>
      <c r="B249" s="64" t="n">
        <v>3</v>
      </c>
      <c r="C249" s="93" t="s">
        <v>259</v>
      </c>
      <c r="D249" s="93" t="s">
        <v>1236</v>
      </c>
      <c r="E249" s="94" t="n">
        <v>26</v>
      </c>
      <c r="F249" s="105" t="n">
        <f aca="false">Yield_Originals!G249</f>
        <v>0.148112988969661</v>
      </c>
      <c r="G249" s="96" t="n">
        <v>0.148112988969661</v>
      </c>
      <c r="H249" s="96" t="n">
        <v>0.148112988969661</v>
      </c>
      <c r="I249" s="96" t="n">
        <f aca="false">+(Yield_Originals!H249+Yield_Originals!J249)/2</f>
        <v>0.154056494484831</v>
      </c>
      <c r="J249" s="96" t="n">
        <v>0.16</v>
      </c>
      <c r="K249" s="97" t="n">
        <v>2</v>
      </c>
      <c r="L249" s="98" t="n">
        <f aca="false">(Yield_Originals!$G249*Yield_Originals!L$1)/Yield_Originals!$K249</f>
        <v>0.0888677933817966</v>
      </c>
      <c r="M249" s="98" t="n">
        <f aca="false">(Yield_Originals!$G249*Yield_Originals!M$1)/Yield_Originals!$K249</f>
        <v>0.0916449119249778</v>
      </c>
      <c r="N249" s="98" t="n">
        <f aca="false">(Yield_Originals!$G249*Yield_Originals!N$1)/Yield_Originals!$K249</f>
        <v>0.0944220304681589</v>
      </c>
      <c r="O249" s="98" t="n">
        <f aca="false">(Yield_Originals!$G249*Yield_Originals!O$1)/Yield_Originals!$K249</f>
        <v>0.0971991490113401</v>
      </c>
      <c r="P249" s="99" t="n">
        <f aca="false">(Yield_Originals!$H249*Yield_Originals!P$1)/Yield_Originals!$K249</f>
        <v>0.0999762675545212</v>
      </c>
      <c r="Q249" s="99" t="n">
        <f aca="false">(Yield_Originals!$H249*Yield_Originals!Q$1)/Yield_Originals!$K249</f>
        <v>0.102753386097702</v>
      </c>
      <c r="R249" s="99" t="n">
        <f aca="false">(Yield_Originals!$H249*Yield_Originals!R$1)/Yield_Originals!$K249</f>
        <v>0.105530504640884</v>
      </c>
      <c r="S249" s="99" t="n">
        <f aca="false">(Yield_Originals!$H249*Yield_Originals!S$1)/Yield_Originals!$K249</f>
        <v>0.108307623184065</v>
      </c>
      <c r="T249" s="101"/>
      <c r="U249" s="101"/>
      <c r="V249" s="101"/>
      <c r="W249" s="101"/>
      <c r="X249" s="102"/>
      <c r="Y249" s="102"/>
      <c r="Z249" s="0"/>
      <c r="AA249" s="0"/>
      <c r="AB249" s="0"/>
    </row>
    <row r="250" customFormat="false" ht="15" hidden="false" customHeight="false" outlineLevel="0" collapsed="false">
      <c r="A250" s="64" t="s">
        <v>1113</v>
      </c>
      <c r="B250" s="64" t="n">
        <v>3</v>
      </c>
      <c r="C250" s="93" t="s">
        <v>259</v>
      </c>
      <c r="D250" s="93" t="s">
        <v>1236</v>
      </c>
      <c r="E250" s="94" t="n">
        <v>30</v>
      </c>
      <c r="F250" s="105" t="n">
        <f aca="false">Yield_Originals!G250</f>
        <v>0.148112988969661</v>
      </c>
      <c r="G250" s="96" t="n">
        <v>0.148112988969661</v>
      </c>
      <c r="H250" s="96" t="n">
        <v>0.148112988969661</v>
      </c>
      <c r="I250" s="96" t="n">
        <f aca="false">+(Yield_Originals!H250+Yield_Originals!J250)/2</f>
        <v>0.154056494484831</v>
      </c>
      <c r="J250" s="96" t="n">
        <v>0.16</v>
      </c>
      <c r="K250" s="97" t="n">
        <v>2</v>
      </c>
      <c r="L250" s="98" t="n">
        <f aca="false">(Yield_Originals!$G250*Yield_Originals!L$1)/Yield_Originals!$K250</f>
        <v>0.0888677933817966</v>
      </c>
      <c r="M250" s="98" t="n">
        <f aca="false">(Yield_Originals!$G250*Yield_Originals!M$1)/Yield_Originals!$K250</f>
        <v>0.0916449119249778</v>
      </c>
      <c r="N250" s="98" t="n">
        <f aca="false">(Yield_Originals!$G250*Yield_Originals!N$1)/Yield_Originals!$K250</f>
        <v>0.0944220304681589</v>
      </c>
      <c r="O250" s="98" t="n">
        <f aca="false">(Yield_Originals!$G250*Yield_Originals!O$1)/Yield_Originals!$K250</f>
        <v>0.0971991490113401</v>
      </c>
      <c r="P250" s="99" t="n">
        <f aca="false">(Yield_Originals!$H250*Yield_Originals!P$1)/Yield_Originals!$K250</f>
        <v>0.0999762675545212</v>
      </c>
      <c r="Q250" s="99" t="n">
        <f aca="false">(Yield_Originals!$H250*Yield_Originals!Q$1)/Yield_Originals!$K250</f>
        <v>0.102753386097702</v>
      </c>
      <c r="R250" s="99" t="n">
        <f aca="false">(Yield_Originals!$H250*Yield_Originals!R$1)/Yield_Originals!$K250</f>
        <v>0.105530504640884</v>
      </c>
      <c r="S250" s="99" t="n">
        <f aca="false">(Yield_Originals!$H250*Yield_Originals!S$1)/Yield_Originals!$K250</f>
        <v>0.108307623184065</v>
      </c>
      <c r="T250" s="101"/>
      <c r="U250" s="101"/>
      <c r="V250" s="101"/>
      <c r="W250" s="101"/>
      <c r="X250" s="102"/>
      <c r="Y250" s="102"/>
      <c r="Z250" s="0"/>
      <c r="AA250" s="0"/>
      <c r="AB250" s="0"/>
    </row>
    <row r="251" customFormat="false" ht="15" hidden="false" customHeight="false" outlineLevel="0" collapsed="false">
      <c r="A251" s="64" t="s">
        <v>1113</v>
      </c>
      <c r="B251" s="64" t="n">
        <v>3</v>
      </c>
      <c r="C251" s="93" t="s">
        <v>259</v>
      </c>
      <c r="D251" s="93" t="s">
        <v>1236</v>
      </c>
      <c r="E251" s="94" t="n">
        <v>31</v>
      </c>
      <c r="F251" s="105" t="n">
        <f aca="false">Yield_Originals!G251</f>
        <v>0.148112988969661</v>
      </c>
      <c r="G251" s="96" t="n">
        <v>0.148112988969661</v>
      </c>
      <c r="H251" s="96" t="n">
        <v>0.148112988969661</v>
      </c>
      <c r="I251" s="96" t="n">
        <f aca="false">+(Yield_Originals!H251+Yield_Originals!J251)/2</f>
        <v>0.154056494484831</v>
      </c>
      <c r="J251" s="96" t="n">
        <v>0.16</v>
      </c>
      <c r="K251" s="97" t="n">
        <v>2</v>
      </c>
      <c r="L251" s="98" t="n">
        <f aca="false">(Yield_Originals!$G251*Yield_Originals!L$1)/Yield_Originals!$K251</f>
        <v>0.0888677933817966</v>
      </c>
      <c r="M251" s="98" t="n">
        <f aca="false">(Yield_Originals!$G251*Yield_Originals!M$1)/Yield_Originals!$K251</f>
        <v>0.0916449119249778</v>
      </c>
      <c r="N251" s="98" t="n">
        <f aca="false">(Yield_Originals!$G251*Yield_Originals!N$1)/Yield_Originals!$K251</f>
        <v>0.0944220304681589</v>
      </c>
      <c r="O251" s="98" t="n">
        <f aca="false">(Yield_Originals!$G251*Yield_Originals!O$1)/Yield_Originals!$K251</f>
        <v>0.0971991490113401</v>
      </c>
      <c r="P251" s="99" t="n">
        <f aca="false">(Yield_Originals!$H251*Yield_Originals!P$1)/Yield_Originals!$K251</f>
        <v>0.0999762675545212</v>
      </c>
      <c r="Q251" s="99" t="n">
        <f aca="false">(Yield_Originals!$H251*Yield_Originals!Q$1)/Yield_Originals!$K251</f>
        <v>0.102753386097702</v>
      </c>
      <c r="R251" s="99" t="n">
        <f aca="false">(Yield_Originals!$H251*Yield_Originals!R$1)/Yield_Originals!$K251</f>
        <v>0.105530504640884</v>
      </c>
      <c r="S251" s="99" t="n">
        <f aca="false">(Yield_Originals!$H251*Yield_Originals!S$1)/Yield_Originals!$K251</f>
        <v>0.108307623184065</v>
      </c>
      <c r="T251" s="101"/>
      <c r="U251" s="101"/>
      <c r="V251" s="101"/>
      <c r="W251" s="101"/>
      <c r="X251" s="102"/>
      <c r="Y251" s="102"/>
      <c r="Z251" s="0"/>
      <c r="AA251" s="0"/>
      <c r="AB251" s="0"/>
    </row>
    <row r="252" customFormat="false" ht="15" hidden="false" customHeight="false" outlineLevel="0" collapsed="false">
      <c r="A252" s="64" t="s">
        <v>1113</v>
      </c>
      <c r="B252" s="64" t="n">
        <v>3</v>
      </c>
      <c r="C252" s="0" t="s">
        <v>259</v>
      </c>
      <c r="D252" s="0" t="s">
        <v>1236</v>
      </c>
      <c r="E252" s="94" t="n">
        <v>1</v>
      </c>
      <c r="F252" s="105" t="n">
        <f aca="false">Yield_Originals!G252</f>
        <v>0.148112988969661</v>
      </c>
      <c r="G252" s="96" t="n">
        <v>0.148112988969661</v>
      </c>
      <c r="H252" s="96" t="n">
        <v>0.148112988969661</v>
      </c>
      <c r="I252" s="96" t="n">
        <f aca="false">+(Yield_Originals!H252+Yield_Originals!J252)/2</f>
        <v>0.154056494484831</v>
      </c>
      <c r="J252" s="96" t="n">
        <v>0.16</v>
      </c>
      <c r="K252" s="97" t="n">
        <v>2</v>
      </c>
      <c r="L252" s="98" t="n">
        <f aca="false">(Yield_Originals!$G252*Yield_Originals!L$1)/Yield_Originals!$K252</f>
        <v>0.0888677933817966</v>
      </c>
      <c r="M252" s="98" t="n">
        <f aca="false">(Yield_Originals!$G252*Yield_Originals!M$1)/Yield_Originals!$K252</f>
        <v>0.0916449119249778</v>
      </c>
      <c r="N252" s="98" t="n">
        <f aca="false">(Yield_Originals!$G252*Yield_Originals!N$1)/Yield_Originals!$K252</f>
        <v>0.0944220304681589</v>
      </c>
      <c r="O252" s="98" t="n">
        <f aca="false">(Yield_Originals!$G252*Yield_Originals!O$1)/Yield_Originals!$K252</f>
        <v>0.0971991490113401</v>
      </c>
      <c r="P252" s="99" t="n">
        <f aca="false">(Yield_Originals!$H252*Yield_Originals!P$1)/Yield_Originals!$K252</f>
        <v>0.0999762675545212</v>
      </c>
      <c r="Q252" s="99" t="n">
        <f aca="false">(Yield_Originals!$H252*Yield_Originals!Q$1)/Yield_Originals!$K252</f>
        <v>0.102753386097702</v>
      </c>
      <c r="R252" s="99" t="n">
        <f aca="false">(Yield_Originals!$H252*Yield_Originals!R$1)/Yield_Originals!$K252</f>
        <v>0.105530504640884</v>
      </c>
      <c r="S252" s="99" t="n">
        <f aca="false">(Yield_Originals!$H252*Yield_Originals!S$1)/Yield_Originals!$K252</f>
        <v>0.108307623184065</v>
      </c>
      <c r="T252" s="101"/>
      <c r="U252" s="101"/>
      <c r="V252" s="101"/>
      <c r="W252" s="101"/>
      <c r="X252" s="102"/>
      <c r="Y252" s="102"/>
      <c r="Z252" s="0"/>
      <c r="AA252" s="0"/>
      <c r="AB252" s="0"/>
    </row>
    <row r="253" customFormat="false" ht="15" hidden="false" customHeight="false" outlineLevel="0" collapsed="false">
      <c r="A253" s="64" t="s">
        <v>1113</v>
      </c>
      <c r="B253" s="64" t="n">
        <v>3</v>
      </c>
      <c r="C253" s="0" t="s">
        <v>259</v>
      </c>
      <c r="D253" s="0" t="s">
        <v>1236</v>
      </c>
      <c r="E253" s="94" t="n">
        <v>2</v>
      </c>
      <c r="F253" s="105" t="n">
        <f aca="false">Yield_Originals!G253</f>
        <v>0.148112988969661</v>
      </c>
      <c r="G253" s="96" t="n">
        <v>0.148112988969661</v>
      </c>
      <c r="H253" s="96" t="n">
        <v>0.148112988969661</v>
      </c>
      <c r="I253" s="96" t="n">
        <f aca="false">+(Yield_Originals!H253+Yield_Originals!J253)/2</f>
        <v>0.154056494484831</v>
      </c>
      <c r="J253" s="96" t="n">
        <v>0.16</v>
      </c>
      <c r="K253" s="97" t="n">
        <v>2</v>
      </c>
      <c r="L253" s="98" t="n">
        <f aca="false">(Yield_Originals!$G253*Yield_Originals!L$1)/Yield_Originals!$K253</f>
        <v>0.0888677933817966</v>
      </c>
      <c r="M253" s="98" t="n">
        <f aca="false">(Yield_Originals!$G253*Yield_Originals!M$1)/Yield_Originals!$K253</f>
        <v>0.0916449119249778</v>
      </c>
      <c r="N253" s="98" t="n">
        <f aca="false">(Yield_Originals!$G253*Yield_Originals!N$1)/Yield_Originals!$K253</f>
        <v>0.0944220304681589</v>
      </c>
      <c r="O253" s="98" t="n">
        <f aca="false">(Yield_Originals!$G253*Yield_Originals!O$1)/Yield_Originals!$K253</f>
        <v>0.0971991490113401</v>
      </c>
      <c r="P253" s="99" t="n">
        <f aca="false">(Yield_Originals!$H253*Yield_Originals!P$1)/Yield_Originals!$K253</f>
        <v>0.0999762675545212</v>
      </c>
      <c r="Q253" s="99" t="n">
        <f aca="false">(Yield_Originals!$H253*Yield_Originals!Q$1)/Yield_Originals!$K253</f>
        <v>0.102753386097702</v>
      </c>
      <c r="R253" s="99" t="n">
        <f aca="false">(Yield_Originals!$H253*Yield_Originals!R$1)/Yield_Originals!$K253</f>
        <v>0.105530504640884</v>
      </c>
      <c r="S253" s="99" t="n">
        <f aca="false">(Yield_Originals!$H253*Yield_Originals!S$1)/Yield_Originals!$K253</f>
        <v>0.108307623184065</v>
      </c>
      <c r="T253" s="101"/>
      <c r="U253" s="101"/>
      <c r="V253" s="101"/>
      <c r="W253" s="101"/>
      <c r="X253" s="102"/>
      <c r="Y253" s="102"/>
      <c r="Z253" s="0"/>
      <c r="AA253" s="0"/>
      <c r="AB253" s="0"/>
    </row>
    <row r="254" customFormat="false" ht="15" hidden="false" customHeight="false" outlineLevel="0" collapsed="false">
      <c r="A254" s="103" t="s">
        <v>1113</v>
      </c>
      <c r="B254" s="64" t="n">
        <v>3</v>
      </c>
      <c r="C254" s="104" t="s">
        <v>521</v>
      </c>
      <c r="D254" s="104" t="s">
        <v>1112</v>
      </c>
      <c r="E254" s="94" t="n">
        <v>26</v>
      </c>
      <c r="F254" s="96" t="n">
        <v>0.142003083639678</v>
      </c>
      <c r="G254" s="96" t="n">
        <v>0.142003083639678</v>
      </c>
      <c r="H254" s="96" t="n">
        <f aca="false">+(Yield_Originals!I254+Yield_Originals!G254)/2</f>
        <v>0.13793956115311</v>
      </c>
      <c r="I254" s="96" t="n">
        <v>0.133876038666542</v>
      </c>
      <c r="J254" s="96" t="n">
        <v>0.136590471202138</v>
      </c>
      <c r="K254" s="97" t="n">
        <v>2</v>
      </c>
      <c r="L254" s="98" t="n">
        <f aca="false">(Yield_Originals!$G254*Yield_Originals!L$1)/Yield_Originals!$K254</f>
        <v>0.0852018501838068</v>
      </c>
      <c r="M254" s="98" t="n">
        <f aca="false">(Yield_Originals!$G254*Yield_Originals!M$1)/Yield_Originals!$K254</f>
        <v>0.0878644080020508</v>
      </c>
      <c r="N254" s="98" t="n">
        <f aca="false">(Yield_Originals!$G254*Yield_Originals!N$1)/Yield_Originals!$K254</f>
        <v>0.0905269658202947</v>
      </c>
      <c r="O254" s="98" t="n">
        <f aca="false">(Yield_Originals!$G254*Yield_Originals!O$1)/Yield_Originals!$K254</f>
        <v>0.0931895236385387</v>
      </c>
      <c r="P254" s="99" t="n">
        <f aca="false">(Yield_Originals!$H254*Yield_Originals!P$1)/Yield_Originals!$K254</f>
        <v>0.0931092037783493</v>
      </c>
      <c r="Q254" s="99" t="n">
        <f aca="false">(Yield_Originals!$H254*Yield_Originals!Q$1)/Yield_Originals!$K254</f>
        <v>0.0956955705499701</v>
      </c>
      <c r="R254" s="99" t="n">
        <f aca="false">(Yield_Originals!$H254*Yield_Originals!R$1)/Yield_Originals!$K254</f>
        <v>0.0982819373215909</v>
      </c>
      <c r="S254" s="99" t="n">
        <f aca="false">(Yield_Originals!$H254*Yield_Originals!S$1)/Yield_Originals!$K254</f>
        <v>0.100868304093212</v>
      </c>
      <c r="T254" s="101" t="n">
        <f aca="false">(Yield_Originals!$I254*Yield_Originals!T$1)/Yield_Originals!$K254</f>
        <v>0.100407028999907</v>
      </c>
      <c r="U254" s="101" t="n">
        <f aca="false">(Yield_Originals!$I254*Yield_Originals!U$1)/Yield_Originals!$K254</f>
        <v>0.102917204724904</v>
      </c>
      <c r="V254" s="101" t="n">
        <f aca="false">(Yield_Originals!$I254*Yield_Originals!V$1)/Yield_Originals!$K254</f>
        <v>0.105427380449902</v>
      </c>
      <c r="W254" s="101" t="n">
        <f aca="false">(Yield_Originals!$I254*Yield_Originals!W$1)/Yield_Originals!$K254</f>
        <v>0.107937556174899</v>
      </c>
      <c r="X254" s="102" t="n">
        <f aca="false">(Yield_Originals!$J254*Yield_Originals!X$1)/Yield_Originals!$K254</f>
        <v>0.112687138741764</v>
      </c>
      <c r="Y254" s="102" t="n">
        <f aca="false">(Yield_Originals!$J254*Yield_Originals!Y$1)/Yield_Originals!$K254</f>
        <v>0.115248210076804</v>
      </c>
      <c r="Z254" s="102" t="n">
        <f aca="false">(Yield_Originals!$J254*Yield_Originals!Z$1)/Yield_Originals!$K254</f>
        <v>0.117809281411844</v>
      </c>
      <c r="AA254" s="102" t="n">
        <f aca="false">(Yield_Originals!$J254*Yield_Originals!AA$1)/Yield_Originals!$K254</f>
        <v>0.120370352746884</v>
      </c>
      <c r="AB254" s="102" t="n">
        <f aca="false">(Yield_Originals!$J254*Yield_Originals!AB$1)/Yield_Originals!$K254</f>
        <v>0.122931424081924</v>
      </c>
    </row>
    <row r="255" customFormat="false" ht="15" hidden="false" customHeight="false" outlineLevel="0" collapsed="false">
      <c r="A255" s="103" t="s">
        <v>1113</v>
      </c>
      <c r="B255" s="64" t="n">
        <v>3</v>
      </c>
      <c r="C255" s="104" t="s">
        <v>521</v>
      </c>
      <c r="D255" s="104" t="s">
        <v>1112</v>
      </c>
      <c r="E255" s="94" t="n">
        <v>30</v>
      </c>
      <c r="F255" s="96" t="n">
        <v>0.142003083639678</v>
      </c>
      <c r="G255" s="96" t="n">
        <v>0.142003083639678</v>
      </c>
      <c r="H255" s="96" t="n">
        <f aca="false">+(Yield_Originals!I255+Yield_Originals!G255)/2</f>
        <v>0.13793956115311</v>
      </c>
      <c r="I255" s="96" t="n">
        <v>0.133876038666542</v>
      </c>
      <c r="J255" s="96" t="n">
        <v>0.136590471202138</v>
      </c>
      <c r="K255" s="97" t="n">
        <v>2</v>
      </c>
      <c r="L255" s="98" t="n">
        <f aca="false">(Yield_Originals!$G255*Yield_Originals!L$1)/Yield_Originals!$K255</f>
        <v>0.0852018501838068</v>
      </c>
      <c r="M255" s="98" t="n">
        <f aca="false">(Yield_Originals!$G255*Yield_Originals!M$1)/Yield_Originals!$K255</f>
        <v>0.0878644080020508</v>
      </c>
      <c r="N255" s="98" t="n">
        <f aca="false">(Yield_Originals!$G255*Yield_Originals!N$1)/Yield_Originals!$K255</f>
        <v>0.0905269658202947</v>
      </c>
      <c r="O255" s="98" t="n">
        <f aca="false">(Yield_Originals!$G255*Yield_Originals!O$1)/Yield_Originals!$K255</f>
        <v>0.0931895236385387</v>
      </c>
      <c r="P255" s="99" t="n">
        <f aca="false">(Yield_Originals!$H255*Yield_Originals!P$1)/Yield_Originals!$K255</f>
        <v>0.0931092037783493</v>
      </c>
      <c r="Q255" s="99" t="n">
        <f aca="false">(Yield_Originals!$H255*Yield_Originals!Q$1)/Yield_Originals!$K255</f>
        <v>0.0956955705499701</v>
      </c>
      <c r="R255" s="99" t="n">
        <f aca="false">(Yield_Originals!$H255*Yield_Originals!R$1)/Yield_Originals!$K255</f>
        <v>0.0982819373215909</v>
      </c>
      <c r="S255" s="99" t="n">
        <f aca="false">(Yield_Originals!$H255*Yield_Originals!S$1)/Yield_Originals!$K255</f>
        <v>0.100868304093212</v>
      </c>
      <c r="T255" s="101" t="n">
        <f aca="false">(Yield_Originals!$I255*Yield_Originals!T$1)/Yield_Originals!$K255</f>
        <v>0.100407028999907</v>
      </c>
      <c r="U255" s="101" t="n">
        <f aca="false">(Yield_Originals!$I255*Yield_Originals!U$1)/Yield_Originals!$K255</f>
        <v>0.102917204724904</v>
      </c>
      <c r="V255" s="101" t="n">
        <f aca="false">(Yield_Originals!$I255*Yield_Originals!V$1)/Yield_Originals!$K255</f>
        <v>0.105427380449902</v>
      </c>
      <c r="W255" s="101" t="n">
        <f aca="false">(Yield_Originals!$I255*Yield_Originals!W$1)/Yield_Originals!$K255</f>
        <v>0.107937556174899</v>
      </c>
      <c r="X255" s="102" t="n">
        <f aca="false">(Yield_Originals!$J255*Yield_Originals!X$1)/Yield_Originals!$K255</f>
        <v>0.112687138741764</v>
      </c>
      <c r="Y255" s="102" t="n">
        <f aca="false">(Yield_Originals!$J255*Yield_Originals!Y$1)/Yield_Originals!$K255</f>
        <v>0.115248210076804</v>
      </c>
      <c r="Z255" s="102" t="n">
        <f aca="false">(Yield_Originals!$J255*Yield_Originals!Z$1)/Yield_Originals!$K255</f>
        <v>0.117809281411844</v>
      </c>
      <c r="AA255" s="102" t="n">
        <f aca="false">(Yield_Originals!$J255*Yield_Originals!AA$1)/Yield_Originals!$K255</f>
        <v>0.120370352746884</v>
      </c>
      <c r="AB255" s="102" t="n">
        <f aca="false">(Yield_Originals!$J255*Yield_Originals!AB$1)/Yield_Originals!$K255</f>
        <v>0.122931424081924</v>
      </c>
    </row>
    <row r="256" customFormat="false" ht="15" hidden="false" customHeight="false" outlineLevel="0" collapsed="false">
      <c r="A256" s="103" t="s">
        <v>1113</v>
      </c>
      <c r="B256" s="64" t="n">
        <v>3</v>
      </c>
      <c r="C256" s="104" t="s">
        <v>521</v>
      </c>
      <c r="D256" s="104" t="s">
        <v>1112</v>
      </c>
      <c r="E256" s="94" t="n">
        <v>31</v>
      </c>
      <c r="F256" s="96" t="n">
        <v>0.142003083639678</v>
      </c>
      <c r="G256" s="96" t="n">
        <v>0.142003083639678</v>
      </c>
      <c r="H256" s="96" t="n">
        <f aca="false">+(Yield_Originals!I256+Yield_Originals!G256)/2</f>
        <v>0.13793956115311</v>
      </c>
      <c r="I256" s="96" t="n">
        <v>0.133876038666542</v>
      </c>
      <c r="J256" s="96" t="n">
        <v>0.136590471202138</v>
      </c>
      <c r="K256" s="97" t="n">
        <v>2</v>
      </c>
      <c r="L256" s="98" t="n">
        <f aca="false">(Yield_Originals!$G256*Yield_Originals!L$1)/Yield_Originals!$K256</f>
        <v>0.0852018501838068</v>
      </c>
      <c r="M256" s="98" t="n">
        <f aca="false">(Yield_Originals!$G256*Yield_Originals!M$1)/Yield_Originals!$K256</f>
        <v>0.0878644080020508</v>
      </c>
      <c r="N256" s="98" t="n">
        <f aca="false">(Yield_Originals!$G256*Yield_Originals!N$1)/Yield_Originals!$K256</f>
        <v>0.0905269658202947</v>
      </c>
      <c r="O256" s="98" t="n">
        <f aca="false">(Yield_Originals!$G256*Yield_Originals!O$1)/Yield_Originals!$K256</f>
        <v>0.0931895236385387</v>
      </c>
      <c r="P256" s="99" t="n">
        <f aca="false">(Yield_Originals!$H256*Yield_Originals!P$1)/Yield_Originals!$K256</f>
        <v>0.0931092037783493</v>
      </c>
      <c r="Q256" s="99" t="n">
        <f aca="false">(Yield_Originals!$H256*Yield_Originals!Q$1)/Yield_Originals!$K256</f>
        <v>0.0956955705499701</v>
      </c>
      <c r="R256" s="99" t="n">
        <f aca="false">(Yield_Originals!$H256*Yield_Originals!R$1)/Yield_Originals!$K256</f>
        <v>0.0982819373215909</v>
      </c>
      <c r="S256" s="99" t="n">
        <f aca="false">(Yield_Originals!$H256*Yield_Originals!S$1)/Yield_Originals!$K256</f>
        <v>0.100868304093212</v>
      </c>
      <c r="T256" s="101" t="n">
        <f aca="false">(Yield_Originals!$I256*Yield_Originals!T$1)/Yield_Originals!$K256</f>
        <v>0.100407028999907</v>
      </c>
      <c r="U256" s="101" t="n">
        <f aca="false">(Yield_Originals!$I256*Yield_Originals!U$1)/Yield_Originals!$K256</f>
        <v>0.102917204724904</v>
      </c>
      <c r="V256" s="101" t="n">
        <f aca="false">(Yield_Originals!$I256*Yield_Originals!V$1)/Yield_Originals!$K256</f>
        <v>0.105427380449902</v>
      </c>
      <c r="W256" s="101" t="n">
        <f aca="false">(Yield_Originals!$I256*Yield_Originals!W$1)/Yield_Originals!$K256</f>
        <v>0.107937556174899</v>
      </c>
      <c r="X256" s="102" t="n">
        <f aca="false">(Yield_Originals!$J256*Yield_Originals!X$1)/Yield_Originals!$K256</f>
        <v>0.112687138741764</v>
      </c>
      <c r="Y256" s="102" t="n">
        <f aca="false">(Yield_Originals!$J256*Yield_Originals!Y$1)/Yield_Originals!$K256</f>
        <v>0.115248210076804</v>
      </c>
      <c r="Z256" s="102" t="n">
        <f aca="false">(Yield_Originals!$J256*Yield_Originals!Z$1)/Yield_Originals!$K256</f>
        <v>0.117809281411844</v>
      </c>
      <c r="AA256" s="102" t="n">
        <f aca="false">(Yield_Originals!$J256*Yield_Originals!AA$1)/Yield_Originals!$K256</f>
        <v>0.120370352746884</v>
      </c>
      <c r="AB256" s="102" t="n">
        <f aca="false">(Yield_Originals!$J256*Yield_Originals!AB$1)/Yield_Originals!$K256</f>
        <v>0.122931424081924</v>
      </c>
    </row>
    <row r="257" customFormat="false" ht="15" hidden="false" customHeight="false" outlineLevel="0" collapsed="false">
      <c r="A257" s="64" t="s">
        <v>1113</v>
      </c>
      <c r="B257" s="64" t="n">
        <v>3</v>
      </c>
      <c r="C257" s="93" t="s">
        <v>1196</v>
      </c>
      <c r="D257" s="93" t="s">
        <v>1242</v>
      </c>
      <c r="E257" s="94" t="n">
        <v>26</v>
      </c>
      <c r="F257" s="105" t="n">
        <f aca="false">Yield_Originals!G257</f>
        <v>0.148112988969661</v>
      </c>
      <c r="G257" s="96" t="n">
        <v>0.148112988969661</v>
      </c>
      <c r="H257" s="96" t="n">
        <v>0.148112988969661</v>
      </c>
      <c r="I257" s="96" t="n">
        <f aca="false">+(Yield_Originals!H257+Yield_Originals!J257)/2</f>
        <v>0.154056494484831</v>
      </c>
      <c r="J257" s="96" t="n">
        <v>0.16</v>
      </c>
      <c r="K257" s="97" t="n">
        <v>2</v>
      </c>
      <c r="L257" s="98" t="n">
        <f aca="false">(Yield_Originals!$G257*Yield_Originals!L$1)/Yield_Originals!$K257</f>
        <v>0.0888677933817966</v>
      </c>
      <c r="M257" s="98" t="n">
        <f aca="false">(Yield_Originals!$G257*Yield_Originals!M$1)/Yield_Originals!$K257</f>
        <v>0.0916449119249778</v>
      </c>
      <c r="N257" s="98" t="n">
        <f aca="false">(Yield_Originals!$G257*Yield_Originals!N$1)/Yield_Originals!$K257</f>
        <v>0.0944220304681589</v>
      </c>
      <c r="O257" s="98" t="n">
        <f aca="false">(Yield_Originals!$G257*Yield_Originals!O$1)/Yield_Originals!$K257</f>
        <v>0.0971991490113401</v>
      </c>
      <c r="P257" s="99" t="n">
        <f aca="false">(Yield_Originals!$H257*Yield_Originals!P$1)/Yield_Originals!$K257</f>
        <v>0.0999762675545212</v>
      </c>
      <c r="Q257" s="99" t="n">
        <f aca="false">(Yield_Originals!$H257*Yield_Originals!Q$1)/Yield_Originals!$K257</f>
        <v>0.102753386097702</v>
      </c>
      <c r="R257" s="99" t="n">
        <f aca="false">(Yield_Originals!$H257*Yield_Originals!R$1)/Yield_Originals!$K257</f>
        <v>0.105530504640884</v>
      </c>
      <c r="S257" s="99" t="n">
        <f aca="false">(Yield_Originals!$H257*Yield_Originals!S$1)/Yield_Originals!$K257</f>
        <v>0.108307623184065</v>
      </c>
      <c r="T257" s="101" t="n">
        <f aca="false">(Yield_Originals!$I257*Yield_Originals!T$1)/Yield_Originals!$K257</f>
        <v>0.115542370863623</v>
      </c>
      <c r="U257" s="101" t="n">
        <f aca="false">(Yield_Originals!$I257*Yield_Originals!U$1)/Yield_Originals!$K257</f>
        <v>0.118430930135213</v>
      </c>
      <c r="V257" s="101" t="n">
        <f aca="false">(Yield_Originals!$I257*Yield_Originals!V$1)/Yield_Originals!$K257</f>
        <v>0.121319489406804</v>
      </c>
      <c r="W257" s="101" t="n">
        <f aca="false">(Yield_Originals!$I257*Yield_Originals!W$1)/Yield_Originals!$K257</f>
        <v>0.124208048678395</v>
      </c>
      <c r="X257" s="102" t="n">
        <f aca="false">(Yield_Originals!$I257*Yield_Originals!X$1)/Yield_Originals!$K257</f>
        <v>0.127096607949985</v>
      </c>
      <c r="Y257" s="102" t="n">
        <f aca="false">(Yield_Originals!$I257*Yield_Originals!Y$1)/Yield_Originals!$K257</f>
        <v>0.129985167221576</v>
      </c>
      <c r="Z257" s="0"/>
      <c r="AA257" s="0"/>
      <c r="AB257" s="0"/>
    </row>
    <row r="258" customFormat="false" ht="15" hidden="false" customHeight="false" outlineLevel="0" collapsed="false">
      <c r="A258" s="64" t="s">
        <v>1113</v>
      </c>
      <c r="B258" s="64" t="n">
        <v>3</v>
      </c>
      <c r="C258" s="93" t="s">
        <v>1196</v>
      </c>
      <c r="D258" s="93" t="s">
        <v>1242</v>
      </c>
      <c r="E258" s="94" t="n">
        <v>30</v>
      </c>
      <c r="F258" s="105" t="n">
        <f aca="false">Yield_Originals!G258</f>
        <v>0.148112988969661</v>
      </c>
      <c r="G258" s="96" t="n">
        <v>0.148112988969661</v>
      </c>
      <c r="H258" s="96" t="n">
        <v>0.148112988969661</v>
      </c>
      <c r="I258" s="96" t="n">
        <f aca="false">+(Yield_Originals!H258+Yield_Originals!J258)/2</f>
        <v>0.154056494484831</v>
      </c>
      <c r="J258" s="96" t="n">
        <v>0.16</v>
      </c>
      <c r="K258" s="97" t="n">
        <v>2</v>
      </c>
      <c r="L258" s="98" t="n">
        <f aca="false">(Yield_Originals!$G258*Yield_Originals!L$1)/Yield_Originals!$K258</f>
        <v>0.0888677933817966</v>
      </c>
      <c r="M258" s="98" t="n">
        <f aca="false">(Yield_Originals!$G258*Yield_Originals!M$1)/Yield_Originals!$K258</f>
        <v>0.0916449119249778</v>
      </c>
      <c r="N258" s="98" t="n">
        <f aca="false">(Yield_Originals!$G258*Yield_Originals!N$1)/Yield_Originals!$K258</f>
        <v>0.0944220304681589</v>
      </c>
      <c r="O258" s="98" t="n">
        <f aca="false">(Yield_Originals!$G258*Yield_Originals!O$1)/Yield_Originals!$K258</f>
        <v>0.0971991490113401</v>
      </c>
      <c r="P258" s="99" t="n">
        <f aca="false">(Yield_Originals!$H258*Yield_Originals!P$1)/Yield_Originals!$K258</f>
        <v>0.0999762675545212</v>
      </c>
      <c r="Q258" s="99" t="n">
        <f aca="false">(Yield_Originals!$H258*Yield_Originals!Q$1)/Yield_Originals!$K258</f>
        <v>0.102753386097702</v>
      </c>
      <c r="R258" s="99" t="n">
        <f aca="false">(Yield_Originals!$H258*Yield_Originals!R$1)/Yield_Originals!$K258</f>
        <v>0.105530504640884</v>
      </c>
      <c r="S258" s="99" t="n">
        <f aca="false">(Yield_Originals!$H258*Yield_Originals!S$1)/Yield_Originals!$K258</f>
        <v>0.108307623184065</v>
      </c>
      <c r="T258" s="101" t="n">
        <f aca="false">(Yield_Originals!$I258*Yield_Originals!T$1)/Yield_Originals!$K258</f>
        <v>0.115542370863623</v>
      </c>
      <c r="U258" s="101" t="n">
        <f aca="false">(Yield_Originals!$I258*Yield_Originals!U$1)/Yield_Originals!$K258</f>
        <v>0.118430930135213</v>
      </c>
      <c r="V258" s="101" t="n">
        <f aca="false">(Yield_Originals!$I258*Yield_Originals!V$1)/Yield_Originals!$K258</f>
        <v>0.121319489406804</v>
      </c>
      <c r="W258" s="101" t="n">
        <f aca="false">(Yield_Originals!$I258*Yield_Originals!W$1)/Yield_Originals!$K258</f>
        <v>0.124208048678395</v>
      </c>
      <c r="X258" s="102" t="n">
        <f aca="false">(Yield_Originals!$I258*Yield_Originals!X$1)/Yield_Originals!$K258</f>
        <v>0.127096607949985</v>
      </c>
      <c r="Y258" s="102" t="n">
        <f aca="false">(Yield_Originals!$I258*Yield_Originals!Y$1)/Yield_Originals!$K258</f>
        <v>0.129985167221576</v>
      </c>
      <c r="Z258" s="0"/>
      <c r="AA258" s="0"/>
      <c r="AB258" s="0"/>
    </row>
    <row r="259" customFormat="false" ht="15" hidden="false" customHeight="false" outlineLevel="0" collapsed="false">
      <c r="A259" s="64" t="s">
        <v>1113</v>
      </c>
      <c r="B259" s="64" t="n">
        <v>3</v>
      </c>
      <c r="C259" s="93" t="s">
        <v>1196</v>
      </c>
      <c r="D259" s="93" t="s">
        <v>1242</v>
      </c>
      <c r="E259" s="94" t="n">
        <v>31</v>
      </c>
      <c r="F259" s="105" t="n">
        <f aca="false">Yield_Originals!G259</f>
        <v>0.148112988969661</v>
      </c>
      <c r="G259" s="96" t="n">
        <v>0.148112988969661</v>
      </c>
      <c r="H259" s="96" t="n">
        <v>0.148112988969661</v>
      </c>
      <c r="I259" s="96" t="n">
        <f aca="false">+(Yield_Originals!H259+Yield_Originals!J259)/2</f>
        <v>0.154056494484831</v>
      </c>
      <c r="J259" s="96" t="n">
        <v>0.16</v>
      </c>
      <c r="K259" s="97" t="n">
        <v>2</v>
      </c>
      <c r="L259" s="98" t="n">
        <f aca="false">(Yield_Originals!$G259*Yield_Originals!L$1)/Yield_Originals!$K259</f>
        <v>0.0888677933817966</v>
      </c>
      <c r="M259" s="98" t="n">
        <f aca="false">(Yield_Originals!$G259*Yield_Originals!M$1)/Yield_Originals!$K259</f>
        <v>0.0916449119249778</v>
      </c>
      <c r="N259" s="98" t="n">
        <f aca="false">(Yield_Originals!$G259*Yield_Originals!N$1)/Yield_Originals!$K259</f>
        <v>0.0944220304681589</v>
      </c>
      <c r="O259" s="98" t="n">
        <f aca="false">(Yield_Originals!$G259*Yield_Originals!O$1)/Yield_Originals!$K259</f>
        <v>0.0971991490113401</v>
      </c>
      <c r="P259" s="99" t="n">
        <f aca="false">(Yield_Originals!$H259*Yield_Originals!P$1)/Yield_Originals!$K259</f>
        <v>0.0999762675545212</v>
      </c>
      <c r="Q259" s="99" t="n">
        <f aca="false">(Yield_Originals!$H259*Yield_Originals!Q$1)/Yield_Originals!$K259</f>
        <v>0.102753386097702</v>
      </c>
      <c r="R259" s="99" t="n">
        <f aca="false">(Yield_Originals!$H259*Yield_Originals!R$1)/Yield_Originals!$K259</f>
        <v>0.105530504640884</v>
      </c>
      <c r="S259" s="99" t="n">
        <f aca="false">(Yield_Originals!$H259*Yield_Originals!S$1)/Yield_Originals!$K259</f>
        <v>0.108307623184065</v>
      </c>
      <c r="T259" s="101" t="n">
        <f aca="false">(Yield_Originals!$I259*Yield_Originals!T$1)/Yield_Originals!$K259</f>
        <v>0.115542370863623</v>
      </c>
      <c r="U259" s="101" t="n">
        <f aca="false">(Yield_Originals!$I259*Yield_Originals!U$1)/Yield_Originals!$K259</f>
        <v>0.118430930135213</v>
      </c>
      <c r="V259" s="101" t="n">
        <f aca="false">(Yield_Originals!$I259*Yield_Originals!V$1)/Yield_Originals!$K259</f>
        <v>0.121319489406804</v>
      </c>
      <c r="W259" s="101" t="n">
        <f aca="false">(Yield_Originals!$I259*Yield_Originals!W$1)/Yield_Originals!$K259</f>
        <v>0.124208048678395</v>
      </c>
      <c r="X259" s="102" t="n">
        <f aca="false">(Yield_Originals!$I259*Yield_Originals!X$1)/Yield_Originals!$K259</f>
        <v>0.127096607949985</v>
      </c>
      <c r="Y259" s="102" t="n">
        <f aca="false">(Yield_Originals!$I259*Yield_Originals!Y$1)/Yield_Originals!$K259</f>
        <v>0.129985167221576</v>
      </c>
      <c r="Z259" s="0"/>
      <c r="AA259" s="0"/>
      <c r="AB259" s="0"/>
    </row>
    <row r="260" customFormat="false" ht="15" hidden="false" customHeight="false" outlineLevel="0" collapsed="false">
      <c r="A260" s="64" t="s">
        <v>1113</v>
      </c>
      <c r="B260" s="64" t="n">
        <v>3</v>
      </c>
      <c r="C260" s="93" t="s">
        <v>139</v>
      </c>
      <c r="D260" s="93" t="s">
        <v>1221</v>
      </c>
      <c r="E260" s="94" t="n">
        <v>26</v>
      </c>
      <c r="F260" s="105" t="n">
        <f aca="false">Yield_Originals!G260</f>
        <v>0.148112988969661</v>
      </c>
      <c r="G260" s="96" t="n">
        <v>0.148112988969661</v>
      </c>
      <c r="H260" s="96" t="n">
        <v>0.148112988969661</v>
      </c>
      <c r="I260" s="96" t="n">
        <f aca="false">+(Yield_Originals!H260+Yield_Originals!J260)/2</f>
        <v>0.154056494484831</v>
      </c>
      <c r="J260" s="96" t="n">
        <v>0.16</v>
      </c>
      <c r="K260" s="97" t="n">
        <v>2</v>
      </c>
      <c r="L260" s="98"/>
      <c r="M260" s="98"/>
      <c r="N260" s="98"/>
      <c r="O260" s="98"/>
      <c r="P260" s="99" t="n">
        <f aca="false">(Yield_Originals!$H260*Yield_Originals!P$1)/Yield_Originals!$K260</f>
        <v>0.0999762675545212</v>
      </c>
      <c r="Q260" s="99" t="n">
        <f aca="false">(Yield_Originals!$H260*Yield_Originals!Q$1)/Yield_Originals!$K260</f>
        <v>0.102753386097702</v>
      </c>
      <c r="R260" s="99" t="n">
        <f aca="false">(Yield_Originals!$H260*Yield_Originals!R$1)/Yield_Originals!$K260</f>
        <v>0.105530504640884</v>
      </c>
      <c r="S260" s="99" t="n">
        <f aca="false">(Yield_Originals!$H260*Yield_Originals!S$1)/Yield_Originals!$K260</f>
        <v>0.108307623184065</v>
      </c>
      <c r="T260" s="101" t="n">
        <f aca="false">(Yield_Originals!$I260*Yield_Originals!T$1)/Yield_Originals!$K260</f>
        <v>0.115542370863623</v>
      </c>
      <c r="U260" s="101" t="n">
        <f aca="false">(Yield_Originals!$I260*Yield_Originals!U$1)/Yield_Originals!$K260</f>
        <v>0.118430930135213</v>
      </c>
      <c r="V260" s="101" t="n">
        <f aca="false">(Yield_Originals!$I260*Yield_Originals!V$1)/Yield_Originals!$K260</f>
        <v>0.121319489406804</v>
      </c>
      <c r="W260" s="101" t="n">
        <f aca="false">(Yield_Originals!$I260*Yield_Originals!W$1)/Yield_Originals!$K260</f>
        <v>0.124208048678395</v>
      </c>
      <c r="X260" s="102" t="n">
        <f aca="false">(Yield_Originals!$I260*Yield_Originals!X$1)/Yield_Originals!$K260</f>
        <v>0.127096607949985</v>
      </c>
      <c r="Y260" s="102" t="n">
        <f aca="false">(Yield_Originals!$I260*Yield_Originals!Y$1)/Yield_Originals!$K260</f>
        <v>0.129985167221576</v>
      </c>
      <c r="Z260" s="0"/>
      <c r="AA260" s="0"/>
      <c r="AB260" s="0"/>
    </row>
    <row r="261" customFormat="false" ht="15" hidden="false" customHeight="false" outlineLevel="0" collapsed="false">
      <c r="A261" s="64" t="s">
        <v>1113</v>
      </c>
      <c r="B261" s="64" t="n">
        <v>3</v>
      </c>
      <c r="C261" s="93" t="s">
        <v>139</v>
      </c>
      <c r="D261" s="93" t="s">
        <v>1221</v>
      </c>
      <c r="E261" s="94" t="n">
        <v>30</v>
      </c>
      <c r="F261" s="105" t="n">
        <f aca="false">Yield_Originals!G261</f>
        <v>0.148112988969661</v>
      </c>
      <c r="G261" s="96" t="n">
        <v>0.148112988969661</v>
      </c>
      <c r="H261" s="96" t="n">
        <v>0.148112988969661</v>
      </c>
      <c r="I261" s="96" t="n">
        <f aca="false">+(Yield_Originals!H261+Yield_Originals!J261)/2</f>
        <v>0.154056494484831</v>
      </c>
      <c r="J261" s="96" t="n">
        <v>0.16</v>
      </c>
      <c r="K261" s="97" t="n">
        <v>2</v>
      </c>
      <c r="L261" s="98"/>
      <c r="M261" s="98"/>
      <c r="N261" s="98"/>
      <c r="O261" s="98"/>
      <c r="P261" s="99" t="n">
        <f aca="false">(Yield_Originals!$H261*Yield_Originals!P$1)/Yield_Originals!$K261</f>
        <v>0.0999762675545212</v>
      </c>
      <c r="Q261" s="99" t="n">
        <f aca="false">(Yield_Originals!$H261*Yield_Originals!Q$1)/Yield_Originals!$K261</f>
        <v>0.102753386097702</v>
      </c>
      <c r="R261" s="99" t="n">
        <f aca="false">(Yield_Originals!$H261*Yield_Originals!R$1)/Yield_Originals!$K261</f>
        <v>0.105530504640884</v>
      </c>
      <c r="S261" s="99" t="n">
        <f aca="false">(Yield_Originals!$H261*Yield_Originals!S$1)/Yield_Originals!$K261</f>
        <v>0.108307623184065</v>
      </c>
      <c r="T261" s="101" t="n">
        <f aca="false">(Yield_Originals!$I261*Yield_Originals!T$1)/Yield_Originals!$K261</f>
        <v>0.115542370863623</v>
      </c>
      <c r="U261" s="101" t="n">
        <f aca="false">(Yield_Originals!$I261*Yield_Originals!U$1)/Yield_Originals!$K261</f>
        <v>0.118430930135213</v>
      </c>
      <c r="V261" s="101" t="n">
        <f aca="false">(Yield_Originals!$I261*Yield_Originals!V$1)/Yield_Originals!$K261</f>
        <v>0.121319489406804</v>
      </c>
      <c r="W261" s="101" t="n">
        <f aca="false">(Yield_Originals!$I261*Yield_Originals!W$1)/Yield_Originals!$K261</f>
        <v>0.124208048678395</v>
      </c>
      <c r="X261" s="102" t="n">
        <f aca="false">(Yield_Originals!$I261*Yield_Originals!X$1)/Yield_Originals!$K261</f>
        <v>0.127096607949985</v>
      </c>
      <c r="Y261" s="102" t="n">
        <f aca="false">(Yield_Originals!$I261*Yield_Originals!Y$1)/Yield_Originals!$K261</f>
        <v>0.129985167221576</v>
      </c>
      <c r="Z261" s="0"/>
      <c r="AA261" s="0"/>
      <c r="AB261" s="0"/>
    </row>
    <row r="262" customFormat="false" ht="15" hidden="false" customHeight="false" outlineLevel="0" collapsed="false">
      <c r="A262" s="64" t="s">
        <v>1113</v>
      </c>
      <c r="B262" s="64" t="n">
        <v>3</v>
      </c>
      <c r="C262" s="93" t="s">
        <v>139</v>
      </c>
      <c r="D262" s="93" t="s">
        <v>1221</v>
      </c>
      <c r="E262" s="94" t="n">
        <v>31</v>
      </c>
      <c r="F262" s="105" t="n">
        <f aca="false">Yield_Originals!G262</f>
        <v>0.148112988969661</v>
      </c>
      <c r="G262" s="96" t="n">
        <v>0.148112988969661</v>
      </c>
      <c r="H262" s="96" t="n">
        <v>0.148112988969661</v>
      </c>
      <c r="I262" s="96" t="n">
        <f aca="false">+(Yield_Originals!H262+Yield_Originals!J262)/2</f>
        <v>0.154056494484831</v>
      </c>
      <c r="J262" s="96" t="n">
        <v>0.16</v>
      </c>
      <c r="K262" s="97" t="n">
        <v>2</v>
      </c>
      <c r="L262" s="98"/>
      <c r="M262" s="98"/>
      <c r="N262" s="98"/>
      <c r="O262" s="98"/>
      <c r="P262" s="99" t="n">
        <f aca="false">(Yield_Originals!$H262*Yield_Originals!P$1)/Yield_Originals!$K262</f>
        <v>0.0999762675545212</v>
      </c>
      <c r="Q262" s="99" t="n">
        <f aca="false">(Yield_Originals!$H262*Yield_Originals!Q$1)/Yield_Originals!$K262</f>
        <v>0.102753386097702</v>
      </c>
      <c r="R262" s="99" t="n">
        <f aca="false">(Yield_Originals!$H262*Yield_Originals!R$1)/Yield_Originals!$K262</f>
        <v>0.105530504640884</v>
      </c>
      <c r="S262" s="99" t="n">
        <f aca="false">(Yield_Originals!$H262*Yield_Originals!S$1)/Yield_Originals!$K262</f>
        <v>0.108307623184065</v>
      </c>
      <c r="T262" s="101" t="n">
        <f aca="false">(Yield_Originals!$I262*Yield_Originals!T$1)/Yield_Originals!$K262</f>
        <v>0.115542370863623</v>
      </c>
      <c r="U262" s="101" t="n">
        <f aca="false">(Yield_Originals!$I262*Yield_Originals!U$1)/Yield_Originals!$K262</f>
        <v>0.118430930135213</v>
      </c>
      <c r="V262" s="101" t="n">
        <f aca="false">(Yield_Originals!$I262*Yield_Originals!V$1)/Yield_Originals!$K262</f>
        <v>0.121319489406804</v>
      </c>
      <c r="W262" s="101" t="n">
        <f aca="false">(Yield_Originals!$I262*Yield_Originals!W$1)/Yield_Originals!$K262</f>
        <v>0.124208048678395</v>
      </c>
      <c r="X262" s="102" t="n">
        <f aca="false">(Yield_Originals!$I262*Yield_Originals!X$1)/Yield_Originals!$K262</f>
        <v>0.127096607949985</v>
      </c>
      <c r="Y262" s="102" t="n">
        <f aca="false">(Yield_Originals!$I262*Yield_Originals!Y$1)/Yield_Originals!$K262</f>
        <v>0.129985167221576</v>
      </c>
      <c r="Z262" s="0"/>
      <c r="AA262" s="0"/>
      <c r="AB262" s="0"/>
    </row>
    <row r="263" customFormat="false" ht="15" hidden="false" customHeight="false" outlineLevel="0" collapsed="false">
      <c r="A263" s="64" t="s">
        <v>1113</v>
      </c>
      <c r="B263" s="64" t="n">
        <v>3</v>
      </c>
      <c r="C263" s="93" t="s">
        <v>260</v>
      </c>
      <c r="D263" s="93" t="s">
        <v>1221</v>
      </c>
      <c r="E263" s="94" t="n">
        <v>26</v>
      </c>
      <c r="F263" s="105" t="n">
        <f aca="false">Yield_Originals!G263</f>
        <v>0.148112988969661</v>
      </c>
      <c r="G263" s="96" t="n">
        <v>0.148112988969661</v>
      </c>
      <c r="H263" s="96" t="n">
        <v>0.148112988969661</v>
      </c>
      <c r="I263" s="96" t="n">
        <f aca="false">+(Yield_Originals!H263+Yield_Originals!J263)/2</f>
        <v>0.154056494484831</v>
      </c>
      <c r="J263" s="96" t="n">
        <v>0.16</v>
      </c>
      <c r="K263" s="97" t="n">
        <v>2</v>
      </c>
      <c r="L263" s="98"/>
      <c r="M263" s="98"/>
      <c r="N263" s="98"/>
      <c r="O263" s="98"/>
      <c r="P263" s="99" t="n">
        <f aca="false">(Yield_Originals!$H263*Yield_Originals!P$1)/Yield_Originals!$K263</f>
        <v>0.0999762675545212</v>
      </c>
      <c r="Q263" s="99" t="n">
        <f aca="false">(Yield_Originals!$H263*Yield_Originals!Q$1)/Yield_Originals!$K263</f>
        <v>0.102753386097702</v>
      </c>
      <c r="R263" s="99" t="n">
        <f aca="false">(Yield_Originals!$H263*Yield_Originals!R$1)/Yield_Originals!$K263</f>
        <v>0.105530504640884</v>
      </c>
      <c r="S263" s="99" t="n">
        <f aca="false">(Yield_Originals!$H263*Yield_Originals!S$1)/Yield_Originals!$K263</f>
        <v>0.108307623184065</v>
      </c>
      <c r="T263" s="101" t="n">
        <f aca="false">(Yield_Originals!$I263*Yield_Originals!T$1)/Yield_Originals!$K263</f>
        <v>0.115542370863623</v>
      </c>
      <c r="U263" s="101" t="n">
        <f aca="false">(Yield_Originals!$I263*Yield_Originals!U$1)/Yield_Originals!$K263</f>
        <v>0.118430930135213</v>
      </c>
      <c r="V263" s="101" t="n">
        <f aca="false">(Yield_Originals!$I263*Yield_Originals!V$1)/Yield_Originals!$K263</f>
        <v>0.121319489406804</v>
      </c>
      <c r="W263" s="101" t="n">
        <f aca="false">(Yield_Originals!$I263*Yield_Originals!W$1)/Yield_Originals!$K263</f>
        <v>0.124208048678395</v>
      </c>
      <c r="X263" s="102" t="n">
        <f aca="false">(Yield_Originals!$I263*Yield_Originals!X$1)/Yield_Originals!$K263</f>
        <v>0.127096607949985</v>
      </c>
      <c r="Y263" s="102" t="n">
        <f aca="false">(Yield_Originals!$I263*Yield_Originals!Y$1)/Yield_Originals!$K263</f>
        <v>0.129985167221576</v>
      </c>
      <c r="Z263" s="0"/>
      <c r="AA263" s="0"/>
      <c r="AB263" s="0"/>
    </row>
    <row r="264" customFormat="false" ht="15" hidden="false" customHeight="false" outlineLevel="0" collapsed="false">
      <c r="A264" s="64" t="s">
        <v>1113</v>
      </c>
      <c r="B264" s="64" t="n">
        <v>3</v>
      </c>
      <c r="C264" s="93" t="s">
        <v>260</v>
      </c>
      <c r="D264" s="93" t="s">
        <v>1221</v>
      </c>
      <c r="E264" s="94" t="n">
        <v>30</v>
      </c>
      <c r="F264" s="105" t="n">
        <f aca="false">Yield_Originals!G264</f>
        <v>0.148112988969661</v>
      </c>
      <c r="G264" s="96" t="n">
        <v>0.148112988969661</v>
      </c>
      <c r="H264" s="96" t="n">
        <v>0.148112988969661</v>
      </c>
      <c r="I264" s="96" t="n">
        <f aca="false">+(Yield_Originals!H264+Yield_Originals!J264)/2</f>
        <v>0.154056494484831</v>
      </c>
      <c r="J264" s="96" t="n">
        <v>0.16</v>
      </c>
      <c r="K264" s="97" t="n">
        <v>2</v>
      </c>
      <c r="L264" s="98"/>
      <c r="M264" s="98"/>
      <c r="N264" s="98"/>
      <c r="O264" s="98"/>
      <c r="P264" s="99" t="n">
        <f aca="false">(Yield_Originals!$H264*Yield_Originals!P$1)/Yield_Originals!$K264</f>
        <v>0.0999762675545212</v>
      </c>
      <c r="Q264" s="99" t="n">
        <f aca="false">(Yield_Originals!$H264*Yield_Originals!Q$1)/Yield_Originals!$K264</f>
        <v>0.102753386097702</v>
      </c>
      <c r="R264" s="99" t="n">
        <f aca="false">(Yield_Originals!$H264*Yield_Originals!R$1)/Yield_Originals!$K264</f>
        <v>0.105530504640884</v>
      </c>
      <c r="S264" s="99" t="n">
        <f aca="false">(Yield_Originals!$H264*Yield_Originals!S$1)/Yield_Originals!$K264</f>
        <v>0.108307623184065</v>
      </c>
      <c r="T264" s="101" t="n">
        <f aca="false">(Yield_Originals!$I264*Yield_Originals!T$1)/Yield_Originals!$K264</f>
        <v>0.115542370863623</v>
      </c>
      <c r="U264" s="101" t="n">
        <f aca="false">(Yield_Originals!$I264*Yield_Originals!U$1)/Yield_Originals!$K264</f>
        <v>0.118430930135213</v>
      </c>
      <c r="V264" s="101" t="n">
        <f aca="false">(Yield_Originals!$I264*Yield_Originals!V$1)/Yield_Originals!$K264</f>
        <v>0.121319489406804</v>
      </c>
      <c r="W264" s="101" t="n">
        <f aca="false">(Yield_Originals!$I264*Yield_Originals!W$1)/Yield_Originals!$K264</f>
        <v>0.124208048678395</v>
      </c>
      <c r="X264" s="102" t="n">
        <f aca="false">(Yield_Originals!$I264*Yield_Originals!X$1)/Yield_Originals!$K264</f>
        <v>0.127096607949985</v>
      </c>
      <c r="Y264" s="102" t="n">
        <f aca="false">(Yield_Originals!$I264*Yield_Originals!Y$1)/Yield_Originals!$K264</f>
        <v>0.129985167221576</v>
      </c>
      <c r="Z264" s="0"/>
      <c r="AA264" s="0"/>
      <c r="AB264" s="0"/>
    </row>
    <row r="265" customFormat="false" ht="15" hidden="false" customHeight="false" outlineLevel="0" collapsed="false">
      <c r="A265" s="64" t="s">
        <v>1113</v>
      </c>
      <c r="B265" s="64" t="n">
        <v>3</v>
      </c>
      <c r="C265" s="93" t="s">
        <v>260</v>
      </c>
      <c r="D265" s="93" t="s">
        <v>1221</v>
      </c>
      <c r="E265" s="94" t="n">
        <v>31</v>
      </c>
      <c r="F265" s="105" t="n">
        <f aca="false">Yield_Originals!G265</f>
        <v>0.148112988969661</v>
      </c>
      <c r="G265" s="96" t="n">
        <v>0.148112988969661</v>
      </c>
      <c r="H265" s="96" t="n">
        <v>0.148112988969661</v>
      </c>
      <c r="I265" s="96" t="n">
        <f aca="false">+(Yield_Originals!H265+Yield_Originals!J265)/2</f>
        <v>0.154056494484831</v>
      </c>
      <c r="J265" s="96" t="n">
        <v>0.16</v>
      </c>
      <c r="K265" s="97" t="n">
        <v>2</v>
      </c>
      <c r="L265" s="98"/>
      <c r="M265" s="98"/>
      <c r="N265" s="98"/>
      <c r="O265" s="98"/>
      <c r="P265" s="99" t="n">
        <f aca="false">(Yield_Originals!$H265*Yield_Originals!P$1)/Yield_Originals!$K265</f>
        <v>0.0999762675545212</v>
      </c>
      <c r="Q265" s="99" t="n">
        <f aca="false">(Yield_Originals!$H265*Yield_Originals!Q$1)/Yield_Originals!$K265</f>
        <v>0.102753386097702</v>
      </c>
      <c r="R265" s="99" t="n">
        <f aca="false">(Yield_Originals!$H265*Yield_Originals!R$1)/Yield_Originals!$K265</f>
        <v>0.105530504640884</v>
      </c>
      <c r="S265" s="99" t="n">
        <f aca="false">(Yield_Originals!$H265*Yield_Originals!S$1)/Yield_Originals!$K265</f>
        <v>0.108307623184065</v>
      </c>
      <c r="T265" s="101" t="n">
        <f aca="false">(Yield_Originals!$I265*Yield_Originals!T$1)/Yield_Originals!$K265</f>
        <v>0.115542370863623</v>
      </c>
      <c r="U265" s="101" t="n">
        <f aca="false">(Yield_Originals!$I265*Yield_Originals!U$1)/Yield_Originals!$K265</f>
        <v>0.118430930135213</v>
      </c>
      <c r="V265" s="101" t="n">
        <f aca="false">(Yield_Originals!$I265*Yield_Originals!V$1)/Yield_Originals!$K265</f>
        <v>0.121319489406804</v>
      </c>
      <c r="W265" s="101" t="n">
        <f aca="false">(Yield_Originals!$I265*Yield_Originals!W$1)/Yield_Originals!$K265</f>
        <v>0.124208048678395</v>
      </c>
      <c r="X265" s="102" t="n">
        <f aca="false">(Yield_Originals!$I265*Yield_Originals!X$1)/Yield_Originals!$K265</f>
        <v>0.127096607949985</v>
      </c>
      <c r="Y265" s="102" t="n">
        <f aca="false">(Yield_Originals!$I265*Yield_Originals!Y$1)/Yield_Originals!$K265</f>
        <v>0.129985167221576</v>
      </c>
      <c r="Z265" s="0"/>
      <c r="AA265" s="0"/>
      <c r="AB265" s="0"/>
    </row>
    <row r="266" customFormat="false" ht="15" hidden="false" customHeight="false" outlineLevel="0" collapsed="false">
      <c r="A266" s="64" t="s">
        <v>1113</v>
      </c>
      <c r="B266" s="64" t="n">
        <v>3</v>
      </c>
      <c r="C266" s="93" t="s">
        <v>140</v>
      </c>
      <c r="D266" s="93" t="s">
        <v>1225</v>
      </c>
      <c r="E266" s="94" t="n">
        <v>26</v>
      </c>
      <c r="F266" s="105" t="n">
        <f aca="false">Yield_Originals!G266</f>
        <v>0.148112988969661</v>
      </c>
      <c r="G266" s="96" t="n">
        <v>0.148112988969661</v>
      </c>
      <c r="H266" s="96" t="n">
        <v>0.148112988969661</v>
      </c>
      <c r="I266" s="96" t="n">
        <f aca="false">+(Yield_Originals!H266+Yield_Originals!J266)/2</f>
        <v>0.154056494484831</v>
      </c>
      <c r="J266" s="96" t="n">
        <v>0.16</v>
      </c>
      <c r="K266" s="97" t="n">
        <v>2</v>
      </c>
      <c r="L266" s="98"/>
      <c r="M266" s="98"/>
      <c r="N266" s="98"/>
      <c r="O266" s="98"/>
      <c r="P266" s="99" t="n">
        <f aca="false">(Yield_Originals!$H266*Yield_Originals!P$1)/Yield_Originals!$K266</f>
        <v>0.0999762675545212</v>
      </c>
      <c r="Q266" s="99" t="n">
        <f aca="false">(Yield_Originals!$H266*Yield_Originals!Q$1)/Yield_Originals!$K266</f>
        <v>0.102753386097702</v>
      </c>
      <c r="R266" s="99" t="n">
        <f aca="false">(Yield_Originals!$H266*Yield_Originals!R$1)/Yield_Originals!$K266</f>
        <v>0.105530504640884</v>
      </c>
      <c r="S266" s="99" t="n">
        <f aca="false">(Yield_Originals!$H266*Yield_Originals!S$1)/Yield_Originals!$K266</f>
        <v>0.108307623184065</v>
      </c>
      <c r="T266" s="101" t="n">
        <f aca="false">(Yield_Originals!$I266*Yield_Originals!T$1)/Yield_Originals!$K266</f>
        <v>0.115542370863623</v>
      </c>
      <c r="U266" s="101" t="n">
        <f aca="false">(Yield_Originals!$I266*Yield_Originals!U$1)/Yield_Originals!$K266</f>
        <v>0.118430930135213</v>
      </c>
      <c r="V266" s="101" t="n">
        <f aca="false">(Yield_Originals!$I266*Yield_Originals!V$1)/Yield_Originals!$K266</f>
        <v>0.121319489406804</v>
      </c>
      <c r="W266" s="101" t="n">
        <f aca="false">(Yield_Originals!$I266*Yield_Originals!W$1)/Yield_Originals!$K266</f>
        <v>0.124208048678395</v>
      </c>
      <c r="X266" s="102" t="n">
        <f aca="false">(Yield_Originals!$I266*Yield_Originals!X$1)/Yield_Originals!$K266</f>
        <v>0.127096607949985</v>
      </c>
      <c r="Y266" s="102" t="n">
        <f aca="false">(Yield_Originals!$I266*Yield_Originals!Y$1)/Yield_Originals!$K266</f>
        <v>0.129985167221576</v>
      </c>
      <c r="Z266" s="0"/>
      <c r="AA266" s="0"/>
      <c r="AB266" s="0"/>
    </row>
    <row r="267" customFormat="false" ht="15" hidden="false" customHeight="false" outlineLevel="0" collapsed="false">
      <c r="A267" s="64" t="s">
        <v>1113</v>
      </c>
      <c r="B267" s="64" t="n">
        <v>3</v>
      </c>
      <c r="C267" s="93" t="s">
        <v>140</v>
      </c>
      <c r="D267" s="93" t="s">
        <v>1225</v>
      </c>
      <c r="E267" s="94" t="n">
        <v>30</v>
      </c>
      <c r="F267" s="105" t="n">
        <f aca="false">Yield_Originals!G267</f>
        <v>0.148112988969661</v>
      </c>
      <c r="G267" s="96" t="n">
        <v>0.148112988969661</v>
      </c>
      <c r="H267" s="96" t="n">
        <v>0.148112988969661</v>
      </c>
      <c r="I267" s="96" t="n">
        <f aca="false">+(Yield_Originals!H267+Yield_Originals!J267)/2</f>
        <v>0.154056494484831</v>
      </c>
      <c r="J267" s="96" t="n">
        <v>0.16</v>
      </c>
      <c r="K267" s="97" t="n">
        <v>2</v>
      </c>
      <c r="L267" s="98"/>
      <c r="M267" s="98"/>
      <c r="N267" s="98"/>
      <c r="O267" s="98"/>
      <c r="P267" s="99" t="n">
        <f aca="false">(Yield_Originals!$H267*Yield_Originals!P$1)/Yield_Originals!$K267</f>
        <v>0.0999762675545212</v>
      </c>
      <c r="Q267" s="99" t="n">
        <f aca="false">(Yield_Originals!$H267*Yield_Originals!Q$1)/Yield_Originals!$K267</f>
        <v>0.102753386097702</v>
      </c>
      <c r="R267" s="99" t="n">
        <f aca="false">(Yield_Originals!$H267*Yield_Originals!R$1)/Yield_Originals!$K267</f>
        <v>0.105530504640884</v>
      </c>
      <c r="S267" s="99" t="n">
        <f aca="false">(Yield_Originals!$H267*Yield_Originals!S$1)/Yield_Originals!$K267</f>
        <v>0.108307623184065</v>
      </c>
      <c r="T267" s="101" t="n">
        <f aca="false">(Yield_Originals!$I267*Yield_Originals!T$1)/Yield_Originals!$K267</f>
        <v>0.115542370863623</v>
      </c>
      <c r="U267" s="101" t="n">
        <f aca="false">(Yield_Originals!$I267*Yield_Originals!U$1)/Yield_Originals!$K267</f>
        <v>0.118430930135213</v>
      </c>
      <c r="V267" s="101" t="n">
        <f aca="false">(Yield_Originals!$I267*Yield_Originals!V$1)/Yield_Originals!$K267</f>
        <v>0.121319489406804</v>
      </c>
      <c r="W267" s="101" t="n">
        <f aca="false">(Yield_Originals!$I267*Yield_Originals!W$1)/Yield_Originals!$K267</f>
        <v>0.124208048678395</v>
      </c>
      <c r="X267" s="102" t="n">
        <f aca="false">(Yield_Originals!$I267*Yield_Originals!X$1)/Yield_Originals!$K267</f>
        <v>0.127096607949985</v>
      </c>
      <c r="Y267" s="102" t="n">
        <f aca="false">(Yield_Originals!$I267*Yield_Originals!Y$1)/Yield_Originals!$K267</f>
        <v>0.129985167221576</v>
      </c>
      <c r="Z267" s="0"/>
      <c r="AA267" s="0"/>
      <c r="AB267" s="0"/>
    </row>
    <row r="268" customFormat="false" ht="15" hidden="false" customHeight="false" outlineLevel="0" collapsed="false">
      <c r="A268" s="64" t="s">
        <v>1113</v>
      </c>
      <c r="B268" s="64" t="n">
        <v>3</v>
      </c>
      <c r="C268" s="93" t="s">
        <v>140</v>
      </c>
      <c r="D268" s="93" t="s">
        <v>1225</v>
      </c>
      <c r="E268" s="94" t="n">
        <v>31</v>
      </c>
      <c r="F268" s="105" t="n">
        <f aca="false">Yield_Originals!G268</f>
        <v>0.148112988969661</v>
      </c>
      <c r="G268" s="96" t="n">
        <v>0.148112988969661</v>
      </c>
      <c r="H268" s="96" t="n">
        <v>0.148112988969661</v>
      </c>
      <c r="I268" s="96" t="n">
        <f aca="false">+(Yield_Originals!H268+Yield_Originals!J268)/2</f>
        <v>0.154056494484831</v>
      </c>
      <c r="J268" s="96" t="n">
        <v>0.16</v>
      </c>
      <c r="K268" s="97" t="n">
        <v>2</v>
      </c>
      <c r="L268" s="98"/>
      <c r="M268" s="98"/>
      <c r="N268" s="98"/>
      <c r="O268" s="98"/>
      <c r="P268" s="99" t="n">
        <f aca="false">(Yield_Originals!$H268*Yield_Originals!P$1)/Yield_Originals!$K268</f>
        <v>0.0999762675545212</v>
      </c>
      <c r="Q268" s="99" t="n">
        <f aca="false">(Yield_Originals!$H268*Yield_Originals!Q$1)/Yield_Originals!$K268</f>
        <v>0.102753386097702</v>
      </c>
      <c r="R268" s="99" t="n">
        <f aca="false">(Yield_Originals!$H268*Yield_Originals!R$1)/Yield_Originals!$K268</f>
        <v>0.105530504640884</v>
      </c>
      <c r="S268" s="99" t="n">
        <f aca="false">(Yield_Originals!$H268*Yield_Originals!S$1)/Yield_Originals!$K268</f>
        <v>0.108307623184065</v>
      </c>
      <c r="T268" s="101" t="n">
        <f aca="false">(Yield_Originals!$I268*Yield_Originals!T$1)/Yield_Originals!$K268</f>
        <v>0.115542370863623</v>
      </c>
      <c r="U268" s="101" t="n">
        <f aca="false">(Yield_Originals!$I268*Yield_Originals!U$1)/Yield_Originals!$K268</f>
        <v>0.118430930135213</v>
      </c>
      <c r="V268" s="101" t="n">
        <f aca="false">(Yield_Originals!$I268*Yield_Originals!V$1)/Yield_Originals!$K268</f>
        <v>0.121319489406804</v>
      </c>
      <c r="W268" s="101" t="n">
        <f aca="false">(Yield_Originals!$I268*Yield_Originals!W$1)/Yield_Originals!$K268</f>
        <v>0.124208048678395</v>
      </c>
      <c r="X268" s="102" t="n">
        <f aca="false">(Yield_Originals!$I268*Yield_Originals!X$1)/Yield_Originals!$K268</f>
        <v>0.127096607949985</v>
      </c>
      <c r="Y268" s="102" t="n">
        <f aca="false">(Yield_Originals!$I268*Yield_Originals!Y$1)/Yield_Originals!$K268</f>
        <v>0.129985167221576</v>
      </c>
      <c r="Z268" s="0"/>
      <c r="AA268" s="0"/>
      <c r="AB268" s="0"/>
    </row>
    <row r="269" customFormat="false" ht="15" hidden="false" customHeight="false" outlineLevel="0" collapsed="false">
      <c r="A269" s="64" t="s">
        <v>1113</v>
      </c>
      <c r="B269" s="64" t="n">
        <v>3</v>
      </c>
      <c r="C269" s="93" t="s">
        <v>261</v>
      </c>
      <c r="D269" s="93" t="s">
        <v>1227</v>
      </c>
      <c r="E269" s="94" t="n">
        <v>26</v>
      </c>
      <c r="F269" s="105" t="n">
        <f aca="false">Yield_Originals!G269</f>
        <v>0.148112988969661</v>
      </c>
      <c r="G269" s="96" t="n">
        <v>0.148112988969661</v>
      </c>
      <c r="H269" s="96" t="n">
        <v>0.148112988969661</v>
      </c>
      <c r="I269" s="96" t="n">
        <f aca="false">+(Yield_Originals!H269+Yield_Originals!J269)/2</f>
        <v>0.154056494484831</v>
      </c>
      <c r="J269" s="96" t="n">
        <v>0.16</v>
      </c>
      <c r="K269" s="97" t="n">
        <v>2</v>
      </c>
      <c r="L269" s="98"/>
      <c r="M269" s="98"/>
      <c r="N269" s="98"/>
      <c r="O269" s="98"/>
      <c r="P269" s="99" t="n">
        <f aca="false">(Yield_Originals!$H269*Yield_Originals!P$1)/Yield_Originals!$K269</f>
        <v>0.0999762675545212</v>
      </c>
      <c r="Q269" s="99" t="n">
        <f aca="false">(Yield_Originals!$H269*Yield_Originals!Q$1)/Yield_Originals!$K269</f>
        <v>0.102753386097702</v>
      </c>
      <c r="R269" s="99" t="n">
        <f aca="false">(Yield_Originals!$H269*Yield_Originals!R$1)/Yield_Originals!$K269</f>
        <v>0.105530504640884</v>
      </c>
      <c r="S269" s="99" t="n">
        <f aca="false">(Yield_Originals!$H269*Yield_Originals!S$1)/Yield_Originals!$K269</f>
        <v>0.108307623184065</v>
      </c>
      <c r="T269" s="101" t="n">
        <f aca="false">(Yield_Originals!$I269*Yield_Originals!T$1)/Yield_Originals!$K269</f>
        <v>0.115542370863623</v>
      </c>
      <c r="U269" s="101" t="n">
        <f aca="false">(Yield_Originals!$I269*Yield_Originals!U$1)/Yield_Originals!$K269</f>
        <v>0.118430930135213</v>
      </c>
      <c r="V269" s="101" t="n">
        <f aca="false">(Yield_Originals!$I269*Yield_Originals!V$1)/Yield_Originals!$K269</f>
        <v>0.121319489406804</v>
      </c>
      <c r="W269" s="101" t="n">
        <f aca="false">(Yield_Originals!$I269*Yield_Originals!W$1)/Yield_Originals!$K269</f>
        <v>0.124208048678395</v>
      </c>
      <c r="X269" s="102" t="n">
        <f aca="false">(Yield_Originals!$I269*Yield_Originals!X$1)/Yield_Originals!$K269</f>
        <v>0.127096607949985</v>
      </c>
      <c r="Y269" s="102" t="n">
        <f aca="false">(Yield_Originals!$I269*Yield_Originals!Y$1)/Yield_Originals!$K269</f>
        <v>0.129985167221576</v>
      </c>
      <c r="Z269" s="0"/>
      <c r="AA269" s="0"/>
      <c r="AB269" s="0"/>
    </row>
    <row r="270" customFormat="false" ht="15" hidden="false" customHeight="false" outlineLevel="0" collapsed="false">
      <c r="A270" s="64" t="s">
        <v>1113</v>
      </c>
      <c r="B270" s="64" t="n">
        <v>3</v>
      </c>
      <c r="C270" s="93" t="s">
        <v>261</v>
      </c>
      <c r="D270" s="93" t="s">
        <v>1227</v>
      </c>
      <c r="E270" s="94" t="n">
        <v>30</v>
      </c>
      <c r="F270" s="105" t="n">
        <f aca="false">Yield_Originals!G270</f>
        <v>0.148112988969661</v>
      </c>
      <c r="G270" s="96" t="n">
        <v>0.148112988969661</v>
      </c>
      <c r="H270" s="96" t="n">
        <v>0.148112988969661</v>
      </c>
      <c r="I270" s="96" t="n">
        <f aca="false">+(Yield_Originals!H270+Yield_Originals!J270)/2</f>
        <v>0.154056494484831</v>
      </c>
      <c r="J270" s="96" t="n">
        <v>0.16</v>
      </c>
      <c r="K270" s="97" t="n">
        <v>2</v>
      </c>
      <c r="L270" s="98"/>
      <c r="M270" s="98"/>
      <c r="N270" s="98"/>
      <c r="O270" s="98"/>
      <c r="P270" s="99" t="n">
        <f aca="false">(Yield_Originals!$H270*Yield_Originals!P$1)/Yield_Originals!$K270</f>
        <v>0.0999762675545212</v>
      </c>
      <c r="Q270" s="99" t="n">
        <f aca="false">(Yield_Originals!$H270*Yield_Originals!Q$1)/Yield_Originals!$K270</f>
        <v>0.102753386097702</v>
      </c>
      <c r="R270" s="99" t="n">
        <f aca="false">(Yield_Originals!$H270*Yield_Originals!R$1)/Yield_Originals!$K270</f>
        <v>0.105530504640884</v>
      </c>
      <c r="S270" s="99" t="n">
        <f aca="false">(Yield_Originals!$H270*Yield_Originals!S$1)/Yield_Originals!$K270</f>
        <v>0.108307623184065</v>
      </c>
      <c r="T270" s="101" t="n">
        <f aca="false">(Yield_Originals!$I270*Yield_Originals!T$1)/Yield_Originals!$K270</f>
        <v>0.115542370863623</v>
      </c>
      <c r="U270" s="101" t="n">
        <f aca="false">(Yield_Originals!$I270*Yield_Originals!U$1)/Yield_Originals!$K270</f>
        <v>0.118430930135213</v>
      </c>
      <c r="V270" s="101" t="n">
        <f aca="false">(Yield_Originals!$I270*Yield_Originals!V$1)/Yield_Originals!$K270</f>
        <v>0.121319489406804</v>
      </c>
      <c r="W270" s="101" t="n">
        <f aca="false">(Yield_Originals!$I270*Yield_Originals!W$1)/Yield_Originals!$K270</f>
        <v>0.124208048678395</v>
      </c>
      <c r="X270" s="102" t="n">
        <f aca="false">(Yield_Originals!$I270*Yield_Originals!X$1)/Yield_Originals!$K270</f>
        <v>0.127096607949985</v>
      </c>
      <c r="Y270" s="102" t="n">
        <f aca="false">(Yield_Originals!$I270*Yield_Originals!Y$1)/Yield_Originals!$K270</f>
        <v>0.129985167221576</v>
      </c>
      <c r="Z270" s="0"/>
      <c r="AA270" s="0"/>
      <c r="AB270" s="0"/>
    </row>
    <row r="271" customFormat="false" ht="15" hidden="false" customHeight="false" outlineLevel="0" collapsed="false">
      <c r="A271" s="64" t="s">
        <v>1113</v>
      </c>
      <c r="B271" s="64" t="n">
        <v>3</v>
      </c>
      <c r="C271" s="93" t="s">
        <v>261</v>
      </c>
      <c r="D271" s="93" t="s">
        <v>1227</v>
      </c>
      <c r="E271" s="94" t="n">
        <v>31</v>
      </c>
      <c r="F271" s="105" t="n">
        <f aca="false">Yield_Originals!G271</f>
        <v>0.148112988969661</v>
      </c>
      <c r="G271" s="96" t="n">
        <v>0.148112988969661</v>
      </c>
      <c r="H271" s="96" t="n">
        <v>0.148112988969661</v>
      </c>
      <c r="I271" s="96" t="n">
        <f aca="false">+(Yield_Originals!H271+Yield_Originals!J271)/2</f>
        <v>0.154056494484831</v>
      </c>
      <c r="J271" s="96" t="n">
        <v>0.16</v>
      </c>
      <c r="K271" s="97" t="n">
        <v>2</v>
      </c>
      <c r="L271" s="98"/>
      <c r="M271" s="98"/>
      <c r="N271" s="98"/>
      <c r="O271" s="98"/>
      <c r="P271" s="99" t="n">
        <f aca="false">(Yield_Originals!$H271*Yield_Originals!P$1)/Yield_Originals!$K271</f>
        <v>0.0999762675545212</v>
      </c>
      <c r="Q271" s="99" t="n">
        <f aca="false">(Yield_Originals!$H271*Yield_Originals!Q$1)/Yield_Originals!$K271</f>
        <v>0.102753386097702</v>
      </c>
      <c r="R271" s="99" t="n">
        <f aca="false">(Yield_Originals!$H271*Yield_Originals!R$1)/Yield_Originals!$K271</f>
        <v>0.105530504640884</v>
      </c>
      <c r="S271" s="99" t="n">
        <f aca="false">(Yield_Originals!$H271*Yield_Originals!S$1)/Yield_Originals!$K271</f>
        <v>0.108307623184065</v>
      </c>
      <c r="T271" s="101" t="n">
        <f aca="false">(Yield_Originals!$I271*Yield_Originals!T$1)/Yield_Originals!$K271</f>
        <v>0.115542370863623</v>
      </c>
      <c r="U271" s="101" t="n">
        <f aca="false">(Yield_Originals!$I271*Yield_Originals!U$1)/Yield_Originals!$K271</f>
        <v>0.118430930135213</v>
      </c>
      <c r="V271" s="101" t="n">
        <f aca="false">(Yield_Originals!$I271*Yield_Originals!V$1)/Yield_Originals!$K271</f>
        <v>0.121319489406804</v>
      </c>
      <c r="W271" s="101" t="n">
        <f aca="false">(Yield_Originals!$I271*Yield_Originals!W$1)/Yield_Originals!$K271</f>
        <v>0.124208048678395</v>
      </c>
      <c r="X271" s="102" t="n">
        <f aca="false">(Yield_Originals!$I271*Yield_Originals!X$1)/Yield_Originals!$K271</f>
        <v>0.127096607949985</v>
      </c>
      <c r="Y271" s="102" t="n">
        <f aca="false">(Yield_Originals!$I271*Yield_Originals!Y$1)/Yield_Originals!$K271</f>
        <v>0.129985167221576</v>
      </c>
      <c r="Z271" s="0"/>
      <c r="AA271" s="0"/>
      <c r="AB271" s="0"/>
    </row>
    <row r="272" customFormat="false" ht="15" hidden="false" customHeight="false" outlineLevel="0" collapsed="false">
      <c r="A272" s="64" t="s">
        <v>1113</v>
      </c>
      <c r="B272" s="64" t="n">
        <v>3</v>
      </c>
      <c r="C272" s="93" t="s">
        <v>525</v>
      </c>
      <c r="D272" s="93" t="s">
        <v>1231</v>
      </c>
      <c r="E272" s="94" t="n">
        <v>26</v>
      </c>
      <c r="F272" s="105" t="n">
        <f aca="false">Yield_Originals!G272</f>
        <v>0.148112988969661</v>
      </c>
      <c r="G272" s="96" t="n">
        <v>0.148112988969661</v>
      </c>
      <c r="H272" s="96" t="n">
        <v>0.148112988969661</v>
      </c>
      <c r="I272" s="96" t="n">
        <f aca="false">+(Yield_Originals!H272+Yield_Originals!J272)/2</f>
        <v>0.154056494484831</v>
      </c>
      <c r="J272" s="96" t="n">
        <v>0.16</v>
      </c>
      <c r="K272" s="97" t="n">
        <v>2</v>
      </c>
      <c r="L272" s="98"/>
      <c r="M272" s="98"/>
      <c r="N272" s="98"/>
      <c r="O272" s="98"/>
      <c r="P272" s="99" t="n">
        <f aca="false">(Yield_Originals!$H272*Yield_Originals!P$1)/Yield_Originals!$K272</f>
        <v>0.0999762675545212</v>
      </c>
      <c r="Q272" s="99" t="n">
        <f aca="false">(Yield_Originals!$H272*Yield_Originals!Q$1)/Yield_Originals!$K272</f>
        <v>0.102753386097702</v>
      </c>
      <c r="R272" s="99" t="n">
        <f aca="false">(Yield_Originals!$H272*Yield_Originals!R$1)/Yield_Originals!$K272</f>
        <v>0.105530504640884</v>
      </c>
      <c r="S272" s="99" t="n">
        <f aca="false">(Yield_Originals!$H272*Yield_Originals!S$1)/Yield_Originals!$K272</f>
        <v>0.108307623184065</v>
      </c>
      <c r="T272" s="101" t="n">
        <f aca="false">(Yield_Originals!$I272*Yield_Originals!T$1)/Yield_Originals!$K272</f>
        <v>0.115542370863623</v>
      </c>
      <c r="U272" s="101" t="n">
        <f aca="false">(Yield_Originals!$I272*Yield_Originals!U$1)/Yield_Originals!$K272</f>
        <v>0.118430930135213</v>
      </c>
      <c r="V272" s="101" t="n">
        <f aca="false">(Yield_Originals!$I272*Yield_Originals!V$1)/Yield_Originals!$K272</f>
        <v>0.121319489406804</v>
      </c>
      <c r="W272" s="101" t="n">
        <f aca="false">(Yield_Originals!$I272*Yield_Originals!W$1)/Yield_Originals!$K272</f>
        <v>0.124208048678395</v>
      </c>
      <c r="X272" s="102" t="n">
        <f aca="false">(Yield_Originals!$I272*Yield_Originals!X$1)/Yield_Originals!$K272</f>
        <v>0.127096607949985</v>
      </c>
      <c r="Y272" s="102" t="n">
        <f aca="false">(Yield_Originals!$I272*Yield_Originals!Y$1)/Yield_Originals!$K272</f>
        <v>0.129985167221576</v>
      </c>
      <c r="Z272" s="0"/>
      <c r="AA272" s="0"/>
      <c r="AB272" s="0"/>
    </row>
    <row r="273" customFormat="false" ht="15" hidden="false" customHeight="false" outlineLevel="0" collapsed="false">
      <c r="A273" s="64" t="s">
        <v>1113</v>
      </c>
      <c r="B273" s="64" t="n">
        <v>3</v>
      </c>
      <c r="C273" s="93" t="s">
        <v>525</v>
      </c>
      <c r="D273" s="93" t="s">
        <v>1231</v>
      </c>
      <c r="E273" s="94" t="n">
        <v>30</v>
      </c>
      <c r="F273" s="105" t="n">
        <f aca="false">Yield_Originals!G273</f>
        <v>0.148112988969661</v>
      </c>
      <c r="G273" s="96" t="n">
        <v>0.148112988969661</v>
      </c>
      <c r="H273" s="96" t="n">
        <v>0.148112988969661</v>
      </c>
      <c r="I273" s="96" t="n">
        <f aca="false">+(Yield_Originals!H273+Yield_Originals!J273)/2</f>
        <v>0.154056494484831</v>
      </c>
      <c r="J273" s="96" t="n">
        <v>0.16</v>
      </c>
      <c r="K273" s="97" t="n">
        <v>2</v>
      </c>
      <c r="L273" s="98"/>
      <c r="M273" s="98"/>
      <c r="N273" s="98"/>
      <c r="O273" s="98"/>
      <c r="P273" s="99" t="n">
        <f aca="false">(Yield_Originals!$H273*Yield_Originals!P$1)/Yield_Originals!$K273</f>
        <v>0.0999762675545212</v>
      </c>
      <c r="Q273" s="99" t="n">
        <f aca="false">(Yield_Originals!$H273*Yield_Originals!Q$1)/Yield_Originals!$K273</f>
        <v>0.102753386097702</v>
      </c>
      <c r="R273" s="99" t="n">
        <f aca="false">(Yield_Originals!$H273*Yield_Originals!R$1)/Yield_Originals!$K273</f>
        <v>0.105530504640884</v>
      </c>
      <c r="S273" s="99" t="n">
        <f aca="false">(Yield_Originals!$H273*Yield_Originals!S$1)/Yield_Originals!$K273</f>
        <v>0.108307623184065</v>
      </c>
      <c r="T273" s="101" t="n">
        <f aca="false">(Yield_Originals!$I273*Yield_Originals!T$1)/Yield_Originals!$K273</f>
        <v>0.115542370863623</v>
      </c>
      <c r="U273" s="101" t="n">
        <f aca="false">(Yield_Originals!$I273*Yield_Originals!U$1)/Yield_Originals!$K273</f>
        <v>0.118430930135213</v>
      </c>
      <c r="V273" s="101" t="n">
        <f aca="false">(Yield_Originals!$I273*Yield_Originals!V$1)/Yield_Originals!$K273</f>
        <v>0.121319489406804</v>
      </c>
      <c r="W273" s="101" t="n">
        <f aca="false">(Yield_Originals!$I273*Yield_Originals!W$1)/Yield_Originals!$K273</f>
        <v>0.124208048678395</v>
      </c>
      <c r="X273" s="102" t="n">
        <f aca="false">(Yield_Originals!$I273*Yield_Originals!X$1)/Yield_Originals!$K273</f>
        <v>0.127096607949985</v>
      </c>
      <c r="Y273" s="102" t="n">
        <f aca="false">(Yield_Originals!$I273*Yield_Originals!Y$1)/Yield_Originals!$K273</f>
        <v>0.129985167221576</v>
      </c>
      <c r="Z273" s="0"/>
      <c r="AA273" s="0"/>
      <c r="AB273" s="0"/>
    </row>
    <row r="274" customFormat="false" ht="15" hidden="false" customHeight="false" outlineLevel="0" collapsed="false">
      <c r="A274" s="64" t="s">
        <v>1113</v>
      </c>
      <c r="B274" s="64" t="n">
        <v>3</v>
      </c>
      <c r="C274" s="93" t="s">
        <v>525</v>
      </c>
      <c r="D274" s="93" t="s">
        <v>1231</v>
      </c>
      <c r="E274" s="94" t="n">
        <v>31</v>
      </c>
      <c r="F274" s="105" t="n">
        <f aca="false">Yield_Originals!G274</f>
        <v>0.148112988969661</v>
      </c>
      <c r="G274" s="96" t="n">
        <v>0.148112988969661</v>
      </c>
      <c r="H274" s="96" t="n">
        <v>0.148112988969661</v>
      </c>
      <c r="I274" s="96" t="n">
        <f aca="false">+(Yield_Originals!H274+Yield_Originals!J274)/2</f>
        <v>0.154056494484831</v>
      </c>
      <c r="J274" s="96" t="n">
        <v>0.16</v>
      </c>
      <c r="K274" s="97" t="n">
        <v>2</v>
      </c>
      <c r="L274" s="98"/>
      <c r="M274" s="98"/>
      <c r="N274" s="98"/>
      <c r="O274" s="98"/>
      <c r="P274" s="99" t="n">
        <f aca="false">(Yield_Originals!$H274*Yield_Originals!P$1)/Yield_Originals!$K274</f>
        <v>0.0999762675545212</v>
      </c>
      <c r="Q274" s="99" t="n">
        <f aca="false">(Yield_Originals!$H274*Yield_Originals!Q$1)/Yield_Originals!$K274</f>
        <v>0.102753386097702</v>
      </c>
      <c r="R274" s="99" t="n">
        <f aca="false">(Yield_Originals!$H274*Yield_Originals!R$1)/Yield_Originals!$K274</f>
        <v>0.105530504640884</v>
      </c>
      <c r="S274" s="99" t="n">
        <f aca="false">(Yield_Originals!$H274*Yield_Originals!S$1)/Yield_Originals!$K274</f>
        <v>0.108307623184065</v>
      </c>
      <c r="T274" s="101" t="n">
        <f aca="false">(Yield_Originals!$I274*Yield_Originals!T$1)/Yield_Originals!$K274</f>
        <v>0.115542370863623</v>
      </c>
      <c r="U274" s="101" t="n">
        <f aca="false">(Yield_Originals!$I274*Yield_Originals!U$1)/Yield_Originals!$K274</f>
        <v>0.118430930135213</v>
      </c>
      <c r="V274" s="101" t="n">
        <f aca="false">(Yield_Originals!$I274*Yield_Originals!V$1)/Yield_Originals!$K274</f>
        <v>0.121319489406804</v>
      </c>
      <c r="W274" s="101" t="n">
        <f aca="false">(Yield_Originals!$I274*Yield_Originals!W$1)/Yield_Originals!$K274</f>
        <v>0.124208048678395</v>
      </c>
      <c r="X274" s="102" t="n">
        <f aca="false">(Yield_Originals!$I274*Yield_Originals!X$1)/Yield_Originals!$K274</f>
        <v>0.127096607949985</v>
      </c>
      <c r="Y274" s="102" t="n">
        <f aca="false">(Yield_Originals!$I274*Yield_Originals!Y$1)/Yield_Originals!$K274</f>
        <v>0.129985167221576</v>
      </c>
      <c r="Z274" s="0"/>
      <c r="AA274" s="0"/>
      <c r="AB274" s="0"/>
    </row>
    <row r="275" customFormat="false" ht="15" hidden="false" customHeight="false" outlineLevel="0" collapsed="false">
      <c r="A275" s="64" t="s">
        <v>1113</v>
      </c>
      <c r="B275" s="64" t="n">
        <v>3</v>
      </c>
      <c r="C275" s="93" t="s">
        <v>262</v>
      </c>
      <c r="D275" s="93" t="s">
        <v>1231</v>
      </c>
      <c r="E275" s="94" t="n">
        <v>26</v>
      </c>
      <c r="F275" s="105" t="n">
        <f aca="false">Yield_Originals!G275</f>
        <v>0.148112988969661</v>
      </c>
      <c r="G275" s="96" t="n">
        <v>0.148112988969661</v>
      </c>
      <c r="H275" s="96" t="n">
        <v>0.148112988969661</v>
      </c>
      <c r="I275" s="96" t="n">
        <f aca="false">+(Yield_Originals!H275+Yield_Originals!J275)/2</f>
        <v>0.154056494484831</v>
      </c>
      <c r="J275" s="96" t="n">
        <v>0.16</v>
      </c>
      <c r="K275" s="97" t="n">
        <v>2</v>
      </c>
      <c r="L275" s="98"/>
      <c r="M275" s="98"/>
      <c r="N275" s="98"/>
      <c r="O275" s="98"/>
      <c r="P275" s="99" t="n">
        <f aca="false">(Yield_Originals!$H275*Yield_Originals!P$1)/Yield_Originals!$K275</f>
        <v>0.0999762675545212</v>
      </c>
      <c r="Q275" s="99" t="n">
        <f aca="false">(Yield_Originals!$H275*Yield_Originals!Q$1)/Yield_Originals!$K275</f>
        <v>0.102753386097702</v>
      </c>
      <c r="R275" s="99" t="n">
        <f aca="false">(Yield_Originals!$H275*Yield_Originals!R$1)/Yield_Originals!$K275</f>
        <v>0.105530504640884</v>
      </c>
      <c r="S275" s="99" t="n">
        <f aca="false">(Yield_Originals!$H275*Yield_Originals!S$1)/Yield_Originals!$K275</f>
        <v>0.108307623184065</v>
      </c>
      <c r="T275" s="101" t="n">
        <f aca="false">(Yield_Originals!$I275*Yield_Originals!T$1)/Yield_Originals!$K275</f>
        <v>0.115542370863623</v>
      </c>
      <c r="U275" s="101" t="n">
        <f aca="false">(Yield_Originals!$I275*Yield_Originals!U$1)/Yield_Originals!$K275</f>
        <v>0.118430930135213</v>
      </c>
      <c r="V275" s="101" t="n">
        <f aca="false">(Yield_Originals!$I275*Yield_Originals!V$1)/Yield_Originals!$K275</f>
        <v>0.121319489406804</v>
      </c>
      <c r="W275" s="101" t="n">
        <f aca="false">(Yield_Originals!$I275*Yield_Originals!W$1)/Yield_Originals!$K275</f>
        <v>0.124208048678395</v>
      </c>
      <c r="X275" s="102" t="n">
        <f aca="false">(Yield_Originals!$I275*Yield_Originals!X$1)/Yield_Originals!$K275</f>
        <v>0.127096607949985</v>
      </c>
      <c r="Y275" s="102" t="n">
        <f aca="false">(Yield_Originals!$I275*Yield_Originals!Y$1)/Yield_Originals!$K275</f>
        <v>0.129985167221576</v>
      </c>
      <c r="Z275" s="0"/>
      <c r="AA275" s="0"/>
      <c r="AB275" s="0"/>
    </row>
    <row r="276" customFormat="false" ht="15" hidden="false" customHeight="false" outlineLevel="0" collapsed="false">
      <c r="A276" s="64" t="s">
        <v>1113</v>
      </c>
      <c r="B276" s="64" t="n">
        <v>3</v>
      </c>
      <c r="C276" s="93" t="s">
        <v>262</v>
      </c>
      <c r="D276" s="93" t="s">
        <v>1231</v>
      </c>
      <c r="E276" s="94" t="n">
        <v>30</v>
      </c>
      <c r="F276" s="105" t="n">
        <f aca="false">Yield_Originals!G276</f>
        <v>0.148112988969661</v>
      </c>
      <c r="G276" s="96" t="n">
        <v>0.148112988969661</v>
      </c>
      <c r="H276" s="96" t="n">
        <v>0.148112988969661</v>
      </c>
      <c r="I276" s="96" t="n">
        <f aca="false">+(Yield_Originals!H276+Yield_Originals!J276)/2</f>
        <v>0.154056494484831</v>
      </c>
      <c r="J276" s="96" t="n">
        <v>0.16</v>
      </c>
      <c r="K276" s="97" t="n">
        <v>2</v>
      </c>
      <c r="L276" s="98" t="n">
        <f aca="false">(Yield_Originals!$G276*Yield_Originals!L$1)/Yield_Originals!$K276</f>
        <v>0.0888677933817966</v>
      </c>
      <c r="M276" s="98" t="n">
        <f aca="false">(Yield_Originals!$G276*Yield_Originals!M$1)/Yield_Originals!$K276</f>
        <v>0.0916449119249778</v>
      </c>
      <c r="N276" s="98" t="n">
        <f aca="false">(Yield_Originals!$G276*Yield_Originals!N$1)/Yield_Originals!$K276</f>
        <v>0.0944220304681589</v>
      </c>
      <c r="O276" s="98" t="n">
        <f aca="false">(Yield_Originals!$G276*Yield_Originals!O$1)/Yield_Originals!$K276</f>
        <v>0.0971991490113401</v>
      </c>
      <c r="P276" s="99" t="n">
        <f aca="false">(Yield_Originals!$H276*Yield_Originals!P$1)/Yield_Originals!$K276</f>
        <v>0.0999762675545212</v>
      </c>
      <c r="Q276" s="99" t="n">
        <f aca="false">(Yield_Originals!$H276*Yield_Originals!Q$1)/Yield_Originals!$K276</f>
        <v>0.102753386097702</v>
      </c>
      <c r="R276" s="99" t="n">
        <f aca="false">(Yield_Originals!$H276*Yield_Originals!R$1)/Yield_Originals!$K276</f>
        <v>0.105530504640884</v>
      </c>
      <c r="S276" s="99" t="n">
        <f aca="false">(Yield_Originals!$H276*Yield_Originals!S$1)/Yield_Originals!$K276</f>
        <v>0.108307623184065</v>
      </c>
      <c r="T276" s="101" t="n">
        <f aca="false">(Yield_Originals!$I276*Yield_Originals!T$1)/Yield_Originals!$K276</f>
        <v>0.115542370863623</v>
      </c>
      <c r="U276" s="101" t="n">
        <f aca="false">(Yield_Originals!$I276*Yield_Originals!U$1)/Yield_Originals!$K276</f>
        <v>0.118430930135213</v>
      </c>
      <c r="V276" s="101" t="n">
        <f aca="false">(Yield_Originals!$I276*Yield_Originals!V$1)/Yield_Originals!$K276</f>
        <v>0.121319489406804</v>
      </c>
      <c r="W276" s="101" t="n">
        <f aca="false">(Yield_Originals!$I276*Yield_Originals!W$1)/Yield_Originals!$K276</f>
        <v>0.124208048678395</v>
      </c>
      <c r="X276" s="102" t="n">
        <f aca="false">(Yield_Originals!$I276*Yield_Originals!X$1)/Yield_Originals!$K276</f>
        <v>0.127096607949985</v>
      </c>
      <c r="Y276" s="102" t="n">
        <f aca="false">(Yield_Originals!$I276*Yield_Originals!Y$1)/Yield_Originals!$K276</f>
        <v>0.129985167221576</v>
      </c>
      <c r="Z276" s="0"/>
      <c r="AA276" s="0"/>
      <c r="AB276" s="0"/>
    </row>
    <row r="277" customFormat="false" ht="15" hidden="false" customHeight="false" outlineLevel="0" collapsed="false">
      <c r="A277" s="64" t="s">
        <v>1113</v>
      </c>
      <c r="B277" s="64" t="n">
        <v>3</v>
      </c>
      <c r="C277" s="93" t="s">
        <v>262</v>
      </c>
      <c r="D277" s="93" t="s">
        <v>1231</v>
      </c>
      <c r="E277" s="94" t="n">
        <v>31</v>
      </c>
      <c r="F277" s="105" t="n">
        <f aca="false">Yield_Originals!G277</f>
        <v>0.148112988969661</v>
      </c>
      <c r="G277" s="96" t="n">
        <v>0.148112988969661</v>
      </c>
      <c r="H277" s="96" t="n">
        <v>0.148112988969661</v>
      </c>
      <c r="I277" s="96" t="n">
        <f aca="false">+(Yield_Originals!H277+Yield_Originals!J277)/2</f>
        <v>0.154056494484831</v>
      </c>
      <c r="J277" s="96" t="n">
        <v>0.16</v>
      </c>
      <c r="K277" s="97" t="n">
        <v>2</v>
      </c>
      <c r="L277" s="98"/>
      <c r="M277" s="98"/>
      <c r="N277" s="98"/>
      <c r="O277" s="98"/>
      <c r="P277" s="99" t="n">
        <f aca="false">(Yield_Originals!$H277*Yield_Originals!P$1)/Yield_Originals!$K277</f>
        <v>0.0999762675545212</v>
      </c>
      <c r="Q277" s="99" t="n">
        <f aca="false">(Yield_Originals!$H277*Yield_Originals!Q$1)/Yield_Originals!$K277</f>
        <v>0.102753386097702</v>
      </c>
      <c r="R277" s="99" t="n">
        <f aca="false">(Yield_Originals!$H277*Yield_Originals!R$1)/Yield_Originals!$K277</f>
        <v>0.105530504640884</v>
      </c>
      <c r="S277" s="99" t="n">
        <f aca="false">(Yield_Originals!$H277*Yield_Originals!S$1)/Yield_Originals!$K277</f>
        <v>0.108307623184065</v>
      </c>
      <c r="T277" s="101" t="n">
        <f aca="false">(Yield_Originals!$I277*Yield_Originals!T$1)/Yield_Originals!$K277</f>
        <v>0.115542370863623</v>
      </c>
      <c r="U277" s="101" t="n">
        <f aca="false">(Yield_Originals!$I277*Yield_Originals!U$1)/Yield_Originals!$K277</f>
        <v>0.118430930135213</v>
      </c>
      <c r="V277" s="101" t="n">
        <f aca="false">(Yield_Originals!$I277*Yield_Originals!V$1)/Yield_Originals!$K277</f>
        <v>0.121319489406804</v>
      </c>
      <c r="W277" s="101" t="n">
        <f aca="false">(Yield_Originals!$I277*Yield_Originals!W$1)/Yield_Originals!$K277</f>
        <v>0.124208048678395</v>
      </c>
      <c r="X277" s="102" t="n">
        <f aca="false">(Yield_Originals!$I277*Yield_Originals!X$1)/Yield_Originals!$K277</f>
        <v>0.127096607949985</v>
      </c>
      <c r="Y277" s="102" t="n">
        <f aca="false">(Yield_Originals!$I277*Yield_Originals!Y$1)/Yield_Originals!$K277</f>
        <v>0.129985167221576</v>
      </c>
      <c r="Z277" s="0"/>
      <c r="AA277" s="0"/>
      <c r="AB277" s="0"/>
    </row>
    <row r="278" customFormat="false" ht="15" hidden="false" customHeight="false" outlineLevel="0" collapsed="false">
      <c r="A278" s="64" t="s">
        <v>1207</v>
      </c>
      <c r="B278" s="64" t="n">
        <v>3</v>
      </c>
      <c r="C278" s="0" t="s">
        <v>141</v>
      </c>
      <c r="D278" s="0" t="s">
        <v>1217</v>
      </c>
      <c r="E278" s="64" t="n">
        <v>3</v>
      </c>
      <c r="F278" s="105" t="n">
        <f aca="false">Yield_Originals!G278</f>
        <v>0.13</v>
      </c>
      <c r="G278" s="106" t="n">
        <v>0.13</v>
      </c>
      <c r="H278" s="106" t="n">
        <v>0.13</v>
      </c>
      <c r="I278" s="106" t="n">
        <v>0.13</v>
      </c>
      <c r="J278" s="106" t="n">
        <v>0.13</v>
      </c>
      <c r="K278" s="97" t="n">
        <v>1</v>
      </c>
      <c r="L278" s="98" t="n">
        <f aca="false">(Yield_Originals!$G278*Yield_Originals!L$1)/Yield_Originals!$K278</f>
        <v>0.156</v>
      </c>
      <c r="M278" s="98" t="n">
        <f aca="false">(Yield_Originals!$G278*Yield_Originals!M$1)/Yield_Originals!$K278</f>
        <v>0.160875</v>
      </c>
      <c r="N278" s="98" t="n">
        <f aca="false">(Yield_Originals!$G278*Yield_Originals!N$1)/Yield_Originals!$K278</f>
        <v>0.16575</v>
      </c>
      <c r="O278" s="98" t="n">
        <f aca="false">(Yield_Originals!$G278*Yield_Originals!O$1)/Yield_Originals!$K278</f>
        <v>0.170625</v>
      </c>
      <c r="P278" s="99" t="n">
        <f aca="false">(Yield_Originals!$H278*Yield_Originals!P$1)/Yield_Originals!$K278</f>
        <v>0.1755</v>
      </c>
      <c r="Q278" s="99" t="n">
        <f aca="false">(Yield_Originals!$H278*Yield_Originals!Q$1)/Yield_Originals!$K278</f>
        <v>0.180375</v>
      </c>
      <c r="R278" s="99" t="n">
        <f aca="false">(Yield_Originals!$H278*Yield_Originals!R$1)/Yield_Originals!$K278</f>
        <v>0.18525</v>
      </c>
      <c r="S278" s="99" t="n">
        <f aca="false">(Yield_Originals!$H278*Yield_Originals!S$1)/Yield_Originals!$K278</f>
        <v>0.190125</v>
      </c>
      <c r="T278" s="101" t="n">
        <f aca="false">(Yield_Originals!$I278*Yield_Originals!T$1)/Yield_Originals!$K278</f>
        <v>0.195</v>
      </c>
      <c r="U278" s="101" t="n">
        <f aca="false">(Yield_Originals!$I278*Yield_Originals!U$1)/Yield_Originals!$K278</f>
        <v>0.199875</v>
      </c>
      <c r="V278" s="101" t="n">
        <f aca="false">(Yield_Originals!$I278*Yield_Originals!V$1)/Yield_Originals!$K278</f>
        <v>0.20475</v>
      </c>
      <c r="W278" s="101" t="n">
        <f aca="false">(Yield_Originals!$I278*Yield_Originals!W$1)/Yield_Originals!$K278</f>
        <v>0.209625</v>
      </c>
      <c r="X278" s="0"/>
      <c r="Y278" s="0"/>
      <c r="Z278" s="0"/>
      <c r="AA278" s="0"/>
      <c r="AB278" s="0"/>
    </row>
    <row r="279" customFormat="false" ht="15" hidden="false" customHeight="false" outlineLevel="0" collapsed="false">
      <c r="A279" s="64" t="s">
        <v>1207</v>
      </c>
      <c r="B279" s="64" t="n">
        <v>3</v>
      </c>
      <c r="C279" s="0" t="s">
        <v>263</v>
      </c>
      <c r="D279" s="0" t="s">
        <v>1219</v>
      </c>
      <c r="E279" s="64" t="n">
        <v>3</v>
      </c>
      <c r="F279" s="105" t="n">
        <f aca="false">Yield_Originals!G279</f>
        <v>0.13</v>
      </c>
      <c r="G279" s="106" t="n">
        <v>0.13</v>
      </c>
      <c r="H279" s="106" t="n">
        <v>0.13</v>
      </c>
      <c r="I279" s="106" t="n">
        <v>0.13</v>
      </c>
      <c r="J279" s="106" t="n">
        <v>0.13</v>
      </c>
      <c r="K279" s="97" t="n">
        <v>1</v>
      </c>
      <c r="L279" s="98" t="n">
        <f aca="false">(Yield_Originals!$G279*Yield_Originals!L$1)/Yield_Originals!$K279</f>
        <v>0.156</v>
      </c>
      <c r="M279" s="98" t="n">
        <f aca="false">(Yield_Originals!$G279*Yield_Originals!M$1)/Yield_Originals!$K279</f>
        <v>0.160875</v>
      </c>
      <c r="N279" s="98" t="n">
        <f aca="false">(Yield_Originals!$G279*Yield_Originals!N$1)/Yield_Originals!$K279</f>
        <v>0.16575</v>
      </c>
      <c r="O279" s="98" t="n">
        <f aca="false">(Yield_Originals!$G279*Yield_Originals!O$1)/Yield_Originals!$K279</f>
        <v>0.170625</v>
      </c>
      <c r="P279" s="99" t="n">
        <f aca="false">(Yield_Originals!$H279*Yield_Originals!P$1)/Yield_Originals!$K279</f>
        <v>0.1755</v>
      </c>
      <c r="Q279" s="99" t="n">
        <f aca="false">(Yield_Originals!$H279*Yield_Originals!Q$1)/Yield_Originals!$K279</f>
        <v>0.180375</v>
      </c>
      <c r="R279" s="99" t="n">
        <f aca="false">(Yield_Originals!$H279*Yield_Originals!R$1)/Yield_Originals!$K279</f>
        <v>0.18525</v>
      </c>
      <c r="S279" s="99" t="n">
        <f aca="false">(Yield_Originals!$H279*Yield_Originals!S$1)/Yield_Originals!$K279</f>
        <v>0.190125</v>
      </c>
      <c r="T279" s="101" t="n">
        <f aca="false">(Yield_Originals!$I279*Yield_Originals!T$1)/Yield_Originals!$K279</f>
        <v>0.195</v>
      </c>
      <c r="U279" s="101" t="n">
        <f aca="false">(Yield_Originals!$I279*Yield_Originals!U$1)/Yield_Originals!$K279</f>
        <v>0.199875</v>
      </c>
      <c r="V279" s="101" t="n">
        <f aca="false">(Yield_Originals!$I279*Yield_Originals!V$1)/Yield_Originals!$K279</f>
        <v>0.20475</v>
      </c>
      <c r="W279" s="101" t="n">
        <f aca="false">(Yield_Originals!$I279*Yield_Originals!W$1)/Yield_Originals!$K279</f>
        <v>0.209625</v>
      </c>
      <c r="X279" s="0"/>
      <c r="Y279" s="0"/>
      <c r="Z279" s="0"/>
      <c r="AA279" s="0"/>
      <c r="AB279" s="0"/>
    </row>
    <row r="280" customFormat="false" ht="15" hidden="false" customHeight="false" outlineLevel="0" collapsed="false">
      <c r="A280" s="64" t="s">
        <v>1113</v>
      </c>
      <c r="B280" s="64" t="n">
        <v>3</v>
      </c>
      <c r="C280" s="93" t="s">
        <v>264</v>
      </c>
      <c r="D280" s="93" t="s">
        <v>1248</v>
      </c>
      <c r="E280" s="94" t="n">
        <v>26</v>
      </c>
      <c r="F280" s="105" t="n">
        <f aca="false">Yield_Originals!G280</f>
        <v>0.148112988969661</v>
      </c>
      <c r="G280" s="96" t="n">
        <v>0.148112988969661</v>
      </c>
      <c r="H280" s="96" t="n">
        <v>0.148112988969661</v>
      </c>
      <c r="I280" s="96" t="n">
        <f aca="false">+(Yield_Originals!H280+Yield_Originals!J280)/2</f>
        <v>0.154056494484831</v>
      </c>
      <c r="J280" s="96" t="n">
        <v>0.16</v>
      </c>
      <c r="K280" s="97" t="n">
        <v>2</v>
      </c>
      <c r="L280" s="98"/>
      <c r="M280" s="98"/>
      <c r="N280" s="98"/>
      <c r="O280" s="98"/>
      <c r="P280" s="99" t="n">
        <f aca="false">(Yield_Originals!$H280*Yield_Originals!P$1)/Yield_Originals!$K280</f>
        <v>0.0999762675545212</v>
      </c>
      <c r="Q280" s="99" t="n">
        <f aca="false">(Yield_Originals!$H280*Yield_Originals!Q$1)/Yield_Originals!$K280</f>
        <v>0.102753386097702</v>
      </c>
      <c r="R280" s="99" t="n">
        <f aca="false">(Yield_Originals!$H280*Yield_Originals!R$1)/Yield_Originals!$K280</f>
        <v>0.105530504640884</v>
      </c>
      <c r="S280" s="99" t="n">
        <f aca="false">(Yield_Originals!$H280*Yield_Originals!S$1)/Yield_Originals!$K280</f>
        <v>0.108307623184065</v>
      </c>
      <c r="T280" s="101" t="n">
        <f aca="false">(Yield_Originals!$I280*Yield_Originals!T$1)/Yield_Originals!$K280</f>
        <v>0.115542370863623</v>
      </c>
      <c r="U280" s="101" t="n">
        <f aca="false">(Yield_Originals!$I280*Yield_Originals!U$1)/Yield_Originals!$K280</f>
        <v>0.118430930135213</v>
      </c>
      <c r="V280" s="101" t="n">
        <f aca="false">(Yield_Originals!$I280*Yield_Originals!V$1)/Yield_Originals!$K280</f>
        <v>0.121319489406804</v>
      </c>
      <c r="W280" s="101" t="n">
        <f aca="false">(Yield_Originals!$I280*Yield_Originals!W$1)/Yield_Originals!$K280</f>
        <v>0.124208048678395</v>
      </c>
      <c r="X280" s="102" t="n">
        <f aca="false">(Yield_Originals!$I280*Yield_Originals!X$1)/Yield_Originals!$K280</f>
        <v>0.127096607949985</v>
      </c>
      <c r="Y280" s="102" t="n">
        <f aca="false">(Yield_Originals!$I280*Yield_Originals!Y$1)/Yield_Originals!$K280</f>
        <v>0.129985167221576</v>
      </c>
      <c r="Z280" s="0"/>
      <c r="AA280" s="0"/>
      <c r="AB280" s="0"/>
    </row>
    <row r="281" customFormat="false" ht="15" hidden="false" customHeight="false" outlineLevel="0" collapsed="false">
      <c r="A281" s="64" t="s">
        <v>1113</v>
      </c>
      <c r="B281" s="64" t="n">
        <v>3</v>
      </c>
      <c r="C281" s="93" t="s">
        <v>264</v>
      </c>
      <c r="D281" s="93" t="s">
        <v>1248</v>
      </c>
      <c r="E281" s="94" t="n">
        <v>30</v>
      </c>
      <c r="F281" s="105" t="n">
        <f aca="false">Yield_Originals!G281</f>
        <v>0.148112988969661</v>
      </c>
      <c r="G281" s="96" t="n">
        <v>0.148112988969661</v>
      </c>
      <c r="H281" s="96" t="n">
        <v>0.148112988969661</v>
      </c>
      <c r="I281" s="96" t="n">
        <f aca="false">+(Yield_Originals!H281+Yield_Originals!J281)/2</f>
        <v>0.154056494484831</v>
      </c>
      <c r="J281" s="96" t="n">
        <v>0.16</v>
      </c>
      <c r="K281" s="97" t="n">
        <v>2</v>
      </c>
      <c r="L281" s="98" t="n">
        <f aca="false">(Yield_Originals!$G281*Yield_Originals!L$1)/Yield_Originals!$K281</f>
        <v>0.0888677933817966</v>
      </c>
      <c r="M281" s="98" t="n">
        <f aca="false">(Yield_Originals!$G281*Yield_Originals!M$1)/Yield_Originals!$K281</f>
        <v>0.0916449119249778</v>
      </c>
      <c r="N281" s="98" t="n">
        <f aca="false">(Yield_Originals!$G281*Yield_Originals!N$1)/Yield_Originals!$K281</f>
        <v>0.0944220304681589</v>
      </c>
      <c r="O281" s="98" t="n">
        <f aca="false">(Yield_Originals!$G281*Yield_Originals!O$1)/Yield_Originals!$K281</f>
        <v>0.0971991490113401</v>
      </c>
      <c r="P281" s="99" t="n">
        <f aca="false">(Yield_Originals!$H281*Yield_Originals!P$1)/Yield_Originals!$K281</f>
        <v>0.0999762675545212</v>
      </c>
      <c r="Q281" s="99" t="n">
        <f aca="false">(Yield_Originals!$H281*Yield_Originals!Q$1)/Yield_Originals!$K281</f>
        <v>0.102753386097702</v>
      </c>
      <c r="R281" s="99" t="n">
        <f aca="false">(Yield_Originals!$H281*Yield_Originals!R$1)/Yield_Originals!$K281</f>
        <v>0.105530504640884</v>
      </c>
      <c r="S281" s="99" t="n">
        <f aca="false">(Yield_Originals!$H281*Yield_Originals!S$1)/Yield_Originals!$K281</f>
        <v>0.108307623184065</v>
      </c>
      <c r="T281" s="101" t="n">
        <f aca="false">(Yield_Originals!$I281*Yield_Originals!T$1)/Yield_Originals!$K281</f>
        <v>0.115542370863623</v>
      </c>
      <c r="U281" s="101" t="n">
        <f aca="false">(Yield_Originals!$I281*Yield_Originals!U$1)/Yield_Originals!$K281</f>
        <v>0.118430930135213</v>
      </c>
      <c r="V281" s="101" t="n">
        <f aca="false">(Yield_Originals!$I281*Yield_Originals!V$1)/Yield_Originals!$K281</f>
        <v>0.121319489406804</v>
      </c>
      <c r="W281" s="101" t="n">
        <f aca="false">(Yield_Originals!$I281*Yield_Originals!W$1)/Yield_Originals!$K281</f>
        <v>0.124208048678395</v>
      </c>
      <c r="X281" s="102" t="n">
        <f aca="false">(Yield_Originals!$I281*Yield_Originals!X$1)/Yield_Originals!$K281</f>
        <v>0.127096607949985</v>
      </c>
      <c r="Y281" s="102" t="n">
        <f aca="false">(Yield_Originals!$I281*Yield_Originals!Y$1)/Yield_Originals!$K281</f>
        <v>0.129985167221576</v>
      </c>
      <c r="Z281" s="0"/>
      <c r="AA281" s="0"/>
      <c r="AB281" s="0"/>
    </row>
    <row r="282" customFormat="false" ht="15" hidden="false" customHeight="false" outlineLevel="0" collapsed="false">
      <c r="A282" s="64" t="s">
        <v>1113</v>
      </c>
      <c r="B282" s="64" t="n">
        <v>3</v>
      </c>
      <c r="C282" s="93" t="s">
        <v>264</v>
      </c>
      <c r="D282" s="93" t="s">
        <v>1248</v>
      </c>
      <c r="E282" s="94" t="n">
        <v>31</v>
      </c>
      <c r="F282" s="105" t="n">
        <f aca="false">Yield_Originals!G282</f>
        <v>0.148112988969661</v>
      </c>
      <c r="G282" s="96" t="n">
        <v>0.148112988969661</v>
      </c>
      <c r="H282" s="96" t="n">
        <v>0.148112988969661</v>
      </c>
      <c r="I282" s="96" t="n">
        <f aca="false">+(Yield_Originals!H282+Yield_Originals!J282)/2</f>
        <v>0.154056494484831</v>
      </c>
      <c r="J282" s="96" t="n">
        <v>0.16</v>
      </c>
      <c r="K282" s="97" t="n">
        <v>2</v>
      </c>
      <c r="L282" s="98"/>
      <c r="M282" s="98"/>
      <c r="N282" s="98"/>
      <c r="O282" s="98"/>
      <c r="P282" s="99"/>
      <c r="Q282" s="99"/>
      <c r="R282" s="99"/>
      <c r="S282" s="99"/>
      <c r="T282" s="101"/>
      <c r="U282" s="101"/>
      <c r="V282" s="101"/>
      <c r="W282" s="101"/>
      <c r="X282" s="102"/>
      <c r="Y282" s="102"/>
      <c r="Z282" s="102"/>
      <c r="AA282" s="102" t="n">
        <f aca="false">(Yield_Originals!$I282*Yield_Originals!AA$1)/Yield_Originals!$K282</f>
        <v>0.135762285764757</v>
      </c>
      <c r="AB282" s="102" t="n">
        <f aca="false">(Yield_Originals!$I282*Yield_Originals!AB$1)/Yield_Originals!$K282</f>
        <v>0.138650845036347</v>
      </c>
    </row>
    <row r="283" customFormat="false" ht="15" hidden="false" customHeight="false" outlineLevel="0" collapsed="false">
      <c r="A283" s="64" t="s">
        <v>1113</v>
      </c>
      <c r="B283" s="64" t="n">
        <v>3</v>
      </c>
      <c r="C283" s="93" t="s">
        <v>1214</v>
      </c>
      <c r="D283" s="93" t="s">
        <v>1240</v>
      </c>
      <c r="E283" s="94" t="n">
        <v>26</v>
      </c>
      <c r="F283" s="105" t="n">
        <f aca="false">Yield_Originals!G283</f>
        <v>0.148112988969661</v>
      </c>
      <c r="G283" s="96" t="n">
        <v>0.148112988969661</v>
      </c>
      <c r="H283" s="96" t="n">
        <v>0.148112988969661</v>
      </c>
      <c r="I283" s="96" t="n">
        <f aca="false">+(Yield_Originals!H283+Yield_Originals!J283)/2</f>
        <v>0.154056494484831</v>
      </c>
      <c r="J283" s="96" t="n">
        <v>0.16</v>
      </c>
      <c r="K283" s="97" t="n">
        <v>2</v>
      </c>
      <c r="L283" s="98"/>
      <c r="M283" s="98"/>
      <c r="N283" s="98"/>
      <c r="O283" s="98"/>
      <c r="P283" s="99" t="n">
        <f aca="false">(Yield_Originals!$H283*Yield_Originals!P$1)/Yield_Originals!$K283</f>
        <v>0.0999762675545212</v>
      </c>
      <c r="Q283" s="99" t="n">
        <f aca="false">(Yield_Originals!$H283*Yield_Originals!Q$1)/Yield_Originals!$K283</f>
        <v>0.102753386097702</v>
      </c>
      <c r="R283" s="99" t="n">
        <f aca="false">(Yield_Originals!$H283*Yield_Originals!R$1)/Yield_Originals!$K283</f>
        <v>0.105530504640884</v>
      </c>
      <c r="S283" s="99" t="n">
        <f aca="false">(Yield_Originals!$H283*Yield_Originals!S$1)/Yield_Originals!$K283</f>
        <v>0.108307623184065</v>
      </c>
      <c r="T283" s="101" t="n">
        <f aca="false">(Yield_Originals!$I283*Yield_Originals!T$1)/Yield_Originals!$K283</f>
        <v>0.115542370863623</v>
      </c>
      <c r="U283" s="101" t="n">
        <f aca="false">(Yield_Originals!$I283*Yield_Originals!U$1)/Yield_Originals!$K283</f>
        <v>0.118430930135213</v>
      </c>
      <c r="V283" s="101" t="n">
        <f aca="false">(Yield_Originals!$I283*Yield_Originals!V$1)/Yield_Originals!$K283</f>
        <v>0.121319489406804</v>
      </c>
      <c r="W283" s="101" t="n">
        <f aca="false">(Yield_Originals!$I283*Yield_Originals!W$1)/Yield_Originals!$K283</f>
        <v>0.124208048678395</v>
      </c>
      <c r="X283" s="102" t="n">
        <f aca="false">(Yield_Originals!$I283*Yield_Originals!X$1)/Yield_Originals!$K283</f>
        <v>0.127096607949985</v>
      </c>
      <c r="Y283" s="102" t="n">
        <f aca="false">(Yield_Originals!$I283*Yield_Originals!Y$1)/Yield_Originals!$K283</f>
        <v>0.129985167221576</v>
      </c>
      <c r="Z283" s="0"/>
      <c r="AA283" s="0"/>
      <c r="AB283" s="0"/>
    </row>
    <row r="284" customFormat="false" ht="15" hidden="false" customHeight="false" outlineLevel="0" collapsed="false">
      <c r="A284" s="64" t="s">
        <v>1113</v>
      </c>
      <c r="B284" s="64" t="n">
        <v>3</v>
      </c>
      <c r="C284" s="93" t="s">
        <v>1214</v>
      </c>
      <c r="D284" s="93" t="s">
        <v>1240</v>
      </c>
      <c r="E284" s="94" t="n">
        <v>30</v>
      </c>
      <c r="F284" s="105" t="n">
        <f aca="false">Yield_Originals!G284</f>
        <v>0.148112988969661</v>
      </c>
      <c r="G284" s="96" t="n">
        <v>0.148112988969661</v>
      </c>
      <c r="H284" s="96" t="n">
        <v>0.148112988969661</v>
      </c>
      <c r="I284" s="96" t="n">
        <f aca="false">+(Yield_Originals!H284+Yield_Originals!J284)/2</f>
        <v>0.154056494484831</v>
      </c>
      <c r="J284" s="96" t="n">
        <v>0.16</v>
      </c>
      <c r="K284" s="97" t="n">
        <v>2</v>
      </c>
      <c r="L284" s="98"/>
      <c r="M284" s="98"/>
      <c r="N284" s="98"/>
      <c r="O284" s="98"/>
      <c r="P284" s="99"/>
      <c r="Q284" s="99"/>
      <c r="R284" s="99"/>
      <c r="S284" s="99"/>
      <c r="T284" s="101" t="n">
        <f aca="false">(Yield_Originals!$I284*Yield_Originals!T$1)/Yield_Originals!$K284</f>
        <v>0.115542370863623</v>
      </c>
      <c r="U284" s="101" t="n">
        <f aca="false">(Yield_Originals!$I284*Yield_Originals!U$1)/Yield_Originals!$K284</f>
        <v>0.118430930135213</v>
      </c>
      <c r="V284" s="101" t="n">
        <f aca="false">(Yield_Originals!$I284*Yield_Originals!V$1)/Yield_Originals!$K284</f>
        <v>0.121319489406804</v>
      </c>
      <c r="W284" s="101" t="n">
        <f aca="false">(Yield_Originals!$I284*Yield_Originals!W$1)/Yield_Originals!$K284</f>
        <v>0.124208048678395</v>
      </c>
      <c r="X284" s="102" t="n">
        <f aca="false">(Yield_Originals!$I284*Yield_Originals!X$1)/Yield_Originals!$K284</f>
        <v>0.127096607949985</v>
      </c>
      <c r="Y284" s="102" t="n">
        <f aca="false">(Yield_Originals!$I284*Yield_Originals!Y$1)/Yield_Originals!$K284</f>
        <v>0.129985167221576</v>
      </c>
      <c r="Z284" s="0"/>
      <c r="AA284" s="0"/>
      <c r="AB284" s="0"/>
    </row>
    <row r="285" customFormat="false" ht="15" hidden="false" customHeight="false" outlineLevel="0" collapsed="false">
      <c r="A285" s="64" t="s">
        <v>1113</v>
      </c>
      <c r="B285" s="64" t="n">
        <v>3</v>
      </c>
      <c r="C285" s="93" t="s">
        <v>1214</v>
      </c>
      <c r="D285" s="93" t="s">
        <v>1240</v>
      </c>
      <c r="E285" s="94" t="n">
        <v>31</v>
      </c>
      <c r="F285" s="105" t="n">
        <f aca="false">Yield_Originals!G285</f>
        <v>0.148112988969661</v>
      </c>
      <c r="G285" s="96" t="n">
        <v>0.148112988969661</v>
      </c>
      <c r="H285" s="96" t="n">
        <v>0.148112988969661</v>
      </c>
      <c r="I285" s="96" t="n">
        <f aca="false">+(Yield_Originals!H285+Yield_Originals!J285)/2</f>
        <v>0.154056494484831</v>
      </c>
      <c r="J285" s="96" t="n">
        <v>0.16</v>
      </c>
      <c r="K285" s="97" t="n">
        <v>2</v>
      </c>
      <c r="L285" s="98"/>
      <c r="M285" s="98"/>
      <c r="N285" s="98"/>
      <c r="O285" s="98"/>
      <c r="P285" s="99" t="n">
        <f aca="false">(Yield_Originals!$H285*Yield_Originals!P$1)/Yield_Originals!$K285</f>
        <v>0.0999762675545212</v>
      </c>
      <c r="Q285" s="99" t="n">
        <f aca="false">(Yield_Originals!$H285*Yield_Originals!Q$1)/Yield_Originals!$K285</f>
        <v>0.102753386097702</v>
      </c>
      <c r="R285" s="99" t="n">
        <f aca="false">(Yield_Originals!$H285*Yield_Originals!R$1)/Yield_Originals!$K285</f>
        <v>0.105530504640884</v>
      </c>
      <c r="S285" s="99" t="n">
        <f aca="false">(Yield_Originals!$H285*Yield_Originals!S$1)/Yield_Originals!$K285</f>
        <v>0.108307623184065</v>
      </c>
      <c r="T285" s="101" t="n">
        <f aca="false">(Yield_Originals!$I285*Yield_Originals!T$1)/Yield_Originals!$K285</f>
        <v>0.115542370863623</v>
      </c>
      <c r="U285" s="101" t="n">
        <f aca="false">(Yield_Originals!$I285*Yield_Originals!U$1)/Yield_Originals!$K285</f>
        <v>0.118430930135213</v>
      </c>
      <c r="V285" s="101" t="n">
        <f aca="false">(Yield_Originals!$I285*Yield_Originals!V$1)/Yield_Originals!$K285</f>
        <v>0.121319489406804</v>
      </c>
      <c r="W285" s="101" t="n">
        <f aca="false">(Yield_Originals!$I285*Yield_Originals!W$1)/Yield_Originals!$K285</f>
        <v>0.124208048678395</v>
      </c>
      <c r="X285" s="102" t="n">
        <f aca="false">(Yield_Originals!$I285*Yield_Originals!X$1)/Yield_Originals!$K285</f>
        <v>0.127096607949985</v>
      </c>
      <c r="Y285" s="102" t="n">
        <f aca="false">(Yield_Originals!$I285*Yield_Originals!Y$1)/Yield_Originals!$K285</f>
        <v>0.129985167221576</v>
      </c>
      <c r="Z285" s="0"/>
      <c r="AA285" s="0"/>
      <c r="AB285" s="0"/>
    </row>
    <row r="286" customFormat="false" ht="15" hidden="false" customHeight="false" outlineLevel="0" collapsed="false">
      <c r="A286" s="64" t="s">
        <v>1113</v>
      </c>
      <c r="B286" s="64" t="n">
        <v>3</v>
      </c>
      <c r="C286" s="93" t="s">
        <v>1216</v>
      </c>
      <c r="D286" s="93" t="s">
        <v>1229</v>
      </c>
      <c r="E286" s="94" t="n">
        <v>26</v>
      </c>
      <c r="F286" s="105" t="n">
        <f aca="false">Yield_Originals!G286</f>
        <v>0.148112988969661</v>
      </c>
      <c r="G286" s="96" t="n">
        <v>0.148112988969661</v>
      </c>
      <c r="H286" s="96" t="n">
        <v>0.148112988969661</v>
      </c>
      <c r="I286" s="96" t="n">
        <f aca="false">+(Yield_Originals!H286+Yield_Originals!J286)/2</f>
        <v>0.154056494484831</v>
      </c>
      <c r="J286" s="96" t="n">
        <v>0.16</v>
      </c>
      <c r="K286" s="97" t="n">
        <v>2</v>
      </c>
      <c r="L286" s="98" t="n">
        <f aca="false">(Yield_Originals!$G286*Yield_Originals!L$1)/Yield_Originals!$K286</f>
        <v>0.0888677933817966</v>
      </c>
      <c r="M286" s="98" t="n">
        <f aca="false">(Yield_Originals!$G286*Yield_Originals!M$1)/Yield_Originals!$K286</f>
        <v>0.0916449119249778</v>
      </c>
      <c r="N286" s="98" t="n">
        <f aca="false">(Yield_Originals!$G286*Yield_Originals!N$1)/Yield_Originals!$K286</f>
        <v>0.0944220304681589</v>
      </c>
      <c r="O286" s="98" t="n">
        <f aca="false">(Yield_Originals!$G286*Yield_Originals!O$1)/Yield_Originals!$K286</f>
        <v>0.0971991490113401</v>
      </c>
      <c r="P286" s="99" t="n">
        <f aca="false">(Yield_Originals!$H286*Yield_Originals!P$1)/Yield_Originals!$K286</f>
        <v>0.0999762675545212</v>
      </c>
      <c r="Q286" s="99" t="n">
        <f aca="false">(Yield_Originals!$H286*Yield_Originals!Q$1)/Yield_Originals!$K286</f>
        <v>0.102753386097702</v>
      </c>
      <c r="R286" s="99" t="n">
        <f aca="false">(Yield_Originals!$H286*Yield_Originals!R$1)/Yield_Originals!$K286</f>
        <v>0.105530504640884</v>
      </c>
      <c r="S286" s="99" t="n">
        <f aca="false">(Yield_Originals!$H286*Yield_Originals!S$1)/Yield_Originals!$K286</f>
        <v>0.108307623184065</v>
      </c>
      <c r="T286" s="101"/>
      <c r="U286" s="101"/>
      <c r="V286" s="101"/>
      <c r="W286" s="101"/>
      <c r="X286" s="102"/>
      <c r="Y286" s="102"/>
      <c r="Z286" s="0"/>
      <c r="AA286" s="0"/>
      <c r="AB286" s="0"/>
    </row>
    <row r="287" customFormat="false" ht="15" hidden="false" customHeight="false" outlineLevel="0" collapsed="false">
      <c r="A287" s="64" t="s">
        <v>1113</v>
      </c>
      <c r="B287" s="64" t="n">
        <v>3</v>
      </c>
      <c r="C287" s="93" t="s">
        <v>1216</v>
      </c>
      <c r="D287" s="93" t="s">
        <v>1229</v>
      </c>
      <c r="E287" s="94" t="n">
        <v>30</v>
      </c>
      <c r="F287" s="105" t="n">
        <f aca="false">Yield_Originals!G287</f>
        <v>0.148112988969661</v>
      </c>
      <c r="G287" s="96" t="n">
        <v>0.148112988969661</v>
      </c>
      <c r="H287" s="96" t="n">
        <v>0.148112988969661</v>
      </c>
      <c r="I287" s="96" t="n">
        <f aca="false">+(Yield_Originals!H287+Yield_Originals!J287)/2</f>
        <v>0.154056494484831</v>
      </c>
      <c r="J287" s="96" t="n">
        <v>0.16</v>
      </c>
      <c r="K287" s="97" t="n">
        <v>2</v>
      </c>
      <c r="L287" s="98" t="n">
        <f aca="false">(Yield_Originals!$G287*Yield_Originals!L$1)/Yield_Originals!$K287</f>
        <v>0.0888677933817966</v>
      </c>
      <c r="M287" s="98" t="n">
        <f aca="false">(Yield_Originals!$G287*Yield_Originals!M$1)/Yield_Originals!$K287</f>
        <v>0.0916449119249778</v>
      </c>
      <c r="N287" s="98" t="n">
        <f aca="false">(Yield_Originals!$G287*Yield_Originals!N$1)/Yield_Originals!$K287</f>
        <v>0.0944220304681589</v>
      </c>
      <c r="O287" s="98" t="n">
        <f aca="false">(Yield_Originals!$G287*Yield_Originals!O$1)/Yield_Originals!$K287</f>
        <v>0.0971991490113401</v>
      </c>
      <c r="P287" s="99" t="n">
        <f aca="false">(Yield_Originals!$H287*Yield_Originals!P$1)/Yield_Originals!$K287</f>
        <v>0.0999762675545212</v>
      </c>
      <c r="Q287" s="99" t="n">
        <f aca="false">(Yield_Originals!$H287*Yield_Originals!Q$1)/Yield_Originals!$K287</f>
        <v>0.102753386097702</v>
      </c>
      <c r="R287" s="99" t="n">
        <f aca="false">(Yield_Originals!$H287*Yield_Originals!R$1)/Yield_Originals!$K287</f>
        <v>0.105530504640884</v>
      </c>
      <c r="S287" s="99" t="n">
        <f aca="false">(Yield_Originals!$H287*Yield_Originals!S$1)/Yield_Originals!$K287</f>
        <v>0.108307623184065</v>
      </c>
      <c r="T287" s="101"/>
      <c r="U287" s="101"/>
      <c r="V287" s="101"/>
      <c r="W287" s="101"/>
      <c r="X287" s="102"/>
      <c r="Y287" s="102"/>
      <c r="Z287" s="0"/>
      <c r="AA287" s="0"/>
      <c r="AB287" s="0"/>
    </row>
    <row r="288" customFormat="false" ht="15" hidden="false" customHeight="false" outlineLevel="0" collapsed="false">
      <c r="A288" s="64" t="s">
        <v>1113</v>
      </c>
      <c r="B288" s="64" t="n">
        <v>3</v>
      </c>
      <c r="C288" s="93" t="s">
        <v>1216</v>
      </c>
      <c r="D288" s="93" t="s">
        <v>1229</v>
      </c>
      <c r="E288" s="94" t="n">
        <v>31</v>
      </c>
      <c r="F288" s="105" t="n">
        <f aca="false">Yield_Originals!G288</f>
        <v>0.148112988969661</v>
      </c>
      <c r="G288" s="96" t="n">
        <v>0.148112988969661</v>
      </c>
      <c r="H288" s="96" t="n">
        <v>0.148112988969661</v>
      </c>
      <c r="I288" s="96" t="n">
        <f aca="false">+(Yield_Originals!H288+Yield_Originals!J288)/2</f>
        <v>0.154056494484831</v>
      </c>
      <c r="J288" s="96" t="n">
        <v>0.16</v>
      </c>
      <c r="K288" s="97" t="n">
        <v>2</v>
      </c>
      <c r="L288" s="98" t="n">
        <f aca="false">(Yield_Originals!$G288*Yield_Originals!L$1)/Yield_Originals!$K288</f>
        <v>0.0888677933817966</v>
      </c>
      <c r="M288" s="98" t="n">
        <f aca="false">(Yield_Originals!$G288*Yield_Originals!M$1)/Yield_Originals!$K288</f>
        <v>0.0916449119249778</v>
      </c>
      <c r="N288" s="98" t="n">
        <f aca="false">(Yield_Originals!$G288*Yield_Originals!N$1)/Yield_Originals!$K288</f>
        <v>0.0944220304681589</v>
      </c>
      <c r="O288" s="98" t="n">
        <f aca="false">(Yield_Originals!$G288*Yield_Originals!O$1)/Yield_Originals!$K288</f>
        <v>0.0971991490113401</v>
      </c>
      <c r="P288" s="99" t="n">
        <f aca="false">(Yield_Originals!$H288*Yield_Originals!P$1)/Yield_Originals!$K288</f>
        <v>0.0999762675545212</v>
      </c>
      <c r="Q288" s="99" t="n">
        <f aca="false">(Yield_Originals!$H288*Yield_Originals!Q$1)/Yield_Originals!$K288</f>
        <v>0.102753386097702</v>
      </c>
      <c r="R288" s="99" t="n">
        <f aca="false">(Yield_Originals!$H288*Yield_Originals!R$1)/Yield_Originals!$K288</f>
        <v>0.105530504640884</v>
      </c>
      <c r="S288" s="99" t="n">
        <f aca="false">(Yield_Originals!$H288*Yield_Originals!S$1)/Yield_Originals!$K288</f>
        <v>0.108307623184065</v>
      </c>
      <c r="T288" s="101"/>
      <c r="U288" s="101"/>
      <c r="V288" s="101"/>
      <c r="W288" s="101"/>
      <c r="X288" s="102"/>
      <c r="Y288" s="102"/>
      <c r="Z288" s="0"/>
      <c r="AA288" s="0"/>
      <c r="AB288" s="0"/>
    </row>
    <row r="289" customFormat="false" ht="15" hidden="false" customHeight="false" outlineLevel="0" collapsed="false">
      <c r="A289" s="64" t="s">
        <v>1113</v>
      </c>
      <c r="B289" s="64" t="n">
        <v>3</v>
      </c>
      <c r="C289" s="0" t="s">
        <v>1216</v>
      </c>
      <c r="D289" s="0" t="s">
        <v>1229</v>
      </c>
      <c r="E289" s="94" t="n">
        <v>1</v>
      </c>
      <c r="F289" s="105" t="n">
        <f aca="false">Yield_Originals!G289</f>
        <v>0.148112988969661</v>
      </c>
      <c r="G289" s="96" t="n">
        <v>0.148112988969661</v>
      </c>
      <c r="H289" s="96" t="n">
        <v>0.148112988969661</v>
      </c>
      <c r="I289" s="96" t="n">
        <f aca="false">+(Yield_Originals!H289+Yield_Originals!J289)/2</f>
        <v>0.154056494484831</v>
      </c>
      <c r="J289" s="96" t="n">
        <v>0.16</v>
      </c>
      <c r="K289" s="97" t="n">
        <v>2</v>
      </c>
      <c r="L289" s="98" t="n">
        <f aca="false">(Yield_Originals!$G289*Yield_Originals!L$1)/Yield_Originals!$K289</f>
        <v>0.0888677933817966</v>
      </c>
      <c r="M289" s="98" t="n">
        <f aca="false">(Yield_Originals!$G289*Yield_Originals!M$1)/Yield_Originals!$K289</f>
        <v>0.0916449119249778</v>
      </c>
      <c r="N289" s="98" t="n">
        <f aca="false">(Yield_Originals!$G289*Yield_Originals!N$1)/Yield_Originals!$K289</f>
        <v>0.0944220304681589</v>
      </c>
      <c r="O289" s="98" t="n">
        <f aca="false">(Yield_Originals!$G289*Yield_Originals!O$1)/Yield_Originals!$K289</f>
        <v>0.0971991490113401</v>
      </c>
      <c r="P289" s="99" t="n">
        <f aca="false">(Yield_Originals!$H289*Yield_Originals!P$1)/Yield_Originals!$K289</f>
        <v>0.0999762675545212</v>
      </c>
      <c r="Q289" s="99" t="n">
        <f aca="false">(Yield_Originals!$H289*Yield_Originals!Q$1)/Yield_Originals!$K289</f>
        <v>0.102753386097702</v>
      </c>
      <c r="R289" s="99" t="n">
        <f aca="false">(Yield_Originals!$H289*Yield_Originals!R$1)/Yield_Originals!$K289</f>
        <v>0.105530504640884</v>
      </c>
      <c r="S289" s="99" t="n">
        <f aca="false">(Yield_Originals!$H289*Yield_Originals!S$1)/Yield_Originals!$K289</f>
        <v>0.108307623184065</v>
      </c>
      <c r="T289" s="101"/>
      <c r="U289" s="101"/>
      <c r="V289" s="101"/>
      <c r="W289" s="101"/>
      <c r="X289" s="102"/>
      <c r="Y289" s="102"/>
      <c r="Z289" s="0"/>
      <c r="AA289" s="0"/>
      <c r="AB289" s="0"/>
    </row>
    <row r="290" customFormat="false" ht="15" hidden="false" customHeight="false" outlineLevel="0" collapsed="false">
      <c r="A290" s="64" t="s">
        <v>1113</v>
      </c>
      <c r="B290" s="64" t="n">
        <v>3</v>
      </c>
      <c r="C290" s="0" t="s">
        <v>1216</v>
      </c>
      <c r="D290" s="0" t="s">
        <v>1229</v>
      </c>
      <c r="E290" s="94" t="n">
        <v>2</v>
      </c>
      <c r="F290" s="105" t="n">
        <f aca="false">Yield_Originals!G290</f>
        <v>0.148112988969661</v>
      </c>
      <c r="G290" s="96" t="n">
        <v>0.148112988969661</v>
      </c>
      <c r="H290" s="96" t="n">
        <v>0.148112988969661</v>
      </c>
      <c r="I290" s="96" t="n">
        <f aca="false">+(Yield_Originals!H290+Yield_Originals!J290)/2</f>
        <v>0.154056494484831</v>
      </c>
      <c r="J290" s="96" t="n">
        <v>0.16</v>
      </c>
      <c r="K290" s="97" t="n">
        <v>2</v>
      </c>
      <c r="L290" s="98" t="n">
        <f aca="false">(Yield_Originals!$G290*Yield_Originals!L$1)/Yield_Originals!$K290</f>
        <v>0.0888677933817966</v>
      </c>
      <c r="M290" s="98" t="n">
        <f aca="false">(Yield_Originals!$G290*Yield_Originals!M$1)/Yield_Originals!$K290</f>
        <v>0.0916449119249778</v>
      </c>
      <c r="N290" s="98" t="n">
        <f aca="false">(Yield_Originals!$G290*Yield_Originals!N$1)/Yield_Originals!$K290</f>
        <v>0.0944220304681589</v>
      </c>
      <c r="O290" s="98" t="n">
        <f aca="false">(Yield_Originals!$G290*Yield_Originals!O$1)/Yield_Originals!$K290</f>
        <v>0.0971991490113401</v>
      </c>
      <c r="P290" s="99" t="n">
        <f aca="false">(Yield_Originals!$H290*Yield_Originals!P$1)/Yield_Originals!$K290</f>
        <v>0.0999762675545212</v>
      </c>
      <c r="Q290" s="99" t="n">
        <f aca="false">(Yield_Originals!$H290*Yield_Originals!Q$1)/Yield_Originals!$K290</f>
        <v>0.102753386097702</v>
      </c>
      <c r="R290" s="99" t="n">
        <f aca="false">(Yield_Originals!$H290*Yield_Originals!R$1)/Yield_Originals!$K290</f>
        <v>0.105530504640884</v>
      </c>
      <c r="S290" s="99" t="n">
        <f aca="false">(Yield_Originals!$H290*Yield_Originals!S$1)/Yield_Originals!$K290</f>
        <v>0.108307623184065</v>
      </c>
      <c r="T290" s="101"/>
      <c r="U290" s="101"/>
      <c r="V290" s="101"/>
      <c r="W290" s="101"/>
      <c r="X290" s="102"/>
      <c r="Y290" s="102"/>
      <c r="Z290" s="0"/>
      <c r="AA290" s="0"/>
      <c r="AB290" s="0"/>
    </row>
    <row r="291" customFormat="false" ht="15" hidden="false" customHeight="false" outlineLevel="0" collapsed="false">
      <c r="A291" s="64" t="s">
        <v>1113</v>
      </c>
      <c r="B291" s="64" t="n">
        <v>3</v>
      </c>
      <c r="C291" s="93" t="s">
        <v>530</v>
      </c>
      <c r="D291" s="93" t="s">
        <v>1244</v>
      </c>
      <c r="E291" s="94" t="n">
        <v>26</v>
      </c>
      <c r="F291" s="105" t="n">
        <f aca="false">Yield_Originals!G291</f>
        <v>0.148112988969661</v>
      </c>
      <c r="G291" s="96" t="n">
        <v>0.148112988969661</v>
      </c>
      <c r="H291" s="96" t="n">
        <v>0.148112988969661</v>
      </c>
      <c r="I291" s="96" t="n">
        <f aca="false">+(Yield_Originals!H291+Yield_Originals!J291)/2</f>
        <v>0.154056494484831</v>
      </c>
      <c r="J291" s="96" t="n">
        <v>0.16</v>
      </c>
      <c r="K291" s="97" t="n">
        <v>2</v>
      </c>
      <c r="L291" s="98" t="n">
        <f aca="false">(Yield_Originals!$G291*Yield_Originals!L$1)/Yield_Originals!$K291</f>
        <v>0.0888677933817966</v>
      </c>
      <c r="M291" s="98" t="n">
        <f aca="false">(Yield_Originals!$G291*Yield_Originals!M$1)/Yield_Originals!$K291</f>
        <v>0.0916449119249778</v>
      </c>
      <c r="N291" s="98"/>
      <c r="O291" s="98"/>
      <c r="P291" s="99"/>
      <c r="Q291" s="99"/>
      <c r="R291" s="99"/>
      <c r="S291" s="99"/>
      <c r="T291" s="101"/>
      <c r="U291" s="101"/>
      <c r="V291" s="101"/>
      <c r="W291" s="101"/>
      <c r="X291" s="102"/>
      <c r="Y291" s="102"/>
      <c r="Z291" s="0"/>
      <c r="AA291" s="0"/>
      <c r="AB291" s="0"/>
    </row>
    <row r="292" customFormat="false" ht="15" hidden="false" customHeight="false" outlineLevel="0" collapsed="false">
      <c r="A292" s="64" t="s">
        <v>1113</v>
      </c>
      <c r="B292" s="64" t="n">
        <v>3</v>
      </c>
      <c r="C292" s="93" t="s">
        <v>530</v>
      </c>
      <c r="D292" s="93" t="s">
        <v>1244</v>
      </c>
      <c r="E292" s="94" t="n">
        <v>30</v>
      </c>
      <c r="F292" s="105" t="n">
        <f aca="false">Yield_Originals!G292</f>
        <v>0.148112988969661</v>
      </c>
      <c r="G292" s="96" t="n">
        <v>0.148112988969661</v>
      </c>
      <c r="H292" s="96" t="n">
        <v>0.148112988969661</v>
      </c>
      <c r="I292" s="96" t="n">
        <f aca="false">+(Yield_Originals!H292+Yield_Originals!J292)/2</f>
        <v>0.154056494484831</v>
      </c>
      <c r="J292" s="96" t="n">
        <v>0.16</v>
      </c>
      <c r="K292" s="97" t="n">
        <v>2</v>
      </c>
      <c r="L292" s="98" t="n">
        <f aca="false">(Yield_Originals!$G292*Yield_Originals!L$1)/Yield_Originals!$K292</f>
        <v>0.0888677933817966</v>
      </c>
      <c r="M292" s="98" t="n">
        <f aca="false">(Yield_Originals!$G292*Yield_Originals!M$1)/Yield_Originals!$K292</f>
        <v>0.0916449119249778</v>
      </c>
      <c r="N292" s="98"/>
      <c r="O292" s="98"/>
      <c r="P292" s="99"/>
      <c r="Q292" s="99"/>
      <c r="R292" s="99"/>
      <c r="S292" s="99"/>
      <c r="T292" s="101"/>
      <c r="U292" s="101"/>
      <c r="V292" s="101"/>
      <c r="W292" s="101"/>
      <c r="X292" s="102"/>
      <c r="Y292" s="102"/>
      <c r="Z292" s="0"/>
      <c r="AA292" s="0"/>
      <c r="AB292" s="0"/>
    </row>
    <row r="293" customFormat="false" ht="15" hidden="false" customHeight="false" outlineLevel="0" collapsed="false">
      <c r="A293" s="64" t="s">
        <v>1113</v>
      </c>
      <c r="B293" s="64" t="n">
        <v>3</v>
      </c>
      <c r="C293" s="93" t="s">
        <v>530</v>
      </c>
      <c r="D293" s="93" t="s">
        <v>1244</v>
      </c>
      <c r="E293" s="94" t="n">
        <v>31</v>
      </c>
      <c r="F293" s="105" t="n">
        <f aca="false">Yield_Originals!G293</f>
        <v>0.148112988969661</v>
      </c>
      <c r="G293" s="96" t="n">
        <v>0.148112988969661</v>
      </c>
      <c r="H293" s="96" t="n">
        <v>0.148112988969661</v>
      </c>
      <c r="I293" s="96" t="n">
        <f aca="false">+(Yield_Originals!H293+Yield_Originals!J293)/2</f>
        <v>0.154056494484831</v>
      </c>
      <c r="J293" s="96" t="n">
        <v>0.16</v>
      </c>
      <c r="K293" s="97" t="n">
        <v>2</v>
      </c>
      <c r="L293" s="98" t="n">
        <f aca="false">(Yield_Originals!$G293*Yield_Originals!L$1)/Yield_Originals!$K293</f>
        <v>0.0888677933817966</v>
      </c>
      <c r="M293" s="98" t="n">
        <f aca="false">(Yield_Originals!$G293*Yield_Originals!M$1)/Yield_Originals!$K293</f>
        <v>0.0916449119249778</v>
      </c>
      <c r="N293" s="98"/>
      <c r="O293" s="98"/>
      <c r="P293" s="99"/>
      <c r="Q293" s="99"/>
      <c r="R293" s="99"/>
      <c r="S293" s="99"/>
      <c r="T293" s="101"/>
      <c r="U293" s="101"/>
      <c r="V293" s="101"/>
      <c r="W293" s="101" t="n">
        <f aca="false">(Yield_Originals!$I293*Yield_Originals!W$1)/Yield_Originals!$K293</f>
        <v>0.124208048678395</v>
      </c>
      <c r="X293" s="102" t="n">
        <f aca="false">(Yield_Originals!$I293*Yield_Originals!X$1)/Yield_Originals!$K293</f>
        <v>0.127096607949985</v>
      </c>
      <c r="Y293" s="102" t="n">
        <f aca="false">(Yield_Originals!$I293*Yield_Originals!Y$1)/Yield_Originals!$K293</f>
        <v>0.129985167221576</v>
      </c>
      <c r="Z293" s="0"/>
      <c r="AA293" s="0"/>
      <c r="AB293" s="0"/>
    </row>
    <row r="294" customFormat="false" ht="15" hidden="false" customHeight="false" outlineLevel="0" collapsed="false">
      <c r="A294" s="64" t="s">
        <v>1113</v>
      </c>
      <c r="B294" s="64" t="n">
        <v>3</v>
      </c>
      <c r="C294" s="93" t="s">
        <v>265</v>
      </c>
      <c r="D294" s="93" t="s">
        <v>1244</v>
      </c>
      <c r="E294" s="94" t="n">
        <v>26</v>
      </c>
      <c r="F294" s="105" t="n">
        <f aca="false">Yield_Originals!G294</f>
        <v>0.148112988969661</v>
      </c>
      <c r="G294" s="96" t="n">
        <v>0.148112988969661</v>
      </c>
      <c r="H294" s="96" t="n">
        <v>0.148112988969661</v>
      </c>
      <c r="I294" s="96" t="n">
        <f aca="false">+(Yield_Originals!H294+Yield_Originals!J294)/2</f>
        <v>0.154056494484831</v>
      </c>
      <c r="J294" s="96" t="n">
        <v>0.16</v>
      </c>
      <c r="K294" s="97" t="n">
        <v>2</v>
      </c>
      <c r="L294" s="98" t="n">
        <f aca="false">(Yield_Originals!$G294*Yield_Originals!L$1)/Yield_Originals!$K294</f>
        <v>0.0888677933817966</v>
      </c>
      <c r="M294" s="98" t="n">
        <f aca="false">(Yield_Originals!$G294*Yield_Originals!M$1)/Yield_Originals!$K294</f>
        <v>0.0916449119249778</v>
      </c>
      <c r="N294" s="98"/>
      <c r="O294" s="98"/>
      <c r="P294" s="99"/>
      <c r="Q294" s="99"/>
      <c r="R294" s="99"/>
      <c r="S294" s="99"/>
      <c r="T294" s="101"/>
      <c r="U294" s="101"/>
      <c r="V294" s="101"/>
      <c r="W294" s="101"/>
      <c r="X294" s="102"/>
      <c r="Y294" s="102"/>
      <c r="Z294" s="0"/>
      <c r="AA294" s="0"/>
      <c r="AB294" s="0"/>
    </row>
    <row r="295" customFormat="false" ht="15" hidden="false" customHeight="false" outlineLevel="0" collapsed="false">
      <c r="A295" s="64" t="s">
        <v>1113</v>
      </c>
      <c r="B295" s="64" t="n">
        <v>3</v>
      </c>
      <c r="C295" s="93" t="s">
        <v>265</v>
      </c>
      <c r="D295" s="93" t="s">
        <v>1244</v>
      </c>
      <c r="E295" s="94" t="n">
        <v>30</v>
      </c>
      <c r="F295" s="105" t="n">
        <f aca="false">Yield_Originals!G295</f>
        <v>0.148112988969661</v>
      </c>
      <c r="G295" s="96" t="n">
        <v>0.148112988969661</v>
      </c>
      <c r="H295" s="96" t="n">
        <v>0.148112988969661</v>
      </c>
      <c r="I295" s="96" t="n">
        <f aca="false">+(Yield_Originals!H295+Yield_Originals!J295)/2</f>
        <v>0.154056494484831</v>
      </c>
      <c r="J295" s="96" t="n">
        <v>0.16</v>
      </c>
      <c r="K295" s="97" t="n">
        <v>2</v>
      </c>
      <c r="L295" s="98" t="n">
        <f aca="false">(Yield_Originals!$G295*Yield_Originals!L$1)/Yield_Originals!$K295</f>
        <v>0.0888677933817966</v>
      </c>
      <c r="M295" s="98" t="n">
        <f aca="false">(Yield_Originals!$G295*Yield_Originals!M$1)/Yield_Originals!$K295</f>
        <v>0.0916449119249778</v>
      </c>
      <c r="N295" s="98"/>
      <c r="O295" s="98"/>
      <c r="P295" s="99"/>
      <c r="Q295" s="99"/>
      <c r="R295" s="99"/>
      <c r="S295" s="99"/>
      <c r="T295" s="101"/>
      <c r="U295" s="101"/>
      <c r="V295" s="101"/>
      <c r="W295" s="101"/>
      <c r="X295" s="102"/>
      <c r="Y295" s="102"/>
      <c r="Z295" s="0"/>
      <c r="AA295" s="0"/>
      <c r="AB295" s="0"/>
    </row>
    <row r="296" customFormat="false" ht="15" hidden="false" customHeight="false" outlineLevel="0" collapsed="false">
      <c r="A296" s="64" t="s">
        <v>1113</v>
      </c>
      <c r="B296" s="64" t="n">
        <v>3</v>
      </c>
      <c r="C296" s="93" t="s">
        <v>265</v>
      </c>
      <c r="D296" s="93" t="s">
        <v>1244</v>
      </c>
      <c r="E296" s="94" t="n">
        <v>31</v>
      </c>
      <c r="F296" s="105" t="n">
        <f aca="false">Yield_Originals!G296</f>
        <v>0.148112988969661</v>
      </c>
      <c r="G296" s="96" t="n">
        <v>0.148112988969661</v>
      </c>
      <c r="H296" s="96" t="n">
        <v>0.148112988969661</v>
      </c>
      <c r="I296" s="96" t="n">
        <f aca="false">+(Yield_Originals!H296+Yield_Originals!J296)/2</f>
        <v>0.154056494484831</v>
      </c>
      <c r="J296" s="96" t="n">
        <v>0.16</v>
      </c>
      <c r="K296" s="97" t="n">
        <v>2</v>
      </c>
      <c r="L296" s="98" t="n">
        <f aca="false">(Yield_Originals!$G296*Yield_Originals!L$1)/Yield_Originals!$K296</f>
        <v>0.0888677933817966</v>
      </c>
      <c r="M296" s="98" t="n">
        <f aca="false">(Yield_Originals!$G296*Yield_Originals!M$1)/Yield_Originals!$K296</f>
        <v>0.0916449119249778</v>
      </c>
      <c r="N296" s="98"/>
      <c r="O296" s="98"/>
      <c r="P296" s="99"/>
      <c r="Q296" s="99"/>
      <c r="R296" s="99"/>
      <c r="S296" s="99"/>
      <c r="T296" s="101"/>
      <c r="U296" s="101"/>
      <c r="V296" s="101"/>
      <c r="W296" s="101" t="n">
        <f aca="false">(Yield_Originals!$I296*Yield_Originals!W$1)/Yield_Originals!$K296</f>
        <v>0.124208048678395</v>
      </c>
      <c r="X296" s="102" t="n">
        <f aca="false">(Yield_Originals!$I296*Yield_Originals!X$1)/Yield_Originals!$K296</f>
        <v>0.127096607949985</v>
      </c>
      <c r="Y296" s="102" t="n">
        <f aca="false">(Yield_Originals!$I296*Yield_Originals!Y$1)/Yield_Originals!$K296</f>
        <v>0.129985167221576</v>
      </c>
      <c r="Z296" s="102"/>
      <c r="AA296" s="102"/>
      <c r="AB296" s="102"/>
    </row>
    <row r="297" customFormat="false" ht="15" hidden="false" customHeight="false" outlineLevel="0" collapsed="false">
      <c r="A297" s="64" t="s">
        <v>1252</v>
      </c>
      <c r="B297" s="66" t="n">
        <v>2</v>
      </c>
      <c r="C297" s="93" t="s">
        <v>1223</v>
      </c>
      <c r="D297" s="93" t="s">
        <v>1261</v>
      </c>
      <c r="E297" s="94" t="n">
        <v>1</v>
      </c>
      <c r="F297" s="105" t="n">
        <f aca="false">Yield_Originals!G297</f>
        <v>0.120350988019851</v>
      </c>
      <c r="G297" s="96" t="n">
        <v>0.120350988019851</v>
      </c>
      <c r="H297" s="96" t="n">
        <v>0.120350988019851</v>
      </c>
      <c r="I297" s="96" t="n">
        <v>0.120350988019851</v>
      </c>
      <c r="J297" s="96" t="n">
        <v>0.120350988019851</v>
      </c>
      <c r="K297" s="97" t="n">
        <v>1</v>
      </c>
      <c r="L297" s="98" t="n">
        <f aca="false">(Yield_Originals!$G297*Yield_Originals!L$1)/Yield_Originals!$K297</f>
        <v>0.144421185623821</v>
      </c>
      <c r="M297" s="98" t="n">
        <f aca="false">(Yield_Originals!$G297*Yield_Originals!M$1)/Yield_Originals!$K297</f>
        <v>0.148934347674566</v>
      </c>
      <c r="N297" s="98" t="n">
        <f aca="false">(Yield_Originals!$G297*Yield_Originals!N$1)/Yield_Originals!$K297</f>
        <v>0.15344750972531</v>
      </c>
      <c r="O297" s="98" t="n">
        <f aca="false">(Yield_Originals!$G297*Yield_Originals!O$1)/Yield_Originals!$K297</f>
        <v>0.157960671776054</v>
      </c>
      <c r="P297" s="99" t="n">
        <f aca="false">(Yield_Originals!$H297*Yield_Originals!P$1)/Yield_Originals!$K297</f>
        <v>0.162473833826799</v>
      </c>
      <c r="Q297" s="99" t="n">
        <f aca="false">(Yield_Originals!$H297*Yield_Originals!Q$1)/Yield_Originals!$K297</f>
        <v>0.166986995877543</v>
      </c>
      <c r="R297" s="99" t="n">
        <f aca="false">(Yield_Originals!$H297*Yield_Originals!R$1)/Yield_Originals!$K297</f>
        <v>0.171500157928288</v>
      </c>
      <c r="S297" s="99" t="n">
        <f aca="false">(Yield_Originals!$H297*Yield_Originals!S$1)/Yield_Originals!$K297</f>
        <v>0.176013319979032</v>
      </c>
      <c r="T297" s="101" t="n">
        <f aca="false">(Yield_Originals!$I297*Yield_Originals!T$1)/Yield_Originals!$K297</f>
        <v>0.180526482029777</v>
      </c>
      <c r="U297" s="101" t="n">
        <f aca="false">(Yield_Originals!$I297*Yield_Originals!U$1)/Yield_Originals!$K297</f>
        <v>0.185039644080521</v>
      </c>
      <c r="V297" s="101" t="n">
        <f aca="false">(Yield_Originals!$I297*Yield_Originals!V$1)/Yield_Originals!$K297</f>
        <v>0.189552806131265</v>
      </c>
      <c r="W297" s="101" t="n">
        <f aca="false">(Yield_Originals!$I297*Yield_Originals!W$1)/Yield_Originals!$K297</f>
        <v>0.19406596818201</v>
      </c>
      <c r="X297" s="102" t="n">
        <f aca="false">(Yield_Originals!$I297*Yield_Originals!X$1)/Yield_Originals!$K297</f>
        <v>0.198579130232754</v>
      </c>
      <c r="Y297" s="102" t="n">
        <f aca="false">(Yield_Originals!$I297*Yield_Originals!Y$1)/Yield_Originals!$K297</f>
        <v>0.203092292283499</v>
      </c>
      <c r="Z297" s="0"/>
      <c r="AA297" s="0"/>
      <c r="AB297" s="0"/>
    </row>
    <row r="298" customFormat="false" ht="15" hidden="false" customHeight="false" outlineLevel="0" collapsed="false">
      <c r="A298" s="64" t="s">
        <v>1252</v>
      </c>
      <c r="B298" s="66" t="n">
        <v>2</v>
      </c>
      <c r="C298" s="93" t="s">
        <v>532</v>
      </c>
      <c r="D298" s="93" t="s">
        <v>1257</v>
      </c>
      <c r="E298" s="94" t="n">
        <v>1</v>
      </c>
      <c r="F298" s="105" t="n">
        <f aca="false">Yield_Originals!G298</f>
        <v>0.120350988019851</v>
      </c>
      <c r="G298" s="96" t="n">
        <v>0.120350988019851</v>
      </c>
      <c r="H298" s="96" t="n">
        <v>0.120350988019851</v>
      </c>
      <c r="I298" s="96" t="n">
        <v>0.120350988019851</v>
      </c>
      <c r="J298" s="96" t="n">
        <v>0.120350988019851</v>
      </c>
      <c r="K298" s="97" t="n">
        <v>1</v>
      </c>
      <c r="L298" s="98" t="n">
        <f aca="false">(Yield_Originals!$G298*Yield_Originals!L$1)/Yield_Originals!$K298</f>
        <v>0.144421185623821</v>
      </c>
      <c r="M298" s="98" t="n">
        <f aca="false">(Yield_Originals!$G298*Yield_Originals!M$1)/Yield_Originals!$K298</f>
        <v>0.148934347674566</v>
      </c>
      <c r="N298" s="98" t="n">
        <f aca="false">(Yield_Originals!$G298*Yield_Originals!N$1)/Yield_Originals!$K298</f>
        <v>0.15344750972531</v>
      </c>
      <c r="O298" s="98" t="n">
        <f aca="false">(Yield_Originals!$G298*Yield_Originals!O$1)/Yield_Originals!$K298</f>
        <v>0.157960671776054</v>
      </c>
      <c r="P298" s="99" t="n">
        <f aca="false">(Yield_Originals!$H298*Yield_Originals!P$1)/Yield_Originals!$K298</f>
        <v>0.162473833826799</v>
      </c>
      <c r="Q298" s="99" t="n">
        <f aca="false">(Yield_Originals!$H298*Yield_Originals!Q$1)/Yield_Originals!$K298</f>
        <v>0.166986995877543</v>
      </c>
      <c r="R298" s="99" t="n">
        <f aca="false">(Yield_Originals!$H298*Yield_Originals!R$1)/Yield_Originals!$K298</f>
        <v>0.171500157928288</v>
      </c>
      <c r="S298" s="99" t="n">
        <f aca="false">(Yield_Originals!$H298*Yield_Originals!S$1)/Yield_Originals!$K298</f>
        <v>0.176013319979032</v>
      </c>
      <c r="T298" s="101" t="n">
        <f aca="false">(Yield_Originals!$I298*Yield_Originals!T$1)/Yield_Originals!$K298</f>
        <v>0.180526482029777</v>
      </c>
      <c r="U298" s="101"/>
      <c r="V298" s="101"/>
      <c r="W298" s="101"/>
      <c r="X298" s="102"/>
      <c r="Y298" s="102"/>
      <c r="Z298" s="0"/>
      <c r="AA298" s="0"/>
      <c r="AB298" s="0"/>
    </row>
    <row r="299" customFormat="false" ht="15" hidden="false" customHeight="false" outlineLevel="0" collapsed="false">
      <c r="A299" s="64" t="s">
        <v>1252</v>
      </c>
      <c r="B299" s="66" t="n">
        <v>2</v>
      </c>
      <c r="C299" s="93" t="s">
        <v>266</v>
      </c>
      <c r="D299" s="93" t="s">
        <v>1257</v>
      </c>
      <c r="E299" s="94" t="n">
        <v>1</v>
      </c>
      <c r="F299" s="105" t="n">
        <f aca="false">Yield_Originals!G299</f>
        <v>0.120350988019851</v>
      </c>
      <c r="G299" s="96" t="n">
        <v>0.120350988019851</v>
      </c>
      <c r="H299" s="96" t="n">
        <v>0.120350988019851</v>
      </c>
      <c r="I299" s="96" t="n">
        <v>0.120350988019851</v>
      </c>
      <c r="J299" s="96" t="n">
        <v>0.120350988019851</v>
      </c>
      <c r="K299" s="97" t="n">
        <v>1</v>
      </c>
      <c r="L299" s="98" t="n">
        <f aca="false">(Yield_Originals!$G299*Yield_Originals!L$1)/Yield_Originals!$K299</f>
        <v>0.144421185623821</v>
      </c>
      <c r="M299" s="98" t="n">
        <f aca="false">(Yield_Originals!$G299*Yield_Originals!M$1)/Yield_Originals!$K299</f>
        <v>0.148934347674566</v>
      </c>
      <c r="N299" s="98" t="n">
        <f aca="false">(Yield_Originals!$G299*Yield_Originals!N$1)/Yield_Originals!$K299</f>
        <v>0.15344750972531</v>
      </c>
      <c r="O299" s="98" t="n">
        <f aca="false">(Yield_Originals!$G299*Yield_Originals!O$1)/Yield_Originals!$K299</f>
        <v>0.157960671776054</v>
      </c>
      <c r="P299" s="99" t="n">
        <f aca="false">(Yield_Originals!$H299*Yield_Originals!P$1)/Yield_Originals!$K299</f>
        <v>0.162473833826799</v>
      </c>
      <c r="Q299" s="99" t="n">
        <f aca="false">(Yield_Originals!$H299*Yield_Originals!Q$1)/Yield_Originals!$K299</f>
        <v>0.166986995877543</v>
      </c>
      <c r="R299" s="99" t="n">
        <f aca="false">(Yield_Originals!$H299*Yield_Originals!R$1)/Yield_Originals!$K299</f>
        <v>0.171500157928288</v>
      </c>
      <c r="S299" s="99" t="n">
        <f aca="false">(Yield_Originals!$H299*Yield_Originals!S$1)/Yield_Originals!$K299</f>
        <v>0.176013319979032</v>
      </c>
      <c r="T299" s="101" t="n">
        <f aca="false">(Yield_Originals!$I299*Yield_Originals!T$1)/Yield_Originals!$K299</f>
        <v>0.180526482029777</v>
      </c>
      <c r="U299" s="101"/>
      <c r="V299" s="101"/>
      <c r="W299" s="101"/>
      <c r="X299" s="102"/>
      <c r="Y299" s="102"/>
      <c r="Z299" s="0"/>
      <c r="AA299" s="0"/>
      <c r="AB299" s="0"/>
    </row>
    <row r="300" customFormat="false" ht="15" hidden="false" customHeight="false" outlineLevel="0" collapsed="false">
      <c r="A300" s="64" t="s">
        <v>1252</v>
      </c>
      <c r="B300" s="66" t="n">
        <v>2</v>
      </c>
      <c r="C300" s="93" t="s">
        <v>142</v>
      </c>
      <c r="D300" s="93" t="s">
        <v>1252</v>
      </c>
      <c r="E300" s="94" t="n">
        <v>1</v>
      </c>
      <c r="F300" s="105" t="n">
        <f aca="false">Yield_Originals!G300</f>
        <v>0.120350988019851</v>
      </c>
      <c r="G300" s="96" t="n">
        <v>0.120350988019851</v>
      </c>
      <c r="H300" s="96" t="n">
        <v>0.120350988019851</v>
      </c>
      <c r="I300" s="96" t="n">
        <v>0.120350988019851</v>
      </c>
      <c r="J300" s="96" t="n">
        <v>0.120350988019851</v>
      </c>
      <c r="K300" s="97" t="n">
        <v>1</v>
      </c>
      <c r="L300" s="98" t="n">
        <f aca="false">(Yield_Originals!$G300*Yield_Originals!L$1)/Yield_Originals!$K300</f>
        <v>0.144421185623821</v>
      </c>
      <c r="M300" s="98" t="n">
        <f aca="false">(Yield_Originals!$G300*Yield_Originals!M$1)/Yield_Originals!$K300</f>
        <v>0.148934347674566</v>
      </c>
      <c r="N300" s="98" t="n">
        <f aca="false">(Yield_Originals!$G300*Yield_Originals!N$1)/Yield_Originals!$K300</f>
        <v>0.15344750972531</v>
      </c>
      <c r="O300" s="98" t="n">
        <f aca="false">(Yield_Originals!$G300*Yield_Originals!O$1)/Yield_Originals!$K300</f>
        <v>0.157960671776054</v>
      </c>
      <c r="P300" s="99" t="n">
        <f aca="false">(Yield_Originals!$H300*Yield_Originals!P$1)/Yield_Originals!$K300</f>
        <v>0.162473833826799</v>
      </c>
      <c r="Q300" s="99" t="n">
        <f aca="false">(Yield_Originals!$H300*Yield_Originals!Q$1)/Yield_Originals!$K300</f>
        <v>0.166986995877543</v>
      </c>
      <c r="R300" s="99" t="n">
        <f aca="false">(Yield_Originals!$H300*Yield_Originals!R$1)/Yield_Originals!$K300</f>
        <v>0.171500157928288</v>
      </c>
      <c r="S300" s="99" t="n">
        <f aca="false">(Yield_Originals!$H300*Yield_Originals!S$1)/Yield_Originals!$K300</f>
        <v>0.176013319979032</v>
      </c>
      <c r="T300" s="101" t="n">
        <f aca="false">(Yield_Originals!$I300*Yield_Originals!T$1)/Yield_Originals!$K300</f>
        <v>0.180526482029777</v>
      </c>
      <c r="U300" s="101" t="n">
        <f aca="false">(Yield_Originals!$I300*Yield_Originals!U$1)/Yield_Originals!$K300</f>
        <v>0.185039644080521</v>
      </c>
      <c r="V300" s="101" t="n">
        <f aca="false">(Yield_Originals!$I300*Yield_Originals!V$1)/Yield_Originals!$K300</f>
        <v>0.189552806131265</v>
      </c>
      <c r="W300" s="101" t="n">
        <f aca="false">(Yield_Originals!$I300*Yield_Originals!W$1)/Yield_Originals!$K300</f>
        <v>0.19406596818201</v>
      </c>
      <c r="X300" s="102" t="n">
        <f aca="false">(Yield_Originals!$I300*Yield_Originals!X$1)/Yield_Originals!$K300</f>
        <v>0.198579130232754</v>
      </c>
      <c r="Y300" s="102" t="n">
        <f aca="false">(Yield_Originals!$I300*Yield_Originals!Y$1)/Yield_Originals!$K300</f>
        <v>0.203092292283499</v>
      </c>
      <c r="Z300" s="0"/>
      <c r="AA300" s="0"/>
      <c r="AB300" s="0"/>
    </row>
    <row r="301" customFormat="false" ht="15" hidden="false" customHeight="false" outlineLevel="0" collapsed="false">
      <c r="A301" s="64" t="s">
        <v>1252</v>
      </c>
      <c r="B301" s="66" t="n">
        <v>2</v>
      </c>
      <c r="C301" s="93" t="s">
        <v>267</v>
      </c>
      <c r="D301" s="93" t="s">
        <v>1252</v>
      </c>
      <c r="E301" s="94" t="n">
        <v>1</v>
      </c>
      <c r="F301" s="105" t="n">
        <f aca="false">Yield_Originals!G301</f>
        <v>0.120350988019851</v>
      </c>
      <c r="G301" s="96" t="n">
        <v>0.120350988019851</v>
      </c>
      <c r="H301" s="96" t="n">
        <v>0.120350988019851</v>
      </c>
      <c r="I301" s="96" t="n">
        <v>0.120350988019851</v>
      </c>
      <c r="J301" s="96" t="n">
        <v>0.120350988019851</v>
      </c>
      <c r="K301" s="97" t="n">
        <v>1</v>
      </c>
      <c r="L301" s="98" t="n">
        <f aca="false">(Yield_Originals!$G301*Yield_Originals!L$1)/Yield_Originals!$K301</f>
        <v>0.144421185623821</v>
      </c>
      <c r="M301" s="98" t="n">
        <f aca="false">(Yield_Originals!$G301*Yield_Originals!M$1)/Yield_Originals!$K301</f>
        <v>0.148934347674566</v>
      </c>
      <c r="N301" s="98" t="n">
        <f aca="false">(Yield_Originals!$G301*Yield_Originals!N$1)/Yield_Originals!$K301</f>
        <v>0.15344750972531</v>
      </c>
      <c r="O301" s="98" t="n">
        <f aca="false">(Yield_Originals!$G301*Yield_Originals!O$1)/Yield_Originals!$K301</f>
        <v>0.157960671776054</v>
      </c>
      <c r="P301" s="99" t="n">
        <f aca="false">(Yield_Originals!$H301*Yield_Originals!P$1)/Yield_Originals!$K301</f>
        <v>0.162473833826799</v>
      </c>
      <c r="Q301" s="99" t="n">
        <f aca="false">(Yield_Originals!$H301*Yield_Originals!Q$1)/Yield_Originals!$K301</f>
        <v>0.166986995877543</v>
      </c>
      <c r="R301" s="99" t="n">
        <f aca="false">(Yield_Originals!$H301*Yield_Originals!R$1)/Yield_Originals!$K301</f>
        <v>0.171500157928288</v>
      </c>
      <c r="S301" s="99" t="n">
        <f aca="false">(Yield_Originals!$H301*Yield_Originals!S$1)/Yield_Originals!$K301</f>
        <v>0.176013319979032</v>
      </c>
      <c r="T301" s="101" t="n">
        <f aca="false">(Yield_Originals!$I301*Yield_Originals!T$1)/Yield_Originals!$K301</f>
        <v>0.180526482029777</v>
      </c>
      <c r="U301" s="101" t="n">
        <f aca="false">(Yield_Originals!$I301*Yield_Originals!U$1)/Yield_Originals!$K301</f>
        <v>0.185039644080521</v>
      </c>
      <c r="V301" s="101" t="n">
        <f aca="false">(Yield_Originals!$I301*Yield_Originals!V$1)/Yield_Originals!$K301</f>
        <v>0.189552806131265</v>
      </c>
      <c r="W301" s="101" t="n">
        <f aca="false">(Yield_Originals!$I301*Yield_Originals!W$1)/Yield_Originals!$K301</f>
        <v>0.19406596818201</v>
      </c>
      <c r="X301" s="102" t="n">
        <f aca="false">(Yield_Originals!$I301*Yield_Originals!X$1)/Yield_Originals!$K301</f>
        <v>0.198579130232754</v>
      </c>
      <c r="Y301" s="102" t="n">
        <f aca="false">(Yield_Originals!$I301*Yield_Originals!Y$1)/Yield_Originals!$K301</f>
        <v>0.203092292283499</v>
      </c>
      <c r="Z301" s="0"/>
      <c r="AA301" s="0"/>
      <c r="AB301" s="0"/>
    </row>
    <row r="302" customFormat="false" ht="15" hidden="false" customHeight="false" outlineLevel="0" collapsed="false">
      <c r="A302" s="64" t="s">
        <v>1252</v>
      </c>
      <c r="B302" s="66" t="n">
        <v>2</v>
      </c>
      <c r="C302" s="93" t="s">
        <v>1233</v>
      </c>
      <c r="D302" s="93" t="s">
        <v>1251</v>
      </c>
      <c r="E302" s="94" t="n">
        <v>1</v>
      </c>
      <c r="F302" s="105" t="n">
        <f aca="false">Yield_Originals!G302</f>
        <v>0.120350988019851</v>
      </c>
      <c r="G302" s="96" t="n">
        <v>0.120350988019851</v>
      </c>
      <c r="H302" s="96" t="n">
        <v>0.120350988019851</v>
      </c>
      <c r="I302" s="96" t="n">
        <v>0.120350988019851</v>
      </c>
      <c r="J302" s="96" t="n">
        <v>0.120350988019851</v>
      </c>
      <c r="K302" s="97" t="n">
        <v>1</v>
      </c>
      <c r="L302" s="98" t="n">
        <f aca="false">(Yield_Originals!$G302*Yield_Originals!L$1)/Yield_Originals!$K302</f>
        <v>0.144421185623821</v>
      </c>
      <c r="M302" s="98" t="n">
        <f aca="false">(Yield_Originals!$G302*Yield_Originals!M$1)/Yield_Originals!$K302</f>
        <v>0.148934347674566</v>
      </c>
      <c r="N302" s="98" t="n">
        <f aca="false">(Yield_Originals!$G302*Yield_Originals!N$1)/Yield_Originals!$K302</f>
        <v>0.15344750972531</v>
      </c>
      <c r="O302" s="98" t="n">
        <f aca="false">(Yield_Originals!$G302*Yield_Originals!O$1)/Yield_Originals!$K302</f>
        <v>0.157960671776054</v>
      </c>
      <c r="P302" s="99" t="n">
        <f aca="false">(Yield_Originals!$H302*Yield_Originals!P$1)/Yield_Originals!$K302</f>
        <v>0.162473833826799</v>
      </c>
      <c r="Q302" s="99" t="n">
        <f aca="false">(Yield_Originals!$H302*Yield_Originals!Q$1)/Yield_Originals!$K302</f>
        <v>0.166986995877543</v>
      </c>
      <c r="R302" s="99" t="n">
        <f aca="false">(Yield_Originals!$H302*Yield_Originals!R$1)/Yield_Originals!$K302</f>
        <v>0.171500157928288</v>
      </c>
      <c r="S302" s="99" t="n">
        <f aca="false">(Yield_Originals!$H302*Yield_Originals!S$1)/Yield_Originals!$K302</f>
        <v>0.176013319979032</v>
      </c>
      <c r="T302" s="101" t="n">
        <f aca="false">(Yield_Originals!$I302*Yield_Originals!T$1)/Yield_Originals!$K302</f>
        <v>0.180526482029777</v>
      </c>
      <c r="U302" s="101" t="n">
        <f aca="false">(Yield_Originals!$I302*Yield_Originals!U$1)/Yield_Originals!$K302</f>
        <v>0.185039644080521</v>
      </c>
      <c r="V302" s="101" t="n">
        <f aca="false">(Yield_Originals!$I302*Yield_Originals!V$1)/Yield_Originals!$K302</f>
        <v>0.189552806131265</v>
      </c>
      <c r="W302" s="101" t="n">
        <f aca="false">(Yield_Originals!$I302*Yield_Originals!W$1)/Yield_Originals!$K302</f>
        <v>0.19406596818201</v>
      </c>
      <c r="X302" s="102" t="n">
        <f aca="false">(Yield_Originals!$I302*Yield_Originals!X$1)/Yield_Originals!$K302</f>
        <v>0.198579130232754</v>
      </c>
      <c r="Y302" s="102" t="n">
        <f aca="false">(Yield_Originals!$I302*Yield_Originals!Y$1)/Yield_Originals!$K302</f>
        <v>0.203092292283499</v>
      </c>
      <c r="Z302" s="0"/>
      <c r="AA302" s="0"/>
      <c r="AB302" s="0"/>
    </row>
    <row r="303" customFormat="false" ht="15" hidden="false" customHeight="false" outlineLevel="0" collapsed="false">
      <c r="A303" s="64" t="s">
        <v>1462</v>
      </c>
      <c r="B303" s="64" t="n">
        <v>3</v>
      </c>
      <c r="C303" s="93" t="s">
        <v>1235</v>
      </c>
      <c r="D303" s="93" t="s">
        <v>1319</v>
      </c>
      <c r="E303" s="94" t="n">
        <v>25</v>
      </c>
      <c r="F303" s="105" t="n">
        <f aca="false">Yield_Originals!G303</f>
        <v>0.364</v>
      </c>
      <c r="G303" s="96" t="n">
        <v>0.364</v>
      </c>
      <c r="H303" s="96" t="n">
        <v>0.364</v>
      </c>
      <c r="I303" s="96" t="n">
        <f aca="false">+(Yield_Originals!H303+Yield_Originals!J303)/2</f>
        <v>0.387</v>
      </c>
      <c r="J303" s="96" t="n">
        <v>0.41</v>
      </c>
      <c r="K303" s="97" t="n">
        <v>2</v>
      </c>
      <c r="L303" s="98"/>
      <c r="M303" s="98"/>
      <c r="N303" s="98"/>
      <c r="O303" s="98"/>
      <c r="P303" s="99"/>
      <c r="Q303" s="99"/>
      <c r="R303" s="99"/>
      <c r="S303" s="99"/>
      <c r="T303" s="101"/>
      <c r="U303" s="101" t="n">
        <f aca="false">(Yield_Originals!$I303*Yield_Originals!U$1)/Yield_Originals!$K303</f>
        <v>0.29750625</v>
      </c>
      <c r="V303" s="101" t="n">
        <f aca="false">(Yield_Originals!$I303*Yield_Originals!V$1)/Yield_Originals!$K303</f>
        <v>0.3047625</v>
      </c>
      <c r="W303" s="101" t="n">
        <f aca="false">(Yield_Originals!$I303*Yield_Originals!W$1)/Yield_Originals!$K303</f>
        <v>0.31201875</v>
      </c>
      <c r="X303" s="102" t="n">
        <f aca="false">(Yield_Originals!$I303*Yield_Originals!X$1)/Yield_Originals!$K303</f>
        <v>0.319275</v>
      </c>
      <c r="Y303" s="102" t="n">
        <f aca="false">(Yield_Originals!$I303*Yield_Originals!Y$1)/Yield_Originals!$K303</f>
        <v>0.32653125</v>
      </c>
      <c r="Z303" s="0"/>
      <c r="AA303" s="0"/>
      <c r="AB303" s="0"/>
    </row>
    <row r="304" customFormat="false" ht="15" hidden="false" customHeight="false" outlineLevel="0" collapsed="false">
      <c r="A304" s="64" t="s">
        <v>1462</v>
      </c>
      <c r="B304" s="64" t="n">
        <v>3</v>
      </c>
      <c r="C304" s="93" t="s">
        <v>1238</v>
      </c>
      <c r="D304" s="93" t="s">
        <v>1303</v>
      </c>
      <c r="E304" s="94" t="n">
        <v>25</v>
      </c>
      <c r="F304" s="105" t="n">
        <f aca="false">Yield_Originals!G304</f>
        <v>0.364</v>
      </c>
      <c r="G304" s="96" t="n">
        <v>0.364</v>
      </c>
      <c r="H304" s="96" t="n">
        <v>0.364</v>
      </c>
      <c r="I304" s="96" t="n">
        <f aca="false">+(Yield_Originals!H304+Yield_Originals!J304)/2</f>
        <v>0.387</v>
      </c>
      <c r="J304" s="96" t="n">
        <v>0.41</v>
      </c>
      <c r="K304" s="97" t="n">
        <v>2</v>
      </c>
      <c r="L304" s="98" t="n">
        <f aca="false">(Yield_Originals!$G304*Yield_Originals!L$1)/Yield_Originals!$K304</f>
        <v>0.2184</v>
      </c>
      <c r="M304" s="98" t="n">
        <f aca="false">(Yield_Originals!$G304*Yield_Originals!M$1)/Yield_Originals!$K304</f>
        <v>0.225225</v>
      </c>
      <c r="N304" s="98" t="n">
        <f aca="false">(Yield_Originals!$G304*Yield_Originals!N$1)/Yield_Originals!$K304</f>
        <v>0.23205</v>
      </c>
      <c r="O304" s="98" t="n">
        <f aca="false">(Yield_Originals!$G304*Yield_Originals!O$1)/Yield_Originals!$K304</f>
        <v>0.238875</v>
      </c>
      <c r="P304" s="99" t="n">
        <f aca="false">(Yield_Originals!$H304*Yield_Originals!P$1)/Yield_Originals!$K304</f>
        <v>0.2457</v>
      </c>
      <c r="Q304" s="99" t="n">
        <f aca="false">(Yield_Originals!$H304*Yield_Originals!Q$1)/Yield_Originals!$K304</f>
        <v>0.252525</v>
      </c>
      <c r="R304" s="99" t="n">
        <f aca="false">(Yield_Originals!$H304*Yield_Originals!R$1)/Yield_Originals!$K304</f>
        <v>0.25935</v>
      </c>
      <c r="S304" s="99" t="n">
        <f aca="false">(Yield_Originals!$H304*Yield_Originals!S$1)/Yield_Originals!$K304</f>
        <v>0.266175</v>
      </c>
      <c r="T304" s="101" t="n">
        <f aca="false">(Yield_Originals!$I304*Yield_Originals!T$1)/Yield_Originals!$K304</f>
        <v>0.29025</v>
      </c>
      <c r="U304" s="101" t="n">
        <f aca="false">(Yield_Originals!$I304*Yield_Originals!U$1)/Yield_Originals!$K304</f>
        <v>0.29750625</v>
      </c>
      <c r="V304" s="101" t="n">
        <f aca="false">(Yield_Originals!$I304*Yield_Originals!V$1)/Yield_Originals!$K304</f>
        <v>0.3047625</v>
      </c>
      <c r="W304" s="101" t="n">
        <f aca="false">(Yield_Originals!$I304*Yield_Originals!W$1)/Yield_Originals!$K304</f>
        <v>0.31201875</v>
      </c>
      <c r="X304" s="102" t="n">
        <f aca="false">(Yield_Originals!$I304*Yield_Originals!X$1)/Yield_Originals!$K304</f>
        <v>0.319275</v>
      </c>
      <c r="Y304" s="102" t="n">
        <f aca="false">(Yield_Originals!$I304*Yield_Originals!Y$1)/Yield_Originals!$K304</f>
        <v>0.32653125</v>
      </c>
      <c r="Z304" s="0"/>
      <c r="AA304" s="0"/>
      <c r="AB304" s="0"/>
    </row>
    <row r="305" customFormat="false" ht="15" hidden="false" customHeight="false" outlineLevel="0" collapsed="false">
      <c r="A305" s="64" t="s">
        <v>1462</v>
      </c>
      <c r="B305" s="64" t="n">
        <v>3</v>
      </c>
      <c r="C305" s="93" t="s">
        <v>143</v>
      </c>
      <c r="D305" s="93" t="s">
        <v>1306</v>
      </c>
      <c r="E305" s="94" t="n">
        <v>25</v>
      </c>
      <c r="F305" s="105" t="n">
        <f aca="false">Yield_Originals!G305</f>
        <v>0.364</v>
      </c>
      <c r="G305" s="96" t="n">
        <v>0.364</v>
      </c>
      <c r="H305" s="96" t="n">
        <v>0.364</v>
      </c>
      <c r="I305" s="96" t="n">
        <f aca="false">+(Yield_Originals!H305+Yield_Originals!J305)/2</f>
        <v>0.387</v>
      </c>
      <c r="J305" s="96" t="n">
        <v>0.41</v>
      </c>
      <c r="K305" s="97" t="n">
        <v>2</v>
      </c>
      <c r="L305" s="98"/>
      <c r="M305" s="98" t="n">
        <f aca="false">(Yield_Originals!$G305*Yield_Originals!M$1)/Yield_Originals!$K305</f>
        <v>0.225225</v>
      </c>
      <c r="N305" s="98" t="n">
        <f aca="false">(Yield_Originals!$G305*Yield_Originals!N$1)/Yield_Originals!$K305</f>
        <v>0.23205</v>
      </c>
      <c r="O305" s="98" t="n">
        <f aca="false">(Yield_Originals!$G305*Yield_Originals!O$1)/Yield_Originals!$K305</f>
        <v>0.238875</v>
      </c>
      <c r="P305" s="99" t="n">
        <f aca="false">(Yield_Originals!$H305*Yield_Originals!P$1)/Yield_Originals!$K305</f>
        <v>0.2457</v>
      </c>
      <c r="Q305" s="99" t="n">
        <f aca="false">(Yield_Originals!$H305*Yield_Originals!Q$1)/Yield_Originals!$K305</f>
        <v>0.252525</v>
      </c>
      <c r="R305" s="99" t="n">
        <f aca="false">(Yield_Originals!$H305*Yield_Originals!R$1)/Yield_Originals!$K305</f>
        <v>0.25935</v>
      </c>
      <c r="S305" s="99" t="n">
        <f aca="false">(Yield_Originals!$H305*Yield_Originals!S$1)/Yield_Originals!$K305</f>
        <v>0.266175</v>
      </c>
      <c r="T305" s="101"/>
      <c r="U305" s="101"/>
      <c r="V305" s="101"/>
      <c r="W305" s="101"/>
      <c r="X305" s="102"/>
      <c r="Y305" s="102"/>
      <c r="Z305" s="0"/>
      <c r="AA305" s="0"/>
      <c r="AB305" s="0"/>
    </row>
    <row r="306" customFormat="false" ht="15" hidden="false" customHeight="false" outlineLevel="0" collapsed="false">
      <c r="A306" s="64" t="s">
        <v>1462</v>
      </c>
      <c r="B306" s="64" t="n">
        <v>3</v>
      </c>
      <c r="C306" s="93" t="s">
        <v>268</v>
      </c>
      <c r="D306" s="93" t="s">
        <v>1306</v>
      </c>
      <c r="E306" s="94" t="n">
        <v>25</v>
      </c>
      <c r="F306" s="105" t="n">
        <f aca="false">Yield_Originals!G306</f>
        <v>0.364</v>
      </c>
      <c r="G306" s="96" t="n">
        <v>0.364</v>
      </c>
      <c r="H306" s="96" t="n">
        <v>0.364</v>
      </c>
      <c r="I306" s="96" t="n">
        <f aca="false">+(Yield_Originals!H306+Yield_Originals!J306)/2</f>
        <v>0.387</v>
      </c>
      <c r="J306" s="96" t="n">
        <v>0.41</v>
      </c>
      <c r="K306" s="97" t="n">
        <v>2</v>
      </c>
      <c r="L306" s="98"/>
      <c r="M306" s="98" t="n">
        <f aca="false">(Yield_Originals!$G306*Yield_Originals!M$1)/Yield_Originals!$K306</f>
        <v>0.225225</v>
      </c>
      <c r="N306" s="98" t="n">
        <f aca="false">(Yield_Originals!$G306*Yield_Originals!N$1)/Yield_Originals!$K306</f>
        <v>0.23205</v>
      </c>
      <c r="O306" s="98" t="n">
        <f aca="false">(Yield_Originals!$G306*Yield_Originals!O$1)/Yield_Originals!$K306</f>
        <v>0.238875</v>
      </c>
      <c r="P306" s="99" t="n">
        <f aca="false">(Yield_Originals!$H306*Yield_Originals!P$1)/Yield_Originals!$K306</f>
        <v>0.2457</v>
      </c>
      <c r="Q306" s="99" t="n">
        <f aca="false">(Yield_Originals!$H306*Yield_Originals!Q$1)/Yield_Originals!$K306</f>
        <v>0.252525</v>
      </c>
      <c r="R306" s="99" t="n">
        <f aca="false">(Yield_Originals!$H306*Yield_Originals!R$1)/Yield_Originals!$K306</f>
        <v>0.25935</v>
      </c>
      <c r="S306" s="99" t="n">
        <f aca="false">(Yield_Originals!$H306*Yield_Originals!S$1)/Yield_Originals!$K306</f>
        <v>0.266175</v>
      </c>
      <c r="T306" s="101"/>
      <c r="U306" s="101"/>
      <c r="V306" s="101"/>
      <c r="W306" s="101"/>
      <c r="X306" s="102"/>
      <c r="Y306" s="102"/>
      <c r="Z306" s="0"/>
      <c r="AA306" s="0"/>
      <c r="AB306" s="0"/>
    </row>
    <row r="307" customFormat="false" ht="15" hidden="false" customHeight="false" outlineLevel="0" collapsed="false">
      <c r="A307" s="64" t="s">
        <v>1462</v>
      </c>
      <c r="B307" s="64" t="n">
        <v>3</v>
      </c>
      <c r="C307" s="93" t="s">
        <v>144</v>
      </c>
      <c r="D307" s="93" t="s">
        <v>1309</v>
      </c>
      <c r="E307" s="94" t="n">
        <v>25</v>
      </c>
      <c r="F307" s="105" t="n">
        <f aca="false">Yield_Originals!G307</f>
        <v>0.364</v>
      </c>
      <c r="G307" s="96" t="n">
        <v>0.364</v>
      </c>
      <c r="H307" s="96" t="n">
        <v>0.364</v>
      </c>
      <c r="I307" s="96" t="n">
        <f aca="false">+(Yield_Originals!H307+Yield_Originals!J307)/2</f>
        <v>0.387</v>
      </c>
      <c r="J307" s="96" t="n">
        <v>0.41</v>
      </c>
      <c r="K307" s="97" t="n">
        <v>2</v>
      </c>
      <c r="L307" s="98"/>
      <c r="M307" s="98" t="n">
        <f aca="false">(Yield_Originals!$G307*Yield_Originals!M$1)/Yield_Originals!$K307</f>
        <v>0.225225</v>
      </c>
      <c r="N307" s="98" t="n">
        <f aca="false">(Yield_Originals!$G307*Yield_Originals!N$1)/Yield_Originals!$K307</f>
        <v>0.23205</v>
      </c>
      <c r="O307" s="98" t="n">
        <f aca="false">(Yield_Originals!$G307*Yield_Originals!O$1)/Yield_Originals!$K307</f>
        <v>0.238875</v>
      </c>
      <c r="P307" s="99" t="n">
        <f aca="false">(Yield_Originals!$H307*Yield_Originals!P$1)/Yield_Originals!$K307</f>
        <v>0.2457</v>
      </c>
      <c r="Q307" s="99" t="n">
        <f aca="false">(Yield_Originals!$H307*Yield_Originals!Q$1)/Yield_Originals!$K307</f>
        <v>0.252525</v>
      </c>
      <c r="R307" s="99" t="n">
        <f aca="false">(Yield_Originals!$H307*Yield_Originals!R$1)/Yield_Originals!$K307</f>
        <v>0.25935</v>
      </c>
      <c r="S307" s="99" t="n">
        <f aca="false">(Yield_Originals!$H307*Yield_Originals!S$1)/Yield_Originals!$K307</f>
        <v>0.266175</v>
      </c>
      <c r="T307" s="101"/>
      <c r="U307" s="101"/>
      <c r="V307" s="101"/>
      <c r="W307" s="101"/>
      <c r="X307" s="102"/>
      <c r="Y307" s="102"/>
      <c r="Z307" s="0"/>
      <c r="AA307" s="0"/>
      <c r="AB307" s="0"/>
    </row>
    <row r="308" customFormat="false" ht="15" hidden="false" customHeight="false" outlineLevel="0" collapsed="false">
      <c r="A308" s="64" t="s">
        <v>1462</v>
      </c>
      <c r="B308" s="64" t="n">
        <v>3</v>
      </c>
      <c r="C308" s="93" t="s">
        <v>269</v>
      </c>
      <c r="D308" s="93" t="s">
        <v>1311</v>
      </c>
      <c r="E308" s="94" t="n">
        <v>25</v>
      </c>
      <c r="F308" s="105" t="n">
        <f aca="false">Yield_Originals!G308</f>
        <v>0.364</v>
      </c>
      <c r="G308" s="96" t="n">
        <v>0.364</v>
      </c>
      <c r="H308" s="96" t="n">
        <v>0.364</v>
      </c>
      <c r="I308" s="96" t="n">
        <f aca="false">+(Yield_Originals!H308+Yield_Originals!J308)/2</f>
        <v>0.387</v>
      </c>
      <c r="J308" s="96" t="n">
        <v>0.41</v>
      </c>
      <c r="K308" s="97" t="n">
        <v>2</v>
      </c>
      <c r="L308" s="98"/>
      <c r="M308" s="98" t="n">
        <f aca="false">(Yield_Originals!$G308*Yield_Originals!M$1)/Yield_Originals!$K308</f>
        <v>0.225225</v>
      </c>
      <c r="N308" s="98" t="n">
        <f aca="false">(Yield_Originals!$G308*Yield_Originals!N$1)/Yield_Originals!$K308</f>
        <v>0.23205</v>
      </c>
      <c r="O308" s="98" t="n">
        <f aca="false">(Yield_Originals!$G308*Yield_Originals!O$1)/Yield_Originals!$K308</f>
        <v>0.238875</v>
      </c>
      <c r="P308" s="99" t="n">
        <f aca="false">(Yield_Originals!$H308*Yield_Originals!P$1)/Yield_Originals!$K308</f>
        <v>0.2457</v>
      </c>
      <c r="Q308" s="99" t="n">
        <f aca="false">(Yield_Originals!$H308*Yield_Originals!Q$1)/Yield_Originals!$K308</f>
        <v>0.252525</v>
      </c>
      <c r="R308" s="99" t="n">
        <f aca="false">(Yield_Originals!$H308*Yield_Originals!R$1)/Yield_Originals!$K308</f>
        <v>0.25935</v>
      </c>
      <c r="S308" s="99" t="n">
        <f aca="false">(Yield_Originals!$H308*Yield_Originals!S$1)/Yield_Originals!$K308</f>
        <v>0.266175</v>
      </c>
      <c r="T308" s="101"/>
      <c r="U308" s="101"/>
      <c r="V308" s="101"/>
      <c r="W308" s="101"/>
      <c r="X308" s="102"/>
      <c r="Y308" s="102"/>
      <c r="Z308" s="0"/>
      <c r="AA308" s="0"/>
      <c r="AB308" s="0"/>
    </row>
    <row r="309" customFormat="false" ht="15" hidden="false" customHeight="false" outlineLevel="0" collapsed="false">
      <c r="A309" s="64" t="s">
        <v>1462</v>
      </c>
      <c r="B309" s="64" t="n">
        <v>3</v>
      </c>
      <c r="C309" s="93" t="s">
        <v>1247</v>
      </c>
      <c r="D309" s="93" t="s">
        <v>1325</v>
      </c>
      <c r="E309" s="94" t="n">
        <v>25</v>
      </c>
      <c r="F309" s="105" t="n">
        <f aca="false">Yield_Originals!G309</f>
        <v>0.364</v>
      </c>
      <c r="G309" s="96" t="n">
        <v>0.364</v>
      </c>
      <c r="H309" s="96" t="n">
        <v>0.364</v>
      </c>
      <c r="I309" s="96" t="n">
        <f aca="false">+(Yield_Originals!H309+Yield_Originals!J309)/2</f>
        <v>0.387</v>
      </c>
      <c r="J309" s="96" t="n">
        <v>0.41</v>
      </c>
      <c r="K309" s="97" t="n">
        <v>2</v>
      </c>
      <c r="L309" s="98"/>
      <c r="M309" s="98" t="n">
        <f aca="false">(Yield_Originals!$G309*Yield_Originals!M$1)/Yield_Originals!$K309</f>
        <v>0.225225</v>
      </c>
      <c r="N309" s="98" t="n">
        <f aca="false">(Yield_Originals!$G309*Yield_Originals!N$1)/Yield_Originals!$K309</f>
        <v>0.23205</v>
      </c>
      <c r="O309" s="98" t="n">
        <f aca="false">(Yield_Originals!$G309*Yield_Originals!O$1)/Yield_Originals!$K309</f>
        <v>0.238875</v>
      </c>
      <c r="P309" s="99" t="n">
        <f aca="false">(Yield_Originals!$H309*Yield_Originals!P$1)/Yield_Originals!$K309</f>
        <v>0.2457</v>
      </c>
      <c r="Q309" s="99" t="n">
        <f aca="false">(Yield_Originals!$H309*Yield_Originals!Q$1)/Yield_Originals!$K309</f>
        <v>0.252525</v>
      </c>
      <c r="R309" s="99" t="n">
        <f aca="false">(Yield_Originals!$H309*Yield_Originals!R$1)/Yield_Originals!$K309</f>
        <v>0.25935</v>
      </c>
      <c r="S309" s="99" t="n">
        <f aca="false">(Yield_Originals!$H309*Yield_Originals!S$1)/Yield_Originals!$K309</f>
        <v>0.266175</v>
      </c>
      <c r="T309" s="101"/>
      <c r="U309" s="101"/>
      <c r="V309" s="101"/>
      <c r="W309" s="101"/>
      <c r="X309" s="102"/>
      <c r="Y309" s="102"/>
      <c r="Z309" s="0"/>
      <c r="AA309" s="0"/>
      <c r="AB309" s="0"/>
    </row>
    <row r="310" customFormat="false" ht="15" hidden="false" customHeight="false" outlineLevel="0" collapsed="false">
      <c r="A310" s="64" t="s">
        <v>1462</v>
      </c>
      <c r="B310" s="64" t="n">
        <v>3</v>
      </c>
      <c r="C310" s="93" t="s">
        <v>1250</v>
      </c>
      <c r="D310" s="93" t="s">
        <v>1323</v>
      </c>
      <c r="E310" s="94" t="n">
        <v>25</v>
      </c>
      <c r="F310" s="105" t="n">
        <f aca="false">Yield_Originals!G310</f>
        <v>0.364</v>
      </c>
      <c r="G310" s="96" t="n">
        <v>0.364</v>
      </c>
      <c r="H310" s="96" t="n">
        <v>0.364</v>
      </c>
      <c r="I310" s="96" t="n">
        <f aca="false">+(Yield_Originals!H310+Yield_Originals!J310)/2</f>
        <v>0.387</v>
      </c>
      <c r="J310" s="96" t="n">
        <v>0.41</v>
      </c>
      <c r="K310" s="97" t="n">
        <v>2</v>
      </c>
      <c r="L310" s="98"/>
      <c r="M310" s="98"/>
      <c r="N310" s="98"/>
      <c r="O310" s="98"/>
      <c r="P310" s="99"/>
      <c r="Q310" s="99" t="n">
        <f aca="false">(Yield_Originals!$H310*Yield_Originals!Q$1)/Yield_Originals!$K310</f>
        <v>0.252525</v>
      </c>
      <c r="R310" s="99" t="n">
        <f aca="false">(Yield_Originals!$H310*Yield_Originals!R$1)/Yield_Originals!$K310</f>
        <v>0.25935</v>
      </c>
      <c r="S310" s="99" t="n">
        <f aca="false">(Yield_Originals!$H310*Yield_Originals!S$1)/Yield_Originals!$K310</f>
        <v>0.266175</v>
      </c>
      <c r="T310" s="101"/>
      <c r="U310" s="101"/>
      <c r="V310" s="101"/>
      <c r="W310" s="101"/>
      <c r="X310" s="102"/>
      <c r="Y310" s="102"/>
      <c r="Z310" s="0"/>
      <c r="AA310" s="0"/>
      <c r="AB310" s="0"/>
    </row>
    <row r="311" customFormat="false" ht="15" hidden="false" customHeight="false" outlineLevel="0" collapsed="false">
      <c r="A311" s="64" t="s">
        <v>1462</v>
      </c>
      <c r="B311" s="64" t="n">
        <v>3</v>
      </c>
      <c r="C311" s="93" t="s">
        <v>145</v>
      </c>
      <c r="D311" s="93" t="s">
        <v>1314</v>
      </c>
      <c r="E311" s="94" t="n">
        <v>25</v>
      </c>
      <c r="F311" s="105" t="n">
        <f aca="false">Yield_Originals!G311</f>
        <v>0.364</v>
      </c>
      <c r="G311" s="96" t="n">
        <v>0.364</v>
      </c>
      <c r="H311" s="96" t="n">
        <v>0.364</v>
      </c>
      <c r="I311" s="96" t="n">
        <f aca="false">+(Yield_Originals!H311+Yield_Originals!J311)/2</f>
        <v>0.387</v>
      </c>
      <c r="J311" s="96" t="n">
        <v>0.41</v>
      </c>
      <c r="K311" s="97" t="n">
        <v>2</v>
      </c>
      <c r="L311" s="98"/>
      <c r="M311" s="98"/>
      <c r="N311" s="98"/>
      <c r="O311" s="98"/>
      <c r="P311" s="99"/>
      <c r="Q311" s="99"/>
      <c r="R311" s="99" t="n">
        <f aca="false">(Yield_Originals!$H311*Yield_Originals!R$1)/Yield_Originals!$K311</f>
        <v>0.25935</v>
      </c>
      <c r="S311" s="99" t="n">
        <f aca="false">(Yield_Originals!$H311*Yield_Originals!S$1)/Yield_Originals!$K311</f>
        <v>0.266175</v>
      </c>
      <c r="T311" s="101" t="n">
        <f aca="false">(Yield_Originals!$I311*Yield_Originals!T$1)/Yield_Originals!$K311</f>
        <v>0.29025</v>
      </c>
      <c r="U311" s="101" t="n">
        <f aca="false">(Yield_Originals!$I311*Yield_Originals!U$1)/Yield_Originals!$K311</f>
        <v>0.29750625</v>
      </c>
      <c r="V311" s="101" t="n">
        <f aca="false">(Yield_Originals!$I311*Yield_Originals!V$1)/Yield_Originals!$K311</f>
        <v>0.3047625</v>
      </c>
      <c r="W311" s="101" t="n">
        <f aca="false">(Yield_Originals!$I311*Yield_Originals!W$1)/Yield_Originals!$K311</f>
        <v>0.31201875</v>
      </c>
      <c r="X311" s="102" t="n">
        <f aca="false">(Yield_Originals!$I311*Yield_Originals!X$1)/Yield_Originals!$K311</f>
        <v>0.319275</v>
      </c>
      <c r="Y311" s="102" t="n">
        <f aca="false">(Yield_Originals!$I311*Yield_Originals!Y$1)/Yield_Originals!$K311</f>
        <v>0.32653125</v>
      </c>
      <c r="Z311" s="0"/>
      <c r="AA311" s="0"/>
      <c r="AB311" s="0"/>
    </row>
    <row r="312" customFormat="false" ht="15" hidden="false" customHeight="false" outlineLevel="0" collapsed="false">
      <c r="A312" s="64" t="s">
        <v>1462</v>
      </c>
      <c r="B312" s="64" t="n">
        <v>3</v>
      </c>
      <c r="C312" s="93" t="s">
        <v>270</v>
      </c>
      <c r="D312" s="93" t="s">
        <v>1314</v>
      </c>
      <c r="E312" s="94" t="n">
        <v>25</v>
      </c>
      <c r="F312" s="105" t="n">
        <f aca="false">Yield_Originals!G312</f>
        <v>0.364</v>
      </c>
      <c r="G312" s="96" t="n">
        <v>0.364</v>
      </c>
      <c r="H312" s="96" t="n">
        <v>0.364</v>
      </c>
      <c r="I312" s="96" t="n">
        <f aca="false">+(Yield_Originals!H312+Yield_Originals!J312)/2</f>
        <v>0.387</v>
      </c>
      <c r="J312" s="96" t="n">
        <v>0.41</v>
      </c>
      <c r="K312" s="97" t="n">
        <v>2</v>
      </c>
      <c r="L312" s="98"/>
      <c r="M312" s="98"/>
      <c r="N312" s="98"/>
      <c r="O312" s="98"/>
      <c r="P312" s="99"/>
      <c r="Q312" s="99"/>
      <c r="R312" s="99" t="n">
        <f aca="false">(Yield_Originals!$H312*Yield_Originals!R$1)/Yield_Originals!$K312</f>
        <v>0.25935</v>
      </c>
      <c r="S312" s="99" t="n">
        <f aca="false">(Yield_Originals!$H312*Yield_Originals!S$1)/Yield_Originals!$K312</f>
        <v>0.266175</v>
      </c>
      <c r="T312" s="101" t="n">
        <f aca="false">(Yield_Originals!$I312*Yield_Originals!T$1)/Yield_Originals!$K312</f>
        <v>0.29025</v>
      </c>
      <c r="U312" s="101" t="n">
        <f aca="false">(Yield_Originals!$I312*Yield_Originals!U$1)/Yield_Originals!$K312</f>
        <v>0.29750625</v>
      </c>
      <c r="V312" s="101" t="n">
        <f aca="false">(Yield_Originals!$I312*Yield_Originals!V$1)/Yield_Originals!$K312</f>
        <v>0.3047625</v>
      </c>
      <c r="W312" s="101" t="n">
        <f aca="false">(Yield_Originals!$I312*Yield_Originals!W$1)/Yield_Originals!$K312</f>
        <v>0.31201875</v>
      </c>
      <c r="X312" s="102" t="n">
        <f aca="false">(Yield_Originals!$I312*Yield_Originals!X$1)/Yield_Originals!$K312</f>
        <v>0.319275</v>
      </c>
      <c r="Y312" s="102" t="n">
        <f aca="false">(Yield_Originals!$I312*Yield_Originals!Y$1)/Yield_Originals!$K312</f>
        <v>0.32653125</v>
      </c>
      <c r="Z312" s="0"/>
      <c r="AA312" s="0"/>
      <c r="AB312" s="0"/>
    </row>
    <row r="313" customFormat="false" ht="15" hidden="false" customHeight="false" outlineLevel="0" collapsed="false">
      <c r="A313" s="64" t="s">
        <v>1462</v>
      </c>
      <c r="B313" s="64" t="n">
        <v>3</v>
      </c>
      <c r="C313" s="93" t="s">
        <v>1256</v>
      </c>
      <c r="D313" s="93" t="s">
        <v>1321</v>
      </c>
      <c r="E313" s="94" t="n">
        <v>25</v>
      </c>
      <c r="F313" s="105" t="n">
        <f aca="false">Yield_Originals!G313</f>
        <v>0.364</v>
      </c>
      <c r="G313" s="96" t="n">
        <v>0.364</v>
      </c>
      <c r="H313" s="96" t="n">
        <v>0.364</v>
      </c>
      <c r="I313" s="96" t="n">
        <f aca="false">+(Yield_Originals!H313+Yield_Originals!J313)/2</f>
        <v>0.387</v>
      </c>
      <c r="J313" s="96" t="n">
        <v>0.41</v>
      </c>
      <c r="K313" s="97" t="n">
        <v>2</v>
      </c>
      <c r="L313" s="98"/>
      <c r="M313" s="98" t="n">
        <f aca="false">(Yield_Originals!$G313*Yield_Originals!M$1)/Yield_Originals!$K313</f>
        <v>0.225225</v>
      </c>
      <c r="N313" s="98" t="n">
        <f aca="false">(Yield_Originals!$G313*Yield_Originals!N$1)/Yield_Originals!$K313</f>
        <v>0.23205</v>
      </c>
      <c r="O313" s="98" t="n">
        <f aca="false">(Yield_Originals!$G313*Yield_Originals!O$1)/Yield_Originals!$K313</f>
        <v>0.238875</v>
      </c>
      <c r="P313" s="99" t="n">
        <f aca="false">(Yield_Originals!$H313*Yield_Originals!P$1)/Yield_Originals!$K313</f>
        <v>0.2457</v>
      </c>
      <c r="Q313" s="99" t="n">
        <f aca="false">(Yield_Originals!$H313*Yield_Originals!Q$1)/Yield_Originals!$K313</f>
        <v>0.252525</v>
      </c>
      <c r="R313" s="99" t="n">
        <f aca="false">(Yield_Originals!$H313*Yield_Originals!R$1)/Yield_Originals!$K313</f>
        <v>0.25935</v>
      </c>
      <c r="S313" s="99" t="n">
        <f aca="false">(Yield_Originals!$H313*Yield_Originals!S$1)/Yield_Originals!$K313</f>
        <v>0.266175</v>
      </c>
      <c r="T313" s="101"/>
      <c r="U313" s="101"/>
      <c r="V313" s="101"/>
      <c r="W313" s="101"/>
      <c r="X313" s="102"/>
      <c r="Y313" s="102"/>
      <c r="Z313" s="0"/>
      <c r="AA313" s="0"/>
      <c r="AB313" s="0"/>
    </row>
    <row r="314" customFormat="false" ht="15" hidden="false" customHeight="false" outlineLevel="0" collapsed="false">
      <c r="A314" s="66" t="s">
        <v>1330</v>
      </c>
      <c r="B314" s="66" t="n">
        <v>2</v>
      </c>
      <c r="C314" s="93" t="s">
        <v>1259</v>
      </c>
      <c r="D314" s="93" t="s">
        <v>1329</v>
      </c>
      <c r="E314" s="94" t="n">
        <v>1</v>
      </c>
      <c r="F314" s="105" t="n">
        <f aca="false">Yield_Originals!G314</f>
        <v>0.277594728171334</v>
      </c>
      <c r="G314" s="96" t="n">
        <v>0.277594728171334</v>
      </c>
      <c r="H314" s="96" t="n">
        <v>0.277594728171334</v>
      </c>
      <c r="I314" s="96" t="n">
        <f aca="false">+(Yield_Originals!H314+Yield_Originals!J314)/2</f>
        <v>0.283797364085667</v>
      </c>
      <c r="J314" s="96" t="n">
        <v>0.29</v>
      </c>
      <c r="K314" s="97" t="n">
        <v>2</v>
      </c>
      <c r="L314" s="98" t="n">
        <f aca="false">(Yield_Originals!$G314*Yield_Originals!L$1)/Yield_Originals!$K314</f>
        <v>0.1665568369028</v>
      </c>
      <c r="M314" s="98" t="n">
        <f aca="false">(Yield_Originals!$G314*Yield_Originals!M$1)/Yield_Originals!$K314</f>
        <v>0.171761738056013</v>
      </c>
      <c r="N314" s="98" t="n">
        <f aca="false">(Yield_Originals!$G314*Yield_Originals!N$1)/Yield_Originals!$K314</f>
        <v>0.176966639209225</v>
      </c>
      <c r="O314" s="98" t="n">
        <f aca="false">(Yield_Originals!$G314*Yield_Originals!O$1)/Yield_Originals!$K314</f>
        <v>0.182171540362438</v>
      </c>
      <c r="P314" s="99" t="n">
        <f aca="false">(Yield_Originals!$H314*Yield_Originals!P$1)/Yield_Originals!$K314</f>
        <v>0.18737644151565</v>
      </c>
      <c r="Q314" s="99" t="n">
        <f aca="false">(Yield_Originals!$H314*Yield_Originals!Q$1)/Yield_Originals!$K314</f>
        <v>0.192581342668863</v>
      </c>
      <c r="R314" s="99" t="n">
        <f aca="false">(Yield_Originals!$H314*Yield_Originals!R$1)/Yield_Originals!$K314</f>
        <v>0.197786243822076</v>
      </c>
      <c r="S314" s="99" t="n">
        <f aca="false">(Yield_Originals!$H314*Yield_Originals!S$1)/Yield_Originals!$K314</f>
        <v>0.202991144975288</v>
      </c>
      <c r="T314" s="101" t="n">
        <f aca="false">(Yield_Originals!$I314*Yield_Originals!T$1)/Yield_Originals!$K314</f>
        <v>0.21284802306425</v>
      </c>
      <c r="U314" s="101" t="n">
        <f aca="false">(Yield_Originals!$I314*Yield_Originals!U$1)/Yield_Originals!$K314</f>
        <v>0.218169223640857</v>
      </c>
      <c r="V314" s="101" t="n">
        <f aca="false">(Yield_Originals!$I314*Yield_Originals!V$1)/Yield_Originals!$K314</f>
        <v>0.223490424217463</v>
      </c>
      <c r="W314" s="101" t="n">
        <f aca="false">(Yield_Originals!$I314*Yield_Originals!W$1)/Yield_Originals!$K314</f>
        <v>0.228811624794069</v>
      </c>
      <c r="X314" s="102" t="n">
        <f aca="false">(Yield_Originals!$I314*Yield_Originals!X$1)/Yield_Originals!$K314</f>
        <v>0.234132825370675</v>
      </c>
      <c r="Y314" s="102" t="n">
        <f aca="false">(Yield_Originals!$I314*Yield_Originals!Y$1)/Yield_Originals!$K314</f>
        <v>0.239454025947281</v>
      </c>
      <c r="Z314" s="0"/>
      <c r="AA314" s="0"/>
      <c r="AB314" s="0"/>
    </row>
    <row r="315" customFormat="false" ht="15" hidden="false" customHeight="false" outlineLevel="0" collapsed="false">
      <c r="A315" s="66" t="s">
        <v>1330</v>
      </c>
      <c r="B315" s="66" t="n">
        <v>2</v>
      </c>
      <c r="C315" s="93" t="s">
        <v>146</v>
      </c>
      <c r="D315" s="93" t="s">
        <v>1333</v>
      </c>
      <c r="E315" s="94" t="n">
        <v>1</v>
      </c>
      <c r="F315" s="105" t="n">
        <f aca="false">Yield_Originals!G315</f>
        <v>0.277594728171334</v>
      </c>
      <c r="G315" s="96" t="n">
        <v>0.277594728171334</v>
      </c>
      <c r="H315" s="96" t="n">
        <v>0.277594728171334</v>
      </c>
      <c r="I315" s="96" t="n">
        <f aca="false">+(Yield_Originals!H315+Yield_Originals!J315)/2</f>
        <v>0.283797364085667</v>
      </c>
      <c r="J315" s="96" t="n">
        <v>0.29</v>
      </c>
      <c r="K315" s="97" t="n">
        <v>2</v>
      </c>
      <c r="L315" s="98" t="n">
        <f aca="false">(Yield_Originals!$G315*Yield_Originals!L$1)/Yield_Originals!$K315</f>
        <v>0.1665568369028</v>
      </c>
      <c r="M315" s="98" t="n">
        <f aca="false">(Yield_Originals!$G315*Yield_Originals!M$1)/Yield_Originals!$K315</f>
        <v>0.171761738056013</v>
      </c>
      <c r="N315" s="98" t="n">
        <f aca="false">(Yield_Originals!$G315*Yield_Originals!N$1)/Yield_Originals!$K315</f>
        <v>0.176966639209225</v>
      </c>
      <c r="O315" s="98" t="n">
        <f aca="false">(Yield_Originals!$G315*Yield_Originals!O$1)/Yield_Originals!$K315</f>
        <v>0.182171540362438</v>
      </c>
      <c r="P315" s="99" t="n">
        <f aca="false">(Yield_Originals!$H315*Yield_Originals!P$1)/Yield_Originals!$K315</f>
        <v>0.18737644151565</v>
      </c>
      <c r="Q315" s="99"/>
      <c r="R315" s="99"/>
      <c r="S315" s="99"/>
      <c r="T315" s="101"/>
      <c r="U315" s="101"/>
      <c r="V315" s="101"/>
      <c r="W315" s="101"/>
      <c r="X315" s="102"/>
      <c r="Y315" s="102"/>
      <c r="Z315" s="0"/>
      <c r="AA315" s="0"/>
      <c r="AB315" s="0"/>
    </row>
    <row r="316" customFormat="false" ht="15" hidden="false" customHeight="false" outlineLevel="0" collapsed="false">
      <c r="A316" s="66" t="s">
        <v>1330</v>
      </c>
      <c r="B316" s="66" t="n">
        <v>2</v>
      </c>
      <c r="C316" s="93" t="s">
        <v>271</v>
      </c>
      <c r="D316" s="93" t="s">
        <v>1333</v>
      </c>
      <c r="E316" s="94" t="n">
        <v>1</v>
      </c>
      <c r="F316" s="105" t="n">
        <f aca="false">Yield_Originals!G316</f>
        <v>0.277594728171334</v>
      </c>
      <c r="G316" s="96" t="n">
        <v>0.277594728171334</v>
      </c>
      <c r="H316" s="96" t="n">
        <v>0.277594728171334</v>
      </c>
      <c r="I316" s="96" t="n">
        <f aca="false">+(Yield_Originals!H316+Yield_Originals!J316)/2</f>
        <v>0.283797364085667</v>
      </c>
      <c r="J316" s="96" t="n">
        <v>0.29</v>
      </c>
      <c r="K316" s="97" t="n">
        <v>2</v>
      </c>
      <c r="L316" s="98" t="n">
        <f aca="false">(Yield_Originals!$G316*Yield_Originals!L$1)/Yield_Originals!$K316</f>
        <v>0.1665568369028</v>
      </c>
      <c r="M316" s="98" t="n">
        <f aca="false">(Yield_Originals!$G316*Yield_Originals!M$1)/Yield_Originals!$K316</f>
        <v>0.171761738056013</v>
      </c>
      <c r="N316" s="98" t="n">
        <f aca="false">(Yield_Originals!$G316*Yield_Originals!N$1)/Yield_Originals!$K316</f>
        <v>0.176966639209225</v>
      </c>
      <c r="O316" s="98" t="n">
        <f aca="false">(Yield_Originals!$G316*Yield_Originals!O$1)/Yield_Originals!$K316</f>
        <v>0.182171540362438</v>
      </c>
      <c r="P316" s="99" t="n">
        <f aca="false">(Yield_Originals!$H316*Yield_Originals!P$1)/Yield_Originals!$K316</f>
        <v>0.18737644151565</v>
      </c>
      <c r="Q316" s="99"/>
      <c r="R316" s="99"/>
      <c r="S316" s="99"/>
      <c r="T316" s="101"/>
      <c r="U316" s="101"/>
      <c r="V316" s="101"/>
      <c r="W316" s="101"/>
      <c r="X316" s="102"/>
      <c r="Y316" s="102"/>
      <c r="Z316" s="0"/>
      <c r="AA316" s="0"/>
      <c r="AB316" s="0"/>
    </row>
    <row r="317" customFormat="false" ht="15" hidden="false" customHeight="false" outlineLevel="0" collapsed="false">
      <c r="A317" s="66" t="s">
        <v>1330</v>
      </c>
      <c r="B317" s="66" t="n">
        <v>2</v>
      </c>
      <c r="C317" s="93" t="s">
        <v>147</v>
      </c>
      <c r="D317" s="93" t="s">
        <v>1333</v>
      </c>
      <c r="E317" s="94" t="n">
        <v>1</v>
      </c>
      <c r="F317" s="105" t="n">
        <f aca="false">Yield_Originals!G317</f>
        <v>0.277594728171334</v>
      </c>
      <c r="G317" s="96" t="n">
        <v>0.277594728171334</v>
      </c>
      <c r="H317" s="96" t="n">
        <v>0.277594728171334</v>
      </c>
      <c r="I317" s="96" t="n">
        <f aca="false">+(Yield_Originals!H317+Yield_Originals!J317)/2</f>
        <v>0.283797364085667</v>
      </c>
      <c r="J317" s="96" t="n">
        <v>0.29</v>
      </c>
      <c r="K317" s="97" t="n">
        <v>2</v>
      </c>
      <c r="L317" s="98" t="n">
        <f aca="false">(Yield_Originals!$G317*Yield_Originals!L$1)/Yield_Originals!$K317</f>
        <v>0.1665568369028</v>
      </c>
      <c r="M317" s="98" t="n">
        <f aca="false">(Yield_Originals!$G317*Yield_Originals!M$1)/Yield_Originals!$K317</f>
        <v>0.171761738056013</v>
      </c>
      <c r="N317" s="98" t="n">
        <f aca="false">(Yield_Originals!$G317*Yield_Originals!N$1)/Yield_Originals!$K317</f>
        <v>0.176966639209225</v>
      </c>
      <c r="O317" s="98" t="n">
        <f aca="false">(Yield_Originals!$G317*Yield_Originals!O$1)/Yield_Originals!$K317</f>
        <v>0.182171540362438</v>
      </c>
      <c r="P317" s="99" t="n">
        <f aca="false">(Yield_Originals!$H317*Yield_Originals!P$1)/Yield_Originals!$K317</f>
        <v>0.18737644151565</v>
      </c>
      <c r="Q317" s="99"/>
      <c r="R317" s="99"/>
      <c r="S317" s="99"/>
      <c r="T317" s="101"/>
      <c r="U317" s="101"/>
      <c r="V317" s="101"/>
      <c r="W317" s="101"/>
      <c r="X317" s="102"/>
      <c r="Y317" s="102"/>
      <c r="Z317" s="0"/>
      <c r="AA317" s="0"/>
      <c r="AB317" s="0"/>
    </row>
    <row r="318" customFormat="false" ht="15" hidden="false" customHeight="false" outlineLevel="0" collapsed="false">
      <c r="A318" s="66" t="s">
        <v>1330</v>
      </c>
      <c r="B318" s="66" t="n">
        <v>2</v>
      </c>
      <c r="C318" s="93" t="s">
        <v>148</v>
      </c>
      <c r="D318" s="93" t="s">
        <v>1337</v>
      </c>
      <c r="E318" s="94" t="n">
        <v>1</v>
      </c>
      <c r="F318" s="105" t="n">
        <f aca="false">Yield_Originals!G318</f>
        <v>0.277594728171334</v>
      </c>
      <c r="G318" s="96" t="n">
        <v>0.277594728171334</v>
      </c>
      <c r="H318" s="96" t="n">
        <v>0.277594728171334</v>
      </c>
      <c r="I318" s="96" t="n">
        <f aca="false">+(Yield_Originals!H318+Yield_Originals!J318)/2</f>
        <v>0.283797364085667</v>
      </c>
      <c r="J318" s="96" t="n">
        <v>0.29</v>
      </c>
      <c r="K318" s="97" t="n">
        <v>2</v>
      </c>
      <c r="L318" s="98"/>
      <c r="M318" s="98"/>
      <c r="N318" s="98"/>
      <c r="O318" s="98"/>
      <c r="P318" s="99"/>
      <c r="Q318" s="99" t="n">
        <f aca="false">(Yield_Originals!$H318*Yield_Originals!Q$1)/Yield_Originals!$K318</f>
        <v>0.192581342668863</v>
      </c>
      <c r="R318" s="99" t="n">
        <f aca="false">(Yield_Originals!$H318*Yield_Originals!R$1)/Yield_Originals!$K318</f>
        <v>0.197786243822076</v>
      </c>
      <c r="S318" s="99" t="n">
        <f aca="false">(Yield_Originals!$H318*Yield_Originals!S$1)/Yield_Originals!$K318</f>
        <v>0.202991144975288</v>
      </c>
      <c r="T318" s="101" t="n">
        <f aca="false">(Yield_Originals!$I318*Yield_Originals!T$1)/Yield_Originals!$K318</f>
        <v>0.21284802306425</v>
      </c>
      <c r="U318" s="101" t="n">
        <f aca="false">(Yield_Originals!$I318*Yield_Originals!U$1)/Yield_Originals!$K318</f>
        <v>0.218169223640857</v>
      </c>
      <c r="V318" s="101" t="n">
        <f aca="false">(Yield_Originals!$I318*Yield_Originals!V$1)/Yield_Originals!$K318</f>
        <v>0.223490424217463</v>
      </c>
      <c r="W318" s="101" t="n">
        <f aca="false">(Yield_Originals!$I318*Yield_Originals!W$1)/Yield_Originals!$K318</f>
        <v>0.228811624794069</v>
      </c>
      <c r="X318" s="102" t="n">
        <f aca="false">(Yield_Originals!$I318*Yield_Originals!X$1)/Yield_Originals!$K318</f>
        <v>0.234132825370675</v>
      </c>
      <c r="Y318" s="102" t="n">
        <f aca="false">(Yield_Originals!$I318*Yield_Originals!Y$1)/Yield_Originals!$K318</f>
        <v>0.239454025947281</v>
      </c>
      <c r="Z318" s="0"/>
      <c r="AA318" s="0"/>
      <c r="AB318" s="0"/>
    </row>
    <row r="319" customFormat="false" ht="15" hidden="false" customHeight="false" outlineLevel="0" collapsed="false">
      <c r="A319" s="66" t="s">
        <v>1330</v>
      </c>
      <c r="B319" s="66" t="n">
        <v>2</v>
      </c>
      <c r="C319" s="93" t="s">
        <v>272</v>
      </c>
      <c r="D319" s="93" t="s">
        <v>1337</v>
      </c>
      <c r="E319" s="94" t="n">
        <v>1</v>
      </c>
      <c r="F319" s="105" t="n">
        <f aca="false">Yield_Originals!G319</f>
        <v>0.277594728171334</v>
      </c>
      <c r="G319" s="96" t="n">
        <v>0.277594728171334</v>
      </c>
      <c r="H319" s="96" t="n">
        <v>0.277594728171334</v>
      </c>
      <c r="I319" s="96" t="n">
        <f aca="false">+(Yield_Originals!H319+Yield_Originals!J319)/2</f>
        <v>0.283797364085667</v>
      </c>
      <c r="J319" s="96" t="n">
        <v>0.29</v>
      </c>
      <c r="K319" s="97" t="n">
        <v>2</v>
      </c>
      <c r="L319" s="98"/>
      <c r="M319" s="98"/>
      <c r="N319" s="98"/>
      <c r="O319" s="98"/>
      <c r="P319" s="99"/>
      <c r="Q319" s="99" t="n">
        <f aca="false">(Yield_Originals!$H319*Yield_Originals!Q$1)/Yield_Originals!$K319</f>
        <v>0.192581342668863</v>
      </c>
      <c r="R319" s="99" t="n">
        <f aca="false">(Yield_Originals!$H319*Yield_Originals!R$1)/Yield_Originals!$K319</f>
        <v>0.197786243822076</v>
      </c>
      <c r="S319" s="99" t="n">
        <f aca="false">(Yield_Originals!$H319*Yield_Originals!S$1)/Yield_Originals!$K319</f>
        <v>0.202991144975288</v>
      </c>
      <c r="T319" s="101" t="n">
        <f aca="false">(Yield_Originals!$I319*Yield_Originals!T$1)/Yield_Originals!$K319</f>
        <v>0.21284802306425</v>
      </c>
      <c r="U319" s="101" t="n">
        <f aca="false">(Yield_Originals!$I319*Yield_Originals!U$1)/Yield_Originals!$K319</f>
        <v>0.218169223640857</v>
      </c>
      <c r="V319" s="101" t="n">
        <f aca="false">(Yield_Originals!$I319*Yield_Originals!V$1)/Yield_Originals!$K319</f>
        <v>0.223490424217463</v>
      </c>
      <c r="W319" s="101" t="n">
        <f aca="false">(Yield_Originals!$I319*Yield_Originals!W$1)/Yield_Originals!$K319</f>
        <v>0.228811624794069</v>
      </c>
      <c r="X319" s="102" t="n">
        <f aca="false">(Yield_Originals!$I319*Yield_Originals!X$1)/Yield_Originals!$K319</f>
        <v>0.234132825370675</v>
      </c>
      <c r="Y319" s="102" t="n">
        <f aca="false">(Yield_Originals!$I319*Yield_Originals!Y$1)/Yield_Originals!$K319</f>
        <v>0.239454025947281</v>
      </c>
      <c r="Z319" s="0"/>
      <c r="AA319" s="0"/>
      <c r="AB319" s="0"/>
    </row>
    <row r="320" customFormat="false" ht="15" hidden="false" customHeight="false" outlineLevel="0" collapsed="false">
      <c r="A320" s="66" t="s">
        <v>1330</v>
      </c>
      <c r="B320" s="66" t="n">
        <v>2</v>
      </c>
      <c r="C320" s="93" t="s">
        <v>149</v>
      </c>
      <c r="D320" s="93" t="s">
        <v>1337</v>
      </c>
      <c r="E320" s="94" t="n">
        <v>1</v>
      </c>
      <c r="F320" s="105" t="n">
        <f aca="false">Yield_Originals!G320</f>
        <v>0.277594728171334</v>
      </c>
      <c r="G320" s="96" t="n">
        <v>0.277594728171334</v>
      </c>
      <c r="H320" s="96" t="n">
        <v>0.277594728171334</v>
      </c>
      <c r="I320" s="96" t="n">
        <f aca="false">+(Yield_Originals!H320+Yield_Originals!J320)/2</f>
        <v>0.283797364085667</v>
      </c>
      <c r="J320" s="96" t="n">
        <v>0.29</v>
      </c>
      <c r="K320" s="97" t="n">
        <v>2</v>
      </c>
      <c r="L320" s="98" t="n">
        <f aca="false">(Yield_Originals!$G320*Yield_Originals!L$1)/Yield_Originals!$K320</f>
        <v>0.1665568369028</v>
      </c>
      <c r="M320" s="98" t="n">
        <f aca="false">(Yield_Originals!$G320*Yield_Originals!M$1)/Yield_Originals!$K320</f>
        <v>0.171761738056013</v>
      </c>
      <c r="N320" s="98" t="n">
        <f aca="false">(Yield_Originals!$G320*Yield_Originals!N$1)/Yield_Originals!$K320</f>
        <v>0.176966639209225</v>
      </c>
      <c r="O320" s="98" t="n">
        <f aca="false">(Yield_Originals!$G320*Yield_Originals!O$1)/Yield_Originals!$K320</f>
        <v>0.182171540362438</v>
      </c>
      <c r="P320" s="99" t="n">
        <f aca="false">(Yield_Originals!$H320*Yield_Originals!P$1)/Yield_Originals!$K320</f>
        <v>0.18737644151565</v>
      </c>
      <c r="Q320" s="99"/>
      <c r="R320" s="99"/>
      <c r="S320" s="99"/>
      <c r="T320" s="101"/>
      <c r="U320" s="101"/>
      <c r="V320" s="101"/>
      <c r="W320" s="101"/>
      <c r="X320" s="102"/>
      <c r="Y320" s="102"/>
      <c r="Z320" s="0"/>
      <c r="AA320" s="0"/>
      <c r="AB320" s="0"/>
    </row>
    <row r="321" customFormat="false" ht="15" hidden="false" customHeight="false" outlineLevel="0" collapsed="false">
      <c r="A321" s="66" t="s">
        <v>1330</v>
      </c>
      <c r="B321" s="66" t="n">
        <v>2</v>
      </c>
      <c r="C321" s="93" t="s">
        <v>542</v>
      </c>
      <c r="D321" s="93" t="s">
        <v>1340</v>
      </c>
      <c r="E321" s="94" t="n">
        <v>1</v>
      </c>
      <c r="F321" s="105" t="n">
        <f aca="false">Yield_Originals!G321</f>
        <v>0.277594728171334</v>
      </c>
      <c r="G321" s="96" t="n">
        <v>0.277594728171334</v>
      </c>
      <c r="H321" s="96" t="n">
        <v>0.277594728171334</v>
      </c>
      <c r="I321" s="96" t="n">
        <f aca="false">+(Yield_Originals!H321+Yield_Originals!J321)/2</f>
        <v>0.283797364085667</v>
      </c>
      <c r="J321" s="96" t="n">
        <v>0.29</v>
      </c>
      <c r="K321" s="97" t="n">
        <v>2</v>
      </c>
      <c r="L321" s="98"/>
      <c r="M321" s="98"/>
      <c r="N321" s="98"/>
      <c r="O321" s="98"/>
      <c r="P321" s="99"/>
      <c r="Q321" s="99" t="n">
        <f aca="false">(Yield_Originals!$H321*Yield_Originals!Q$1)/Yield_Originals!$K321</f>
        <v>0.192581342668863</v>
      </c>
      <c r="R321" s="99" t="n">
        <f aca="false">(Yield_Originals!$H321*Yield_Originals!R$1)/Yield_Originals!$K321</f>
        <v>0.197786243822076</v>
      </c>
      <c r="S321" s="99" t="n">
        <f aca="false">(Yield_Originals!$H321*Yield_Originals!S$1)/Yield_Originals!$K321</f>
        <v>0.202991144975288</v>
      </c>
      <c r="T321" s="101" t="n">
        <f aca="false">(Yield_Originals!$I321*Yield_Originals!T$1)/Yield_Originals!$K321</f>
        <v>0.21284802306425</v>
      </c>
      <c r="U321" s="101" t="n">
        <f aca="false">(Yield_Originals!$I321*Yield_Originals!U$1)/Yield_Originals!$K321</f>
        <v>0.218169223640857</v>
      </c>
      <c r="V321" s="101" t="n">
        <f aca="false">(Yield_Originals!$I321*Yield_Originals!V$1)/Yield_Originals!$K321</f>
        <v>0.223490424217463</v>
      </c>
      <c r="W321" s="101" t="n">
        <f aca="false">(Yield_Originals!$I321*Yield_Originals!W$1)/Yield_Originals!$K321</f>
        <v>0.228811624794069</v>
      </c>
      <c r="X321" s="102" t="n">
        <f aca="false">(Yield_Originals!$I321*Yield_Originals!X$1)/Yield_Originals!$K321</f>
        <v>0.234132825370675</v>
      </c>
      <c r="Y321" s="102" t="n">
        <f aca="false">(Yield_Originals!$I321*Yield_Originals!Y$1)/Yield_Originals!$K321</f>
        <v>0.239454025947281</v>
      </c>
      <c r="Z321" s="0"/>
      <c r="AA321" s="0"/>
      <c r="AB321" s="0"/>
    </row>
    <row r="322" customFormat="false" ht="15" hidden="false" customHeight="false" outlineLevel="0" collapsed="false">
      <c r="A322" s="66" t="s">
        <v>1330</v>
      </c>
      <c r="B322" s="66" t="n">
        <v>2</v>
      </c>
      <c r="C322" s="93" t="s">
        <v>273</v>
      </c>
      <c r="D322" s="93" t="s">
        <v>1340</v>
      </c>
      <c r="E322" s="94" t="n">
        <v>1</v>
      </c>
      <c r="F322" s="105" t="n">
        <f aca="false">Yield_Originals!G322</f>
        <v>0.277594728171334</v>
      </c>
      <c r="G322" s="96" t="n">
        <v>0.277594728171334</v>
      </c>
      <c r="H322" s="96" t="n">
        <v>0.277594728171334</v>
      </c>
      <c r="I322" s="96" t="n">
        <f aca="false">+(Yield_Originals!H322+Yield_Originals!J322)/2</f>
        <v>0.283797364085667</v>
      </c>
      <c r="J322" s="96" t="n">
        <v>0.29</v>
      </c>
      <c r="K322" s="97" t="n">
        <v>2</v>
      </c>
      <c r="L322" s="98"/>
      <c r="M322" s="98"/>
      <c r="N322" s="98"/>
      <c r="O322" s="98"/>
      <c r="P322" s="99"/>
      <c r="Q322" s="99" t="n">
        <f aca="false">(Yield_Originals!$H322*Yield_Originals!Q$1)/Yield_Originals!$K322</f>
        <v>0.192581342668863</v>
      </c>
      <c r="R322" s="99" t="n">
        <f aca="false">(Yield_Originals!$H322*Yield_Originals!R$1)/Yield_Originals!$K322</f>
        <v>0.197786243822076</v>
      </c>
      <c r="S322" s="99" t="n">
        <f aca="false">(Yield_Originals!$H322*Yield_Originals!S$1)/Yield_Originals!$K322</f>
        <v>0.202991144975288</v>
      </c>
      <c r="T322" s="101" t="n">
        <f aca="false">(Yield_Originals!$I322*Yield_Originals!T$1)/Yield_Originals!$K322</f>
        <v>0.21284802306425</v>
      </c>
      <c r="U322" s="101" t="n">
        <f aca="false">(Yield_Originals!$I322*Yield_Originals!U$1)/Yield_Originals!$K322</f>
        <v>0.218169223640857</v>
      </c>
      <c r="V322" s="101" t="n">
        <f aca="false">(Yield_Originals!$I322*Yield_Originals!V$1)/Yield_Originals!$K322</f>
        <v>0.223490424217463</v>
      </c>
      <c r="W322" s="101" t="n">
        <f aca="false">(Yield_Originals!$I322*Yield_Originals!W$1)/Yield_Originals!$K322</f>
        <v>0.228811624794069</v>
      </c>
      <c r="X322" s="102" t="n">
        <f aca="false">(Yield_Originals!$I322*Yield_Originals!X$1)/Yield_Originals!$K322</f>
        <v>0.234132825370675</v>
      </c>
      <c r="Y322" s="102" t="n">
        <f aca="false">(Yield_Originals!$I322*Yield_Originals!Y$1)/Yield_Originals!$K322</f>
        <v>0.239454025947281</v>
      </c>
      <c r="Z322" s="0"/>
      <c r="AA322" s="0"/>
      <c r="AB322" s="0"/>
    </row>
    <row r="323" customFormat="false" ht="15" hidden="false" customHeight="false" outlineLevel="0" collapsed="false">
      <c r="A323" s="64" t="s">
        <v>1462</v>
      </c>
      <c r="B323" s="64" t="n">
        <v>3</v>
      </c>
      <c r="C323" s="93" t="s">
        <v>1277</v>
      </c>
      <c r="D323" s="93" t="s">
        <v>1327</v>
      </c>
      <c r="E323" s="94" t="n">
        <v>25</v>
      </c>
      <c r="F323" s="105" t="n">
        <f aca="false">Yield_Originals!G323</f>
        <v>0.364</v>
      </c>
      <c r="G323" s="96" t="n">
        <v>0.364</v>
      </c>
      <c r="H323" s="96" t="n">
        <v>0.364</v>
      </c>
      <c r="I323" s="96" t="n">
        <f aca="false">+(Yield_Originals!H323+Yield_Originals!J323)/2</f>
        <v>0.387</v>
      </c>
      <c r="J323" s="96" t="n">
        <v>0.41</v>
      </c>
      <c r="K323" s="97" t="n">
        <v>2</v>
      </c>
      <c r="L323" s="98"/>
      <c r="M323" s="98"/>
      <c r="N323" s="98"/>
      <c r="O323" s="98"/>
      <c r="P323" s="99"/>
      <c r="Q323" s="99"/>
      <c r="R323" s="99" t="n">
        <f aca="false">(Yield_Originals!$H323*Yield_Originals!R$1)/Yield_Originals!$K323</f>
        <v>0.25935</v>
      </c>
      <c r="S323" s="99" t="n">
        <f aca="false">(Yield_Originals!$H323*Yield_Originals!S$1)/Yield_Originals!$K323</f>
        <v>0.266175</v>
      </c>
      <c r="T323" s="101" t="n">
        <f aca="false">(Yield_Originals!$I323*Yield_Originals!T$1)/Yield_Originals!$K323</f>
        <v>0.29025</v>
      </c>
      <c r="U323" s="101" t="n">
        <f aca="false">(Yield_Originals!$I323*Yield_Originals!U$1)/Yield_Originals!$K323</f>
        <v>0.29750625</v>
      </c>
      <c r="V323" s="101" t="n">
        <f aca="false">(Yield_Originals!$I323*Yield_Originals!V$1)/Yield_Originals!$K323</f>
        <v>0.3047625</v>
      </c>
      <c r="W323" s="101" t="n">
        <f aca="false">(Yield_Originals!$I323*Yield_Originals!W$1)/Yield_Originals!$K323</f>
        <v>0.31201875</v>
      </c>
      <c r="X323" s="102" t="n">
        <f aca="false">(Yield_Originals!$I323*Yield_Originals!X$1)/Yield_Originals!$K323</f>
        <v>0.319275</v>
      </c>
      <c r="Y323" s="102" t="n">
        <f aca="false">(Yield_Originals!$I323*Yield_Originals!Y$1)/Yield_Originals!$K323</f>
        <v>0.32653125</v>
      </c>
      <c r="Z323" s="0"/>
      <c r="AA323" s="0"/>
      <c r="AB323" s="0"/>
    </row>
    <row r="324" customFormat="false" ht="15" hidden="false" customHeight="false" outlineLevel="0" collapsed="false">
      <c r="A324" s="64" t="s">
        <v>1463</v>
      </c>
      <c r="B324" s="64" t="n">
        <v>3</v>
      </c>
      <c r="C324" s="93" t="s">
        <v>1280</v>
      </c>
      <c r="D324" s="93" t="s">
        <v>1358</v>
      </c>
      <c r="E324" s="94" t="n">
        <v>26</v>
      </c>
      <c r="F324" s="105" t="n">
        <f aca="false">Yield_Originals!G324</f>
        <v>0.212</v>
      </c>
      <c r="G324" s="96" t="n">
        <v>0.212</v>
      </c>
      <c r="H324" s="96" t="n">
        <v>0.212</v>
      </c>
      <c r="I324" s="96" t="n">
        <f aca="false">+(Yield_Originals!H324+Yield_Originals!J324)/2</f>
        <v>0.231</v>
      </c>
      <c r="J324" s="96" t="n">
        <v>0.25</v>
      </c>
      <c r="K324" s="97" t="n">
        <v>2</v>
      </c>
      <c r="L324" s="98" t="n">
        <f aca="false">(Yield_Originals!$G324*Yield_Originals!L$1)/Yield_Originals!$K324</f>
        <v>0.1272</v>
      </c>
      <c r="M324" s="98" t="n">
        <f aca="false">(Yield_Originals!$G324*Yield_Originals!M$1)/Yield_Originals!$K324</f>
        <v>0.131175</v>
      </c>
      <c r="N324" s="98" t="n">
        <f aca="false">(Yield_Originals!$G324*Yield_Originals!N$1)/Yield_Originals!$K324</f>
        <v>0.13515</v>
      </c>
      <c r="O324" s="98" t="n">
        <f aca="false">(Yield_Originals!$G324*Yield_Originals!O$1)/Yield_Originals!$K324</f>
        <v>0.139125</v>
      </c>
      <c r="P324" s="99" t="n">
        <f aca="false">(Yield_Originals!$H324*Yield_Originals!P$1)/Yield_Originals!$K324</f>
        <v>0.1431</v>
      </c>
      <c r="Q324" s="99" t="n">
        <f aca="false">(Yield_Originals!$H324*Yield_Originals!Q$1)/Yield_Originals!$K324</f>
        <v>0.147075</v>
      </c>
      <c r="R324" s="99" t="n">
        <f aca="false">(Yield_Originals!$H324*Yield_Originals!R$1)/Yield_Originals!$K324</f>
        <v>0.15105</v>
      </c>
      <c r="S324" s="99" t="n">
        <f aca="false">(Yield_Originals!$H324*Yield_Originals!S$1)/Yield_Originals!$K324</f>
        <v>0.155025</v>
      </c>
      <c r="T324" s="101" t="n">
        <f aca="false">(Yield_Originals!$I324*Yield_Originals!T$1)/Yield_Originals!$K324</f>
        <v>0.17325</v>
      </c>
      <c r="U324" s="101" t="n">
        <f aca="false">(Yield_Originals!$I324*Yield_Originals!U$1)/Yield_Originals!$K324</f>
        <v>0.17758125</v>
      </c>
      <c r="V324" s="101" t="n">
        <f aca="false">(Yield_Originals!$I324*Yield_Originals!V$1)/Yield_Originals!$K324</f>
        <v>0.1819125</v>
      </c>
      <c r="W324" s="101" t="n">
        <f aca="false">(Yield_Originals!$I324*Yield_Originals!W$1)/Yield_Originals!$K324</f>
        <v>0.18624375</v>
      </c>
      <c r="X324" s="102" t="n">
        <f aca="false">(Yield_Originals!$I324*Yield_Originals!X$1)/Yield_Originals!$K324</f>
        <v>0.190575</v>
      </c>
      <c r="Y324" s="102" t="n">
        <f aca="false">(Yield_Originals!$I324*Yield_Originals!Y$1)/Yield_Originals!$K324</f>
        <v>0.19490625</v>
      </c>
      <c r="Z324" s="0"/>
      <c r="AA324" s="0"/>
      <c r="AB324" s="0"/>
    </row>
    <row r="325" customFormat="false" ht="15" hidden="false" customHeight="false" outlineLevel="0" collapsed="false">
      <c r="A325" s="64" t="s">
        <v>1463</v>
      </c>
      <c r="B325" s="64" t="n">
        <v>3</v>
      </c>
      <c r="C325" s="93" t="s">
        <v>150</v>
      </c>
      <c r="D325" s="93" t="s">
        <v>1361</v>
      </c>
      <c r="E325" s="94" t="n">
        <v>26</v>
      </c>
      <c r="F325" s="105" t="n">
        <f aca="false">Yield_Originals!G325</f>
        <v>0.212</v>
      </c>
      <c r="G325" s="96" t="n">
        <v>0.212</v>
      </c>
      <c r="H325" s="96" t="n">
        <v>0.212</v>
      </c>
      <c r="I325" s="96" t="n">
        <f aca="false">+(Yield_Originals!H325+Yield_Originals!J325)/2</f>
        <v>0.231</v>
      </c>
      <c r="J325" s="96" t="n">
        <v>0.25</v>
      </c>
      <c r="K325" s="97" t="n">
        <v>2</v>
      </c>
      <c r="L325" s="98"/>
      <c r="M325" s="98" t="n">
        <f aca="false">(Yield_Originals!$G325*Yield_Originals!M$1)/Yield_Originals!$K325</f>
        <v>0.131175</v>
      </c>
      <c r="N325" s="98" t="n">
        <f aca="false">(Yield_Originals!$G325*Yield_Originals!N$1)/Yield_Originals!$K325</f>
        <v>0.13515</v>
      </c>
      <c r="O325" s="98" t="n">
        <f aca="false">(Yield_Originals!$G325*Yield_Originals!O$1)/Yield_Originals!$K325</f>
        <v>0.139125</v>
      </c>
      <c r="P325" s="99" t="n">
        <f aca="false">(Yield_Originals!$H325*Yield_Originals!P$1)/Yield_Originals!$K325</f>
        <v>0.1431</v>
      </c>
      <c r="Q325" s="99" t="n">
        <f aca="false">(Yield_Originals!$H325*Yield_Originals!Q$1)/Yield_Originals!$K325</f>
        <v>0.147075</v>
      </c>
      <c r="R325" s="99" t="n">
        <f aca="false">(Yield_Originals!$H325*Yield_Originals!R$1)/Yield_Originals!$K325</f>
        <v>0.15105</v>
      </c>
      <c r="S325" s="99" t="n">
        <f aca="false">(Yield_Originals!$H325*Yield_Originals!S$1)/Yield_Originals!$K325</f>
        <v>0.155025</v>
      </c>
      <c r="T325" s="101"/>
      <c r="U325" s="101"/>
      <c r="V325" s="101"/>
      <c r="W325" s="101"/>
      <c r="X325" s="102"/>
      <c r="Y325" s="102"/>
      <c r="Z325" s="0"/>
      <c r="AA325" s="0"/>
      <c r="AB325" s="0"/>
    </row>
    <row r="326" customFormat="false" ht="15" hidden="false" customHeight="false" outlineLevel="0" collapsed="false">
      <c r="A326" s="64" t="s">
        <v>1463</v>
      </c>
      <c r="B326" s="64" t="n">
        <v>3</v>
      </c>
      <c r="C326" s="0" t="s">
        <v>150</v>
      </c>
      <c r="D326" s="0" t="s">
        <v>1361</v>
      </c>
      <c r="E326" s="94" t="n">
        <v>1</v>
      </c>
      <c r="F326" s="105" t="n">
        <f aca="false">Yield_Originals!G326</f>
        <v>0.212</v>
      </c>
      <c r="G326" s="96" t="n">
        <v>0.212</v>
      </c>
      <c r="H326" s="96" t="n">
        <v>0.212</v>
      </c>
      <c r="I326" s="96" t="n">
        <f aca="false">+(Yield_Originals!H326+Yield_Originals!J326)/2</f>
        <v>0.231</v>
      </c>
      <c r="J326" s="96" t="n">
        <v>0.25</v>
      </c>
      <c r="K326" s="97" t="n">
        <v>2</v>
      </c>
      <c r="L326" s="98"/>
      <c r="M326" s="98" t="n">
        <f aca="false">(Yield_Originals!$G326*Yield_Originals!M$1)/Yield_Originals!$K326</f>
        <v>0.131175</v>
      </c>
      <c r="N326" s="98" t="n">
        <f aca="false">(Yield_Originals!$G326*Yield_Originals!N$1)/Yield_Originals!$K326</f>
        <v>0.13515</v>
      </c>
      <c r="O326" s="98" t="n">
        <f aca="false">(Yield_Originals!$G326*Yield_Originals!O$1)/Yield_Originals!$K326</f>
        <v>0.139125</v>
      </c>
      <c r="P326" s="99" t="n">
        <f aca="false">(Yield_Originals!$H326*Yield_Originals!P$1)/Yield_Originals!$K326</f>
        <v>0.1431</v>
      </c>
      <c r="Q326" s="99" t="n">
        <f aca="false">(Yield_Originals!$H326*Yield_Originals!Q$1)/Yield_Originals!$K326</f>
        <v>0.147075</v>
      </c>
      <c r="R326" s="99" t="n">
        <f aca="false">(Yield_Originals!$H326*Yield_Originals!R$1)/Yield_Originals!$K326</f>
        <v>0.15105</v>
      </c>
      <c r="S326" s="99" t="n">
        <f aca="false">(Yield_Originals!$H326*Yield_Originals!S$1)/Yield_Originals!$K326</f>
        <v>0.155025</v>
      </c>
      <c r="T326" s="101"/>
      <c r="U326" s="101"/>
      <c r="V326" s="101"/>
      <c r="W326" s="101"/>
      <c r="X326" s="102"/>
      <c r="Y326" s="102"/>
      <c r="Z326" s="0"/>
      <c r="AA326" s="0"/>
      <c r="AB326" s="0"/>
    </row>
    <row r="327" customFormat="false" ht="15" hidden="false" customHeight="false" outlineLevel="0" collapsed="false">
      <c r="A327" s="64" t="s">
        <v>1463</v>
      </c>
      <c r="B327" s="64" t="n">
        <v>3</v>
      </c>
      <c r="C327" s="0" t="s">
        <v>150</v>
      </c>
      <c r="D327" s="0" t="s">
        <v>1361</v>
      </c>
      <c r="E327" s="94" t="n">
        <v>2</v>
      </c>
      <c r="F327" s="105" t="n">
        <f aca="false">Yield_Originals!G327</f>
        <v>0.212</v>
      </c>
      <c r="G327" s="96" t="n">
        <v>0.212</v>
      </c>
      <c r="H327" s="96" t="n">
        <v>0.212</v>
      </c>
      <c r="I327" s="96" t="n">
        <f aca="false">+(Yield_Originals!H327+Yield_Originals!J327)/2</f>
        <v>0.231</v>
      </c>
      <c r="J327" s="96" t="n">
        <v>0.25</v>
      </c>
      <c r="K327" s="97" t="n">
        <v>2</v>
      </c>
      <c r="L327" s="98"/>
      <c r="M327" s="98" t="n">
        <f aca="false">(Yield_Originals!$G327*Yield_Originals!M$1)/Yield_Originals!$K327</f>
        <v>0.131175</v>
      </c>
      <c r="N327" s="98" t="n">
        <f aca="false">(Yield_Originals!$G327*Yield_Originals!N$1)/Yield_Originals!$K327</f>
        <v>0.13515</v>
      </c>
      <c r="O327" s="98" t="n">
        <f aca="false">(Yield_Originals!$G327*Yield_Originals!O$1)/Yield_Originals!$K327</f>
        <v>0.139125</v>
      </c>
      <c r="P327" s="99" t="n">
        <f aca="false">(Yield_Originals!$H327*Yield_Originals!P$1)/Yield_Originals!$K327</f>
        <v>0.1431</v>
      </c>
      <c r="Q327" s="99" t="n">
        <f aca="false">(Yield_Originals!$H327*Yield_Originals!Q$1)/Yield_Originals!$K327</f>
        <v>0.147075</v>
      </c>
      <c r="R327" s="99" t="n">
        <f aca="false">(Yield_Originals!$H327*Yield_Originals!R$1)/Yield_Originals!$K327</f>
        <v>0.15105</v>
      </c>
      <c r="S327" s="99" t="n">
        <f aca="false">(Yield_Originals!$H327*Yield_Originals!S$1)/Yield_Originals!$K327</f>
        <v>0.155025</v>
      </c>
      <c r="T327" s="101"/>
      <c r="U327" s="101"/>
      <c r="V327" s="101"/>
      <c r="W327" s="101"/>
      <c r="X327" s="102"/>
      <c r="Y327" s="102"/>
      <c r="Z327" s="0"/>
      <c r="AA327" s="0"/>
      <c r="AB327" s="0"/>
    </row>
    <row r="328" customFormat="false" ht="15" hidden="false" customHeight="false" outlineLevel="0" collapsed="false">
      <c r="A328" s="64" t="s">
        <v>1463</v>
      </c>
      <c r="B328" s="64" t="n">
        <v>3</v>
      </c>
      <c r="C328" s="93" t="s">
        <v>274</v>
      </c>
      <c r="D328" s="93" t="s">
        <v>1361</v>
      </c>
      <c r="E328" s="94" t="n">
        <v>26</v>
      </c>
      <c r="F328" s="105" t="n">
        <f aca="false">Yield_Originals!G328</f>
        <v>0.212</v>
      </c>
      <c r="G328" s="96" t="n">
        <v>0.212</v>
      </c>
      <c r="H328" s="96" t="n">
        <v>0.212</v>
      </c>
      <c r="I328" s="96" t="n">
        <f aca="false">+(Yield_Originals!H328+Yield_Originals!J328)/2</f>
        <v>0.231</v>
      </c>
      <c r="J328" s="96" t="n">
        <v>0.25</v>
      </c>
      <c r="K328" s="97" t="n">
        <v>2</v>
      </c>
      <c r="L328" s="98"/>
      <c r="M328" s="98" t="n">
        <f aca="false">(Yield_Originals!$G328*Yield_Originals!M$1)/Yield_Originals!$K328</f>
        <v>0.131175</v>
      </c>
      <c r="N328" s="98" t="n">
        <f aca="false">(Yield_Originals!$G328*Yield_Originals!N$1)/Yield_Originals!$K328</f>
        <v>0.13515</v>
      </c>
      <c r="O328" s="98" t="n">
        <f aca="false">(Yield_Originals!$G328*Yield_Originals!O$1)/Yield_Originals!$K328</f>
        <v>0.139125</v>
      </c>
      <c r="P328" s="99" t="n">
        <f aca="false">(Yield_Originals!$H328*Yield_Originals!P$1)/Yield_Originals!$K328</f>
        <v>0.1431</v>
      </c>
      <c r="Q328" s="99" t="n">
        <f aca="false">(Yield_Originals!$H328*Yield_Originals!Q$1)/Yield_Originals!$K328</f>
        <v>0.147075</v>
      </c>
      <c r="R328" s="99" t="n">
        <f aca="false">(Yield_Originals!$H328*Yield_Originals!R$1)/Yield_Originals!$K328</f>
        <v>0.15105</v>
      </c>
      <c r="S328" s="99" t="n">
        <f aca="false">(Yield_Originals!$H328*Yield_Originals!S$1)/Yield_Originals!$K328</f>
        <v>0.155025</v>
      </c>
      <c r="T328" s="101"/>
      <c r="U328" s="101"/>
      <c r="V328" s="101"/>
      <c r="W328" s="101"/>
      <c r="X328" s="102"/>
      <c r="Y328" s="102"/>
      <c r="Z328" s="0"/>
      <c r="AA328" s="0"/>
      <c r="AB328" s="0"/>
    </row>
    <row r="329" customFormat="false" ht="15" hidden="false" customHeight="false" outlineLevel="0" collapsed="false">
      <c r="A329" s="64" t="s">
        <v>1463</v>
      </c>
      <c r="B329" s="64" t="n">
        <v>3</v>
      </c>
      <c r="C329" s="0" t="s">
        <v>274</v>
      </c>
      <c r="D329" s="0" t="s">
        <v>1361</v>
      </c>
      <c r="E329" s="94" t="n">
        <v>1</v>
      </c>
      <c r="F329" s="105" t="n">
        <f aca="false">Yield_Originals!G329</f>
        <v>0.212</v>
      </c>
      <c r="G329" s="96" t="n">
        <v>0.212</v>
      </c>
      <c r="H329" s="96" t="n">
        <v>0.212</v>
      </c>
      <c r="I329" s="96" t="n">
        <f aca="false">+(Yield_Originals!H329+Yield_Originals!J329)/2</f>
        <v>0.231</v>
      </c>
      <c r="J329" s="96" t="n">
        <v>0.25</v>
      </c>
      <c r="K329" s="97" t="n">
        <v>2</v>
      </c>
      <c r="L329" s="98"/>
      <c r="M329" s="98" t="n">
        <f aca="false">(Yield_Originals!$G329*Yield_Originals!M$1)/Yield_Originals!$K329</f>
        <v>0.131175</v>
      </c>
      <c r="N329" s="98" t="n">
        <f aca="false">(Yield_Originals!$G329*Yield_Originals!N$1)/Yield_Originals!$K329</f>
        <v>0.13515</v>
      </c>
      <c r="O329" s="98" t="n">
        <f aca="false">(Yield_Originals!$G329*Yield_Originals!O$1)/Yield_Originals!$K329</f>
        <v>0.139125</v>
      </c>
      <c r="P329" s="99" t="n">
        <f aca="false">(Yield_Originals!$H329*Yield_Originals!P$1)/Yield_Originals!$K329</f>
        <v>0.1431</v>
      </c>
      <c r="Q329" s="99" t="n">
        <f aca="false">(Yield_Originals!$H329*Yield_Originals!Q$1)/Yield_Originals!$K329</f>
        <v>0.147075</v>
      </c>
      <c r="R329" s="99" t="n">
        <f aca="false">(Yield_Originals!$H329*Yield_Originals!R$1)/Yield_Originals!$K329</f>
        <v>0.15105</v>
      </c>
      <c r="S329" s="99" t="n">
        <f aca="false">(Yield_Originals!$H329*Yield_Originals!S$1)/Yield_Originals!$K329</f>
        <v>0.155025</v>
      </c>
      <c r="T329" s="101"/>
      <c r="U329" s="101"/>
      <c r="V329" s="101"/>
      <c r="W329" s="101"/>
      <c r="X329" s="102"/>
      <c r="Y329" s="102"/>
      <c r="Z329" s="0"/>
      <c r="AA329" s="0"/>
      <c r="AB329" s="0"/>
    </row>
    <row r="330" customFormat="false" ht="15" hidden="false" customHeight="false" outlineLevel="0" collapsed="false">
      <c r="A330" s="64" t="s">
        <v>1463</v>
      </c>
      <c r="B330" s="64" t="n">
        <v>3</v>
      </c>
      <c r="C330" s="0" t="s">
        <v>274</v>
      </c>
      <c r="D330" s="0" t="s">
        <v>1361</v>
      </c>
      <c r="E330" s="94" t="n">
        <v>2</v>
      </c>
      <c r="F330" s="105" t="n">
        <f aca="false">Yield_Originals!G330</f>
        <v>0.212</v>
      </c>
      <c r="G330" s="96" t="n">
        <v>0.212</v>
      </c>
      <c r="H330" s="96" t="n">
        <v>0.212</v>
      </c>
      <c r="I330" s="96" t="n">
        <f aca="false">+(Yield_Originals!H330+Yield_Originals!J330)/2</f>
        <v>0.231</v>
      </c>
      <c r="J330" s="96" t="n">
        <v>0.25</v>
      </c>
      <c r="K330" s="97" t="n">
        <v>2</v>
      </c>
      <c r="L330" s="98"/>
      <c r="M330" s="98" t="n">
        <f aca="false">(Yield_Originals!$G330*Yield_Originals!M$1)/Yield_Originals!$K330</f>
        <v>0.131175</v>
      </c>
      <c r="N330" s="98" t="n">
        <f aca="false">(Yield_Originals!$G330*Yield_Originals!N$1)/Yield_Originals!$K330</f>
        <v>0.13515</v>
      </c>
      <c r="O330" s="98" t="n">
        <f aca="false">(Yield_Originals!$G330*Yield_Originals!O$1)/Yield_Originals!$K330</f>
        <v>0.139125</v>
      </c>
      <c r="P330" s="99" t="n">
        <f aca="false">(Yield_Originals!$H330*Yield_Originals!P$1)/Yield_Originals!$K330</f>
        <v>0.1431</v>
      </c>
      <c r="Q330" s="99" t="n">
        <f aca="false">(Yield_Originals!$H330*Yield_Originals!Q$1)/Yield_Originals!$K330</f>
        <v>0.147075</v>
      </c>
      <c r="R330" s="99" t="n">
        <f aca="false">(Yield_Originals!$H330*Yield_Originals!R$1)/Yield_Originals!$K330</f>
        <v>0.15105</v>
      </c>
      <c r="S330" s="99" t="n">
        <f aca="false">(Yield_Originals!$H330*Yield_Originals!S$1)/Yield_Originals!$K330</f>
        <v>0.155025</v>
      </c>
      <c r="T330" s="101"/>
      <c r="U330" s="101"/>
      <c r="V330" s="101"/>
      <c r="W330" s="101"/>
      <c r="X330" s="102"/>
      <c r="Y330" s="102"/>
      <c r="Z330" s="0"/>
      <c r="AA330" s="0"/>
      <c r="AB330" s="0"/>
    </row>
    <row r="331" customFormat="false" ht="15" hidden="false" customHeight="false" outlineLevel="0" collapsed="false">
      <c r="A331" s="64" t="s">
        <v>1463</v>
      </c>
      <c r="B331" s="64" t="n">
        <v>3</v>
      </c>
      <c r="C331" s="93" t="s">
        <v>1284</v>
      </c>
      <c r="D331" s="93" t="s">
        <v>1366</v>
      </c>
      <c r="E331" s="94" t="n">
        <v>26</v>
      </c>
      <c r="F331" s="105" t="n">
        <f aca="false">Yield_Originals!G331</f>
        <v>0.212</v>
      </c>
      <c r="G331" s="96" t="n">
        <v>0.212</v>
      </c>
      <c r="H331" s="96" t="n">
        <v>0.212</v>
      </c>
      <c r="I331" s="96" t="n">
        <f aca="false">+(Yield_Originals!H331+Yield_Originals!J331)/2</f>
        <v>0.231</v>
      </c>
      <c r="J331" s="96" t="n">
        <v>0.25</v>
      </c>
      <c r="K331" s="97" t="n">
        <v>2</v>
      </c>
      <c r="L331" s="98"/>
      <c r="M331" s="98" t="n">
        <f aca="false">(Yield_Originals!$G331*Yield_Originals!M$1)/Yield_Originals!$K331</f>
        <v>0.131175</v>
      </c>
      <c r="N331" s="98" t="n">
        <f aca="false">(Yield_Originals!$G331*Yield_Originals!N$1)/Yield_Originals!$K331</f>
        <v>0.13515</v>
      </c>
      <c r="O331" s="98" t="n">
        <f aca="false">(Yield_Originals!$G331*Yield_Originals!O$1)/Yield_Originals!$K331</f>
        <v>0.139125</v>
      </c>
      <c r="P331" s="99" t="n">
        <f aca="false">(Yield_Originals!$H331*Yield_Originals!P$1)/Yield_Originals!$K331</f>
        <v>0.1431</v>
      </c>
      <c r="Q331" s="99" t="n">
        <f aca="false">(Yield_Originals!$H331*Yield_Originals!Q$1)/Yield_Originals!$K331</f>
        <v>0.147075</v>
      </c>
      <c r="R331" s="99" t="n">
        <f aca="false">(Yield_Originals!$H331*Yield_Originals!R$1)/Yield_Originals!$K331</f>
        <v>0.15105</v>
      </c>
      <c r="S331" s="99" t="n">
        <f aca="false">(Yield_Originals!$H331*Yield_Originals!S$1)/Yield_Originals!$K331</f>
        <v>0.155025</v>
      </c>
      <c r="T331" s="101"/>
      <c r="U331" s="101"/>
      <c r="V331" s="101"/>
      <c r="W331" s="101"/>
      <c r="X331" s="102"/>
      <c r="Y331" s="102"/>
      <c r="Z331" s="0"/>
      <c r="AA331" s="0"/>
      <c r="AB331" s="0"/>
    </row>
    <row r="332" customFormat="false" ht="15" hidden="false" customHeight="false" outlineLevel="0" collapsed="false">
      <c r="A332" s="64" t="s">
        <v>1463</v>
      </c>
      <c r="B332" s="64" t="n">
        <v>3</v>
      </c>
      <c r="C332" s="0" t="s">
        <v>1284</v>
      </c>
      <c r="D332" s="0" t="s">
        <v>1366</v>
      </c>
      <c r="E332" s="94" t="n">
        <v>1</v>
      </c>
      <c r="F332" s="105" t="n">
        <f aca="false">Yield_Originals!G332</f>
        <v>0.212</v>
      </c>
      <c r="G332" s="96" t="n">
        <v>0.212</v>
      </c>
      <c r="H332" s="96" t="n">
        <v>0.212</v>
      </c>
      <c r="I332" s="96" t="n">
        <f aca="false">+(Yield_Originals!H332+Yield_Originals!J332)/2</f>
        <v>0.231</v>
      </c>
      <c r="J332" s="96" t="n">
        <v>0.25</v>
      </c>
      <c r="K332" s="97" t="n">
        <v>2</v>
      </c>
      <c r="L332" s="98"/>
      <c r="M332" s="98" t="n">
        <f aca="false">(Yield_Originals!$G332*Yield_Originals!M$1)/Yield_Originals!$K332</f>
        <v>0.131175</v>
      </c>
      <c r="N332" s="98" t="n">
        <f aca="false">(Yield_Originals!$G332*Yield_Originals!N$1)/Yield_Originals!$K332</f>
        <v>0.13515</v>
      </c>
      <c r="O332" s="98" t="n">
        <f aca="false">(Yield_Originals!$G332*Yield_Originals!O$1)/Yield_Originals!$K332</f>
        <v>0.139125</v>
      </c>
      <c r="P332" s="99" t="n">
        <f aca="false">(Yield_Originals!$H332*Yield_Originals!P$1)/Yield_Originals!$K332</f>
        <v>0.1431</v>
      </c>
      <c r="Q332" s="99" t="n">
        <f aca="false">(Yield_Originals!$H332*Yield_Originals!Q$1)/Yield_Originals!$K332</f>
        <v>0.147075</v>
      </c>
      <c r="R332" s="99" t="n">
        <f aca="false">(Yield_Originals!$H332*Yield_Originals!R$1)/Yield_Originals!$K332</f>
        <v>0.15105</v>
      </c>
      <c r="S332" s="99" t="n">
        <f aca="false">(Yield_Originals!$H332*Yield_Originals!S$1)/Yield_Originals!$K332</f>
        <v>0.155025</v>
      </c>
      <c r="T332" s="101"/>
      <c r="U332" s="101"/>
      <c r="V332" s="101"/>
      <c r="W332" s="101"/>
      <c r="X332" s="102"/>
      <c r="Y332" s="102"/>
      <c r="Z332" s="0"/>
      <c r="AA332" s="0"/>
      <c r="AB332" s="0"/>
    </row>
    <row r="333" customFormat="false" ht="15" hidden="false" customHeight="false" outlineLevel="0" collapsed="false">
      <c r="A333" s="64" t="s">
        <v>1463</v>
      </c>
      <c r="B333" s="64" t="n">
        <v>3</v>
      </c>
      <c r="C333" s="0" t="s">
        <v>1284</v>
      </c>
      <c r="D333" s="0" t="s">
        <v>1366</v>
      </c>
      <c r="E333" s="94" t="n">
        <v>2</v>
      </c>
      <c r="F333" s="105" t="n">
        <f aca="false">Yield_Originals!G333</f>
        <v>0.212</v>
      </c>
      <c r="G333" s="96" t="n">
        <v>0.212</v>
      </c>
      <c r="H333" s="96" t="n">
        <v>0.212</v>
      </c>
      <c r="I333" s="96" t="n">
        <f aca="false">+(Yield_Originals!H333+Yield_Originals!J333)/2</f>
        <v>0.231</v>
      </c>
      <c r="J333" s="96" t="n">
        <v>0.25</v>
      </c>
      <c r="K333" s="97" t="n">
        <v>2</v>
      </c>
      <c r="L333" s="98"/>
      <c r="M333" s="98" t="n">
        <f aca="false">(Yield_Originals!$G333*Yield_Originals!M$1)/Yield_Originals!$K333</f>
        <v>0.131175</v>
      </c>
      <c r="N333" s="98" t="n">
        <f aca="false">(Yield_Originals!$G333*Yield_Originals!N$1)/Yield_Originals!$K333</f>
        <v>0.13515</v>
      </c>
      <c r="O333" s="98" t="n">
        <f aca="false">(Yield_Originals!$G333*Yield_Originals!O$1)/Yield_Originals!$K333</f>
        <v>0.139125</v>
      </c>
      <c r="P333" s="99" t="n">
        <f aca="false">(Yield_Originals!$H333*Yield_Originals!P$1)/Yield_Originals!$K333</f>
        <v>0.1431</v>
      </c>
      <c r="Q333" s="99" t="n">
        <f aca="false">(Yield_Originals!$H333*Yield_Originals!Q$1)/Yield_Originals!$K333</f>
        <v>0.147075</v>
      </c>
      <c r="R333" s="99" t="n">
        <f aca="false">(Yield_Originals!$H333*Yield_Originals!R$1)/Yield_Originals!$K333</f>
        <v>0.15105</v>
      </c>
      <c r="S333" s="99" t="n">
        <f aca="false">(Yield_Originals!$H333*Yield_Originals!S$1)/Yield_Originals!$K333</f>
        <v>0.155025</v>
      </c>
      <c r="T333" s="101"/>
      <c r="U333" s="101"/>
      <c r="V333" s="101"/>
      <c r="W333" s="101"/>
      <c r="X333" s="102"/>
      <c r="Y333" s="102"/>
      <c r="Z333" s="0"/>
      <c r="AA333" s="0"/>
      <c r="AB333" s="0"/>
    </row>
    <row r="334" customFormat="false" ht="15" hidden="false" customHeight="false" outlineLevel="0" collapsed="false">
      <c r="A334" s="64" t="s">
        <v>1463</v>
      </c>
      <c r="B334" s="64" t="n">
        <v>3</v>
      </c>
      <c r="C334" s="93" t="s">
        <v>1287</v>
      </c>
      <c r="D334" s="93" t="s">
        <v>1382</v>
      </c>
      <c r="E334" s="94" t="n">
        <v>26</v>
      </c>
      <c r="F334" s="105" t="n">
        <f aca="false">Yield_Originals!G334</f>
        <v>0.212</v>
      </c>
      <c r="G334" s="96" t="n">
        <v>0.212</v>
      </c>
      <c r="H334" s="96" t="n">
        <v>0.212</v>
      </c>
      <c r="I334" s="96" t="n">
        <f aca="false">+(Yield_Originals!H334+Yield_Originals!J334)/2</f>
        <v>0.231</v>
      </c>
      <c r="J334" s="96" t="n">
        <v>0.25</v>
      </c>
      <c r="K334" s="97" t="n">
        <v>2</v>
      </c>
      <c r="L334" s="98"/>
      <c r="M334" s="98" t="n">
        <f aca="false">(Yield_Originals!$G334*Yield_Originals!M$1)/Yield_Originals!$K334</f>
        <v>0.131175</v>
      </c>
      <c r="N334" s="98" t="n">
        <f aca="false">(Yield_Originals!$G334*Yield_Originals!N$1)/Yield_Originals!$K334</f>
        <v>0.13515</v>
      </c>
      <c r="O334" s="98" t="n">
        <f aca="false">(Yield_Originals!$G334*Yield_Originals!O$1)/Yield_Originals!$K334</f>
        <v>0.139125</v>
      </c>
      <c r="P334" s="99" t="n">
        <f aca="false">(Yield_Originals!$H334*Yield_Originals!P$1)/Yield_Originals!$K334</f>
        <v>0.1431</v>
      </c>
      <c r="Q334" s="99" t="n">
        <f aca="false">(Yield_Originals!$H334*Yield_Originals!Q$1)/Yield_Originals!$K334</f>
        <v>0.147075</v>
      </c>
      <c r="R334" s="99" t="n">
        <f aca="false">(Yield_Originals!$H334*Yield_Originals!R$1)/Yield_Originals!$K334</f>
        <v>0.15105</v>
      </c>
      <c r="S334" s="99" t="n">
        <f aca="false">(Yield_Originals!$H334*Yield_Originals!S$1)/Yield_Originals!$K334</f>
        <v>0.155025</v>
      </c>
      <c r="T334" s="101"/>
      <c r="U334" s="101"/>
      <c r="V334" s="101"/>
      <c r="W334" s="101"/>
      <c r="X334" s="102"/>
      <c r="Y334" s="102"/>
      <c r="Z334" s="0"/>
      <c r="AA334" s="0"/>
      <c r="AB334" s="0"/>
    </row>
    <row r="335" customFormat="false" ht="15" hidden="false" customHeight="false" outlineLevel="0" collapsed="false">
      <c r="A335" s="64" t="s">
        <v>1463</v>
      </c>
      <c r="B335" s="64" t="n">
        <v>3</v>
      </c>
      <c r="C335" s="0" t="s">
        <v>1287</v>
      </c>
      <c r="D335" s="0" t="s">
        <v>1382</v>
      </c>
      <c r="E335" s="94" t="n">
        <v>1</v>
      </c>
      <c r="F335" s="105" t="n">
        <f aca="false">Yield_Originals!G335</f>
        <v>0.212</v>
      </c>
      <c r="G335" s="96" t="n">
        <v>0.212</v>
      </c>
      <c r="H335" s="96" t="n">
        <v>0.212</v>
      </c>
      <c r="I335" s="96" t="n">
        <f aca="false">+(Yield_Originals!H335+Yield_Originals!J335)/2</f>
        <v>0.231</v>
      </c>
      <c r="J335" s="96" t="n">
        <v>0.25</v>
      </c>
      <c r="K335" s="97" t="n">
        <v>2</v>
      </c>
      <c r="L335" s="98"/>
      <c r="M335" s="98" t="n">
        <f aca="false">(Yield_Originals!$G335*Yield_Originals!M$1)/Yield_Originals!$K335</f>
        <v>0.131175</v>
      </c>
      <c r="N335" s="98" t="n">
        <f aca="false">(Yield_Originals!$G335*Yield_Originals!N$1)/Yield_Originals!$K335</f>
        <v>0.13515</v>
      </c>
      <c r="O335" s="98" t="n">
        <f aca="false">(Yield_Originals!$G335*Yield_Originals!O$1)/Yield_Originals!$K335</f>
        <v>0.139125</v>
      </c>
      <c r="P335" s="99" t="n">
        <f aca="false">(Yield_Originals!$H335*Yield_Originals!P$1)/Yield_Originals!$K335</f>
        <v>0.1431</v>
      </c>
      <c r="Q335" s="99" t="n">
        <f aca="false">(Yield_Originals!$H335*Yield_Originals!Q$1)/Yield_Originals!$K335</f>
        <v>0.147075</v>
      </c>
      <c r="R335" s="99" t="n">
        <f aca="false">(Yield_Originals!$H335*Yield_Originals!R$1)/Yield_Originals!$K335</f>
        <v>0.15105</v>
      </c>
      <c r="S335" s="99" t="n">
        <f aca="false">(Yield_Originals!$H335*Yield_Originals!S$1)/Yield_Originals!$K335</f>
        <v>0.155025</v>
      </c>
      <c r="T335" s="101"/>
      <c r="U335" s="101"/>
      <c r="V335" s="101"/>
      <c r="W335" s="101"/>
      <c r="X335" s="102"/>
      <c r="Y335" s="102"/>
      <c r="Z335" s="0"/>
      <c r="AA335" s="0"/>
      <c r="AB335" s="0"/>
    </row>
    <row r="336" customFormat="false" ht="15" hidden="false" customHeight="false" outlineLevel="0" collapsed="false">
      <c r="A336" s="64" t="s">
        <v>1463</v>
      </c>
      <c r="B336" s="64" t="n">
        <v>3</v>
      </c>
      <c r="C336" s="0" t="s">
        <v>1287</v>
      </c>
      <c r="D336" s="0" t="s">
        <v>1382</v>
      </c>
      <c r="E336" s="94" t="n">
        <v>2</v>
      </c>
      <c r="F336" s="105" t="n">
        <f aca="false">Yield_Originals!G336</f>
        <v>0.212</v>
      </c>
      <c r="G336" s="96" t="n">
        <v>0.212</v>
      </c>
      <c r="H336" s="96" t="n">
        <v>0.212</v>
      </c>
      <c r="I336" s="96" t="n">
        <f aca="false">+(Yield_Originals!H336+Yield_Originals!J336)/2</f>
        <v>0.231</v>
      </c>
      <c r="J336" s="96" t="n">
        <v>0.25</v>
      </c>
      <c r="K336" s="97" t="n">
        <v>2</v>
      </c>
      <c r="L336" s="98"/>
      <c r="M336" s="98" t="n">
        <f aca="false">(Yield_Originals!$G336*Yield_Originals!M$1)/Yield_Originals!$K336</f>
        <v>0.131175</v>
      </c>
      <c r="N336" s="98" t="n">
        <f aca="false">(Yield_Originals!$G336*Yield_Originals!N$1)/Yield_Originals!$K336</f>
        <v>0.13515</v>
      </c>
      <c r="O336" s="98" t="n">
        <f aca="false">(Yield_Originals!$G336*Yield_Originals!O$1)/Yield_Originals!$K336</f>
        <v>0.139125</v>
      </c>
      <c r="P336" s="99" t="n">
        <f aca="false">(Yield_Originals!$H336*Yield_Originals!P$1)/Yield_Originals!$K336</f>
        <v>0.1431</v>
      </c>
      <c r="Q336" s="99" t="n">
        <f aca="false">(Yield_Originals!$H336*Yield_Originals!Q$1)/Yield_Originals!$K336</f>
        <v>0.147075</v>
      </c>
      <c r="R336" s="99" t="n">
        <f aca="false">(Yield_Originals!$H336*Yield_Originals!R$1)/Yield_Originals!$K336</f>
        <v>0.15105</v>
      </c>
      <c r="S336" s="99" t="n">
        <f aca="false">(Yield_Originals!$H336*Yield_Originals!S$1)/Yield_Originals!$K336</f>
        <v>0.155025</v>
      </c>
      <c r="T336" s="101"/>
      <c r="U336" s="101"/>
      <c r="V336" s="101"/>
      <c r="W336" s="101"/>
      <c r="X336" s="102"/>
      <c r="Y336" s="102"/>
      <c r="Z336" s="0"/>
      <c r="AA336" s="0"/>
      <c r="AB336" s="0"/>
    </row>
    <row r="337" customFormat="false" ht="15" hidden="false" customHeight="false" outlineLevel="0" collapsed="false">
      <c r="A337" s="64" t="s">
        <v>1463</v>
      </c>
      <c r="B337" s="64" t="n">
        <v>3</v>
      </c>
      <c r="C337" s="93" t="s">
        <v>1290</v>
      </c>
      <c r="D337" s="93" t="s">
        <v>1385</v>
      </c>
      <c r="E337" s="94" t="n">
        <v>26</v>
      </c>
      <c r="F337" s="105" t="n">
        <f aca="false">Yield_Originals!G337</f>
        <v>0.212</v>
      </c>
      <c r="G337" s="96" t="n">
        <v>0.212</v>
      </c>
      <c r="H337" s="96" t="n">
        <v>0.212</v>
      </c>
      <c r="I337" s="96" t="n">
        <f aca="false">+(Yield_Originals!H337+Yield_Originals!J337)/2</f>
        <v>0.231</v>
      </c>
      <c r="J337" s="96" t="n">
        <v>0.25</v>
      </c>
      <c r="K337" s="97" t="n">
        <v>2</v>
      </c>
      <c r="L337" s="98"/>
      <c r="M337" s="98" t="n">
        <f aca="false">(Yield_Originals!$G337*Yield_Originals!M$1)/Yield_Originals!$K337</f>
        <v>0.131175</v>
      </c>
      <c r="N337" s="98" t="n">
        <f aca="false">(Yield_Originals!$G337*Yield_Originals!N$1)/Yield_Originals!$K337</f>
        <v>0.13515</v>
      </c>
      <c r="O337" s="98" t="n">
        <f aca="false">(Yield_Originals!$G337*Yield_Originals!O$1)/Yield_Originals!$K337</f>
        <v>0.139125</v>
      </c>
      <c r="P337" s="99" t="n">
        <f aca="false">(Yield_Originals!$H337*Yield_Originals!P$1)/Yield_Originals!$K337</f>
        <v>0.1431</v>
      </c>
      <c r="Q337" s="99" t="n">
        <f aca="false">(Yield_Originals!$H337*Yield_Originals!Q$1)/Yield_Originals!$K337</f>
        <v>0.147075</v>
      </c>
      <c r="R337" s="99" t="n">
        <f aca="false">(Yield_Originals!$H337*Yield_Originals!R$1)/Yield_Originals!$K337</f>
        <v>0.15105</v>
      </c>
      <c r="S337" s="99" t="n">
        <f aca="false">(Yield_Originals!$H337*Yield_Originals!S$1)/Yield_Originals!$K337</f>
        <v>0.155025</v>
      </c>
      <c r="T337" s="101"/>
      <c r="U337" s="101"/>
      <c r="V337" s="101"/>
      <c r="W337" s="101"/>
      <c r="X337" s="102"/>
      <c r="Y337" s="102"/>
      <c r="Z337" s="0"/>
      <c r="AA337" s="0"/>
      <c r="AB337" s="0"/>
    </row>
    <row r="338" customFormat="false" ht="15" hidden="false" customHeight="false" outlineLevel="0" collapsed="false">
      <c r="A338" s="64" t="s">
        <v>1463</v>
      </c>
      <c r="B338" s="64" t="n">
        <v>3</v>
      </c>
      <c r="C338" s="0" t="s">
        <v>1290</v>
      </c>
      <c r="D338" s="0" t="s">
        <v>1385</v>
      </c>
      <c r="E338" s="94" t="n">
        <v>1</v>
      </c>
      <c r="F338" s="105" t="n">
        <f aca="false">Yield_Originals!G338</f>
        <v>0.212</v>
      </c>
      <c r="G338" s="96" t="n">
        <v>0.212</v>
      </c>
      <c r="H338" s="96" t="n">
        <v>0.212</v>
      </c>
      <c r="I338" s="96" t="n">
        <f aca="false">+(Yield_Originals!H338+Yield_Originals!J338)/2</f>
        <v>0.231</v>
      </c>
      <c r="J338" s="96" t="n">
        <v>0.25</v>
      </c>
      <c r="K338" s="97" t="n">
        <v>2</v>
      </c>
      <c r="L338" s="98"/>
      <c r="M338" s="98" t="n">
        <f aca="false">(Yield_Originals!$G338*Yield_Originals!M$1)/Yield_Originals!$K338</f>
        <v>0.131175</v>
      </c>
      <c r="N338" s="98" t="n">
        <f aca="false">(Yield_Originals!$G338*Yield_Originals!N$1)/Yield_Originals!$K338</f>
        <v>0.13515</v>
      </c>
      <c r="O338" s="98" t="n">
        <f aca="false">(Yield_Originals!$G338*Yield_Originals!O$1)/Yield_Originals!$K338</f>
        <v>0.139125</v>
      </c>
      <c r="P338" s="99" t="n">
        <f aca="false">(Yield_Originals!$H338*Yield_Originals!P$1)/Yield_Originals!$K338</f>
        <v>0.1431</v>
      </c>
      <c r="Q338" s="99" t="n">
        <f aca="false">(Yield_Originals!$H338*Yield_Originals!Q$1)/Yield_Originals!$K338</f>
        <v>0.147075</v>
      </c>
      <c r="R338" s="99" t="n">
        <f aca="false">(Yield_Originals!$H338*Yield_Originals!R$1)/Yield_Originals!$K338</f>
        <v>0.15105</v>
      </c>
      <c r="S338" s="99" t="n">
        <f aca="false">(Yield_Originals!$H338*Yield_Originals!S$1)/Yield_Originals!$K338</f>
        <v>0.155025</v>
      </c>
      <c r="T338" s="101"/>
      <c r="U338" s="101"/>
      <c r="V338" s="101"/>
      <c r="W338" s="101"/>
      <c r="X338" s="102"/>
      <c r="Y338" s="102"/>
      <c r="Z338" s="0"/>
      <c r="AA338" s="0"/>
      <c r="AB338" s="0"/>
    </row>
    <row r="339" customFormat="false" ht="15" hidden="false" customHeight="false" outlineLevel="0" collapsed="false">
      <c r="A339" s="64" t="s">
        <v>1463</v>
      </c>
      <c r="B339" s="64" t="n">
        <v>3</v>
      </c>
      <c r="C339" s="0" t="s">
        <v>1290</v>
      </c>
      <c r="D339" s="0" t="s">
        <v>1385</v>
      </c>
      <c r="E339" s="94" t="n">
        <v>2</v>
      </c>
      <c r="F339" s="105" t="n">
        <f aca="false">Yield_Originals!G339</f>
        <v>0.212</v>
      </c>
      <c r="G339" s="96" t="n">
        <v>0.212</v>
      </c>
      <c r="H339" s="96" t="n">
        <v>0.212</v>
      </c>
      <c r="I339" s="96" t="n">
        <f aca="false">+(Yield_Originals!H339+Yield_Originals!J339)/2</f>
        <v>0.231</v>
      </c>
      <c r="J339" s="96" t="n">
        <v>0.25</v>
      </c>
      <c r="K339" s="97" t="n">
        <v>2</v>
      </c>
      <c r="L339" s="98"/>
      <c r="M339" s="98" t="n">
        <f aca="false">(Yield_Originals!$G339*Yield_Originals!M$1)/Yield_Originals!$K339</f>
        <v>0.131175</v>
      </c>
      <c r="N339" s="98" t="n">
        <f aca="false">(Yield_Originals!$G339*Yield_Originals!N$1)/Yield_Originals!$K339</f>
        <v>0.13515</v>
      </c>
      <c r="O339" s="98" t="n">
        <f aca="false">(Yield_Originals!$G339*Yield_Originals!O$1)/Yield_Originals!$K339</f>
        <v>0.139125</v>
      </c>
      <c r="P339" s="99" t="n">
        <f aca="false">(Yield_Originals!$H339*Yield_Originals!P$1)/Yield_Originals!$K339</f>
        <v>0.1431</v>
      </c>
      <c r="Q339" s="99" t="n">
        <f aca="false">(Yield_Originals!$H339*Yield_Originals!Q$1)/Yield_Originals!$K339</f>
        <v>0.147075</v>
      </c>
      <c r="R339" s="99" t="n">
        <f aca="false">(Yield_Originals!$H339*Yield_Originals!R$1)/Yield_Originals!$K339</f>
        <v>0.15105</v>
      </c>
      <c r="S339" s="99" t="n">
        <f aca="false">(Yield_Originals!$H339*Yield_Originals!S$1)/Yield_Originals!$K339</f>
        <v>0.155025</v>
      </c>
      <c r="T339" s="101"/>
      <c r="U339" s="101"/>
      <c r="V339" s="101"/>
      <c r="W339" s="101"/>
      <c r="X339" s="102"/>
      <c r="Y339" s="102"/>
      <c r="Z339" s="0"/>
      <c r="AA339" s="0"/>
      <c r="AB339" s="0"/>
    </row>
    <row r="340" customFormat="false" ht="15" hidden="false" customHeight="false" outlineLevel="0" collapsed="false">
      <c r="A340" s="64" t="s">
        <v>1463</v>
      </c>
      <c r="B340" s="64" t="n">
        <v>3</v>
      </c>
      <c r="C340" s="93" t="s">
        <v>275</v>
      </c>
      <c r="D340" s="93" t="s">
        <v>1368</v>
      </c>
      <c r="E340" s="94" t="n">
        <v>26</v>
      </c>
      <c r="F340" s="105" t="n">
        <f aca="false">Yield_Originals!G340</f>
        <v>0.212</v>
      </c>
      <c r="G340" s="96" t="n">
        <v>0.212</v>
      </c>
      <c r="H340" s="96" t="n">
        <v>0.212</v>
      </c>
      <c r="I340" s="96" t="n">
        <f aca="false">+(Yield_Originals!H340+Yield_Originals!J340)/2</f>
        <v>0.231</v>
      </c>
      <c r="J340" s="96" t="n">
        <v>0.25</v>
      </c>
      <c r="K340" s="97" t="n">
        <v>2</v>
      </c>
      <c r="L340" s="98"/>
      <c r="M340" s="98"/>
      <c r="N340" s="98"/>
      <c r="O340" s="98"/>
      <c r="P340" s="99"/>
      <c r="Q340" s="99"/>
      <c r="R340" s="99" t="n">
        <f aca="false">(Yield_Originals!$H340*Yield_Originals!R$1)/Yield_Originals!$K340</f>
        <v>0.15105</v>
      </c>
      <c r="S340" s="99" t="n">
        <f aca="false">(Yield_Originals!$H340*Yield_Originals!S$1)/Yield_Originals!$K340</f>
        <v>0.155025</v>
      </c>
      <c r="T340" s="101" t="n">
        <f aca="false">(Yield_Originals!$I340*Yield_Originals!T$1)/Yield_Originals!$K340</f>
        <v>0.17325</v>
      </c>
      <c r="U340" s="101" t="n">
        <f aca="false">(Yield_Originals!$I340*Yield_Originals!U$1)/Yield_Originals!$K340</f>
        <v>0.17758125</v>
      </c>
      <c r="V340" s="101" t="n">
        <f aca="false">(Yield_Originals!$I340*Yield_Originals!V$1)/Yield_Originals!$K340</f>
        <v>0.1819125</v>
      </c>
      <c r="W340" s="101" t="n">
        <f aca="false">(Yield_Originals!$I340*Yield_Originals!W$1)/Yield_Originals!$K340</f>
        <v>0.18624375</v>
      </c>
      <c r="X340" s="102" t="n">
        <f aca="false">(Yield_Originals!$I340*Yield_Originals!X$1)/Yield_Originals!$K340</f>
        <v>0.190575</v>
      </c>
      <c r="Y340" s="102" t="n">
        <f aca="false">(Yield_Originals!$I340*Yield_Originals!Y$1)/Yield_Originals!$K340</f>
        <v>0.19490625</v>
      </c>
      <c r="Z340" s="0"/>
      <c r="AA340" s="0"/>
      <c r="AB340" s="0"/>
    </row>
    <row r="341" customFormat="false" ht="15" hidden="false" customHeight="false" outlineLevel="0" collapsed="false">
      <c r="A341" s="64" t="s">
        <v>1463</v>
      </c>
      <c r="B341" s="64" t="n">
        <v>3</v>
      </c>
      <c r="C341" s="93" t="s">
        <v>276</v>
      </c>
      <c r="D341" s="93" t="s">
        <v>1370</v>
      </c>
      <c r="E341" s="94" t="n">
        <v>26</v>
      </c>
      <c r="F341" s="105" t="n">
        <f aca="false">Yield_Originals!G341</f>
        <v>0.212</v>
      </c>
      <c r="G341" s="96" t="n">
        <v>0.212</v>
      </c>
      <c r="H341" s="96" t="n">
        <v>0.212</v>
      </c>
      <c r="I341" s="96" t="n">
        <f aca="false">+(Yield_Originals!H341+Yield_Originals!J341)/2</f>
        <v>0.231</v>
      </c>
      <c r="J341" s="96" t="n">
        <v>0.25</v>
      </c>
      <c r="K341" s="97" t="n">
        <v>2</v>
      </c>
      <c r="L341" s="98"/>
      <c r="M341" s="98"/>
      <c r="N341" s="98"/>
      <c r="O341" s="98"/>
      <c r="P341" s="99"/>
      <c r="Q341" s="99"/>
      <c r="R341" s="99"/>
      <c r="S341" s="99"/>
      <c r="T341" s="101" t="n">
        <f aca="false">(Yield_Originals!$I341*Yield_Originals!T$1)/Yield_Originals!$K341</f>
        <v>0.17325</v>
      </c>
      <c r="U341" s="101" t="n">
        <f aca="false">(Yield_Originals!$I341*Yield_Originals!U$1)/Yield_Originals!$K341</f>
        <v>0.17758125</v>
      </c>
      <c r="V341" s="101" t="n">
        <f aca="false">(Yield_Originals!$I341*Yield_Originals!V$1)/Yield_Originals!$K341</f>
        <v>0.1819125</v>
      </c>
      <c r="W341" s="101" t="n">
        <f aca="false">(Yield_Originals!$I341*Yield_Originals!W$1)/Yield_Originals!$K341</f>
        <v>0.18624375</v>
      </c>
      <c r="X341" s="102" t="n">
        <f aca="false">(Yield_Originals!$I341*Yield_Originals!X$1)/Yield_Originals!$K341</f>
        <v>0.190575</v>
      </c>
      <c r="Y341" s="102" t="n">
        <f aca="false">(Yield_Originals!$I341*Yield_Originals!Y$1)/Yield_Originals!$K341</f>
        <v>0.19490625</v>
      </c>
      <c r="Z341" s="0"/>
      <c r="AA341" s="0"/>
      <c r="AB341" s="0"/>
    </row>
    <row r="342" customFormat="false" ht="15" hidden="false" customHeight="false" outlineLevel="0" collapsed="false">
      <c r="A342" s="64" t="s">
        <v>1463</v>
      </c>
      <c r="B342" s="64" t="n">
        <v>3</v>
      </c>
      <c r="C342" s="93" t="s">
        <v>151</v>
      </c>
      <c r="D342" s="93" t="s">
        <v>1372</v>
      </c>
      <c r="E342" s="94" t="n">
        <v>26</v>
      </c>
      <c r="F342" s="105" t="n">
        <f aca="false">Yield_Originals!G342</f>
        <v>0.212</v>
      </c>
      <c r="G342" s="96" t="n">
        <v>0.212</v>
      </c>
      <c r="H342" s="96" t="n">
        <v>0.212</v>
      </c>
      <c r="I342" s="96" t="n">
        <f aca="false">+(Yield_Originals!H342+Yield_Originals!J342)/2</f>
        <v>0.231</v>
      </c>
      <c r="J342" s="96" t="n">
        <v>0.25</v>
      </c>
      <c r="K342" s="97" t="n">
        <v>2</v>
      </c>
      <c r="L342" s="98"/>
      <c r="M342" s="98"/>
      <c r="N342" s="98"/>
      <c r="O342" s="98"/>
      <c r="P342" s="99"/>
      <c r="Q342" s="99"/>
      <c r="R342" s="99"/>
      <c r="S342" s="99"/>
      <c r="T342" s="101" t="n">
        <f aca="false">(Yield_Originals!$I342*Yield_Originals!T$1)/Yield_Originals!$K342</f>
        <v>0.17325</v>
      </c>
      <c r="U342" s="101" t="n">
        <f aca="false">(Yield_Originals!$I342*Yield_Originals!U$1)/Yield_Originals!$K342</f>
        <v>0.17758125</v>
      </c>
      <c r="V342" s="101" t="n">
        <f aca="false">(Yield_Originals!$I342*Yield_Originals!V$1)/Yield_Originals!$K342</f>
        <v>0.1819125</v>
      </c>
      <c r="W342" s="101" t="n">
        <f aca="false">(Yield_Originals!$I342*Yield_Originals!W$1)/Yield_Originals!$K342</f>
        <v>0.18624375</v>
      </c>
      <c r="X342" s="102" t="n">
        <f aca="false">(Yield_Originals!$I342*Yield_Originals!X$1)/Yield_Originals!$K342</f>
        <v>0.190575</v>
      </c>
      <c r="Y342" s="102" t="n">
        <f aca="false">(Yield_Originals!$I342*Yield_Originals!Y$1)/Yield_Originals!$K342</f>
        <v>0.19490625</v>
      </c>
      <c r="Z342" s="0"/>
      <c r="AA342" s="0"/>
      <c r="AB342" s="0"/>
    </row>
    <row r="343" customFormat="false" ht="15" hidden="false" customHeight="false" outlineLevel="0" collapsed="false">
      <c r="A343" s="64" t="s">
        <v>1463</v>
      </c>
      <c r="B343" s="64" t="n">
        <v>3</v>
      </c>
      <c r="C343" s="93" t="s">
        <v>277</v>
      </c>
      <c r="D343" s="93" t="s">
        <v>1372</v>
      </c>
      <c r="E343" s="94" t="n">
        <v>26</v>
      </c>
      <c r="F343" s="105" t="n">
        <f aca="false">Yield_Originals!G343</f>
        <v>0.212</v>
      </c>
      <c r="G343" s="96" t="n">
        <v>0.212</v>
      </c>
      <c r="H343" s="96" t="n">
        <v>0.212</v>
      </c>
      <c r="I343" s="96" t="n">
        <f aca="false">+(Yield_Originals!H343+Yield_Originals!J343)/2</f>
        <v>0.231</v>
      </c>
      <c r="J343" s="96" t="n">
        <v>0.25</v>
      </c>
      <c r="K343" s="97" t="n">
        <v>2</v>
      </c>
      <c r="L343" s="98"/>
      <c r="M343" s="98"/>
      <c r="N343" s="98"/>
      <c r="O343" s="98"/>
      <c r="P343" s="99"/>
      <c r="Q343" s="99"/>
      <c r="R343" s="99"/>
      <c r="S343" s="99"/>
      <c r="T343" s="101" t="n">
        <f aca="false">(Yield_Originals!$I343*Yield_Originals!T$1)/Yield_Originals!$K343</f>
        <v>0.17325</v>
      </c>
      <c r="U343" s="101" t="n">
        <f aca="false">(Yield_Originals!$I343*Yield_Originals!U$1)/Yield_Originals!$K343</f>
        <v>0.17758125</v>
      </c>
      <c r="V343" s="101" t="n">
        <f aca="false">(Yield_Originals!$I343*Yield_Originals!V$1)/Yield_Originals!$K343</f>
        <v>0.1819125</v>
      </c>
      <c r="W343" s="101" t="n">
        <f aca="false">(Yield_Originals!$I343*Yield_Originals!W$1)/Yield_Originals!$K343</f>
        <v>0.18624375</v>
      </c>
      <c r="X343" s="102" t="n">
        <f aca="false">(Yield_Originals!$I343*Yield_Originals!X$1)/Yield_Originals!$K343</f>
        <v>0.190575</v>
      </c>
      <c r="Y343" s="102" t="n">
        <f aca="false">(Yield_Originals!$I343*Yield_Originals!Y$1)/Yield_Originals!$K343</f>
        <v>0.19490625</v>
      </c>
      <c r="Z343" s="0"/>
      <c r="AA343" s="0"/>
      <c r="AB343" s="0"/>
    </row>
    <row r="344" customFormat="false" ht="15" hidden="false" customHeight="false" outlineLevel="0" collapsed="false">
      <c r="A344" s="64" t="s">
        <v>1463</v>
      </c>
      <c r="B344" s="64" t="n">
        <v>3</v>
      </c>
      <c r="C344" s="93" t="s">
        <v>1302</v>
      </c>
      <c r="D344" s="93" t="s">
        <v>1376</v>
      </c>
      <c r="E344" s="94" t="n">
        <v>26</v>
      </c>
      <c r="F344" s="105" t="n">
        <f aca="false">Yield_Originals!G344</f>
        <v>0.212</v>
      </c>
      <c r="G344" s="96" t="n">
        <v>0.212</v>
      </c>
      <c r="H344" s="96" t="n">
        <v>0.212</v>
      </c>
      <c r="I344" s="96" t="n">
        <f aca="false">+(Yield_Originals!H344+Yield_Originals!J344)/2</f>
        <v>0.231</v>
      </c>
      <c r="J344" s="96" t="n">
        <v>0.25</v>
      </c>
      <c r="K344" s="97" t="n">
        <v>2</v>
      </c>
      <c r="L344" s="98"/>
      <c r="M344" s="98"/>
      <c r="N344" s="98"/>
      <c r="O344" s="98"/>
      <c r="P344" s="99"/>
      <c r="Q344" s="99"/>
      <c r="R344" s="99"/>
      <c r="S344" s="99"/>
      <c r="T344" s="101" t="n">
        <f aca="false">(Yield_Originals!$I344*Yield_Originals!T$1)/Yield_Originals!$K344</f>
        <v>0.17325</v>
      </c>
      <c r="U344" s="101" t="n">
        <f aca="false">(Yield_Originals!$I344*Yield_Originals!U$1)/Yield_Originals!$K344</f>
        <v>0.17758125</v>
      </c>
      <c r="V344" s="101" t="n">
        <f aca="false">(Yield_Originals!$I344*Yield_Originals!V$1)/Yield_Originals!$K344</f>
        <v>0.1819125</v>
      </c>
      <c r="W344" s="101" t="n">
        <f aca="false">(Yield_Originals!$I344*Yield_Originals!W$1)/Yield_Originals!$K344</f>
        <v>0.18624375</v>
      </c>
      <c r="X344" s="102" t="n">
        <f aca="false">(Yield_Originals!$I344*Yield_Originals!X$1)/Yield_Originals!$K344</f>
        <v>0.190575</v>
      </c>
      <c r="Y344" s="102" t="n">
        <f aca="false">(Yield_Originals!$I344*Yield_Originals!Y$1)/Yield_Originals!$K344</f>
        <v>0.19490625</v>
      </c>
      <c r="Z344" s="0"/>
      <c r="AA344" s="0"/>
      <c r="AB344" s="0"/>
    </row>
    <row r="345" customFormat="false" ht="15" hidden="false" customHeight="false" outlineLevel="0" collapsed="false">
      <c r="A345" s="64" t="s">
        <v>1463</v>
      </c>
      <c r="B345" s="64" t="n">
        <v>3</v>
      </c>
      <c r="C345" s="93" t="s">
        <v>550</v>
      </c>
      <c r="D345" s="93" t="s">
        <v>1378</v>
      </c>
      <c r="E345" s="94" t="n">
        <v>26</v>
      </c>
      <c r="F345" s="105" t="n">
        <f aca="false">Yield_Originals!G345</f>
        <v>0.212</v>
      </c>
      <c r="G345" s="96" t="n">
        <v>0.212</v>
      </c>
      <c r="H345" s="96" t="n">
        <v>0.212</v>
      </c>
      <c r="I345" s="96" t="n">
        <f aca="false">+(Yield_Originals!H345+Yield_Originals!J345)/2</f>
        <v>0.231</v>
      </c>
      <c r="J345" s="96" t="n">
        <v>0.25</v>
      </c>
      <c r="K345" s="97" t="n">
        <v>2</v>
      </c>
      <c r="L345" s="98"/>
      <c r="M345" s="98"/>
      <c r="N345" s="98"/>
      <c r="O345" s="98"/>
      <c r="P345" s="99"/>
      <c r="Q345" s="99"/>
      <c r="R345" s="99"/>
      <c r="S345" s="99"/>
      <c r="T345" s="101" t="n">
        <f aca="false">(Yield_Originals!$I345*Yield_Originals!T$1)/Yield_Originals!$K345</f>
        <v>0.17325</v>
      </c>
      <c r="U345" s="101" t="n">
        <f aca="false">(Yield_Originals!$I345*Yield_Originals!U$1)/Yield_Originals!$K345</f>
        <v>0.17758125</v>
      </c>
      <c r="V345" s="101" t="n">
        <f aca="false">(Yield_Originals!$I345*Yield_Originals!V$1)/Yield_Originals!$K345</f>
        <v>0.1819125</v>
      </c>
      <c r="W345" s="101" t="n">
        <f aca="false">(Yield_Originals!$I345*Yield_Originals!W$1)/Yield_Originals!$K345</f>
        <v>0.18624375</v>
      </c>
      <c r="X345" s="102" t="n">
        <f aca="false">(Yield_Originals!$I345*Yield_Originals!X$1)/Yield_Originals!$K345</f>
        <v>0.190575</v>
      </c>
      <c r="Y345" s="102" t="n">
        <f aca="false">(Yield_Originals!$I345*Yield_Originals!Y$1)/Yield_Originals!$K345</f>
        <v>0.19490625</v>
      </c>
      <c r="Z345" s="0"/>
      <c r="AA345" s="0"/>
      <c r="AB345" s="0"/>
    </row>
    <row r="346" customFormat="false" ht="15" hidden="false" customHeight="false" outlineLevel="0" collapsed="false">
      <c r="A346" s="64" t="s">
        <v>1463</v>
      </c>
      <c r="B346" s="64" t="n">
        <v>3</v>
      </c>
      <c r="C346" s="93" t="s">
        <v>278</v>
      </c>
      <c r="D346" s="93" t="s">
        <v>1378</v>
      </c>
      <c r="E346" s="94" t="n">
        <v>26</v>
      </c>
      <c r="F346" s="105" t="n">
        <f aca="false">Yield_Originals!G346</f>
        <v>0.212</v>
      </c>
      <c r="G346" s="96" t="n">
        <v>0.212</v>
      </c>
      <c r="H346" s="96" t="n">
        <v>0.212</v>
      </c>
      <c r="I346" s="96" t="n">
        <f aca="false">+(Yield_Originals!H346+Yield_Originals!J346)/2</f>
        <v>0.231</v>
      </c>
      <c r="J346" s="96" t="n">
        <v>0.25</v>
      </c>
      <c r="K346" s="97" t="n">
        <v>2</v>
      </c>
      <c r="L346" s="98"/>
      <c r="M346" s="98"/>
      <c r="N346" s="98"/>
      <c r="O346" s="98"/>
      <c r="P346" s="99"/>
      <c r="Q346" s="99"/>
      <c r="R346" s="99"/>
      <c r="S346" s="99"/>
      <c r="T346" s="101" t="n">
        <f aca="false">(Yield_Originals!$I346*Yield_Originals!T$1)/Yield_Originals!$K346</f>
        <v>0.17325</v>
      </c>
      <c r="U346" s="101" t="n">
        <f aca="false">(Yield_Originals!$I346*Yield_Originals!U$1)/Yield_Originals!$K346</f>
        <v>0.17758125</v>
      </c>
      <c r="V346" s="101" t="n">
        <f aca="false">(Yield_Originals!$I346*Yield_Originals!V$1)/Yield_Originals!$K346</f>
        <v>0.1819125</v>
      </c>
      <c r="W346" s="101" t="n">
        <f aca="false">(Yield_Originals!$I346*Yield_Originals!W$1)/Yield_Originals!$K346</f>
        <v>0.18624375</v>
      </c>
      <c r="X346" s="102" t="n">
        <f aca="false">(Yield_Originals!$I346*Yield_Originals!X$1)/Yield_Originals!$K346</f>
        <v>0.190575</v>
      </c>
      <c r="Y346" s="102" t="n">
        <f aca="false">(Yield_Originals!$I346*Yield_Originals!Y$1)/Yield_Originals!$K346</f>
        <v>0.19490625</v>
      </c>
      <c r="Z346" s="0"/>
      <c r="AA346" s="0"/>
      <c r="AB346" s="0"/>
    </row>
    <row r="347" customFormat="false" ht="15" hidden="false" customHeight="false" outlineLevel="0" collapsed="false">
      <c r="A347" s="66" t="s">
        <v>985</v>
      </c>
      <c r="B347" s="66" t="n">
        <v>1</v>
      </c>
      <c r="C347" s="93" t="s">
        <v>217</v>
      </c>
      <c r="D347" s="93" t="s">
        <v>984</v>
      </c>
      <c r="E347" s="94" t="n">
        <v>7</v>
      </c>
      <c r="F347" s="112" t="n">
        <v>0.048</v>
      </c>
      <c r="G347" s="112" t="n">
        <v>0.048</v>
      </c>
      <c r="H347" s="96" t="n">
        <f aca="false">+(Yield_Originals!I347+Yield_Originals!G347)/2</f>
        <v>0.0475</v>
      </c>
      <c r="I347" s="112" t="n">
        <v>0.047</v>
      </c>
      <c r="J347" s="112" t="n">
        <v>0.046</v>
      </c>
      <c r="K347" s="97" t="n">
        <v>1</v>
      </c>
      <c r="L347" s="98" t="n">
        <f aca="false">(Yield_Originals!$G347*Yield_Originals!L$1)/Yield_Originals!$K347</f>
        <v>0.0576</v>
      </c>
      <c r="M347" s="98" t="n">
        <f aca="false">(Yield_Originals!$G347*Yield_Originals!M$1)/Yield_Originals!$K347</f>
        <v>0.0594</v>
      </c>
      <c r="N347" s="98" t="n">
        <f aca="false">(Yield_Originals!$G347*Yield_Originals!N$1)/Yield_Originals!$K347</f>
        <v>0.0612</v>
      </c>
      <c r="O347" s="98" t="n">
        <f aca="false">(Yield_Originals!$G347*Yield_Originals!O$1)/Yield_Originals!$K347</f>
        <v>0.063</v>
      </c>
      <c r="P347" s="99" t="n">
        <f aca="false">(Yield_Originals!$H347*Yield_Originals!P$1)/Yield_Originals!$K347</f>
        <v>0.064125</v>
      </c>
      <c r="Q347" s="99" t="n">
        <f aca="false">(Yield_Originals!$H347*Yield_Originals!Q$1)/Yield_Originals!$K347</f>
        <v>0.06590625</v>
      </c>
      <c r="R347" s="99" t="n">
        <f aca="false">(Yield_Originals!$H347*Yield_Originals!R$1)/Yield_Originals!$K347</f>
        <v>0.0676875</v>
      </c>
      <c r="S347" s="99" t="n">
        <f aca="false">(Yield_Originals!$H347*Yield_Originals!S$1)/Yield_Originals!$K347</f>
        <v>0.06946875</v>
      </c>
      <c r="T347" s="0"/>
      <c r="U347" s="0"/>
      <c r="V347" s="0"/>
      <c r="W347" s="0"/>
      <c r="X347" s="0"/>
      <c r="Y347" s="0"/>
      <c r="Z347" s="0"/>
      <c r="AA347" s="0"/>
      <c r="AB347" s="0"/>
    </row>
    <row r="348" customFormat="false" ht="15" hidden="false" customHeight="false" outlineLevel="0" collapsed="false">
      <c r="A348" s="66" t="s">
        <v>985</v>
      </c>
      <c r="B348" s="66" t="n">
        <v>1</v>
      </c>
      <c r="C348" s="93" t="s">
        <v>346</v>
      </c>
      <c r="D348" s="93" t="s">
        <v>988</v>
      </c>
      <c r="E348" s="94" t="n">
        <v>7</v>
      </c>
      <c r="F348" s="112" t="n">
        <v>0.048</v>
      </c>
      <c r="G348" s="112" t="n">
        <v>0.048</v>
      </c>
      <c r="H348" s="96" t="n">
        <f aca="false">+(Yield_Originals!I348+Yield_Originals!G348)/2</f>
        <v>0.0475</v>
      </c>
      <c r="I348" s="112" t="n">
        <v>0.047</v>
      </c>
      <c r="J348" s="112" t="n">
        <v>0.046</v>
      </c>
      <c r="K348" s="97" t="n">
        <v>1</v>
      </c>
      <c r="L348" s="98" t="n">
        <f aca="false">(Yield_Originals!$G348*Yield_Originals!L$1)/Yield_Originals!$K348</f>
        <v>0.0576</v>
      </c>
      <c r="M348" s="98" t="n">
        <f aca="false">(Yield_Originals!$G348*Yield_Originals!M$1)/Yield_Originals!$K348</f>
        <v>0.0594</v>
      </c>
      <c r="N348" s="98" t="n">
        <f aca="false">(Yield_Originals!$G348*Yield_Originals!N$1)/Yield_Originals!$K348</f>
        <v>0.0612</v>
      </c>
      <c r="O348" s="98" t="n">
        <f aca="false">(Yield_Originals!$G348*Yield_Originals!O$1)/Yield_Originals!$K348</f>
        <v>0.063</v>
      </c>
      <c r="P348" s="99" t="n">
        <f aca="false">(Yield_Originals!$H348*Yield_Originals!P$1)/Yield_Originals!$K348</f>
        <v>0.064125</v>
      </c>
      <c r="Q348" s="99" t="n">
        <f aca="false">(Yield_Originals!$H348*Yield_Originals!Q$1)/Yield_Originals!$K348</f>
        <v>0.06590625</v>
      </c>
      <c r="R348" s="99" t="n">
        <f aca="false">(Yield_Originals!$H348*Yield_Originals!R$1)/Yield_Originals!$K348</f>
        <v>0.0676875</v>
      </c>
      <c r="S348" s="99" t="n">
        <f aca="false">(Yield_Originals!$H348*Yield_Originals!S$1)/Yield_Originals!$K348</f>
        <v>0.06946875</v>
      </c>
      <c r="T348" s="0"/>
      <c r="U348" s="0"/>
      <c r="V348" s="0"/>
      <c r="W348" s="0"/>
      <c r="X348" s="0"/>
      <c r="Y348" s="0"/>
      <c r="Z348" s="0"/>
      <c r="AA348" s="0"/>
      <c r="AB348" s="0"/>
    </row>
    <row r="349" customFormat="false" ht="15" hidden="false" customHeight="false" outlineLevel="0" collapsed="false">
      <c r="A349" s="66" t="s">
        <v>985</v>
      </c>
      <c r="B349" s="66" t="n">
        <v>1</v>
      </c>
      <c r="C349" s="93" t="s">
        <v>1313</v>
      </c>
      <c r="D349" s="93" t="s">
        <v>990</v>
      </c>
      <c r="E349" s="94" t="n">
        <v>7</v>
      </c>
      <c r="F349" s="112" t="n">
        <v>0.048</v>
      </c>
      <c r="G349" s="112" t="n">
        <v>0.048</v>
      </c>
      <c r="H349" s="96" t="n">
        <f aca="false">+(Yield_Originals!I349+Yield_Originals!G349)/2</f>
        <v>0.0475</v>
      </c>
      <c r="I349" s="112" t="n">
        <v>0.047</v>
      </c>
      <c r="J349" s="112" t="n">
        <v>0.046</v>
      </c>
      <c r="K349" s="97" t="n">
        <v>1</v>
      </c>
      <c r="L349" s="98" t="n">
        <f aca="false">(Yield_Originals!$G349*Yield_Originals!L$1)/Yield_Originals!$K349</f>
        <v>0.0576</v>
      </c>
      <c r="M349" s="98" t="n">
        <f aca="false">(Yield_Originals!$G349*Yield_Originals!M$1)/Yield_Originals!$K349</f>
        <v>0.0594</v>
      </c>
      <c r="N349" s="98" t="n">
        <f aca="false">(Yield_Originals!$G349*Yield_Originals!N$1)/Yield_Originals!$K349</f>
        <v>0.0612</v>
      </c>
      <c r="O349" s="98" t="n">
        <f aca="false">(Yield_Originals!$G349*Yield_Originals!O$1)/Yield_Originals!$K349</f>
        <v>0.063</v>
      </c>
      <c r="P349" s="99" t="n">
        <f aca="false">(Yield_Originals!$H349*Yield_Originals!P$1)/Yield_Originals!$K349</f>
        <v>0.064125</v>
      </c>
      <c r="Q349" s="99" t="n">
        <f aca="false">(Yield_Originals!$H349*Yield_Originals!Q$1)/Yield_Originals!$K349</f>
        <v>0.06590625</v>
      </c>
      <c r="R349" s="99" t="n">
        <f aca="false">(Yield_Originals!$H349*Yield_Originals!R$1)/Yield_Originals!$K349</f>
        <v>0.0676875</v>
      </c>
      <c r="S349" s="99" t="n">
        <f aca="false">(Yield_Originals!$H349*Yield_Originals!S$1)/Yield_Originals!$K349</f>
        <v>0.06946875</v>
      </c>
      <c r="T349" s="0"/>
      <c r="U349" s="0"/>
      <c r="V349" s="0"/>
      <c r="W349" s="0"/>
      <c r="X349" s="0"/>
      <c r="Y349" s="0"/>
      <c r="Z349" s="0"/>
      <c r="AA349" s="0"/>
      <c r="AB349" s="0"/>
    </row>
    <row r="350" customFormat="false" ht="15" hidden="false" customHeight="false" outlineLevel="0" collapsed="false">
      <c r="A350" s="66" t="s">
        <v>952</v>
      </c>
      <c r="B350" s="66" t="n">
        <v>1</v>
      </c>
      <c r="C350" s="93" t="s">
        <v>1316</v>
      </c>
      <c r="D350" s="93" t="s">
        <v>955</v>
      </c>
      <c r="E350" s="94" t="n">
        <v>6</v>
      </c>
      <c r="F350" s="95" t="n">
        <v>0.106687620516358</v>
      </c>
      <c r="G350" s="95" t="n">
        <v>0.106687620516358</v>
      </c>
      <c r="H350" s="96" t="n">
        <f aca="false">+(Yield_Originals!I350+Yield_Originals!G350)/2</f>
        <v>0.103966445594156</v>
      </c>
      <c r="I350" s="95" t="n">
        <v>0.101245270671954</v>
      </c>
      <c r="J350" s="95" t="n">
        <v>0.102259213446914</v>
      </c>
      <c r="K350" s="97" t="n">
        <v>1</v>
      </c>
      <c r="L350" s="98" t="n">
        <f aca="false">(Yield_Originals!$G350*Yield_Originals!L$1)/Yield_Originals!$K350</f>
        <v>0.12802514461963</v>
      </c>
      <c r="M350" s="98" t="n">
        <f aca="false">(Yield_Originals!$G350*Yield_Originals!M$1)/Yield_Originals!$K350</f>
        <v>0.132025930388993</v>
      </c>
      <c r="N350" s="98" t="n">
        <f aca="false">(Yield_Originals!$G350*Yield_Originals!N$1)/Yield_Originals!$K350</f>
        <v>0.136026716158356</v>
      </c>
      <c r="O350" s="98" t="n">
        <f aca="false">(Yield_Originals!$G350*Yield_Originals!O$1)/Yield_Originals!$K350</f>
        <v>0.14002750192772</v>
      </c>
      <c r="P350" s="99" t="n">
        <f aca="false">(Yield_Originals!$H350*Yield_Originals!P$1)/Yield_Originals!$K350</f>
        <v>0.140354701552111</v>
      </c>
      <c r="Q350" s="99" t="n">
        <f aca="false">(Yield_Originals!$H350*Yield_Originals!Q$1)/Yield_Originals!$K350</f>
        <v>0.144253443261892</v>
      </c>
      <c r="R350" s="99" t="n">
        <f aca="false">(Yield_Originals!$H350*Yield_Originals!R$1)/Yield_Originals!$K350</f>
        <v>0.148152184971672</v>
      </c>
      <c r="S350" s="99" t="n">
        <f aca="false">(Yield_Originals!$H350*Yield_Originals!S$1)/Yield_Originals!$K350</f>
        <v>0.152050926681453</v>
      </c>
      <c r="T350" s="101" t="n">
        <f aca="false">(Yield_Originals!$I350*Yield_Originals!T$1)/Yield_Originals!$K350</f>
        <v>0.151867906007931</v>
      </c>
      <c r="U350" s="101" t="n">
        <f aca="false">(Yield_Originals!$I350*Yield_Originals!U$1)/Yield_Originals!$K350</f>
        <v>0.155664603658129</v>
      </c>
      <c r="V350" s="101" t="n">
        <f aca="false">(Yield_Originals!$I350*Yield_Originals!V$1)/Yield_Originals!$K350</f>
        <v>0.159461301308328</v>
      </c>
      <c r="W350" s="101" t="n">
        <f aca="false">(Yield_Originals!$I350*Yield_Originals!W$1)/Yield_Originals!$K350</f>
        <v>0.163257998958526</v>
      </c>
      <c r="X350" s="102" t="n">
        <f aca="false">(Yield_Originals!$J350*Yield_Originals!X$1)/Yield_Originals!$K350</f>
        <v>0.168727702187408</v>
      </c>
      <c r="Y350" s="102" t="n">
        <f aca="false">(Yield_Originals!$J350*Yield_Originals!Y$1)/Yield_Originals!$K350</f>
        <v>0.172562422691667</v>
      </c>
      <c r="Z350" s="102" t="n">
        <f aca="false">(Yield_Originals!$J350*Yield_Originals!Z$1)/Yield_Originals!$K350</f>
        <v>0.176397143195927</v>
      </c>
      <c r="AA350" s="102" t="n">
        <f aca="false">(Yield_Originals!$J350*Yield_Originals!AA$1)/Yield_Originals!$K350</f>
        <v>0.180231863700186</v>
      </c>
      <c r="AB350" s="102"/>
    </row>
    <row r="351" customFormat="false" ht="15" hidden="false" customHeight="false" outlineLevel="0" collapsed="false">
      <c r="A351" s="66" t="s">
        <v>952</v>
      </c>
      <c r="B351" s="66" t="n">
        <v>1</v>
      </c>
      <c r="C351" s="93" t="s">
        <v>1318</v>
      </c>
      <c r="D351" s="93" t="s">
        <v>981</v>
      </c>
      <c r="E351" s="94" t="n">
        <v>6</v>
      </c>
      <c r="F351" s="95" t="n">
        <v>0.106687620516358</v>
      </c>
      <c r="G351" s="95" t="n">
        <v>0.106687620516358</v>
      </c>
      <c r="H351" s="96" t="n">
        <f aca="false">+(Yield_Originals!I351+Yield_Originals!G351)/2</f>
        <v>0.103966445594156</v>
      </c>
      <c r="I351" s="95" t="n">
        <v>0.101245270671954</v>
      </c>
      <c r="J351" s="95" t="n">
        <v>0.102259213446914</v>
      </c>
      <c r="K351" s="97" t="n">
        <v>1</v>
      </c>
      <c r="L351" s="98" t="n">
        <f aca="false">(Yield_Originals!$G351*Yield_Originals!L$1)/Yield_Originals!$K351</f>
        <v>0.12802514461963</v>
      </c>
      <c r="M351" s="98" t="n">
        <f aca="false">(Yield_Originals!$G351*Yield_Originals!M$1)/Yield_Originals!$K351</f>
        <v>0.132025930388993</v>
      </c>
      <c r="N351" s="98" t="n">
        <f aca="false">(Yield_Originals!$G351*Yield_Originals!N$1)/Yield_Originals!$K351</f>
        <v>0.136026716158356</v>
      </c>
      <c r="O351" s="98" t="n">
        <f aca="false">(Yield_Originals!$G351*Yield_Originals!O$1)/Yield_Originals!$K351</f>
        <v>0.14002750192772</v>
      </c>
      <c r="P351" s="99" t="n">
        <f aca="false">(Yield_Originals!$H351*Yield_Originals!P$1)/Yield_Originals!$K351</f>
        <v>0.140354701552111</v>
      </c>
      <c r="Q351" s="99" t="n">
        <f aca="false">(Yield_Originals!$H351*Yield_Originals!Q$1)/Yield_Originals!$K351</f>
        <v>0.144253443261892</v>
      </c>
      <c r="R351" s="99" t="n">
        <f aca="false">(Yield_Originals!$H351*Yield_Originals!R$1)/Yield_Originals!$K351</f>
        <v>0.148152184971672</v>
      </c>
      <c r="S351" s="99" t="n">
        <f aca="false">(Yield_Originals!$H351*Yield_Originals!S$1)/Yield_Originals!$K351</f>
        <v>0.152050926681453</v>
      </c>
      <c r="T351" s="101" t="n">
        <f aca="false">(Yield_Originals!$I351*Yield_Originals!T$1)/Yield_Originals!$K351</f>
        <v>0.151867906007931</v>
      </c>
      <c r="U351" s="101" t="n">
        <f aca="false">(Yield_Originals!$I351*Yield_Originals!U$1)/Yield_Originals!$K351</f>
        <v>0.155664603658129</v>
      </c>
      <c r="V351" s="101" t="n">
        <f aca="false">(Yield_Originals!$I351*Yield_Originals!V$1)/Yield_Originals!$K351</f>
        <v>0.159461301308328</v>
      </c>
      <c r="W351" s="101" t="n">
        <f aca="false">(Yield_Originals!$I351*Yield_Originals!W$1)/Yield_Originals!$K351</f>
        <v>0.163257998958526</v>
      </c>
      <c r="X351" s="102" t="n">
        <f aca="false">(Yield_Originals!$J351*Yield_Originals!X$1)/Yield_Originals!$K351</f>
        <v>0.168727702187408</v>
      </c>
      <c r="Y351" s="102" t="n">
        <f aca="false">(Yield_Originals!$J351*Yield_Originals!Y$1)/Yield_Originals!$K351</f>
        <v>0.172562422691667</v>
      </c>
      <c r="Z351" s="102" t="n">
        <f aca="false">(Yield_Originals!$J351*Yield_Originals!Z$1)/Yield_Originals!$K351</f>
        <v>0.176397143195927</v>
      </c>
      <c r="AA351" s="102" t="n">
        <f aca="false">(Yield_Originals!$J351*Yield_Originals!AA$1)/Yield_Originals!$K351</f>
        <v>0.180231863700186</v>
      </c>
      <c r="AB351" s="102" t="n">
        <f aca="false">(Yield_Originals!$J351*Yield_Originals!AB$1)/Yield_Originals!$K351</f>
        <v>0.184066584204445</v>
      </c>
    </row>
    <row r="352" customFormat="false" ht="15" hidden="false" customHeight="false" outlineLevel="0" collapsed="false">
      <c r="A352" s="66" t="s">
        <v>952</v>
      </c>
      <c r="B352" s="66" t="n">
        <v>1</v>
      </c>
      <c r="C352" s="93" t="s">
        <v>326</v>
      </c>
      <c r="D352" s="93" t="s">
        <v>978</v>
      </c>
      <c r="E352" s="94" t="n">
        <v>6</v>
      </c>
      <c r="F352" s="95" t="n">
        <v>0.106687620516358</v>
      </c>
      <c r="G352" s="95" t="n">
        <v>0.106687620516358</v>
      </c>
      <c r="H352" s="96" t="n">
        <f aca="false">+(Yield_Originals!I352+Yield_Originals!G352)/2</f>
        <v>0.103966445594156</v>
      </c>
      <c r="I352" s="95" t="n">
        <v>0.101245270671954</v>
      </c>
      <c r="J352" s="95" t="n">
        <v>0.102259213446914</v>
      </c>
      <c r="K352" s="97" t="n">
        <v>1</v>
      </c>
      <c r="L352" s="98" t="n">
        <f aca="false">(Yield_Originals!$G352*Yield_Originals!L$1)/Yield_Originals!$K352</f>
        <v>0.12802514461963</v>
      </c>
      <c r="M352" s="98" t="n">
        <f aca="false">(Yield_Originals!$G352*Yield_Originals!M$1)/Yield_Originals!$K352</f>
        <v>0.132025930388993</v>
      </c>
      <c r="N352" s="98" t="n">
        <f aca="false">(Yield_Originals!$G352*Yield_Originals!N$1)/Yield_Originals!$K352</f>
        <v>0.136026716158356</v>
      </c>
      <c r="O352" s="98" t="n">
        <f aca="false">(Yield_Originals!$G352*Yield_Originals!O$1)/Yield_Originals!$K352</f>
        <v>0.14002750192772</v>
      </c>
      <c r="P352" s="99" t="n">
        <f aca="false">(Yield_Originals!$H352*Yield_Originals!P$1)/Yield_Originals!$K352</f>
        <v>0.140354701552111</v>
      </c>
      <c r="Q352" s="99" t="n">
        <f aca="false">(Yield_Originals!$H352*Yield_Originals!Q$1)/Yield_Originals!$K352</f>
        <v>0.144253443261892</v>
      </c>
      <c r="R352" s="99" t="n">
        <f aca="false">(Yield_Originals!$H352*Yield_Originals!R$1)/Yield_Originals!$K352</f>
        <v>0.148152184971672</v>
      </c>
      <c r="S352" s="99" t="n">
        <f aca="false">(Yield_Originals!$H352*Yield_Originals!S$1)/Yield_Originals!$K352</f>
        <v>0.152050926681453</v>
      </c>
      <c r="T352" s="101" t="n">
        <f aca="false">(Yield_Originals!$I352*Yield_Originals!T$1)/Yield_Originals!$K352</f>
        <v>0.151867906007931</v>
      </c>
      <c r="U352" s="101" t="n">
        <f aca="false">(Yield_Originals!$I352*Yield_Originals!U$1)/Yield_Originals!$K352</f>
        <v>0.155664603658129</v>
      </c>
      <c r="V352" s="101" t="n">
        <f aca="false">(Yield_Originals!$I352*Yield_Originals!V$1)/Yield_Originals!$K352</f>
        <v>0.159461301308328</v>
      </c>
      <c r="W352" s="101" t="n">
        <f aca="false">(Yield_Originals!$I352*Yield_Originals!W$1)/Yield_Originals!$K352</f>
        <v>0.163257998958526</v>
      </c>
      <c r="X352" s="102" t="n">
        <f aca="false">(Yield_Originals!$J352*Yield_Originals!X$1)/Yield_Originals!$K352</f>
        <v>0.168727702187408</v>
      </c>
      <c r="Y352" s="102" t="n">
        <f aca="false">(Yield_Originals!$J352*Yield_Originals!Y$1)/Yield_Originals!$K352</f>
        <v>0.172562422691667</v>
      </c>
      <c r="Z352" s="102" t="n">
        <f aca="false">(Yield_Originals!$J352*Yield_Originals!Z$1)/Yield_Originals!$K352</f>
        <v>0.176397143195927</v>
      </c>
      <c r="AA352" s="102" t="n">
        <f aca="false">(Yield_Originals!$J352*Yield_Originals!AA$1)/Yield_Originals!$K352</f>
        <v>0.180231863700186</v>
      </c>
      <c r="AB352" s="102" t="n">
        <f aca="false">(Yield_Originals!$J352*Yield_Originals!AB$1)/Yield_Originals!$K352</f>
        <v>0.184066584204445</v>
      </c>
    </row>
    <row r="353" customFormat="false" ht="15" hidden="false" customHeight="false" outlineLevel="0" collapsed="false">
      <c r="A353" s="66" t="s">
        <v>952</v>
      </c>
      <c r="B353" s="66" t="n">
        <v>1</v>
      </c>
      <c r="C353" s="93" t="s">
        <v>197</v>
      </c>
      <c r="D353" s="93" t="s">
        <v>958</v>
      </c>
      <c r="E353" s="94" t="n">
        <v>6</v>
      </c>
      <c r="F353" s="95" t="n">
        <v>0.106687620516358</v>
      </c>
      <c r="G353" s="95" t="n">
        <v>0.106687620516358</v>
      </c>
      <c r="H353" s="96" t="n">
        <f aca="false">+(Yield_Originals!I353+Yield_Originals!G353)/2</f>
        <v>0.103966445594156</v>
      </c>
      <c r="I353" s="95" t="n">
        <v>0.101245270671954</v>
      </c>
      <c r="J353" s="95" t="n">
        <v>0.102259213446914</v>
      </c>
      <c r="K353" s="97" t="n">
        <v>1</v>
      </c>
      <c r="L353" s="98"/>
      <c r="M353" s="98"/>
      <c r="N353" s="98"/>
      <c r="O353" s="98"/>
      <c r="P353" s="99"/>
      <c r="Q353" s="99" t="n">
        <f aca="false">(Yield_Originals!$H353*Yield_Originals!Q$1)/Yield_Originals!$K353</f>
        <v>0.144253443261892</v>
      </c>
      <c r="R353" s="99" t="n">
        <f aca="false">(Yield_Originals!$H353*Yield_Originals!R$1)/Yield_Originals!$K353</f>
        <v>0.148152184971672</v>
      </c>
      <c r="S353" s="99" t="n">
        <f aca="false">(Yield_Originals!$H353*Yield_Originals!S$1)/Yield_Originals!$K353</f>
        <v>0.152050926681453</v>
      </c>
      <c r="T353" s="101" t="n">
        <f aca="false">(Yield_Originals!$I353*Yield_Originals!T$1)/Yield_Originals!$K353</f>
        <v>0.151867906007931</v>
      </c>
      <c r="U353" s="101" t="n">
        <f aca="false">(Yield_Originals!$I353*Yield_Originals!U$1)/Yield_Originals!$K353</f>
        <v>0.155664603658129</v>
      </c>
      <c r="V353" s="101" t="n">
        <f aca="false">(Yield_Originals!$I353*Yield_Originals!V$1)/Yield_Originals!$K353</f>
        <v>0.159461301308328</v>
      </c>
      <c r="W353" s="101" t="n">
        <f aca="false">(Yield_Originals!$I353*Yield_Originals!W$1)/Yield_Originals!$K353</f>
        <v>0.163257998958526</v>
      </c>
      <c r="X353" s="102" t="n">
        <f aca="false">(Yield_Originals!$J353*Yield_Originals!X$1)/Yield_Originals!$K353</f>
        <v>0.168727702187408</v>
      </c>
      <c r="Y353" s="102" t="n">
        <f aca="false">(Yield_Originals!$J353*Yield_Originals!Y$1)/Yield_Originals!$K353</f>
        <v>0.172562422691667</v>
      </c>
      <c r="Z353" s="102" t="n">
        <f aca="false">(Yield_Originals!$J353*Yield_Originals!Z$1)/Yield_Originals!$K353</f>
        <v>0.176397143195927</v>
      </c>
      <c r="AA353" s="102" t="n">
        <f aca="false">(Yield_Originals!$J353*Yield_Originals!AA$1)/Yield_Originals!$K353</f>
        <v>0.180231863700186</v>
      </c>
      <c r="AB353" s="102"/>
    </row>
    <row r="354" customFormat="false" ht="15" hidden="false" customHeight="false" outlineLevel="0" collapsed="false">
      <c r="A354" s="66" t="s">
        <v>952</v>
      </c>
      <c r="B354" s="66" t="n">
        <v>1</v>
      </c>
      <c r="C354" s="93" t="s">
        <v>327</v>
      </c>
      <c r="D354" s="93" t="s">
        <v>961</v>
      </c>
      <c r="E354" s="94" t="n">
        <v>6</v>
      </c>
      <c r="F354" s="95" t="n">
        <v>0.106687620516358</v>
      </c>
      <c r="G354" s="95" t="n">
        <v>0.106687620516358</v>
      </c>
      <c r="H354" s="96" t="n">
        <f aca="false">+(Yield_Originals!I354+Yield_Originals!G354)/2</f>
        <v>0.103966445594156</v>
      </c>
      <c r="I354" s="95" t="n">
        <v>0.101245270671954</v>
      </c>
      <c r="J354" s="95" t="n">
        <v>0.102259213446914</v>
      </c>
      <c r="K354" s="97" t="n">
        <v>1</v>
      </c>
      <c r="L354" s="98"/>
      <c r="M354" s="98"/>
      <c r="N354" s="98"/>
      <c r="O354" s="98"/>
      <c r="P354" s="99"/>
      <c r="Q354" s="99" t="n">
        <f aca="false">(Yield_Originals!$H354*Yield_Originals!Q$1)/Yield_Originals!$K354</f>
        <v>0.144253443261892</v>
      </c>
      <c r="R354" s="99" t="n">
        <f aca="false">(Yield_Originals!$H354*Yield_Originals!R$1)/Yield_Originals!$K354</f>
        <v>0.148152184971672</v>
      </c>
      <c r="S354" s="99" t="n">
        <f aca="false">(Yield_Originals!$H354*Yield_Originals!S$1)/Yield_Originals!$K354</f>
        <v>0.152050926681453</v>
      </c>
      <c r="T354" s="101" t="n">
        <f aca="false">(Yield_Originals!$I354*Yield_Originals!T$1)/Yield_Originals!$K354</f>
        <v>0.151867906007931</v>
      </c>
      <c r="U354" s="101" t="n">
        <f aca="false">(Yield_Originals!$I354*Yield_Originals!U$1)/Yield_Originals!$K354</f>
        <v>0.155664603658129</v>
      </c>
      <c r="V354" s="101" t="n">
        <f aca="false">(Yield_Originals!$I354*Yield_Originals!V$1)/Yield_Originals!$K354</f>
        <v>0.159461301308328</v>
      </c>
      <c r="W354" s="101" t="n">
        <f aca="false">(Yield_Originals!$I354*Yield_Originals!W$1)/Yield_Originals!$K354</f>
        <v>0.163257998958526</v>
      </c>
      <c r="X354" s="102" t="n">
        <f aca="false">(Yield_Originals!$J354*Yield_Originals!X$1)/Yield_Originals!$K354</f>
        <v>0.168727702187408</v>
      </c>
      <c r="Y354" s="102" t="n">
        <f aca="false">(Yield_Originals!$J354*Yield_Originals!Y$1)/Yield_Originals!$K354</f>
        <v>0.172562422691667</v>
      </c>
      <c r="Z354" s="102" t="n">
        <f aca="false">(Yield_Originals!$J354*Yield_Originals!Z$1)/Yield_Originals!$K354</f>
        <v>0.176397143195927</v>
      </c>
      <c r="AA354" s="102" t="n">
        <f aca="false">(Yield_Originals!$J354*Yield_Originals!AA$1)/Yield_Originals!$K354</f>
        <v>0.180231863700186</v>
      </c>
      <c r="AB354" s="102"/>
    </row>
    <row r="355" customFormat="false" ht="15" hidden="false" customHeight="false" outlineLevel="0" collapsed="false">
      <c r="A355" s="66" t="s">
        <v>952</v>
      </c>
      <c r="B355" s="66" t="n">
        <v>1</v>
      </c>
      <c r="C355" s="93" t="s">
        <v>198</v>
      </c>
      <c r="D355" s="93" t="s">
        <v>963</v>
      </c>
      <c r="E355" s="94" t="n">
        <v>6</v>
      </c>
      <c r="F355" s="95" t="n">
        <v>0.106687620516358</v>
      </c>
      <c r="G355" s="95" t="n">
        <v>0.106687620516358</v>
      </c>
      <c r="H355" s="96" t="n">
        <f aca="false">+(Yield_Originals!I355+Yield_Originals!G355)/2</f>
        <v>0.103966445594156</v>
      </c>
      <c r="I355" s="95" t="n">
        <v>0.101245270671954</v>
      </c>
      <c r="J355" s="95" t="n">
        <v>0.102259213446914</v>
      </c>
      <c r="K355" s="97" t="n">
        <v>1</v>
      </c>
      <c r="L355" s="98"/>
      <c r="M355" s="98"/>
      <c r="N355" s="98"/>
      <c r="O355" s="98"/>
      <c r="P355" s="99"/>
      <c r="Q355" s="99"/>
      <c r="R355" s="99"/>
      <c r="S355" s="99"/>
      <c r="T355" s="101"/>
      <c r="U355" s="101" t="n">
        <f aca="false">(Yield_Originals!$I355*Yield_Originals!U$1)/Yield_Originals!$K355</f>
        <v>0.155664603658129</v>
      </c>
      <c r="V355" s="101" t="n">
        <f aca="false">(Yield_Originals!$I355*Yield_Originals!V$1)/Yield_Originals!$K355</f>
        <v>0.159461301308328</v>
      </c>
      <c r="W355" s="101" t="n">
        <f aca="false">(Yield_Originals!$I355*Yield_Originals!W$1)/Yield_Originals!$K355</f>
        <v>0.163257998958526</v>
      </c>
      <c r="X355" s="102" t="n">
        <f aca="false">(Yield_Originals!$J355*Yield_Originals!X$1)/Yield_Originals!$K355</f>
        <v>0.168727702187408</v>
      </c>
      <c r="Y355" s="102" t="n">
        <f aca="false">(Yield_Originals!$J355*Yield_Originals!Y$1)/Yield_Originals!$K355</f>
        <v>0.172562422691667</v>
      </c>
      <c r="Z355" s="102" t="n">
        <f aca="false">(Yield_Originals!$J355*Yield_Originals!Z$1)/Yield_Originals!$K355</f>
        <v>0.176397143195927</v>
      </c>
      <c r="AA355" s="102" t="n">
        <f aca="false">(Yield_Originals!$J355*Yield_Originals!AA$1)/Yield_Originals!$K355</f>
        <v>0.180231863700186</v>
      </c>
      <c r="AB355" s="102" t="n">
        <f aca="false">(Yield_Originals!$J355*Yield_Originals!AB$1)/Yield_Originals!$K355</f>
        <v>0.184066584204445</v>
      </c>
    </row>
    <row r="356" customFormat="false" ht="15" hidden="false" customHeight="false" outlineLevel="0" collapsed="false">
      <c r="A356" s="66" t="s">
        <v>952</v>
      </c>
      <c r="B356" s="66" t="n">
        <v>1</v>
      </c>
      <c r="C356" s="93" t="s">
        <v>328</v>
      </c>
      <c r="D356" s="93" t="s">
        <v>965</v>
      </c>
      <c r="E356" s="94" t="n">
        <v>6</v>
      </c>
      <c r="F356" s="95" t="n">
        <v>0.106687620516358</v>
      </c>
      <c r="G356" s="95" t="n">
        <v>0.106687620516358</v>
      </c>
      <c r="H356" s="96" t="n">
        <f aca="false">+(Yield_Originals!I356+Yield_Originals!G356)/2</f>
        <v>0.103966445594156</v>
      </c>
      <c r="I356" s="95" t="n">
        <v>0.101245270671954</v>
      </c>
      <c r="J356" s="95" t="n">
        <v>0.102259213446914</v>
      </c>
      <c r="K356" s="97" t="n">
        <v>1</v>
      </c>
      <c r="L356" s="98"/>
      <c r="M356" s="98"/>
      <c r="N356" s="98"/>
      <c r="O356" s="98"/>
      <c r="P356" s="99"/>
      <c r="Q356" s="99"/>
      <c r="R356" s="99"/>
      <c r="S356" s="99"/>
      <c r="T356" s="101"/>
      <c r="U356" s="101" t="n">
        <f aca="false">(Yield_Originals!$I356*Yield_Originals!U$1)/Yield_Originals!$K356</f>
        <v>0.155664603658129</v>
      </c>
      <c r="V356" s="101" t="n">
        <f aca="false">(Yield_Originals!$I356*Yield_Originals!V$1)/Yield_Originals!$K356</f>
        <v>0.159461301308328</v>
      </c>
      <c r="W356" s="101" t="n">
        <f aca="false">(Yield_Originals!$I356*Yield_Originals!W$1)/Yield_Originals!$K356</f>
        <v>0.163257998958526</v>
      </c>
      <c r="X356" s="102" t="n">
        <f aca="false">(Yield_Originals!$J356*Yield_Originals!X$1)/Yield_Originals!$K356</f>
        <v>0.168727702187408</v>
      </c>
      <c r="Y356" s="102" t="n">
        <f aca="false">(Yield_Originals!$J356*Yield_Originals!Y$1)/Yield_Originals!$K356</f>
        <v>0.172562422691667</v>
      </c>
      <c r="Z356" s="102" t="n">
        <f aca="false">(Yield_Originals!$J356*Yield_Originals!Z$1)/Yield_Originals!$K356</f>
        <v>0.176397143195927</v>
      </c>
      <c r="AA356" s="102" t="n">
        <f aca="false">(Yield_Originals!$J356*Yield_Originals!AA$1)/Yield_Originals!$K356</f>
        <v>0.180231863700186</v>
      </c>
      <c r="AB356" s="102" t="n">
        <f aca="false">(Yield_Originals!$J356*Yield_Originals!AB$1)/Yield_Originals!$K356</f>
        <v>0.184066584204445</v>
      </c>
    </row>
    <row r="357" customFormat="false" ht="15" hidden="false" customHeight="false" outlineLevel="0" collapsed="false">
      <c r="A357" s="66" t="s">
        <v>952</v>
      </c>
      <c r="B357" s="66" t="n">
        <v>1</v>
      </c>
      <c r="C357" s="93" t="s">
        <v>1332</v>
      </c>
      <c r="D357" s="93" t="s">
        <v>951</v>
      </c>
      <c r="E357" s="94" t="n">
        <v>6</v>
      </c>
      <c r="F357" s="95" t="n">
        <v>0.106687620516358</v>
      </c>
      <c r="G357" s="95" t="n">
        <v>0.106687620516358</v>
      </c>
      <c r="H357" s="96" t="n">
        <f aca="false">+(Yield_Originals!I357+Yield_Originals!G357)/2</f>
        <v>0.103966445594156</v>
      </c>
      <c r="I357" s="95" t="n">
        <v>0.101245270671954</v>
      </c>
      <c r="J357" s="95" t="n">
        <v>0.102259213446914</v>
      </c>
      <c r="K357" s="97" t="n">
        <v>1</v>
      </c>
      <c r="L357" s="98"/>
      <c r="M357" s="98"/>
      <c r="N357" s="98"/>
      <c r="O357" s="98"/>
      <c r="P357" s="99"/>
      <c r="Q357" s="99"/>
      <c r="R357" s="99"/>
      <c r="S357" s="99"/>
      <c r="T357" s="101"/>
      <c r="U357" s="101"/>
      <c r="V357" s="101"/>
      <c r="W357" s="101"/>
      <c r="X357" s="102" t="n">
        <f aca="false">(Yield_Originals!$J357*Yield_Originals!X$1)/Yield_Originals!$K357</f>
        <v>0.168727702187408</v>
      </c>
      <c r="Y357" s="102" t="n">
        <f aca="false">(Yield_Originals!$J357*Yield_Originals!Y$1)/Yield_Originals!$K357</f>
        <v>0.172562422691667</v>
      </c>
      <c r="Z357" s="102" t="n">
        <f aca="false">(Yield_Originals!$J357*Yield_Originals!Z$1)/Yield_Originals!$K357</f>
        <v>0.176397143195927</v>
      </c>
      <c r="AA357" s="102" t="n">
        <f aca="false">(Yield_Originals!$J357*Yield_Originals!AA$1)/Yield_Originals!$K357</f>
        <v>0.180231863700186</v>
      </c>
      <c r="AB357" s="102" t="n">
        <f aca="false">(Yield_Originals!$J357*Yield_Originals!AB$1)/Yield_Originals!$K357</f>
        <v>0.184066584204445</v>
      </c>
    </row>
    <row r="358" customFormat="false" ht="15" hidden="false" customHeight="false" outlineLevel="0" collapsed="false">
      <c r="A358" s="66" t="s">
        <v>952</v>
      </c>
      <c r="B358" s="66" t="n">
        <v>1</v>
      </c>
      <c r="C358" s="93" t="s">
        <v>1335</v>
      </c>
      <c r="D358" s="93" t="s">
        <v>973</v>
      </c>
      <c r="E358" s="94" t="n">
        <v>6</v>
      </c>
      <c r="F358" s="95" t="n">
        <v>0.106687620516358</v>
      </c>
      <c r="G358" s="95" t="n">
        <v>0.106687620516358</v>
      </c>
      <c r="H358" s="96" t="n">
        <f aca="false">+(Yield_Originals!I358+Yield_Originals!G358)/2</f>
        <v>0.103966445594156</v>
      </c>
      <c r="I358" s="95" t="n">
        <v>0.101245270671954</v>
      </c>
      <c r="J358" s="95" t="n">
        <v>0.102259213446914</v>
      </c>
      <c r="K358" s="97" t="n">
        <v>1</v>
      </c>
      <c r="L358" s="98" t="n">
        <f aca="false">(Yield_Originals!$G358*Yield_Originals!L$1)/Yield_Originals!$K358</f>
        <v>0.12802514461963</v>
      </c>
      <c r="M358" s="98" t="n">
        <f aca="false">(Yield_Originals!$G358*Yield_Originals!M$1)/Yield_Originals!$K358</f>
        <v>0.132025930388993</v>
      </c>
      <c r="N358" s="98" t="n">
        <f aca="false">(Yield_Originals!$G358*Yield_Originals!N$1)/Yield_Originals!$K358</f>
        <v>0.136026716158356</v>
      </c>
      <c r="O358" s="98" t="n">
        <f aca="false">(Yield_Originals!$G358*Yield_Originals!O$1)/Yield_Originals!$K358</f>
        <v>0.14002750192772</v>
      </c>
      <c r="P358" s="99" t="n">
        <f aca="false">(Yield_Originals!$H358*Yield_Originals!P$1)/Yield_Originals!$K358</f>
        <v>0.140354701552111</v>
      </c>
      <c r="Q358" s="99" t="n">
        <f aca="false">(Yield_Originals!$H358*Yield_Originals!Q$1)/Yield_Originals!$K358</f>
        <v>0.144253443261892</v>
      </c>
      <c r="R358" s="99" t="n">
        <f aca="false">(Yield_Originals!$H358*Yield_Originals!R$1)/Yield_Originals!$K358</f>
        <v>0.148152184971672</v>
      </c>
      <c r="S358" s="99" t="n">
        <f aca="false">(Yield_Originals!$H358*Yield_Originals!S$1)/Yield_Originals!$K358</f>
        <v>0.152050926681453</v>
      </c>
      <c r="T358" s="101" t="n">
        <f aca="false">(Yield_Originals!$I358*Yield_Originals!T$1)/Yield_Originals!$K358</f>
        <v>0.151867906007931</v>
      </c>
      <c r="U358" s="101" t="n">
        <f aca="false">(Yield_Originals!$I358*Yield_Originals!U$1)/Yield_Originals!$K358</f>
        <v>0.155664603658129</v>
      </c>
      <c r="V358" s="101" t="n">
        <f aca="false">(Yield_Originals!$I358*Yield_Originals!V$1)/Yield_Originals!$K358</f>
        <v>0.159461301308328</v>
      </c>
      <c r="W358" s="101" t="n">
        <f aca="false">(Yield_Originals!$I358*Yield_Originals!W$1)/Yield_Originals!$K358</f>
        <v>0.163257998958526</v>
      </c>
      <c r="X358" s="102" t="n">
        <f aca="false">(Yield_Originals!$J358*Yield_Originals!X$1)/Yield_Originals!$K358</f>
        <v>0.168727702187408</v>
      </c>
      <c r="Y358" s="102" t="n">
        <f aca="false">(Yield_Originals!$J358*Yield_Originals!Y$1)/Yield_Originals!$K358</f>
        <v>0.172562422691667</v>
      </c>
      <c r="Z358" s="102" t="n">
        <f aca="false">(Yield_Originals!$J358*Yield_Originals!Z$1)/Yield_Originals!$K358</f>
        <v>0.176397143195927</v>
      </c>
      <c r="AA358" s="102" t="n">
        <f aca="false">(Yield_Originals!$J358*Yield_Originals!AA$1)/Yield_Originals!$K358</f>
        <v>0.180231863700186</v>
      </c>
      <c r="AB358" s="102" t="n">
        <f aca="false">(Yield_Originals!$J358*Yield_Originals!AB$1)/Yield_Originals!$K358</f>
        <v>0.184066584204445</v>
      </c>
    </row>
    <row r="359" customFormat="false" ht="15" hidden="false" customHeight="false" outlineLevel="0" collapsed="false">
      <c r="A359" s="66" t="s">
        <v>952</v>
      </c>
      <c r="B359" s="66" t="n">
        <v>1</v>
      </c>
      <c r="C359" s="93" t="s">
        <v>794</v>
      </c>
      <c r="D359" s="93" t="s">
        <v>968</v>
      </c>
      <c r="E359" s="94" t="n">
        <v>6</v>
      </c>
      <c r="F359" s="95" t="n">
        <v>0.106687620516358</v>
      </c>
      <c r="G359" s="95" t="n">
        <v>0.106687620516358</v>
      </c>
      <c r="H359" s="96" t="n">
        <f aca="false">+(Yield_Originals!I359+Yield_Originals!G359)/2</f>
        <v>0.103966445594156</v>
      </c>
      <c r="I359" s="95" t="n">
        <v>0.101245270671954</v>
      </c>
      <c r="J359" s="95" t="n">
        <v>0.102259213446914</v>
      </c>
      <c r="K359" s="97" t="n">
        <v>1</v>
      </c>
      <c r="L359" s="98" t="n">
        <f aca="false">(Yield_Originals!$G359*Yield_Originals!L$1)/Yield_Originals!$K359</f>
        <v>0.12802514461963</v>
      </c>
      <c r="M359" s="98" t="n">
        <f aca="false">(Yield_Originals!$G359*Yield_Originals!M$1)/Yield_Originals!$K359</f>
        <v>0.132025930388993</v>
      </c>
      <c r="N359" s="98" t="n">
        <f aca="false">(Yield_Originals!$G359*Yield_Originals!N$1)/Yield_Originals!$K359</f>
        <v>0.136026716158356</v>
      </c>
      <c r="O359" s="98" t="n">
        <f aca="false">(Yield_Originals!$G359*Yield_Originals!O$1)/Yield_Originals!$K359</f>
        <v>0.14002750192772</v>
      </c>
      <c r="P359" s="99"/>
      <c r="Q359" s="99"/>
      <c r="R359" s="99"/>
      <c r="S359" s="99"/>
      <c r="T359" s="101"/>
      <c r="U359" s="101"/>
      <c r="V359" s="101"/>
      <c r="W359" s="101"/>
      <c r="X359" s="102"/>
      <c r="Y359" s="102"/>
      <c r="Z359" s="102"/>
      <c r="AA359" s="102"/>
      <c r="AB359" s="102"/>
    </row>
    <row r="360" customFormat="false" ht="15" hidden="false" customHeight="false" outlineLevel="0" collapsed="false">
      <c r="A360" s="66" t="s">
        <v>952</v>
      </c>
      <c r="B360" s="66" t="n">
        <v>1</v>
      </c>
      <c r="C360" s="93" t="s">
        <v>345</v>
      </c>
      <c r="D360" s="93" t="s">
        <v>971</v>
      </c>
      <c r="E360" s="94" t="n">
        <v>6</v>
      </c>
      <c r="F360" s="95" t="n">
        <v>0.106687620516358</v>
      </c>
      <c r="G360" s="95" t="n">
        <v>0.106687620516358</v>
      </c>
      <c r="H360" s="96" t="n">
        <f aca="false">+(Yield_Originals!I360+Yield_Originals!G360)/2</f>
        <v>0.103966445594156</v>
      </c>
      <c r="I360" s="95" t="n">
        <v>0.101245270671954</v>
      </c>
      <c r="J360" s="95" t="n">
        <v>0.102259213446914</v>
      </c>
      <c r="K360" s="97" t="n">
        <v>1</v>
      </c>
      <c r="L360" s="98" t="n">
        <f aca="false">(Yield_Originals!$G360*Yield_Originals!L$1)/Yield_Originals!$K360</f>
        <v>0.12802514461963</v>
      </c>
      <c r="M360" s="98" t="n">
        <f aca="false">(Yield_Originals!$G360*Yield_Originals!M$1)/Yield_Originals!$K360</f>
        <v>0.132025930388993</v>
      </c>
      <c r="N360" s="98" t="n">
        <f aca="false">(Yield_Originals!$G360*Yield_Originals!N$1)/Yield_Originals!$K360</f>
        <v>0.136026716158356</v>
      </c>
      <c r="O360" s="98" t="n">
        <f aca="false">(Yield_Originals!$G360*Yield_Originals!O$1)/Yield_Originals!$K360</f>
        <v>0.14002750192772</v>
      </c>
      <c r="P360" s="99"/>
      <c r="Q360" s="99"/>
      <c r="R360" s="99"/>
      <c r="S360" s="99"/>
      <c r="T360" s="101"/>
      <c r="U360" s="101"/>
      <c r="V360" s="101"/>
      <c r="W360" s="101"/>
      <c r="X360" s="102"/>
      <c r="Y360" s="102"/>
      <c r="Z360" s="102"/>
      <c r="AA360" s="102"/>
      <c r="AB360" s="102"/>
    </row>
    <row r="361" customFormat="false" ht="15" hidden="false" customHeight="false" outlineLevel="0" collapsed="false">
      <c r="A361" s="66" t="s">
        <v>952</v>
      </c>
      <c r="B361" s="66" t="n">
        <v>1</v>
      </c>
      <c r="C361" s="93" t="s">
        <v>796</v>
      </c>
      <c r="D361" s="93" t="s">
        <v>975</v>
      </c>
      <c r="E361" s="94" t="n">
        <v>6</v>
      </c>
      <c r="F361" s="95" t="n">
        <v>0.106687620516358</v>
      </c>
      <c r="G361" s="95" t="n">
        <v>0.106687620516358</v>
      </c>
      <c r="H361" s="96" t="n">
        <f aca="false">+(Yield_Originals!I361+Yield_Originals!G361)/2</f>
        <v>0.103966445594156</v>
      </c>
      <c r="I361" s="95" t="n">
        <v>0.101245270671954</v>
      </c>
      <c r="J361" s="95" t="n">
        <v>0.102259213446914</v>
      </c>
      <c r="K361" s="97" t="n">
        <v>1</v>
      </c>
      <c r="L361" s="98" t="n">
        <f aca="false">(Yield_Originals!$G361*Yield_Originals!L$1)/Yield_Originals!$K361</f>
        <v>0.12802514461963</v>
      </c>
      <c r="M361" s="98" t="n">
        <f aca="false">(Yield_Originals!$G361*Yield_Originals!M$1)/Yield_Originals!$K361</f>
        <v>0.132025930388993</v>
      </c>
      <c r="N361" s="98" t="n">
        <f aca="false">(Yield_Originals!$G361*Yield_Originals!N$1)/Yield_Originals!$K361</f>
        <v>0.136026716158356</v>
      </c>
      <c r="O361" s="98" t="n">
        <f aca="false">(Yield_Originals!$G361*Yield_Originals!O$1)/Yield_Originals!$K361</f>
        <v>0.14002750192772</v>
      </c>
      <c r="P361" s="99" t="n">
        <f aca="false">(Yield_Originals!$H361*Yield_Originals!P$1)/Yield_Originals!$K361</f>
        <v>0.140354701552111</v>
      </c>
      <c r="Q361" s="99" t="n">
        <f aca="false">(Yield_Originals!$H361*Yield_Originals!Q$1)/Yield_Originals!$K361</f>
        <v>0.144253443261892</v>
      </c>
      <c r="R361" s="99" t="n">
        <f aca="false">(Yield_Originals!$H361*Yield_Originals!R$1)/Yield_Originals!$K361</f>
        <v>0.148152184971672</v>
      </c>
      <c r="S361" s="99" t="n">
        <f aca="false">(Yield_Originals!$H361*Yield_Originals!S$1)/Yield_Originals!$K361</f>
        <v>0.152050926681453</v>
      </c>
      <c r="T361" s="101" t="n">
        <f aca="false">(Yield_Originals!$I361*Yield_Originals!T$1)/Yield_Originals!$K361</f>
        <v>0.151867906007931</v>
      </c>
      <c r="U361" s="101" t="n">
        <f aca="false">(Yield_Originals!$I361*Yield_Originals!U$1)/Yield_Originals!$K361</f>
        <v>0.155664603658129</v>
      </c>
      <c r="V361" s="101" t="n">
        <f aca="false">(Yield_Originals!$I361*Yield_Originals!V$1)/Yield_Originals!$K361</f>
        <v>0.159461301308328</v>
      </c>
      <c r="W361" s="101" t="n">
        <f aca="false">(Yield_Originals!$I361*Yield_Originals!W$1)/Yield_Originals!$K361</f>
        <v>0.163257998958526</v>
      </c>
      <c r="X361" s="102" t="n">
        <f aca="false">(Yield_Originals!$J361*Yield_Originals!X$1)/Yield_Originals!$K361</f>
        <v>0.168727702187408</v>
      </c>
      <c r="Y361" s="102" t="n">
        <f aca="false">(Yield_Originals!$J361*Yield_Originals!Y$1)/Yield_Originals!$K361</f>
        <v>0.172562422691667</v>
      </c>
      <c r="Z361" s="102" t="n">
        <f aca="false">(Yield_Originals!$J361*Yield_Originals!Z$1)/Yield_Originals!$K361</f>
        <v>0.176397143195927</v>
      </c>
      <c r="AA361" s="102" t="n">
        <f aca="false">(Yield_Originals!$J361*Yield_Originals!AA$1)/Yield_Originals!$K361</f>
        <v>0.180231863700186</v>
      </c>
      <c r="AB361" s="102" t="n">
        <f aca="false">(Yield_Originals!$J361*Yield_Originals!AB$1)/Yield_Originals!$K361</f>
        <v>0.184066584204445</v>
      </c>
    </row>
    <row r="362" customFormat="false" ht="15" hidden="false" customHeight="false" outlineLevel="0" collapsed="false">
      <c r="A362" s="66" t="s">
        <v>993</v>
      </c>
      <c r="B362" s="66" t="n">
        <v>1</v>
      </c>
      <c r="C362" s="93" t="s">
        <v>1342</v>
      </c>
      <c r="D362" s="93" t="s">
        <v>997</v>
      </c>
      <c r="E362" s="94" t="n">
        <v>7</v>
      </c>
      <c r="F362" s="96" t="n">
        <v>0.0581503454291415</v>
      </c>
      <c r="G362" s="96" t="n">
        <v>0.0581503454291415</v>
      </c>
      <c r="H362" s="96" t="n">
        <f aca="false">+(Yield_Originals!I362+Yield_Originals!G362)/2</f>
        <v>0.0562894274528054</v>
      </c>
      <c r="I362" s="96" t="n">
        <v>0.0544285094764693</v>
      </c>
      <c r="J362" s="96" t="n">
        <v>0.0555481286485601</v>
      </c>
      <c r="K362" s="97" t="n">
        <v>1</v>
      </c>
      <c r="L362" s="98" t="n">
        <f aca="false">(Yield_Originals!$G362*Yield_Originals!L$1)/Yield_Originals!$K362</f>
        <v>0.0697804145149698</v>
      </c>
      <c r="M362" s="98" t="n">
        <f aca="false">(Yield_Originals!$G362*Yield_Originals!M$1)/Yield_Originals!$K362</f>
        <v>0.0719610524685626</v>
      </c>
      <c r="N362" s="98" t="n">
        <f aca="false">(Yield_Originals!$G362*Yield_Originals!N$1)/Yield_Originals!$K362</f>
        <v>0.0741416904221554</v>
      </c>
      <c r="O362" s="98" t="n">
        <f aca="false">(Yield_Originals!$G362*Yield_Originals!O$1)/Yield_Originals!$K362</f>
        <v>0.0763223283757482</v>
      </c>
      <c r="P362" s="99" t="n">
        <f aca="false">(Yield_Originals!$H362*Yield_Originals!P$1)/Yield_Originals!$K362</f>
        <v>0.0759907270612873</v>
      </c>
      <c r="Q362" s="99" t="n">
        <f aca="false">(Yield_Originals!$H362*Yield_Originals!Q$1)/Yield_Originals!$K362</f>
        <v>0.0781015805907675</v>
      </c>
      <c r="R362" s="99" t="n">
        <f aca="false">(Yield_Originals!$H362*Yield_Originals!R$1)/Yield_Originals!$K362</f>
        <v>0.0802124341202477</v>
      </c>
      <c r="S362" s="99" t="n">
        <f aca="false">(Yield_Originals!$H362*Yield_Originals!S$1)/Yield_Originals!$K362</f>
        <v>0.0823232876497279</v>
      </c>
      <c r="T362" s="101" t="n">
        <f aca="false">(Yield_Originals!$I362*Yield_Originals!T$1)/Yield_Originals!$K362</f>
        <v>0.081642764214704</v>
      </c>
      <c r="U362" s="101" t="n">
        <f aca="false">(Yield_Originals!$I362*Yield_Originals!U$1)/Yield_Originals!$K362</f>
        <v>0.0836838333200716</v>
      </c>
      <c r="V362" s="101" t="n">
        <f aca="false">(Yield_Originals!$I362*Yield_Originals!V$1)/Yield_Originals!$K362</f>
        <v>0.0857249024254392</v>
      </c>
      <c r="W362" s="101" t="n">
        <f aca="false">(Yield_Originals!$I362*Yield_Originals!W$1)/Yield_Originals!$K362</f>
        <v>0.0877659715308067</v>
      </c>
      <c r="X362" s="102" t="n">
        <f aca="false">(Yield_Originals!$J362*Yield_Originals!X$1)/Yield_Originals!$K362</f>
        <v>0.0916544122701242</v>
      </c>
      <c r="Y362" s="102"/>
      <c r="Z362" s="102"/>
      <c r="AA362" s="102"/>
      <c r="AB362" s="102"/>
    </row>
    <row r="363" customFormat="false" ht="15" hidden="false" customHeight="false" outlineLevel="0" collapsed="false">
      <c r="A363" s="66" t="s">
        <v>993</v>
      </c>
      <c r="B363" s="66" t="n">
        <v>1</v>
      </c>
      <c r="C363" s="93" t="s">
        <v>1342</v>
      </c>
      <c r="D363" s="93" t="s">
        <v>997</v>
      </c>
      <c r="E363" s="94" t="n">
        <v>8</v>
      </c>
      <c r="F363" s="96" t="n">
        <v>0.0581503454291415</v>
      </c>
      <c r="G363" s="96" t="n">
        <v>0.0581503454291415</v>
      </c>
      <c r="H363" s="96" t="n">
        <f aca="false">+(Yield_Originals!I363+Yield_Originals!G363)/2</f>
        <v>0.0562894274528054</v>
      </c>
      <c r="I363" s="96" t="n">
        <v>0.0544285094764693</v>
      </c>
      <c r="J363" s="96" t="n">
        <v>0.0555481286485601</v>
      </c>
      <c r="K363" s="97" t="n">
        <v>1</v>
      </c>
      <c r="L363" s="98" t="n">
        <f aca="false">(Yield_Originals!$G363*Yield_Originals!L$1)/Yield_Originals!$K363</f>
        <v>0.0697804145149698</v>
      </c>
      <c r="M363" s="98" t="n">
        <f aca="false">(Yield_Originals!$G363*Yield_Originals!M$1)/Yield_Originals!$K363</f>
        <v>0.0719610524685626</v>
      </c>
      <c r="N363" s="98" t="n">
        <f aca="false">(Yield_Originals!$G363*Yield_Originals!N$1)/Yield_Originals!$K363</f>
        <v>0.0741416904221554</v>
      </c>
      <c r="O363" s="98" t="n">
        <f aca="false">(Yield_Originals!$G363*Yield_Originals!O$1)/Yield_Originals!$K363</f>
        <v>0.0763223283757482</v>
      </c>
      <c r="P363" s="99" t="n">
        <f aca="false">(Yield_Originals!$H363*Yield_Originals!P$1)/Yield_Originals!$K363</f>
        <v>0.0759907270612873</v>
      </c>
      <c r="Q363" s="99" t="n">
        <f aca="false">(Yield_Originals!$H363*Yield_Originals!Q$1)/Yield_Originals!$K363</f>
        <v>0.0781015805907675</v>
      </c>
      <c r="R363" s="99" t="n">
        <f aca="false">(Yield_Originals!$H363*Yield_Originals!R$1)/Yield_Originals!$K363</f>
        <v>0.0802124341202477</v>
      </c>
      <c r="S363" s="99" t="n">
        <f aca="false">(Yield_Originals!$H363*Yield_Originals!S$1)/Yield_Originals!$K363</f>
        <v>0.0823232876497279</v>
      </c>
      <c r="T363" s="101" t="n">
        <f aca="false">(Yield_Originals!$I363*Yield_Originals!T$1)/Yield_Originals!$K363</f>
        <v>0.081642764214704</v>
      </c>
      <c r="U363" s="101" t="n">
        <f aca="false">(Yield_Originals!$I363*Yield_Originals!U$1)/Yield_Originals!$K363</f>
        <v>0.0836838333200716</v>
      </c>
      <c r="V363" s="101" t="n">
        <f aca="false">(Yield_Originals!$I363*Yield_Originals!V$1)/Yield_Originals!$K363</f>
        <v>0.0857249024254392</v>
      </c>
      <c r="W363" s="101" t="n">
        <f aca="false">(Yield_Originals!$I363*Yield_Originals!W$1)/Yield_Originals!$K363</f>
        <v>0.0877659715308067</v>
      </c>
      <c r="X363" s="102" t="n">
        <f aca="false">(Yield_Originals!$J363*Yield_Originals!X$1)/Yield_Originals!$K363</f>
        <v>0.0916544122701242</v>
      </c>
      <c r="Y363" s="102"/>
      <c r="Z363" s="102"/>
      <c r="AA363" s="102"/>
      <c r="AB363" s="102"/>
    </row>
    <row r="364" customFormat="false" ht="15" hidden="false" customHeight="false" outlineLevel="0" collapsed="false">
      <c r="A364" s="66" t="s">
        <v>993</v>
      </c>
      <c r="B364" s="66" t="n">
        <v>1</v>
      </c>
      <c r="C364" s="93" t="s">
        <v>329</v>
      </c>
      <c r="D364" s="93" t="s">
        <v>999</v>
      </c>
      <c r="E364" s="94" t="n">
        <v>7</v>
      </c>
      <c r="F364" s="96" t="n">
        <v>0.0581503454291415</v>
      </c>
      <c r="G364" s="96" t="n">
        <v>0.0581503454291415</v>
      </c>
      <c r="H364" s="96" t="n">
        <f aca="false">+(Yield_Originals!I364+Yield_Originals!G364)/2</f>
        <v>0.0562894274528054</v>
      </c>
      <c r="I364" s="96" t="n">
        <v>0.0544285094764693</v>
      </c>
      <c r="J364" s="96" t="n">
        <v>0.0555481286485601</v>
      </c>
      <c r="K364" s="97" t="n">
        <v>1</v>
      </c>
      <c r="L364" s="98"/>
      <c r="M364" s="98"/>
      <c r="N364" s="98"/>
      <c r="O364" s="98"/>
      <c r="P364" s="99"/>
      <c r="Q364" s="99"/>
      <c r="R364" s="99" t="n">
        <f aca="false">(Yield_Originals!$H364*Yield_Originals!R$1)/Yield_Originals!$K364</f>
        <v>0.0802124341202477</v>
      </c>
      <c r="S364" s="99" t="n">
        <f aca="false">(Yield_Originals!$H364*Yield_Originals!S$1)/Yield_Originals!$K364</f>
        <v>0.0823232876497279</v>
      </c>
      <c r="T364" s="101" t="n">
        <f aca="false">(Yield_Originals!$I364*Yield_Originals!T$1)/Yield_Originals!$K364</f>
        <v>0.081642764214704</v>
      </c>
      <c r="U364" s="101" t="n">
        <f aca="false">(Yield_Originals!$I364*Yield_Originals!U$1)/Yield_Originals!$K364</f>
        <v>0.0836838333200716</v>
      </c>
      <c r="V364" s="101" t="n">
        <f aca="false">(Yield_Originals!$I364*Yield_Originals!V$1)/Yield_Originals!$K364</f>
        <v>0.0857249024254392</v>
      </c>
      <c r="W364" s="101" t="n">
        <f aca="false">(Yield_Originals!$I364*Yield_Originals!W$1)/Yield_Originals!$K364</f>
        <v>0.0877659715308067</v>
      </c>
      <c r="X364" s="102" t="n">
        <f aca="false">(Yield_Originals!$J364*Yield_Originals!X$1)/Yield_Originals!$K364</f>
        <v>0.0916544122701242</v>
      </c>
      <c r="Y364" s="102" t="n">
        <f aca="false">(Yield_Originals!$J364*Yield_Originals!Y$1)/Yield_Originals!$K364</f>
        <v>0.0937374670944451</v>
      </c>
      <c r="Z364" s="102" t="n">
        <f aca="false">(Yield_Originals!$J364*Yield_Originals!Z$1)/Yield_Originals!$K364</f>
        <v>0.0958205219187662</v>
      </c>
      <c r="AA364" s="102" t="n">
        <f aca="false">(Yield_Originals!$J364*Yield_Originals!AA$1)/Yield_Originals!$K364</f>
        <v>0.0979035767430871</v>
      </c>
      <c r="AB364" s="102" t="n">
        <f aca="false">(Yield_Originals!$J364*Yield_Originals!AB$1)/Yield_Originals!$K364</f>
        <v>0.0999866315674081</v>
      </c>
    </row>
    <row r="365" customFormat="false" ht="15" hidden="false" customHeight="false" outlineLevel="0" collapsed="false">
      <c r="A365" s="66" t="s">
        <v>993</v>
      </c>
      <c r="B365" s="66" t="n">
        <v>1</v>
      </c>
      <c r="C365" s="93" t="s">
        <v>329</v>
      </c>
      <c r="D365" s="93" t="s">
        <v>999</v>
      </c>
      <c r="E365" s="94" t="n">
        <v>8</v>
      </c>
      <c r="F365" s="96" t="n">
        <v>0.0581503454291415</v>
      </c>
      <c r="G365" s="96" t="n">
        <v>0.0581503454291415</v>
      </c>
      <c r="H365" s="96" t="n">
        <f aca="false">+(Yield_Originals!I365+Yield_Originals!G365)/2</f>
        <v>0.0562894274528054</v>
      </c>
      <c r="I365" s="96" t="n">
        <v>0.0544285094764693</v>
      </c>
      <c r="J365" s="96" t="n">
        <v>0.0555481286485601</v>
      </c>
      <c r="K365" s="97" t="n">
        <v>1</v>
      </c>
      <c r="L365" s="98"/>
      <c r="M365" s="98"/>
      <c r="N365" s="98"/>
      <c r="O365" s="98"/>
      <c r="P365" s="99"/>
      <c r="Q365" s="99"/>
      <c r="R365" s="99" t="n">
        <f aca="false">(Yield_Originals!$H365*Yield_Originals!R$1)/Yield_Originals!$K365</f>
        <v>0.0802124341202477</v>
      </c>
      <c r="S365" s="99" t="n">
        <f aca="false">(Yield_Originals!$H365*Yield_Originals!S$1)/Yield_Originals!$K365</f>
        <v>0.0823232876497279</v>
      </c>
      <c r="T365" s="101" t="n">
        <f aca="false">(Yield_Originals!$I365*Yield_Originals!T$1)/Yield_Originals!$K365</f>
        <v>0.081642764214704</v>
      </c>
      <c r="U365" s="101" t="n">
        <f aca="false">(Yield_Originals!$I365*Yield_Originals!U$1)/Yield_Originals!$K365</f>
        <v>0.0836838333200716</v>
      </c>
      <c r="V365" s="101" t="n">
        <f aca="false">(Yield_Originals!$I365*Yield_Originals!V$1)/Yield_Originals!$K365</f>
        <v>0.0857249024254392</v>
      </c>
      <c r="W365" s="101" t="n">
        <f aca="false">(Yield_Originals!$I365*Yield_Originals!W$1)/Yield_Originals!$K365</f>
        <v>0.0877659715308067</v>
      </c>
      <c r="X365" s="102" t="n">
        <f aca="false">(Yield_Originals!$J365*Yield_Originals!X$1)/Yield_Originals!$K365</f>
        <v>0.0916544122701242</v>
      </c>
      <c r="Y365" s="102" t="n">
        <f aca="false">(Yield_Originals!$J365*Yield_Originals!Y$1)/Yield_Originals!$K365</f>
        <v>0.0937374670944451</v>
      </c>
      <c r="Z365" s="102" t="n">
        <f aca="false">(Yield_Originals!$J365*Yield_Originals!Z$1)/Yield_Originals!$K365</f>
        <v>0.0958205219187662</v>
      </c>
      <c r="AA365" s="102" t="n">
        <f aca="false">(Yield_Originals!$J365*Yield_Originals!AA$1)/Yield_Originals!$K365</f>
        <v>0.0979035767430871</v>
      </c>
      <c r="AB365" s="102" t="n">
        <f aca="false">(Yield_Originals!$J365*Yield_Originals!AB$1)/Yield_Originals!$K365</f>
        <v>0.0999866315674081</v>
      </c>
    </row>
    <row r="366" customFormat="false" ht="15" hidden="false" customHeight="false" outlineLevel="0" collapsed="false">
      <c r="A366" s="66" t="s">
        <v>993</v>
      </c>
      <c r="B366" s="66" t="n">
        <v>1</v>
      </c>
      <c r="C366" s="93" t="s">
        <v>199</v>
      </c>
      <c r="D366" s="93" t="s">
        <v>992</v>
      </c>
      <c r="E366" s="94" t="n">
        <v>7</v>
      </c>
      <c r="F366" s="96" t="n">
        <v>0.0581503454291415</v>
      </c>
      <c r="G366" s="96" t="n">
        <v>0.0581503454291415</v>
      </c>
      <c r="H366" s="96" t="n">
        <f aca="false">+(Yield_Originals!I366+Yield_Originals!G366)/2</f>
        <v>0.0562894274528054</v>
      </c>
      <c r="I366" s="96" t="n">
        <v>0.0544285094764693</v>
      </c>
      <c r="J366" s="96" t="n">
        <v>0.0555481286485601</v>
      </c>
      <c r="K366" s="97" t="n">
        <v>1</v>
      </c>
      <c r="L366" s="98" t="n">
        <f aca="false">(Yield_Originals!$G366*Yield_Originals!L$1)/Yield_Originals!$K366</f>
        <v>0.0697804145149698</v>
      </c>
      <c r="M366" s="98" t="n">
        <f aca="false">(Yield_Originals!$G366*Yield_Originals!M$1)/Yield_Originals!$K366</f>
        <v>0.0719610524685626</v>
      </c>
      <c r="N366" s="98" t="n">
        <f aca="false">(Yield_Originals!$G366*Yield_Originals!N$1)/Yield_Originals!$K366</f>
        <v>0.0741416904221554</v>
      </c>
      <c r="O366" s="98" t="n">
        <f aca="false">(Yield_Originals!$G366*Yield_Originals!O$1)/Yield_Originals!$K366</f>
        <v>0.0763223283757482</v>
      </c>
      <c r="P366" s="99" t="n">
        <f aca="false">(Yield_Originals!$H366*Yield_Originals!P$1)/Yield_Originals!$K366</f>
        <v>0.0759907270612873</v>
      </c>
      <c r="Q366" s="99" t="n">
        <f aca="false">(Yield_Originals!$H366*Yield_Originals!Q$1)/Yield_Originals!$K366</f>
        <v>0.0781015805907675</v>
      </c>
      <c r="R366" s="99" t="n">
        <f aca="false">(Yield_Originals!$H366*Yield_Originals!R$1)/Yield_Originals!$K366</f>
        <v>0.0802124341202477</v>
      </c>
      <c r="S366" s="99" t="n">
        <f aca="false">(Yield_Originals!$H366*Yield_Originals!S$1)/Yield_Originals!$K366</f>
        <v>0.0823232876497279</v>
      </c>
      <c r="T366" s="101" t="n">
        <f aca="false">(Yield_Originals!$I366*Yield_Originals!T$1)/Yield_Originals!$K366</f>
        <v>0.081642764214704</v>
      </c>
      <c r="U366" s="101" t="n">
        <f aca="false">(Yield_Originals!$I366*Yield_Originals!U$1)/Yield_Originals!$K366</f>
        <v>0.0836838333200716</v>
      </c>
      <c r="V366" s="101" t="n">
        <f aca="false">(Yield_Originals!$I366*Yield_Originals!V$1)/Yield_Originals!$K366</f>
        <v>0.0857249024254392</v>
      </c>
      <c r="W366" s="101" t="n">
        <f aca="false">(Yield_Originals!$I366*Yield_Originals!W$1)/Yield_Originals!$K366</f>
        <v>0.0877659715308067</v>
      </c>
      <c r="X366" s="102" t="n">
        <f aca="false">(Yield_Originals!$J366*Yield_Originals!X$1)/Yield_Originals!$K366</f>
        <v>0.0916544122701242</v>
      </c>
      <c r="Y366" s="102" t="n">
        <f aca="false">(Yield_Originals!$J366*Yield_Originals!Y$1)/Yield_Originals!$K366</f>
        <v>0.0937374670944451</v>
      </c>
      <c r="Z366" s="102" t="n">
        <f aca="false">(Yield_Originals!$J366*Yield_Originals!Z$1)/Yield_Originals!$K366</f>
        <v>0.0958205219187662</v>
      </c>
      <c r="AA366" s="102" t="n">
        <f aca="false">(Yield_Originals!$J366*Yield_Originals!AA$1)/Yield_Originals!$K366</f>
        <v>0.0979035767430871</v>
      </c>
      <c r="AB366" s="102" t="n">
        <f aca="false">(Yield_Originals!$J366*Yield_Originals!AB$1)/Yield_Originals!$K366</f>
        <v>0.0999866315674081</v>
      </c>
    </row>
    <row r="367" customFormat="false" ht="15" hidden="false" customHeight="false" outlineLevel="0" collapsed="false">
      <c r="A367" s="66" t="s">
        <v>993</v>
      </c>
      <c r="B367" s="66" t="n">
        <v>1</v>
      </c>
      <c r="C367" s="93" t="s">
        <v>199</v>
      </c>
      <c r="D367" s="93" t="s">
        <v>992</v>
      </c>
      <c r="E367" s="94" t="n">
        <v>8</v>
      </c>
      <c r="F367" s="96" t="n">
        <v>0.0581503454291415</v>
      </c>
      <c r="G367" s="96" t="n">
        <v>0.0581503454291415</v>
      </c>
      <c r="H367" s="96" t="n">
        <f aca="false">+(Yield_Originals!I367+Yield_Originals!G367)/2</f>
        <v>0.0562894274528054</v>
      </c>
      <c r="I367" s="96" t="n">
        <v>0.0544285094764693</v>
      </c>
      <c r="J367" s="96" t="n">
        <v>0.0555481286485601</v>
      </c>
      <c r="K367" s="97" t="n">
        <v>1</v>
      </c>
      <c r="L367" s="98" t="n">
        <f aca="false">(Yield_Originals!$G367*Yield_Originals!L$1)/Yield_Originals!$K367</f>
        <v>0.0697804145149698</v>
      </c>
      <c r="M367" s="98" t="n">
        <f aca="false">(Yield_Originals!$G367*Yield_Originals!M$1)/Yield_Originals!$K367</f>
        <v>0.0719610524685626</v>
      </c>
      <c r="N367" s="98" t="n">
        <f aca="false">(Yield_Originals!$G367*Yield_Originals!N$1)/Yield_Originals!$K367</f>
        <v>0.0741416904221554</v>
      </c>
      <c r="O367" s="98" t="n">
        <f aca="false">(Yield_Originals!$G367*Yield_Originals!O$1)/Yield_Originals!$K367</f>
        <v>0.0763223283757482</v>
      </c>
      <c r="P367" s="99" t="n">
        <f aca="false">(Yield_Originals!$H367*Yield_Originals!P$1)/Yield_Originals!$K367</f>
        <v>0.0759907270612873</v>
      </c>
      <c r="Q367" s="99" t="n">
        <f aca="false">(Yield_Originals!$H367*Yield_Originals!Q$1)/Yield_Originals!$K367</f>
        <v>0.0781015805907675</v>
      </c>
      <c r="R367" s="99" t="n">
        <f aca="false">(Yield_Originals!$H367*Yield_Originals!R$1)/Yield_Originals!$K367</f>
        <v>0.0802124341202477</v>
      </c>
      <c r="S367" s="99" t="n">
        <f aca="false">(Yield_Originals!$H367*Yield_Originals!S$1)/Yield_Originals!$K367</f>
        <v>0.0823232876497279</v>
      </c>
      <c r="T367" s="101" t="n">
        <f aca="false">(Yield_Originals!$I367*Yield_Originals!T$1)/Yield_Originals!$K367</f>
        <v>0.081642764214704</v>
      </c>
      <c r="U367" s="101" t="n">
        <f aca="false">(Yield_Originals!$I367*Yield_Originals!U$1)/Yield_Originals!$K367</f>
        <v>0.0836838333200716</v>
      </c>
      <c r="V367" s="101" t="n">
        <f aca="false">(Yield_Originals!$I367*Yield_Originals!V$1)/Yield_Originals!$K367</f>
        <v>0.0857249024254392</v>
      </c>
      <c r="W367" s="101" t="n">
        <f aca="false">(Yield_Originals!$I367*Yield_Originals!W$1)/Yield_Originals!$K367</f>
        <v>0.0877659715308067</v>
      </c>
      <c r="X367" s="102" t="n">
        <f aca="false">(Yield_Originals!$J367*Yield_Originals!X$1)/Yield_Originals!$K367</f>
        <v>0.0916544122701242</v>
      </c>
      <c r="Y367" s="102" t="n">
        <f aca="false">(Yield_Originals!$J367*Yield_Originals!Y$1)/Yield_Originals!$K367</f>
        <v>0.0937374670944451</v>
      </c>
      <c r="Z367" s="102" t="n">
        <f aca="false">(Yield_Originals!$J367*Yield_Originals!Z$1)/Yield_Originals!$K367</f>
        <v>0.0958205219187662</v>
      </c>
      <c r="AA367" s="102" t="n">
        <f aca="false">(Yield_Originals!$J367*Yield_Originals!AA$1)/Yield_Originals!$K367</f>
        <v>0.0979035767430871</v>
      </c>
      <c r="AB367" s="102" t="n">
        <f aca="false">(Yield_Originals!$J367*Yield_Originals!AB$1)/Yield_Originals!$K367</f>
        <v>0.0999866315674081</v>
      </c>
    </row>
    <row r="368" customFormat="false" ht="15" hidden="false" customHeight="false" outlineLevel="0" collapsed="false">
      <c r="A368" s="66" t="s">
        <v>993</v>
      </c>
      <c r="B368" s="66" t="n">
        <v>1</v>
      </c>
      <c r="C368" s="93" t="s">
        <v>330</v>
      </c>
      <c r="D368" s="93" t="s">
        <v>995</v>
      </c>
      <c r="E368" s="94" t="n">
        <v>7</v>
      </c>
      <c r="F368" s="96" t="n">
        <v>0.0581503454291415</v>
      </c>
      <c r="G368" s="96" t="n">
        <v>0.0581503454291415</v>
      </c>
      <c r="H368" s="96" t="n">
        <f aca="false">+(Yield_Originals!I368+Yield_Originals!G368)/2</f>
        <v>0.0562894274528054</v>
      </c>
      <c r="I368" s="96" t="n">
        <v>0.0544285094764693</v>
      </c>
      <c r="J368" s="96" t="n">
        <v>0.0555481286485601</v>
      </c>
      <c r="K368" s="97" t="n">
        <v>1</v>
      </c>
      <c r="L368" s="98" t="n">
        <f aca="false">(Yield_Originals!$G368*Yield_Originals!L$1)/Yield_Originals!$K368</f>
        <v>0.0697804145149698</v>
      </c>
      <c r="M368" s="98" t="n">
        <f aca="false">(Yield_Originals!$G368*Yield_Originals!M$1)/Yield_Originals!$K368</f>
        <v>0.0719610524685626</v>
      </c>
      <c r="N368" s="98" t="n">
        <f aca="false">(Yield_Originals!$G368*Yield_Originals!N$1)/Yield_Originals!$K368</f>
        <v>0.0741416904221554</v>
      </c>
      <c r="O368" s="98" t="n">
        <f aca="false">(Yield_Originals!$G368*Yield_Originals!O$1)/Yield_Originals!$K368</f>
        <v>0.0763223283757482</v>
      </c>
      <c r="P368" s="99" t="n">
        <f aca="false">(Yield_Originals!$H368*Yield_Originals!P$1)/Yield_Originals!$K368</f>
        <v>0.0759907270612873</v>
      </c>
      <c r="Q368" s="99" t="n">
        <f aca="false">(Yield_Originals!$H368*Yield_Originals!Q$1)/Yield_Originals!$K368</f>
        <v>0.0781015805907675</v>
      </c>
      <c r="R368" s="99" t="n">
        <f aca="false">(Yield_Originals!$H368*Yield_Originals!R$1)/Yield_Originals!$K368</f>
        <v>0.0802124341202477</v>
      </c>
      <c r="S368" s="99" t="n">
        <f aca="false">(Yield_Originals!$H368*Yield_Originals!S$1)/Yield_Originals!$K368</f>
        <v>0.0823232876497279</v>
      </c>
      <c r="T368" s="101" t="n">
        <f aca="false">(Yield_Originals!$I368*Yield_Originals!T$1)/Yield_Originals!$K368</f>
        <v>0.081642764214704</v>
      </c>
      <c r="U368" s="101" t="n">
        <f aca="false">(Yield_Originals!$I368*Yield_Originals!U$1)/Yield_Originals!$K368</f>
        <v>0.0836838333200716</v>
      </c>
      <c r="V368" s="101" t="n">
        <f aca="false">(Yield_Originals!$I368*Yield_Originals!V$1)/Yield_Originals!$K368</f>
        <v>0.0857249024254392</v>
      </c>
      <c r="W368" s="101" t="n">
        <f aca="false">(Yield_Originals!$I368*Yield_Originals!W$1)/Yield_Originals!$K368</f>
        <v>0.0877659715308067</v>
      </c>
      <c r="X368" s="102" t="n">
        <f aca="false">(Yield_Originals!$J368*Yield_Originals!X$1)/Yield_Originals!$K368</f>
        <v>0.0916544122701242</v>
      </c>
      <c r="Y368" s="102" t="n">
        <f aca="false">(Yield_Originals!$J368*Yield_Originals!Y$1)/Yield_Originals!$K368</f>
        <v>0.0937374670944451</v>
      </c>
      <c r="Z368" s="102" t="n">
        <f aca="false">(Yield_Originals!$J368*Yield_Originals!Z$1)/Yield_Originals!$K368</f>
        <v>0.0958205219187662</v>
      </c>
      <c r="AA368" s="102" t="n">
        <f aca="false">(Yield_Originals!$J368*Yield_Originals!AA$1)/Yield_Originals!$K368</f>
        <v>0.0979035767430871</v>
      </c>
      <c r="AB368" s="102" t="n">
        <f aca="false">(Yield_Originals!$J368*Yield_Originals!AB$1)/Yield_Originals!$K368</f>
        <v>0.0999866315674081</v>
      </c>
    </row>
    <row r="369" customFormat="false" ht="15" hidden="false" customHeight="false" outlineLevel="0" collapsed="false">
      <c r="A369" s="66" t="s">
        <v>993</v>
      </c>
      <c r="B369" s="66" t="n">
        <v>1</v>
      </c>
      <c r="C369" s="93" t="s">
        <v>330</v>
      </c>
      <c r="D369" s="93" t="s">
        <v>995</v>
      </c>
      <c r="E369" s="94" t="n">
        <v>8</v>
      </c>
      <c r="F369" s="96" t="n">
        <v>0.0581503454291415</v>
      </c>
      <c r="G369" s="96" t="n">
        <v>0.0581503454291415</v>
      </c>
      <c r="H369" s="96" t="n">
        <f aca="false">+(Yield_Originals!I369+Yield_Originals!G369)/2</f>
        <v>0.0562894274528054</v>
      </c>
      <c r="I369" s="96" t="n">
        <v>0.0544285094764693</v>
      </c>
      <c r="J369" s="96" t="n">
        <v>0.0555481286485601</v>
      </c>
      <c r="K369" s="97" t="n">
        <v>1</v>
      </c>
      <c r="L369" s="98" t="n">
        <f aca="false">(Yield_Originals!$G369*Yield_Originals!L$1)/Yield_Originals!$K369</f>
        <v>0.0697804145149698</v>
      </c>
      <c r="M369" s="98" t="n">
        <f aca="false">(Yield_Originals!$G369*Yield_Originals!M$1)/Yield_Originals!$K369</f>
        <v>0.0719610524685626</v>
      </c>
      <c r="N369" s="98" t="n">
        <f aca="false">(Yield_Originals!$G369*Yield_Originals!N$1)/Yield_Originals!$K369</f>
        <v>0.0741416904221554</v>
      </c>
      <c r="O369" s="98" t="n">
        <f aca="false">(Yield_Originals!$G369*Yield_Originals!O$1)/Yield_Originals!$K369</f>
        <v>0.0763223283757482</v>
      </c>
      <c r="P369" s="99" t="n">
        <f aca="false">(Yield_Originals!$H369*Yield_Originals!P$1)/Yield_Originals!$K369</f>
        <v>0.0759907270612873</v>
      </c>
      <c r="Q369" s="99" t="n">
        <f aca="false">(Yield_Originals!$H369*Yield_Originals!Q$1)/Yield_Originals!$K369</f>
        <v>0.0781015805907675</v>
      </c>
      <c r="R369" s="99" t="n">
        <f aca="false">(Yield_Originals!$H369*Yield_Originals!R$1)/Yield_Originals!$K369</f>
        <v>0.0802124341202477</v>
      </c>
      <c r="S369" s="99" t="n">
        <f aca="false">(Yield_Originals!$H369*Yield_Originals!S$1)/Yield_Originals!$K369</f>
        <v>0.0823232876497279</v>
      </c>
      <c r="T369" s="101" t="n">
        <f aca="false">(Yield_Originals!$I369*Yield_Originals!T$1)/Yield_Originals!$K369</f>
        <v>0.081642764214704</v>
      </c>
      <c r="U369" s="101" t="n">
        <f aca="false">(Yield_Originals!$I369*Yield_Originals!U$1)/Yield_Originals!$K369</f>
        <v>0.0836838333200716</v>
      </c>
      <c r="V369" s="101" t="n">
        <f aca="false">(Yield_Originals!$I369*Yield_Originals!V$1)/Yield_Originals!$K369</f>
        <v>0.0857249024254392</v>
      </c>
      <c r="W369" s="101" t="n">
        <f aca="false">(Yield_Originals!$I369*Yield_Originals!W$1)/Yield_Originals!$K369</f>
        <v>0.0877659715308067</v>
      </c>
      <c r="X369" s="102" t="n">
        <f aca="false">(Yield_Originals!$J369*Yield_Originals!X$1)/Yield_Originals!$K369</f>
        <v>0.0916544122701242</v>
      </c>
      <c r="Y369" s="102" t="n">
        <f aca="false">(Yield_Originals!$J369*Yield_Originals!Y$1)/Yield_Originals!$K369</f>
        <v>0.0937374670944451</v>
      </c>
      <c r="Z369" s="102" t="n">
        <f aca="false">(Yield_Originals!$J369*Yield_Originals!Z$1)/Yield_Originals!$K369</f>
        <v>0.0958205219187662</v>
      </c>
      <c r="AA369" s="102" t="n">
        <f aca="false">(Yield_Originals!$J369*Yield_Originals!AA$1)/Yield_Originals!$K369</f>
        <v>0.0979035767430871</v>
      </c>
      <c r="AB369" s="102" t="n">
        <f aca="false">(Yield_Originals!$J369*Yield_Originals!AB$1)/Yield_Originals!$K369</f>
        <v>0.0999866315674081</v>
      </c>
    </row>
    <row r="370" customFormat="false" ht="15" hidden="false" customHeight="false" outlineLevel="0" collapsed="false">
      <c r="A370" s="66" t="s">
        <v>993</v>
      </c>
      <c r="B370" s="66" t="n">
        <v>1</v>
      </c>
      <c r="C370" s="93" t="s">
        <v>1349</v>
      </c>
      <c r="D370" s="93" t="s">
        <v>1016</v>
      </c>
      <c r="E370" s="94" t="n">
        <v>7</v>
      </c>
      <c r="F370" s="96" t="n">
        <v>0.0581503454291415</v>
      </c>
      <c r="G370" s="96" t="n">
        <v>0.0581503454291415</v>
      </c>
      <c r="H370" s="96" t="n">
        <f aca="false">+(Yield_Originals!I370+Yield_Originals!G370)/2</f>
        <v>0.0562894274528054</v>
      </c>
      <c r="I370" s="96" t="n">
        <v>0.0544285094764693</v>
      </c>
      <c r="J370" s="96" t="n">
        <v>0.0555481286485601</v>
      </c>
      <c r="K370" s="97" t="n">
        <v>1</v>
      </c>
      <c r="L370" s="98" t="n">
        <f aca="false">(Yield_Originals!$G370*Yield_Originals!L$1)/Yield_Originals!$K370</f>
        <v>0.0697804145149698</v>
      </c>
      <c r="M370" s="98" t="n">
        <f aca="false">(Yield_Originals!$G370*Yield_Originals!M$1)/Yield_Originals!$K370</f>
        <v>0.0719610524685626</v>
      </c>
      <c r="N370" s="98" t="n">
        <f aca="false">(Yield_Originals!$G370*Yield_Originals!N$1)/Yield_Originals!$K370</f>
        <v>0.0741416904221554</v>
      </c>
      <c r="O370" s="98" t="n">
        <f aca="false">(Yield_Originals!$G370*Yield_Originals!O$1)/Yield_Originals!$K370</f>
        <v>0.0763223283757482</v>
      </c>
      <c r="P370" s="99" t="n">
        <f aca="false">(Yield_Originals!$H370*Yield_Originals!P$1)/Yield_Originals!$K370</f>
        <v>0.0759907270612873</v>
      </c>
      <c r="Q370" s="99" t="n">
        <f aca="false">(Yield_Originals!$H370*Yield_Originals!Q$1)/Yield_Originals!$K370</f>
        <v>0.0781015805907675</v>
      </c>
      <c r="R370" s="99" t="n">
        <f aca="false">(Yield_Originals!$H370*Yield_Originals!R$1)/Yield_Originals!$K370</f>
        <v>0.0802124341202477</v>
      </c>
      <c r="S370" s="99" t="n">
        <f aca="false">(Yield_Originals!$H370*Yield_Originals!S$1)/Yield_Originals!$K370</f>
        <v>0.0823232876497279</v>
      </c>
      <c r="T370" s="101" t="n">
        <f aca="false">(Yield_Originals!$I370*Yield_Originals!T$1)/Yield_Originals!$K370</f>
        <v>0.081642764214704</v>
      </c>
      <c r="U370" s="101" t="n">
        <f aca="false">(Yield_Originals!$I370*Yield_Originals!U$1)/Yield_Originals!$K370</f>
        <v>0.0836838333200716</v>
      </c>
      <c r="V370" s="101" t="n">
        <f aca="false">(Yield_Originals!$I370*Yield_Originals!V$1)/Yield_Originals!$K370</f>
        <v>0.0857249024254392</v>
      </c>
      <c r="W370" s="101" t="n">
        <f aca="false">(Yield_Originals!$I370*Yield_Originals!W$1)/Yield_Originals!$K370</f>
        <v>0.0877659715308067</v>
      </c>
      <c r="X370" s="102" t="n">
        <f aca="false">(Yield_Originals!$J370*Yield_Originals!X$1)/Yield_Originals!$K370</f>
        <v>0.0916544122701242</v>
      </c>
      <c r="Y370" s="102" t="n">
        <f aca="false">(Yield_Originals!$J370*Yield_Originals!Y$1)/Yield_Originals!$K370</f>
        <v>0.0937374670944451</v>
      </c>
      <c r="Z370" s="102" t="n">
        <f aca="false">(Yield_Originals!$J370*Yield_Originals!Z$1)/Yield_Originals!$K370</f>
        <v>0.0958205219187662</v>
      </c>
      <c r="AA370" s="102" t="n">
        <f aca="false">(Yield_Originals!$J370*Yield_Originals!AA$1)/Yield_Originals!$K370</f>
        <v>0.0979035767430871</v>
      </c>
      <c r="AB370" s="102" t="n">
        <f aca="false">(Yield_Originals!$J370*Yield_Originals!AB$1)/Yield_Originals!$K370</f>
        <v>0.0999866315674081</v>
      </c>
    </row>
    <row r="371" customFormat="false" ht="15" hidden="false" customHeight="false" outlineLevel="0" collapsed="false">
      <c r="A371" s="66" t="s">
        <v>993</v>
      </c>
      <c r="B371" s="66" t="n">
        <v>1</v>
      </c>
      <c r="C371" s="93" t="s">
        <v>1349</v>
      </c>
      <c r="D371" s="93" t="s">
        <v>1016</v>
      </c>
      <c r="E371" s="94" t="n">
        <v>8</v>
      </c>
      <c r="F371" s="96" t="n">
        <v>0.0581503454291415</v>
      </c>
      <c r="G371" s="96" t="n">
        <v>0.0581503454291415</v>
      </c>
      <c r="H371" s="96" t="n">
        <f aca="false">+(Yield_Originals!I371+Yield_Originals!G371)/2</f>
        <v>0.0562894274528054</v>
      </c>
      <c r="I371" s="96" t="n">
        <v>0.0544285094764693</v>
      </c>
      <c r="J371" s="96" t="n">
        <v>0.0555481286485601</v>
      </c>
      <c r="K371" s="97" t="n">
        <v>1</v>
      </c>
      <c r="L371" s="98" t="n">
        <f aca="false">(Yield_Originals!$G371*Yield_Originals!L$1)/Yield_Originals!$K371</f>
        <v>0.0697804145149698</v>
      </c>
      <c r="M371" s="98" t="n">
        <f aca="false">(Yield_Originals!$G371*Yield_Originals!M$1)/Yield_Originals!$K371</f>
        <v>0.0719610524685626</v>
      </c>
      <c r="N371" s="98" t="n">
        <f aca="false">(Yield_Originals!$G371*Yield_Originals!N$1)/Yield_Originals!$K371</f>
        <v>0.0741416904221554</v>
      </c>
      <c r="O371" s="98" t="n">
        <f aca="false">(Yield_Originals!$G371*Yield_Originals!O$1)/Yield_Originals!$K371</f>
        <v>0.0763223283757482</v>
      </c>
      <c r="P371" s="99" t="n">
        <f aca="false">(Yield_Originals!$H371*Yield_Originals!P$1)/Yield_Originals!$K371</f>
        <v>0.0759907270612873</v>
      </c>
      <c r="Q371" s="99" t="n">
        <f aca="false">(Yield_Originals!$H371*Yield_Originals!Q$1)/Yield_Originals!$K371</f>
        <v>0.0781015805907675</v>
      </c>
      <c r="R371" s="99" t="n">
        <f aca="false">(Yield_Originals!$H371*Yield_Originals!R$1)/Yield_Originals!$K371</f>
        <v>0.0802124341202477</v>
      </c>
      <c r="S371" s="99" t="n">
        <f aca="false">(Yield_Originals!$H371*Yield_Originals!S$1)/Yield_Originals!$K371</f>
        <v>0.0823232876497279</v>
      </c>
      <c r="T371" s="101" t="n">
        <f aca="false">(Yield_Originals!$I371*Yield_Originals!T$1)/Yield_Originals!$K371</f>
        <v>0.081642764214704</v>
      </c>
      <c r="U371" s="101" t="n">
        <f aca="false">(Yield_Originals!$I371*Yield_Originals!U$1)/Yield_Originals!$K371</f>
        <v>0.0836838333200716</v>
      </c>
      <c r="V371" s="101" t="n">
        <f aca="false">(Yield_Originals!$I371*Yield_Originals!V$1)/Yield_Originals!$K371</f>
        <v>0.0857249024254392</v>
      </c>
      <c r="W371" s="101" t="n">
        <f aca="false">(Yield_Originals!$I371*Yield_Originals!W$1)/Yield_Originals!$K371</f>
        <v>0.0877659715308067</v>
      </c>
      <c r="X371" s="102" t="n">
        <f aca="false">(Yield_Originals!$J371*Yield_Originals!X$1)/Yield_Originals!$K371</f>
        <v>0.0916544122701242</v>
      </c>
      <c r="Y371" s="102" t="n">
        <f aca="false">(Yield_Originals!$J371*Yield_Originals!Y$1)/Yield_Originals!$K371</f>
        <v>0.0937374670944451</v>
      </c>
      <c r="Z371" s="102" t="n">
        <f aca="false">(Yield_Originals!$J371*Yield_Originals!Z$1)/Yield_Originals!$K371</f>
        <v>0.0958205219187662</v>
      </c>
      <c r="AA371" s="102" t="n">
        <f aca="false">(Yield_Originals!$J371*Yield_Originals!AA$1)/Yield_Originals!$K371</f>
        <v>0.0979035767430871</v>
      </c>
      <c r="AB371" s="102" t="n">
        <f aca="false">(Yield_Originals!$J371*Yield_Originals!AB$1)/Yield_Originals!$K371</f>
        <v>0.0999866315674081</v>
      </c>
    </row>
    <row r="372" customFormat="false" ht="15" hidden="false" customHeight="false" outlineLevel="0" collapsed="false">
      <c r="A372" s="66" t="s">
        <v>993</v>
      </c>
      <c r="B372" s="66" t="n">
        <v>1</v>
      </c>
      <c r="C372" s="93" t="s">
        <v>801</v>
      </c>
      <c r="D372" s="93" t="s">
        <v>1002</v>
      </c>
      <c r="E372" s="94" t="n">
        <v>7</v>
      </c>
      <c r="F372" s="96" t="n">
        <v>0.0581503454291415</v>
      </c>
      <c r="G372" s="96" t="n">
        <v>0.0581503454291415</v>
      </c>
      <c r="H372" s="96" t="n">
        <f aca="false">+(Yield_Originals!I372+Yield_Originals!G372)/2</f>
        <v>0.0562894274528054</v>
      </c>
      <c r="I372" s="96" t="n">
        <v>0.0544285094764693</v>
      </c>
      <c r="J372" s="96" t="n">
        <v>0.0555481286485601</v>
      </c>
      <c r="K372" s="97" t="n">
        <v>1</v>
      </c>
      <c r="L372" s="98" t="n">
        <f aca="false">(Yield_Originals!$G372*Yield_Originals!L$1)/Yield_Originals!$K372</f>
        <v>0.0697804145149698</v>
      </c>
      <c r="M372" s="98" t="n">
        <f aca="false">(Yield_Originals!$G372*Yield_Originals!M$1)/Yield_Originals!$K372</f>
        <v>0.0719610524685626</v>
      </c>
      <c r="N372" s="98" t="n">
        <f aca="false">(Yield_Originals!$G372*Yield_Originals!N$1)/Yield_Originals!$K372</f>
        <v>0.0741416904221554</v>
      </c>
      <c r="O372" s="98" t="n">
        <f aca="false">(Yield_Originals!$G372*Yield_Originals!O$1)/Yield_Originals!$K372</f>
        <v>0.0763223283757482</v>
      </c>
      <c r="P372" s="99" t="n">
        <f aca="false">(Yield_Originals!$H372*Yield_Originals!P$1)/Yield_Originals!$K372</f>
        <v>0.0759907270612873</v>
      </c>
      <c r="Q372" s="99" t="n">
        <f aca="false">(Yield_Originals!$H372*Yield_Originals!Q$1)/Yield_Originals!$K372</f>
        <v>0.0781015805907675</v>
      </c>
      <c r="R372" s="99" t="n">
        <f aca="false">(Yield_Originals!$H372*Yield_Originals!R$1)/Yield_Originals!$K372</f>
        <v>0.0802124341202477</v>
      </c>
      <c r="S372" s="99" t="n">
        <f aca="false">(Yield_Originals!$H372*Yield_Originals!S$1)/Yield_Originals!$K372</f>
        <v>0.0823232876497279</v>
      </c>
      <c r="T372" s="101" t="n">
        <f aca="false">(Yield_Originals!$I372*Yield_Originals!T$1)/Yield_Originals!$K372</f>
        <v>0.081642764214704</v>
      </c>
      <c r="U372" s="101" t="n">
        <f aca="false">(Yield_Originals!$I372*Yield_Originals!U$1)/Yield_Originals!$K372</f>
        <v>0.0836838333200716</v>
      </c>
      <c r="V372" s="101" t="n">
        <f aca="false">(Yield_Originals!$I372*Yield_Originals!V$1)/Yield_Originals!$K372</f>
        <v>0.0857249024254392</v>
      </c>
      <c r="W372" s="101" t="n">
        <f aca="false">(Yield_Originals!$I372*Yield_Originals!W$1)/Yield_Originals!$K372</f>
        <v>0.0877659715308067</v>
      </c>
      <c r="X372" s="102" t="n">
        <f aca="false">(Yield_Originals!$J372*Yield_Originals!X$1)/Yield_Originals!$K372</f>
        <v>0.0916544122701242</v>
      </c>
      <c r="Y372" s="102" t="n">
        <f aca="false">(Yield_Originals!$J372*Yield_Originals!Y$1)/Yield_Originals!$K372</f>
        <v>0.0937374670944451</v>
      </c>
      <c r="Z372" s="102" t="n">
        <f aca="false">(Yield_Originals!$J372*Yield_Originals!Z$1)/Yield_Originals!$K372</f>
        <v>0.0958205219187662</v>
      </c>
      <c r="AA372" s="102" t="n">
        <f aca="false">(Yield_Originals!$J372*Yield_Originals!AA$1)/Yield_Originals!$K372</f>
        <v>0.0979035767430871</v>
      </c>
      <c r="AB372" s="102" t="n">
        <f aca="false">(Yield_Originals!$J372*Yield_Originals!AB$1)/Yield_Originals!$K372</f>
        <v>0.0999866315674081</v>
      </c>
    </row>
    <row r="373" customFormat="false" ht="15" hidden="false" customHeight="false" outlineLevel="0" collapsed="false">
      <c r="A373" s="66" t="s">
        <v>993</v>
      </c>
      <c r="B373" s="66" t="n">
        <v>1</v>
      </c>
      <c r="C373" s="93" t="s">
        <v>801</v>
      </c>
      <c r="D373" s="93" t="s">
        <v>1002</v>
      </c>
      <c r="E373" s="94" t="n">
        <v>8</v>
      </c>
      <c r="F373" s="96" t="n">
        <v>0.0581503454291415</v>
      </c>
      <c r="G373" s="96" t="n">
        <v>0.0581503454291415</v>
      </c>
      <c r="H373" s="96" t="n">
        <f aca="false">+(Yield_Originals!I373+Yield_Originals!G373)/2</f>
        <v>0.0562894274528054</v>
      </c>
      <c r="I373" s="96" t="n">
        <v>0.0544285094764693</v>
      </c>
      <c r="J373" s="96" t="n">
        <v>0.0555481286485601</v>
      </c>
      <c r="K373" s="97" t="n">
        <v>1</v>
      </c>
      <c r="L373" s="98" t="n">
        <f aca="false">(Yield_Originals!$G373*Yield_Originals!L$1)/Yield_Originals!$K373</f>
        <v>0.0697804145149698</v>
      </c>
      <c r="M373" s="98" t="n">
        <f aca="false">(Yield_Originals!$G373*Yield_Originals!M$1)/Yield_Originals!$K373</f>
        <v>0.0719610524685626</v>
      </c>
      <c r="N373" s="98" t="n">
        <f aca="false">(Yield_Originals!$G373*Yield_Originals!N$1)/Yield_Originals!$K373</f>
        <v>0.0741416904221554</v>
      </c>
      <c r="O373" s="98" t="n">
        <f aca="false">(Yield_Originals!$G373*Yield_Originals!O$1)/Yield_Originals!$K373</f>
        <v>0.0763223283757482</v>
      </c>
      <c r="P373" s="99" t="n">
        <f aca="false">(Yield_Originals!$H373*Yield_Originals!P$1)/Yield_Originals!$K373</f>
        <v>0.0759907270612873</v>
      </c>
      <c r="Q373" s="99" t="n">
        <f aca="false">(Yield_Originals!$H373*Yield_Originals!Q$1)/Yield_Originals!$K373</f>
        <v>0.0781015805907675</v>
      </c>
      <c r="R373" s="99" t="n">
        <f aca="false">(Yield_Originals!$H373*Yield_Originals!R$1)/Yield_Originals!$K373</f>
        <v>0.0802124341202477</v>
      </c>
      <c r="S373" s="99" t="n">
        <f aca="false">(Yield_Originals!$H373*Yield_Originals!S$1)/Yield_Originals!$K373</f>
        <v>0.0823232876497279</v>
      </c>
      <c r="T373" s="101" t="n">
        <f aca="false">(Yield_Originals!$I373*Yield_Originals!T$1)/Yield_Originals!$K373</f>
        <v>0.081642764214704</v>
      </c>
      <c r="U373" s="101" t="n">
        <f aca="false">(Yield_Originals!$I373*Yield_Originals!U$1)/Yield_Originals!$K373</f>
        <v>0.0836838333200716</v>
      </c>
      <c r="V373" s="101" t="n">
        <f aca="false">(Yield_Originals!$I373*Yield_Originals!V$1)/Yield_Originals!$K373</f>
        <v>0.0857249024254392</v>
      </c>
      <c r="W373" s="101" t="n">
        <f aca="false">(Yield_Originals!$I373*Yield_Originals!W$1)/Yield_Originals!$K373</f>
        <v>0.0877659715308067</v>
      </c>
      <c r="X373" s="102" t="n">
        <f aca="false">(Yield_Originals!$J373*Yield_Originals!X$1)/Yield_Originals!$K373</f>
        <v>0.0916544122701242</v>
      </c>
      <c r="Y373" s="102" t="n">
        <f aca="false">(Yield_Originals!$J373*Yield_Originals!Y$1)/Yield_Originals!$K373</f>
        <v>0.0937374670944451</v>
      </c>
      <c r="Z373" s="102" t="n">
        <f aca="false">(Yield_Originals!$J373*Yield_Originals!Z$1)/Yield_Originals!$K373</f>
        <v>0.0958205219187662</v>
      </c>
      <c r="AA373" s="102" t="n">
        <f aca="false">(Yield_Originals!$J373*Yield_Originals!AA$1)/Yield_Originals!$K373</f>
        <v>0.0979035767430871</v>
      </c>
      <c r="AB373" s="102" t="n">
        <f aca="false">(Yield_Originals!$J373*Yield_Originals!AB$1)/Yield_Originals!$K373</f>
        <v>0.0999866315674081</v>
      </c>
    </row>
    <row r="374" customFormat="false" ht="15" hidden="false" customHeight="false" outlineLevel="0" collapsed="false">
      <c r="A374" s="66" t="s">
        <v>993</v>
      </c>
      <c r="B374" s="66" t="n">
        <v>1</v>
      </c>
      <c r="C374" s="93" t="s">
        <v>1353</v>
      </c>
      <c r="D374" s="93" t="s">
        <v>1004</v>
      </c>
      <c r="E374" s="94" t="n">
        <v>7</v>
      </c>
      <c r="F374" s="96" t="n">
        <v>0.0581503454291415</v>
      </c>
      <c r="G374" s="96" t="n">
        <v>0.0581503454291415</v>
      </c>
      <c r="H374" s="96" t="n">
        <f aca="false">+(Yield_Originals!I374+Yield_Originals!G374)/2</f>
        <v>0.0562894274528054</v>
      </c>
      <c r="I374" s="96" t="n">
        <v>0.0544285094764693</v>
      </c>
      <c r="J374" s="96" t="n">
        <v>0.0555481286485601</v>
      </c>
      <c r="K374" s="97" t="n">
        <v>1</v>
      </c>
      <c r="L374" s="98" t="n">
        <f aca="false">(Yield_Originals!$G374*Yield_Originals!L$1)/Yield_Originals!$K374</f>
        <v>0.0697804145149698</v>
      </c>
      <c r="M374" s="98" t="n">
        <f aca="false">(Yield_Originals!$G374*Yield_Originals!M$1)/Yield_Originals!$K374</f>
        <v>0.0719610524685626</v>
      </c>
      <c r="N374" s="98" t="n">
        <f aca="false">(Yield_Originals!$G374*Yield_Originals!N$1)/Yield_Originals!$K374</f>
        <v>0.0741416904221554</v>
      </c>
      <c r="O374" s="98" t="n">
        <f aca="false">(Yield_Originals!$G374*Yield_Originals!O$1)/Yield_Originals!$K374</f>
        <v>0.0763223283757482</v>
      </c>
      <c r="P374" s="99"/>
      <c r="Q374" s="99"/>
      <c r="R374" s="99"/>
      <c r="S374" s="99"/>
      <c r="T374" s="101"/>
      <c r="U374" s="101"/>
      <c r="V374" s="101"/>
      <c r="W374" s="101"/>
      <c r="X374" s="102"/>
      <c r="Y374" s="102"/>
      <c r="Z374" s="102"/>
      <c r="AA374" s="102"/>
      <c r="AB374" s="102"/>
    </row>
    <row r="375" customFormat="false" ht="15" hidden="false" customHeight="false" outlineLevel="0" collapsed="false">
      <c r="A375" s="66" t="s">
        <v>993</v>
      </c>
      <c r="B375" s="66" t="n">
        <v>1</v>
      </c>
      <c r="C375" s="93" t="s">
        <v>1353</v>
      </c>
      <c r="D375" s="93" t="s">
        <v>1004</v>
      </c>
      <c r="E375" s="94" t="n">
        <v>8</v>
      </c>
      <c r="F375" s="96" t="n">
        <v>0.0581503454291415</v>
      </c>
      <c r="G375" s="96" t="n">
        <v>0.0581503454291415</v>
      </c>
      <c r="H375" s="96" t="n">
        <f aca="false">+(Yield_Originals!I375+Yield_Originals!G375)/2</f>
        <v>0.0562894274528054</v>
      </c>
      <c r="I375" s="96" t="n">
        <v>0.0544285094764693</v>
      </c>
      <c r="J375" s="96" t="n">
        <v>0.0555481286485601</v>
      </c>
      <c r="K375" s="97" t="n">
        <v>1</v>
      </c>
      <c r="L375" s="98" t="n">
        <f aca="false">(Yield_Originals!$G375*Yield_Originals!L$1)/Yield_Originals!$K375</f>
        <v>0.0697804145149698</v>
      </c>
      <c r="M375" s="98" t="n">
        <f aca="false">(Yield_Originals!$G375*Yield_Originals!M$1)/Yield_Originals!$K375</f>
        <v>0.0719610524685626</v>
      </c>
      <c r="N375" s="98" t="n">
        <f aca="false">(Yield_Originals!$G375*Yield_Originals!N$1)/Yield_Originals!$K375</f>
        <v>0.0741416904221554</v>
      </c>
      <c r="O375" s="98" t="n">
        <f aca="false">(Yield_Originals!$G375*Yield_Originals!O$1)/Yield_Originals!$K375</f>
        <v>0.0763223283757482</v>
      </c>
      <c r="P375" s="99"/>
      <c r="Q375" s="99"/>
      <c r="R375" s="99"/>
      <c r="S375" s="99"/>
      <c r="T375" s="101"/>
      <c r="U375" s="101"/>
      <c r="V375" s="101"/>
      <c r="W375" s="101"/>
      <c r="X375" s="102"/>
      <c r="Y375" s="102"/>
      <c r="Z375" s="102"/>
      <c r="AA375" s="102"/>
      <c r="AB375" s="102"/>
    </row>
    <row r="376" customFormat="false" ht="15" hidden="false" customHeight="false" outlineLevel="0" collapsed="false">
      <c r="A376" s="66" t="s">
        <v>993</v>
      </c>
      <c r="B376" s="66" t="n">
        <v>1</v>
      </c>
      <c r="C376" s="93" t="s">
        <v>803</v>
      </c>
      <c r="D376" s="93" t="s">
        <v>1006</v>
      </c>
      <c r="E376" s="94" t="n">
        <v>7</v>
      </c>
      <c r="F376" s="96" t="n">
        <v>0.0581503454291415</v>
      </c>
      <c r="G376" s="96" t="n">
        <v>0.0581503454291415</v>
      </c>
      <c r="H376" s="96" t="n">
        <f aca="false">+(Yield_Originals!I376+Yield_Originals!G376)/2</f>
        <v>0.0562894274528054</v>
      </c>
      <c r="I376" s="96" t="n">
        <v>0.0544285094764693</v>
      </c>
      <c r="J376" s="96" t="n">
        <v>0.0555481286485601</v>
      </c>
      <c r="K376" s="97" t="n">
        <v>1</v>
      </c>
      <c r="L376" s="98" t="n">
        <f aca="false">(Yield_Originals!$G376*Yield_Originals!L$1)/Yield_Originals!$K376</f>
        <v>0.0697804145149698</v>
      </c>
      <c r="M376" s="98" t="n">
        <f aca="false">(Yield_Originals!$G376*Yield_Originals!M$1)/Yield_Originals!$K376</f>
        <v>0.0719610524685626</v>
      </c>
      <c r="N376" s="98" t="n">
        <f aca="false">(Yield_Originals!$G376*Yield_Originals!N$1)/Yield_Originals!$K376</f>
        <v>0.0741416904221554</v>
      </c>
      <c r="O376" s="98" t="n">
        <f aca="false">(Yield_Originals!$G376*Yield_Originals!O$1)/Yield_Originals!$K376</f>
        <v>0.0763223283757482</v>
      </c>
      <c r="P376" s="99" t="n">
        <f aca="false">(Yield_Originals!$H376*Yield_Originals!P$1)/Yield_Originals!$K376</f>
        <v>0.0759907270612873</v>
      </c>
      <c r="Q376" s="99" t="n">
        <f aca="false">(Yield_Originals!$H376*Yield_Originals!Q$1)/Yield_Originals!$K376</f>
        <v>0.0781015805907675</v>
      </c>
      <c r="R376" s="99" t="n">
        <f aca="false">(Yield_Originals!$H376*Yield_Originals!R$1)/Yield_Originals!$K376</f>
        <v>0.0802124341202477</v>
      </c>
      <c r="S376" s="99" t="n">
        <f aca="false">(Yield_Originals!$H376*Yield_Originals!S$1)/Yield_Originals!$K376</f>
        <v>0.0823232876497279</v>
      </c>
      <c r="T376" s="101" t="n">
        <f aca="false">(Yield_Originals!$I376*Yield_Originals!T$1)/Yield_Originals!$K376</f>
        <v>0.081642764214704</v>
      </c>
      <c r="U376" s="101" t="n">
        <f aca="false">(Yield_Originals!$I376*Yield_Originals!U$1)/Yield_Originals!$K376</f>
        <v>0.0836838333200716</v>
      </c>
      <c r="V376" s="101" t="n">
        <f aca="false">(Yield_Originals!$I376*Yield_Originals!V$1)/Yield_Originals!$K376</f>
        <v>0.0857249024254392</v>
      </c>
      <c r="W376" s="101" t="n">
        <f aca="false">(Yield_Originals!$I376*Yield_Originals!W$1)/Yield_Originals!$K376</f>
        <v>0.0877659715308067</v>
      </c>
      <c r="X376" s="102" t="n">
        <f aca="false">(Yield_Originals!$J376*Yield_Originals!X$1)/Yield_Originals!$K376</f>
        <v>0.0916544122701242</v>
      </c>
      <c r="Y376" s="102" t="n">
        <f aca="false">(Yield_Originals!$J376*Yield_Originals!Y$1)/Yield_Originals!$K376</f>
        <v>0.0937374670944451</v>
      </c>
      <c r="Z376" s="102" t="n">
        <f aca="false">(Yield_Originals!$J376*Yield_Originals!Z$1)/Yield_Originals!$K376</f>
        <v>0.0958205219187662</v>
      </c>
      <c r="AA376" s="102" t="n">
        <f aca="false">(Yield_Originals!$J376*Yield_Originals!AA$1)/Yield_Originals!$K376</f>
        <v>0.0979035767430871</v>
      </c>
      <c r="AB376" s="102" t="n">
        <f aca="false">(Yield_Originals!$J376*Yield_Originals!AB$1)/Yield_Originals!$K376</f>
        <v>0.0999866315674081</v>
      </c>
    </row>
    <row r="377" customFormat="false" ht="15" hidden="false" customHeight="false" outlineLevel="0" collapsed="false">
      <c r="A377" s="66" t="s">
        <v>993</v>
      </c>
      <c r="B377" s="66" t="n">
        <v>1</v>
      </c>
      <c r="C377" s="93" t="s">
        <v>803</v>
      </c>
      <c r="D377" s="93" t="s">
        <v>1006</v>
      </c>
      <c r="E377" s="94" t="n">
        <v>8</v>
      </c>
      <c r="F377" s="96" t="n">
        <v>0.0581503454291415</v>
      </c>
      <c r="G377" s="96" t="n">
        <v>0.0581503454291415</v>
      </c>
      <c r="H377" s="96" t="n">
        <f aca="false">+(Yield_Originals!I377+Yield_Originals!G377)/2</f>
        <v>0.0562894274528054</v>
      </c>
      <c r="I377" s="96" t="n">
        <v>0.0544285094764693</v>
      </c>
      <c r="J377" s="96" t="n">
        <v>0.0555481286485601</v>
      </c>
      <c r="K377" s="97" t="n">
        <v>1</v>
      </c>
      <c r="L377" s="98" t="n">
        <f aca="false">(Yield_Originals!$G377*Yield_Originals!L$1)/Yield_Originals!$K377</f>
        <v>0.0697804145149698</v>
      </c>
      <c r="M377" s="98" t="n">
        <f aca="false">(Yield_Originals!$G377*Yield_Originals!M$1)/Yield_Originals!$K377</f>
        <v>0.0719610524685626</v>
      </c>
      <c r="N377" s="98" t="n">
        <f aca="false">(Yield_Originals!$G377*Yield_Originals!N$1)/Yield_Originals!$K377</f>
        <v>0.0741416904221554</v>
      </c>
      <c r="O377" s="98" t="n">
        <f aca="false">(Yield_Originals!$G377*Yield_Originals!O$1)/Yield_Originals!$K377</f>
        <v>0.0763223283757482</v>
      </c>
      <c r="P377" s="99" t="n">
        <f aca="false">(Yield_Originals!$H377*Yield_Originals!P$1)/Yield_Originals!$K377</f>
        <v>0.0759907270612873</v>
      </c>
      <c r="Q377" s="99" t="n">
        <f aca="false">(Yield_Originals!$H377*Yield_Originals!Q$1)/Yield_Originals!$K377</f>
        <v>0.0781015805907675</v>
      </c>
      <c r="R377" s="99" t="n">
        <f aca="false">(Yield_Originals!$H377*Yield_Originals!R$1)/Yield_Originals!$K377</f>
        <v>0.0802124341202477</v>
      </c>
      <c r="S377" s="99" t="n">
        <f aca="false">(Yield_Originals!$H377*Yield_Originals!S$1)/Yield_Originals!$K377</f>
        <v>0.0823232876497279</v>
      </c>
      <c r="T377" s="101" t="n">
        <f aca="false">(Yield_Originals!$I377*Yield_Originals!T$1)/Yield_Originals!$K377</f>
        <v>0.081642764214704</v>
      </c>
      <c r="U377" s="101" t="n">
        <f aca="false">(Yield_Originals!$I377*Yield_Originals!U$1)/Yield_Originals!$K377</f>
        <v>0.0836838333200716</v>
      </c>
      <c r="V377" s="101" t="n">
        <f aca="false">(Yield_Originals!$I377*Yield_Originals!V$1)/Yield_Originals!$K377</f>
        <v>0.0857249024254392</v>
      </c>
      <c r="W377" s="101" t="n">
        <f aca="false">(Yield_Originals!$I377*Yield_Originals!W$1)/Yield_Originals!$K377</f>
        <v>0.0877659715308067</v>
      </c>
      <c r="X377" s="102" t="n">
        <f aca="false">(Yield_Originals!$J377*Yield_Originals!X$1)/Yield_Originals!$K377</f>
        <v>0.0916544122701242</v>
      </c>
      <c r="Y377" s="102" t="n">
        <f aca="false">(Yield_Originals!$J377*Yield_Originals!Y$1)/Yield_Originals!$K377</f>
        <v>0.0937374670944451</v>
      </c>
      <c r="Z377" s="102" t="n">
        <f aca="false">(Yield_Originals!$J377*Yield_Originals!Z$1)/Yield_Originals!$K377</f>
        <v>0.0958205219187662</v>
      </c>
      <c r="AA377" s="102" t="n">
        <f aca="false">(Yield_Originals!$J377*Yield_Originals!AA$1)/Yield_Originals!$K377</f>
        <v>0.0979035767430871</v>
      </c>
      <c r="AB377" s="102" t="n">
        <f aca="false">(Yield_Originals!$J377*Yield_Originals!AB$1)/Yield_Originals!$K377</f>
        <v>0.0999866315674081</v>
      </c>
    </row>
    <row r="378" customFormat="false" ht="15" hidden="false" customHeight="false" outlineLevel="0" collapsed="false">
      <c r="A378" s="66" t="s">
        <v>993</v>
      </c>
      <c r="B378" s="66" t="n">
        <v>1</v>
      </c>
      <c r="C378" s="93" t="s">
        <v>1357</v>
      </c>
      <c r="D378" s="93" t="s">
        <v>1008</v>
      </c>
      <c r="E378" s="94" t="n">
        <v>7</v>
      </c>
      <c r="F378" s="96" t="n">
        <v>0.0581503454291415</v>
      </c>
      <c r="G378" s="96" t="n">
        <v>0.0581503454291415</v>
      </c>
      <c r="H378" s="96" t="n">
        <f aca="false">+(Yield_Originals!I378+Yield_Originals!G378)/2</f>
        <v>0.0562894274528054</v>
      </c>
      <c r="I378" s="96" t="n">
        <v>0.0544285094764693</v>
      </c>
      <c r="J378" s="96" t="n">
        <v>0.0555481286485601</v>
      </c>
      <c r="K378" s="97" t="n">
        <v>1</v>
      </c>
      <c r="L378" s="98" t="n">
        <f aca="false">(Yield_Originals!$G378*Yield_Originals!L$1)/Yield_Originals!$K378</f>
        <v>0.0697804145149698</v>
      </c>
      <c r="M378" s="98" t="n">
        <f aca="false">(Yield_Originals!$G378*Yield_Originals!M$1)/Yield_Originals!$K378</f>
        <v>0.0719610524685626</v>
      </c>
      <c r="N378" s="98" t="n">
        <f aca="false">(Yield_Originals!$G378*Yield_Originals!N$1)/Yield_Originals!$K378</f>
        <v>0.0741416904221554</v>
      </c>
      <c r="O378" s="98" t="n">
        <f aca="false">(Yield_Originals!$G378*Yield_Originals!O$1)/Yield_Originals!$K378</f>
        <v>0.0763223283757482</v>
      </c>
      <c r="P378" s="99" t="n">
        <f aca="false">(Yield_Originals!$H378*Yield_Originals!P$1)/Yield_Originals!$K378</f>
        <v>0.0759907270612873</v>
      </c>
      <c r="Q378" s="99" t="n">
        <f aca="false">(Yield_Originals!$H378*Yield_Originals!Q$1)/Yield_Originals!$K378</f>
        <v>0.0781015805907675</v>
      </c>
      <c r="R378" s="99" t="n">
        <f aca="false">(Yield_Originals!$H378*Yield_Originals!R$1)/Yield_Originals!$K378</f>
        <v>0.0802124341202477</v>
      </c>
      <c r="S378" s="99" t="n">
        <f aca="false">(Yield_Originals!$H378*Yield_Originals!S$1)/Yield_Originals!$K378</f>
        <v>0.0823232876497279</v>
      </c>
      <c r="T378" s="101" t="n">
        <f aca="false">(Yield_Originals!$I378*Yield_Originals!T$1)/Yield_Originals!$K378</f>
        <v>0.081642764214704</v>
      </c>
      <c r="U378" s="101" t="n">
        <f aca="false">(Yield_Originals!$I378*Yield_Originals!U$1)/Yield_Originals!$K378</f>
        <v>0.0836838333200716</v>
      </c>
      <c r="V378" s="101" t="n">
        <f aca="false">(Yield_Originals!$I378*Yield_Originals!V$1)/Yield_Originals!$K378</f>
        <v>0.0857249024254392</v>
      </c>
      <c r="W378" s="101" t="n">
        <f aca="false">(Yield_Originals!$I378*Yield_Originals!W$1)/Yield_Originals!$K378</f>
        <v>0.0877659715308067</v>
      </c>
      <c r="X378" s="102" t="n">
        <f aca="false">(Yield_Originals!$J378*Yield_Originals!X$1)/Yield_Originals!$K378</f>
        <v>0.0916544122701242</v>
      </c>
      <c r="Y378" s="102" t="n">
        <f aca="false">(Yield_Originals!$J378*Yield_Originals!Y$1)/Yield_Originals!$K378</f>
        <v>0.0937374670944451</v>
      </c>
      <c r="Z378" s="102" t="n">
        <f aca="false">(Yield_Originals!$J378*Yield_Originals!Z$1)/Yield_Originals!$K378</f>
        <v>0.0958205219187662</v>
      </c>
      <c r="AA378" s="102" t="n">
        <f aca="false">(Yield_Originals!$J378*Yield_Originals!AA$1)/Yield_Originals!$K378</f>
        <v>0.0979035767430871</v>
      </c>
      <c r="AB378" s="102" t="n">
        <f aca="false">(Yield_Originals!$J378*Yield_Originals!AB$1)/Yield_Originals!$K378</f>
        <v>0.0999866315674081</v>
      </c>
    </row>
    <row r="379" customFormat="false" ht="15" hidden="false" customHeight="false" outlineLevel="0" collapsed="false">
      <c r="A379" s="66" t="s">
        <v>993</v>
      </c>
      <c r="B379" s="66" t="n">
        <v>1</v>
      </c>
      <c r="C379" s="93" t="s">
        <v>1357</v>
      </c>
      <c r="D379" s="93" t="s">
        <v>1008</v>
      </c>
      <c r="E379" s="94" t="n">
        <v>8</v>
      </c>
      <c r="F379" s="96" t="n">
        <v>0.0581503454291415</v>
      </c>
      <c r="G379" s="96" t="n">
        <v>0.0581503454291415</v>
      </c>
      <c r="H379" s="96" t="n">
        <f aca="false">+(Yield_Originals!I379+Yield_Originals!G379)/2</f>
        <v>0.0562894274528054</v>
      </c>
      <c r="I379" s="96" t="n">
        <v>0.0544285094764693</v>
      </c>
      <c r="J379" s="96" t="n">
        <v>0.0555481286485601</v>
      </c>
      <c r="K379" s="97" t="n">
        <v>1</v>
      </c>
      <c r="L379" s="98" t="n">
        <f aca="false">(Yield_Originals!$G379*Yield_Originals!L$1)/Yield_Originals!$K379</f>
        <v>0.0697804145149698</v>
      </c>
      <c r="M379" s="98" t="n">
        <f aca="false">(Yield_Originals!$G379*Yield_Originals!M$1)/Yield_Originals!$K379</f>
        <v>0.0719610524685626</v>
      </c>
      <c r="N379" s="98" t="n">
        <f aca="false">(Yield_Originals!$G379*Yield_Originals!N$1)/Yield_Originals!$K379</f>
        <v>0.0741416904221554</v>
      </c>
      <c r="O379" s="98" t="n">
        <f aca="false">(Yield_Originals!$G379*Yield_Originals!O$1)/Yield_Originals!$K379</f>
        <v>0.0763223283757482</v>
      </c>
      <c r="P379" s="99" t="n">
        <f aca="false">(Yield_Originals!$H379*Yield_Originals!P$1)/Yield_Originals!$K379</f>
        <v>0.0759907270612873</v>
      </c>
      <c r="Q379" s="99" t="n">
        <f aca="false">(Yield_Originals!$H379*Yield_Originals!Q$1)/Yield_Originals!$K379</f>
        <v>0.0781015805907675</v>
      </c>
      <c r="R379" s="99" t="n">
        <f aca="false">(Yield_Originals!$H379*Yield_Originals!R$1)/Yield_Originals!$K379</f>
        <v>0.0802124341202477</v>
      </c>
      <c r="S379" s="99" t="n">
        <f aca="false">(Yield_Originals!$H379*Yield_Originals!S$1)/Yield_Originals!$K379</f>
        <v>0.0823232876497279</v>
      </c>
      <c r="T379" s="101" t="n">
        <f aca="false">(Yield_Originals!$I379*Yield_Originals!T$1)/Yield_Originals!$K379</f>
        <v>0.081642764214704</v>
      </c>
      <c r="U379" s="101" t="n">
        <f aca="false">(Yield_Originals!$I379*Yield_Originals!U$1)/Yield_Originals!$K379</f>
        <v>0.0836838333200716</v>
      </c>
      <c r="V379" s="101" t="n">
        <f aca="false">(Yield_Originals!$I379*Yield_Originals!V$1)/Yield_Originals!$K379</f>
        <v>0.0857249024254392</v>
      </c>
      <c r="W379" s="101" t="n">
        <f aca="false">(Yield_Originals!$I379*Yield_Originals!W$1)/Yield_Originals!$K379</f>
        <v>0.0877659715308067</v>
      </c>
      <c r="X379" s="102" t="n">
        <f aca="false">(Yield_Originals!$J379*Yield_Originals!X$1)/Yield_Originals!$K379</f>
        <v>0.0916544122701242</v>
      </c>
      <c r="Y379" s="102" t="n">
        <f aca="false">(Yield_Originals!$J379*Yield_Originals!Y$1)/Yield_Originals!$K379</f>
        <v>0.0937374670944451</v>
      </c>
      <c r="Z379" s="102" t="n">
        <f aca="false">(Yield_Originals!$J379*Yield_Originals!Z$1)/Yield_Originals!$K379</f>
        <v>0.0958205219187662</v>
      </c>
      <c r="AA379" s="102" t="n">
        <f aca="false">(Yield_Originals!$J379*Yield_Originals!AA$1)/Yield_Originals!$K379</f>
        <v>0.0979035767430871</v>
      </c>
      <c r="AB379" s="102" t="n">
        <f aca="false">(Yield_Originals!$J379*Yield_Originals!AB$1)/Yield_Originals!$K379</f>
        <v>0.0999866315674081</v>
      </c>
    </row>
    <row r="380" customFormat="false" ht="15" hidden="false" customHeight="false" outlineLevel="0" collapsed="false">
      <c r="A380" s="66" t="s">
        <v>993</v>
      </c>
      <c r="B380" s="66" t="n">
        <v>1</v>
      </c>
      <c r="C380" s="93" t="s">
        <v>200</v>
      </c>
      <c r="D380" s="93" t="s">
        <v>1011</v>
      </c>
      <c r="E380" s="94" t="n">
        <v>7</v>
      </c>
      <c r="F380" s="96" t="n">
        <v>0.0581503454291415</v>
      </c>
      <c r="G380" s="96" t="n">
        <v>0.0581503454291415</v>
      </c>
      <c r="H380" s="96" t="n">
        <f aca="false">+(Yield_Originals!I380+Yield_Originals!G380)/2</f>
        <v>0.0562894274528054</v>
      </c>
      <c r="I380" s="96" t="n">
        <v>0.0544285094764693</v>
      </c>
      <c r="J380" s="96" t="n">
        <v>0.0555481286485601</v>
      </c>
      <c r="K380" s="97" t="n">
        <v>1</v>
      </c>
      <c r="L380" s="98"/>
      <c r="M380" s="98"/>
      <c r="N380" s="98"/>
      <c r="O380" s="98"/>
      <c r="P380" s="99"/>
      <c r="Q380" s="99"/>
      <c r="R380" s="99"/>
      <c r="S380" s="99"/>
      <c r="T380" s="101"/>
      <c r="U380" s="101" t="n">
        <f aca="false">(Yield_Originals!$I380*Yield_Originals!U$1)/Yield_Originals!$K380</f>
        <v>0.0836838333200716</v>
      </c>
      <c r="V380" s="101" t="n">
        <f aca="false">(Yield_Originals!$I380*Yield_Originals!V$1)/Yield_Originals!$K380</f>
        <v>0.0857249024254392</v>
      </c>
      <c r="W380" s="101" t="n">
        <f aca="false">(Yield_Originals!$I380*Yield_Originals!W$1)/Yield_Originals!$K380</f>
        <v>0.0877659715308067</v>
      </c>
      <c r="X380" s="102" t="n">
        <f aca="false">(Yield_Originals!$J380*Yield_Originals!X$1)/Yield_Originals!$K380</f>
        <v>0.0916544122701242</v>
      </c>
      <c r="Y380" s="102" t="n">
        <f aca="false">(Yield_Originals!$J380*Yield_Originals!Y$1)/Yield_Originals!$K380</f>
        <v>0.0937374670944451</v>
      </c>
      <c r="Z380" s="102" t="n">
        <f aca="false">(Yield_Originals!$J380*Yield_Originals!Z$1)/Yield_Originals!$K380</f>
        <v>0.0958205219187662</v>
      </c>
      <c r="AA380" s="102" t="n">
        <f aca="false">(Yield_Originals!$J380*Yield_Originals!AA$1)/Yield_Originals!$K380</f>
        <v>0.0979035767430871</v>
      </c>
      <c r="AB380" s="102" t="n">
        <f aca="false">(Yield_Originals!$J380*Yield_Originals!AB$1)/Yield_Originals!$K380</f>
        <v>0.0999866315674081</v>
      </c>
    </row>
    <row r="381" customFormat="false" ht="15" hidden="false" customHeight="false" outlineLevel="0" collapsed="false">
      <c r="A381" s="66" t="s">
        <v>993</v>
      </c>
      <c r="B381" s="66" t="n">
        <v>1</v>
      </c>
      <c r="C381" s="93" t="s">
        <v>200</v>
      </c>
      <c r="D381" s="93" t="s">
        <v>1011</v>
      </c>
      <c r="E381" s="94" t="n">
        <v>8</v>
      </c>
      <c r="F381" s="96" t="n">
        <v>0.0581503454291415</v>
      </c>
      <c r="G381" s="96" t="n">
        <v>0.0581503454291415</v>
      </c>
      <c r="H381" s="96" t="n">
        <f aca="false">+(Yield_Originals!I381+Yield_Originals!G381)/2</f>
        <v>0.0562894274528054</v>
      </c>
      <c r="I381" s="96" t="n">
        <v>0.0544285094764693</v>
      </c>
      <c r="J381" s="96" t="n">
        <v>0.0555481286485601</v>
      </c>
      <c r="K381" s="97" t="n">
        <v>1</v>
      </c>
      <c r="L381" s="98"/>
      <c r="M381" s="98"/>
      <c r="N381" s="98"/>
      <c r="O381" s="98"/>
      <c r="P381" s="99"/>
      <c r="Q381" s="99"/>
      <c r="R381" s="99"/>
      <c r="S381" s="99"/>
      <c r="T381" s="101"/>
      <c r="U381" s="101" t="n">
        <f aca="false">(Yield_Originals!$I381*Yield_Originals!U$1)/Yield_Originals!$K381</f>
        <v>0.0836838333200716</v>
      </c>
      <c r="V381" s="101" t="n">
        <f aca="false">(Yield_Originals!$I381*Yield_Originals!V$1)/Yield_Originals!$K381</f>
        <v>0.0857249024254392</v>
      </c>
      <c r="W381" s="101" t="n">
        <f aca="false">(Yield_Originals!$I381*Yield_Originals!W$1)/Yield_Originals!$K381</f>
        <v>0.0877659715308067</v>
      </c>
      <c r="X381" s="102" t="n">
        <f aca="false">(Yield_Originals!$J381*Yield_Originals!X$1)/Yield_Originals!$K381</f>
        <v>0.0916544122701242</v>
      </c>
      <c r="Y381" s="102" t="n">
        <f aca="false">(Yield_Originals!$J381*Yield_Originals!Y$1)/Yield_Originals!$K381</f>
        <v>0.0937374670944451</v>
      </c>
      <c r="Z381" s="102" t="n">
        <f aca="false">(Yield_Originals!$J381*Yield_Originals!Z$1)/Yield_Originals!$K381</f>
        <v>0.0958205219187662</v>
      </c>
      <c r="AA381" s="102" t="n">
        <f aca="false">(Yield_Originals!$J381*Yield_Originals!AA$1)/Yield_Originals!$K381</f>
        <v>0.0979035767430871</v>
      </c>
      <c r="AB381" s="102" t="n">
        <f aca="false">(Yield_Originals!$J381*Yield_Originals!AB$1)/Yield_Originals!$K381</f>
        <v>0.0999866315674081</v>
      </c>
    </row>
    <row r="382" customFormat="false" ht="15" hidden="false" customHeight="false" outlineLevel="0" collapsed="false">
      <c r="A382" s="66" t="s">
        <v>993</v>
      </c>
      <c r="B382" s="66" t="n">
        <v>1</v>
      </c>
      <c r="C382" s="93" t="s">
        <v>1363</v>
      </c>
      <c r="D382" s="93" t="s">
        <v>1014</v>
      </c>
      <c r="E382" s="94" t="n">
        <v>7</v>
      </c>
      <c r="F382" s="96" t="n">
        <v>0.0581503454291415</v>
      </c>
      <c r="G382" s="96" t="n">
        <v>0.0581503454291415</v>
      </c>
      <c r="H382" s="96" t="n">
        <f aca="false">+(Yield_Originals!I382+Yield_Originals!G382)/2</f>
        <v>0.0562894274528054</v>
      </c>
      <c r="I382" s="96" t="n">
        <v>0.0544285094764693</v>
      </c>
      <c r="J382" s="96" t="n">
        <v>0.0555481286485601</v>
      </c>
      <c r="K382" s="97" t="n">
        <v>1</v>
      </c>
      <c r="L382" s="98"/>
      <c r="M382" s="98"/>
      <c r="N382" s="98"/>
      <c r="O382" s="98"/>
      <c r="P382" s="99"/>
      <c r="Q382" s="99"/>
      <c r="R382" s="99"/>
      <c r="S382" s="99"/>
      <c r="T382" s="101"/>
      <c r="U382" s="101" t="n">
        <f aca="false">(Yield_Originals!$I382*Yield_Originals!U$1)/Yield_Originals!$K382</f>
        <v>0.0836838333200716</v>
      </c>
      <c r="V382" s="101" t="n">
        <f aca="false">(Yield_Originals!$I382*Yield_Originals!V$1)/Yield_Originals!$K382</f>
        <v>0.0857249024254392</v>
      </c>
      <c r="W382" s="101" t="n">
        <f aca="false">(Yield_Originals!$I382*Yield_Originals!W$1)/Yield_Originals!$K382</f>
        <v>0.0877659715308067</v>
      </c>
      <c r="X382" s="102" t="n">
        <f aca="false">(Yield_Originals!$J382*Yield_Originals!X$1)/Yield_Originals!$K382</f>
        <v>0.0916544122701242</v>
      </c>
      <c r="Y382" s="102" t="n">
        <f aca="false">(Yield_Originals!$J382*Yield_Originals!Y$1)/Yield_Originals!$K382</f>
        <v>0.0937374670944451</v>
      </c>
      <c r="Z382" s="102" t="n">
        <f aca="false">(Yield_Originals!$J382*Yield_Originals!Z$1)/Yield_Originals!$K382</f>
        <v>0.0958205219187662</v>
      </c>
      <c r="AA382" s="102" t="n">
        <f aca="false">(Yield_Originals!$J382*Yield_Originals!AA$1)/Yield_Originals!$K382</f>
        <v>0.0979035767430871</v>
      </c>
      <c r="AB382" s="102" t="n">
        <f aca="false">(Yield_Originals!$J382*Yield_Originals!AB$1)/Yield_Originals!$K382</f>
        <v>0.0999866315674081</v>
      </c>
    </row>
    <row r="383" customFormat="false" ht="15" hidden="false" customHeight="false" outlineLevel="0" collapsed="false">
      <c r="A383" s="66" t="s">
        <v>993</v>
      </c>
      <c r="B383" s="66" t="n">
        <v>1</v>
      </c>
      <c r="C383" s="93" t="s">
        <v>1363</v>
      </c>
      <c r="D383" s="93" t="s">
        <v>1014</v>
      </c>
      <c r="E383" s="94" t="n">
        <v>8</v>
      </c>
      <c r="F383" s="96" t="n">
        <v>0.0581503454291415</v>
      </c>
      <c r="G383" s="96" t="n">
        <v>0.0581503454291415</v>
      </c>
      <c r="H383" s="96" t="n">
        <f aca="false">+(Yield_Originals!I383+Yield_Originals!G383)/2</f>
        <v>0.0562894274528054</v>
      </c>
      <c r="I383" s="96" t="n">
        <v>0.0544285094764693</v>
      </c>
      <c r="J383" s="96" t="n">
        <v>0.0555481286485601</v>
      </c>
      <c r="K383" s="97" t="n">
        <v>1</v>
      </c>
      <c r="L383" s="98"/>
      <c r="M383" s="98"/>
      <c r="N383" s="98"/>
      <c r="O383" s="98"/>
      <c r="P383" s="99"/>
      <c r="Q383" s="99"/>
      <c r="R383" s="99"/>
      <c r="S383" s="99"/>
      <c r="T383" s="101"/>
      <c r="U383" s="101" t="n">
        <f aca="false">(Yield_Originals!$I383*Yield_Originals!U$1)/Yield_Originals!$K383</f>
        <v>0.0836838333200716</v>
      </c>
      <c r="V383" s="101" t="n">
        <f aca="false">(Yield_Originals!$I383*Yield_Originals!V$1)/Yield_Originals!$K383</f>
        <v>0.0857249024254392</v>
      </c>
      <c r="W383" s="101" t="n">
        <f aca="false">(Yield_Originals!$I383*Yield_Originals!W$1)/Yield_Originals!$K383</f>
        <v>0.0877659715308067</v>
      </c>
      <c r="X383" s="102" t="n">
        <f aca="false">(Yield_Originals!$J383*Yield_Originals!X$1)/Yield_Originals!$K383</f>
        <v>0.0916544122701242</v>
      </c>
      <c r="Y383" s="102" t="n">
        <f aca="false">(Yield_Originals!$J383*Yield_Originals!Y$1)/Yield_Originals!$K383</f>
        <v>0.0937374670944451</v>
      </c>
      <c r="Z383" s="102" t="n">
        <f aca="false">(Yield_Originals!$J383*Yield_Originals!Z$1)/Yield_Originals!$K383</f>
        <v>0.0958205219187662</v>
      </c>
      <c r="AA383" s="102" t="n">
        <f aca="false">(Yield_Originals!$J383*Yield_Originals!AA$1)/Yield_Originals!$K383</f>
        <v>0.0979035767430871</v>
      </c>
      <c r="AB383" s="102" t="n">
        <f aca="false">(Yield_Originals!$J383*Yield_Originals!AB$1)/Yield_Originals!$K383</f>
        <v>0.0999866315674081</v>
      </c>
    </row>
    <row r="384" customFormat="false" ht="15" hidden="false" customHeight="false" outlineLevel="0" collapsed="false">
      <c r="A384" s="66" t="s">
        <v>1020</v>
      </c>
      <c r="B384" s="66" t="n">
        <v>1</v>
      </c>
      <c r="C384" s="93" t="s">
        <v>1365</v>
      </c>
      <c r="D384" s="93" t="s">
        <v>1025</v>
      </c>
      <c r="E384" s="94" t="n">
        <v>8</v>
      </c>
      <c r="F384" s="96" t="n">
        <v>0.0348902228389165</v>
      </c>
      <c r="G384" s="96" t="n">
        <v>0.0348902228389165</v>
      </c>
      <c r="H384" s="96" t="n">
        <f aca="false">+(Yield_Originals!I384+Yield_Originals!G384)/2</f>
        <v>0.0342887375100484</v>
      </c>
      <c r="I384" s="96" t="n">
        <v>0.0336872521811804</v>
      </c>
      <c r="J384" s="96" t="n">
        <v>0.0344058354486358</v>
      </c>
      <c r="K384" s="97" t="n">
        <v>1</v>
      </c>
      <c r="L384" s="98"/>
      <c r="M384" s="98"/>
      <c r="N384" s="98"/>
      <c r="O384" s="98"/>
      <c r="P384" s="99"/>
      <c r="Q384" s="99"/>
      <c r="R384" s="99"/>
      <c r="S384" s="99"/>
      <c r="T384" s="101"/>
      <c r="U384" s="101" t="n">
        <f aca="false">(Yield_Originals!$I384*Yield_Originals!U$1)/Yield_Originals!$K384</f>
        <v>0.0517941502285649</v>
      </c>
      <c r="V384" s="101" t="n">
        <f aca="false">(Yield_Originals!$I384*Yield_Originals!V$1)/Yield_Originals!$K384</f>
        <v>0.0530574221853591</v>
      </c>
      <c r="W384" s="101" t="n">
        <f aca="false">(Yield_Originals!$I384*Yield_Originals!W$1)/Yield_Originals!$K384</f>
        <v>0.0543206941421534</v>
      </c>
      <c r="X384" s="102" t="n">
        <f aca="false">(Yield_Originals!$J384*Yield_Originals!X$1)/Yield_Originals!$K384</f>
        <v>0.0567696284902491</v>
      </c>
      <c r="Y384" s="102" t="n">
        <f aca="false">(Yield_Originals!$J384*Yield_Originals!Y$1)/Yield_Originals!$K384</f>
        <v>0.0580598473195729</v>
      </c>
      <c r="Z384" s="102" t="n">
        <f aca="false">(Yield_Originals!$J384*Yield_Originals!Z$1)/Yield_Originals!$K384</f>
        <v>0.0593500661488967</v>
      </c>
      <c r="AA384" s="102" t="n">
        <f aca="false">(Yield_Originals!$J384*Yield_Originals!AA$1)/Yield_Originals!$K384</f>
        <v>0.0606402849782206</v>
      </c>
      <c r="AB384" s="102" t="n">
        <f aca="false">(Yield_Originals!$J384*Yield_Originals!AB$1)/Yield_Originals!$K384</f>
        <v>0.0619305038075444</v>
      </c>
    </row>
    <row r="385" customFormat="false" ht="15" hidden="false" customHeight="false" outlineLevel="0" collapsed="false">
      <c r="A385" s="66" t="s">
        <v>1020</v>
      </c>
      <c r="B385" s="66" t="n">
        <v>1</v>
      </c>
      <c r="C385" s="93" t="s">
        <v>806</v>
      </c>
      <c r="D385" s="93" t="s">
        <v>1027</v>
      </c>
      <c r="E385" s="94" t="n">
        <v>8</v>
      </c>
      <c r="F385" s="96" t="n">
        <v>0.0348902228389165</v>
      </c>
      <c r="G385" s="96" t="n">
        <v>0.0348902228389165</v>
      </c>
      <c r="H385" s="96" t="n">
        <f aca="false">+(Yield_Originals!I385+Yield_Originals!G385)/2</f>
        <v>0.0342887375100484</v>
      </c>
      <c r="I385" s="96" t="n">
        <v>0.0336872521811804</v>
      </c>
      <c r="J385" s="96" t="n">
        <v>0.0344058354486358</v>
      </c>
      <c r="K385" s="97" t="n">
        <v>1</v>
      </c>
      <c r="L385" s="98" t="n">
        <f aca="false">(Yield_Originals!$G385*Yield_Originals!L$1)/Yield_Originals!$K385</f>
        <v>0.0418682674066998</v>
      </c>
      <c r="M385" s="98" t="n">
        <f aca="false">(Yield_Originals!$G385*Yield_Originals!M$1)/Yield_Originals!$K385</f>
        <v>0.0431766507631592</v>
      </c>
      <c r="N385" s="98" t="n">
        <f aca="false">(Yield_Originals!$G385*Yield_Originals!N$1)/Yield_Originals!$K385</f>
        <v>0.0444850341196185</v>
      </c>
      <c r="O385" s="98" t="n">
        <f aca="false">(Yield_Originals!$G385*Yield_Originals!O$1)/Yield_Originals!$K385</f>
        <v>0.0457934174760779</v>
      </c>
      <c r="P385" s="99" t="n">
        <f aca="false">(Yield_Originals!$H385*Yield_Originals!P$1)/Yield_Originals!$K385</f>
        <v>0.0462897956385654</v>
      </c>
      <c r="Q385" s="99" t="n">
        <f aca="false">(Yield_Originals!$H385*Yield_Originals!Q$1)/Yield_Originals!$K385</f>
        <v>0.0475756232951922</v>
      </c>
      <c r="R385" s="99" t="n">
        <f aca="false">(Yield_Originals!$H385*Yield_Originals!R$1)/Yield_Originals!$K385</f>
        <v>0.0488614509518191</v>
      </c>
      <c r="S385" s="99" t="n">
        <f aca="false">(Yield_Originals!$H385*Yield_Originals!S$1)/Yield_Originals!$K385</f>
        <v>0.0501472786084459</v>
      </c>
      <c r="T385" s="101" t="n">
        <f aca="false">(Yield_Originals!$I385*Yield_Originals!T$1)/Yield_Originals!$K385</f>
        <v>0.0505308782717706</v>
      </c>
      <c r="U385" s="101" t="n">
        <f aca="false">(Yield_Originals!$I385*Yield_Originals!U$1)/Yield_Originals!$K385</f>
        <v>0.0517941502285649</v>
      </c>
      <c r="V385" s="101" t="n">
        <f aca="false">(Yield_Originals!$I385*Yield_Originals!V$1)/Yield_Originals!$K385</f>
        <v>0.0530574221853591</v>
      </c>
      <c r="W385" s="101" t="n">
        <f aca="false">(Yield_Originals!$I385*Yield_Originals!W$1)/Yield_Originals!$K385</f>
        <v>0.0543206941421534</v>
      </c>
      <c r="X385" s="102" t="n">
        <f aca="false">(Yield_Originals!$J385*Yield_Originals!X$1)/Yield_Originals!$K385</f>
        <v>0.0567696284902491</v>
      </c>
      <c r="Y385" s="102" t="n">
        <f aca="false">(Yield_Originals!$J385*Yield_Originals!Y$1)/Yield_Originals!$K385</f>
        <v>0.0580598473195729</v>
      </c>
      <c r="Z385" s="102" t="n">
        <f aca="false">(Yield_Originals!$J385*Yield_Originals!Z$1)/Yield_Originals!$K385</f>
        <v>0.0593500661488967</v>
      </c>
      <c r="AA385" s="102" t="n">
        <f aca="false">(Yield_Originals!$J385*Yield_Originals!AA$1)/Yield_Originals!$K385</f>
        <v>0.0606402849782206</v>
      </c>
      <c r="AB385" s="102" t="n">
        <f aca="false">(Yield_Originals!$J385*Yield_Originals!AB$1)/Yield_Originals!$K385</f>
        <v>0.0619305038075444</v>
      </c>
    </row>
    <row r="386" customFormat="false" ht="15" hidden="false" customHeight="false" outlineLevel="0" collapsed="false">
      <c r="A386" s="66" t="s">
        <v>1020</v>
      </c>
      <c r="B386" s="66" t="n">
        <v>1</v>
      </c>
      <c r="C386" s="93" t="s">
        <v>347</v>
      </c>
      <c r="D386" s="93" t="s">
        <v>1029</v>
      </c>
      <c r="E386" s="94" t="n">
        <v>8</v>
      </c>
      <c r="F386" s="96" t="n">
        <v>0.0348902228389165</v>
      </c>
      <c r="G386" s="96" t="n">
        <v>0.0348902228389165</v>
      </c>
      <c r="H386" s="96" t="n">
        <f aca="false">+(Yield_Originals!I386+Yield_Originals!G386)/2</f>
        <v>0.0342887375100484</v>
      </c>
      <c r="I386" s="96" t="n">
        <v>0.0336872521811804</v>
      </c>
      <c r="J386" s="96" t="n">
        <v>0.0344058354486358</v>
      </c>
      <c r="K386" s="97" t="n">
        <v>1</v>
      </c>
      <c r="L386" s="98" t="n">
        <f aca="false">(Yield_Originals!$G386*Yield_Originals!L$1)/Yield_Originals!$K386</f>
        <v>0.0418682674066998</v>
      </c>
      <c r="M386" s="98" t="n">
        <f aca="false">(Yield_Originals!$G386*Yield_Originals!M$1)/Yield_Originals!$K386</f>
        <v>0.0431766507631592</v>
      </c>
      <c r="N386" s="98" t="n">
        <f aca="false">(Yield_Originals!$G386*Yield_Originals!N$1)/Yield_Originals!$K386</f>
        <v>0.0444850341196185</v>
      </c>
      <c r="O386" s="98" t="n">
        <f aca="false">(Yield_Originals!$G386*Yield_Originals!O$1)/Yield_Originals!$K386</f>
        <v>0.0457934174760779</v>
      </c>
      <c r="P386" s="99" t="n">
        <f aca="false">(Yield_Originals!$H386*Yield_Originals!P$1)/Yield_Originals!$K386</f>
        <v>0.0462897956385654</v>
      </c>
      <c r="Q386" s="99" t="n">
        <f aca="false">(Yield_Originals!$H386*Yield_Originals!Q$1)/Yield_Originals!$K386</f>
        <v>0.0475756232951922</v>
      </c>
      <c r="R386" s="99" t="n">
        <f aca="false">(Yield_Originals!$H386*Yield_Originals!R$1)/Yield_Originals!$K386</f>
        <v>0.0488614509518191</v>
      </c>
      <c r="S386" s="99" t="n">
        <f aca="false">(Yield_Originals!$H386*Yield_Originals!S$1)/Yield_Originals!$K386</f>
        <v>0.0501472786084459</v>
      </c>
      <c r="T386" s="101" t="n">
        <f aca="false">(Yield_Originals!$I386*Yield_Originals!T$1)/Yield_Originals!$K386</f>
        <v>0.0505308782717706</v>
      </c>
      <c r="U386" s="101" t="n">
        <f aca="false">(Yield_Originals!$I386*Yield_Originals!U$1)/Yield_Originals!$K386</f>
        <v>0.0517941502285649</v>
      </c>
      <c r="V386" s="101" t="n">
        <f aca="false">(Yield_Originals!$I386*Yield_Originals!V$1)/Yield_Originals!$K386</f>
        <v>0.0530574221853591</v>
      </c>
      <c r="W386" s="101" t="n">
        <f aca="false">(Yield_Originals!$I386*Yield_Originals!W$1)/Yield_Originals!$K386</f>
        <v>0.0543206941421534</v>
      </c>
      <c r="X386" s="102" t="n">
        <f aca="false">(Yield_Originals!$J386*Yield_Originals!X$1)/Yield_Originals!$K386</f>
        <v>0.0567696284902491</v>
      </c>
      <c r="Y386" s="102" t="n">
        <f aca="false">(Yield_Originals!$J386*Yield_Originals!Y$1)/Yield_Originals!$K386</f>
        <v>0.0580598473195729</v>
      </c>
      <c r="Z386" s="102" t="n">
        <f aca="false">(Yield_Originals!$J386*Yield_Originals!Z$1)/Yield_Originals!$K386</f>
        <v>0.0593500661488967</v>
      </c>
      <c r="AA386" s="102" t="n">
        <f aca="false">(Yield_Originals!$J386*Yield_Originals!AA$1)/Yield_Originals!$K386</f>
        <v>0.0606402849782206</v>
      </c>
      <c r="AB386" s="102" t="n">
        <f aca="false">(Yield_Originals!$J386*Yield_Originals!AB$1)/Yield_Originals!$K386</f>
        <v>0.0619305038075444</v>
      </c>
    </row>
    <row r="387" customFormat="false" ht="15" hidden="false" customHeight="false" outlineLevel="0" collapsed="false">
      <c r="A387" s="66" t="s">
        <v>1020</v>
      </c>
      <c r="B387" s="66" t="n">
        <v>1</v>
      </c>
      <c r="C387" s="93" t="s">
        <v>201</v>
      </c>
      <c r="D387" s="93" t="s">
        <v>1019</v>
      </c>
      <c r="E387" s="94" t="n">
        <v>8</v>
      </c>
      <c r="F387" s="96" t="n">
        <v>0.0348902228389165</v>
      </c>
      <c r="G387" s="96" t="n">
        <v>0.0348902228389165</v>
      </c>
      <c r="H387" s="96" t="n">
        <f aca="false">+(Yield_Originals!I387+Yield_Originals!G387)/2</f>
        <v>0.0342887375100484</v>
      </c>
      <c r="I387" s="96" t="n">
        <v>0.0336872521811804</v>
      </c>
      <c r="J387" s="96" t="n">
        <v>0.0344058354486358</v>
      </c>
      <c r="K387" s="97" t="n">
        <v>1</v>
      </c>
      <c r="L387" s="98" t="n">
        <f aca="false">(Yield_Originals!$G387*Yield_Originals!L$1)/Yield_Originals!$K387</f>
        <v>0.0418682674066998</v>
      </c>
      <c r="M387" s="98" t="n">
        <f aca="false">(Yield_Originals!$G387*Yield_Originals!M$1)/Yield_Originals!$K387</f>
        <v>0.0431766507631592</v>
      </c>
      <c r="N387" s="98" t="n">
        <f aca="false">(Yield_Originals!$G387*Yield_Originals!N$1)/Yield_Originals!$K387</f>
        <v>0.0444850341196185</v>
      </c>
      <c r="O387" s="98" t="n">
        <f aca="false">(Yield_Originals!$G387*Yield_Originals!O$1)/Yield_Originals!$K387</f>
        <v>0.0457934174760779</v>
      </c>
      <c r="P387" s="99" t="n">
        <f aca="false">(Yield_Originals!$H387*Yield_Originals!P$1)/Yield_Originals!$K387</f>
        <v>0.0462897956385654</v>
      </c>
      <c r="Q387" s="99" t="n">
        <f aca="false">(Yield_Originals!$H387*Yield_Originals!Q$1)/Yield_Originals!$K387</f>
        <v>0.0475756232951922</v>
      </c>
      <c r="R387" s="99" t="n">
        <f aca="false">(Yield_Originals!$H387*Yield_Originals!R$1)/Yield_Originals!$K387</f>
        <v>0.0488614509518191</v>
      </c>
      <c r="S387" s="99" t="n">
        <f aca="false">(Yield_Originals!$H387*Yield_Originals!S$1)/Yield_Originals!$K387</f>
        <v>0.0501472786084459</v>
      </c>
      <c r="T387" s="101" t="n">
        <f aca="false">(Yield_Originals!$I387*Yield_Originals!T$1)/Yield_Originals!$K387</f>
        <v>0.0505308782717706</v>
      </c>
      <c r="U387" s="101" t="n">
        <f aca="false">(Yield_Originals!$I387*Yield_Originals!U$1)/Yield_Originals!$K387</f>
        <v>0.0517941502285649</v>
      </c>
      <c r="V387" s="101" t="n">
        <f aca="false">(Yield_Originals!$I387*Yield_Originals!V$1)/Yield_Originals!$K387</f>
        <v>0.0530574221853591</v>
      </c>
      <c r="W387" s="101" t="n">
        <f aca="false">(Yield_Originals!$I387*Yield_Originals!W$1)/Yield_Originals!$K387</f>
        <v>0.0543206941421534</v>
      </c>
      <c r="X387" s="102" t="n">
        <f aca="false">(Yield_Originals!$J387*Yield_Originals!X$1)/Yield_Originals!$K387</f>
        <v>0.0567696284902491</v>
      </c>
      <c r="Y387" s="102" t="n">
        <f aca="false">(Yield_Originals!$J387*Yield_Originals!Y$1)/Yield_Originals!$K387</f>
        <v>0.0580598473195729</v>
      </c>
      <c r="Z387" s="102" t="n">
        <f aca="false">(Yield_Originals!$J387*Yield_Originals!Z$1)/Yield_Originals!$K387</f>
        <v>0.0593500661488967</v>
      </c>
      <c r="AA387" s="102" t="n">
        <f aca="false">(Yield_Originals!$J387*Yield_Originals!AA$1)/Yield_Originals!$K387</f>
        <v>0.0606402849782206</v>
      </c>
      <c r="AB387" s="102" t="n">
        <f aca="false">(Yield_Originals!$J387*Yield_Originals!AB$1)/Yield_Originals!$K387</f>
        <v>0.0619305038075444</v>
      </c>
    </row>
    <row r="388" customFormat="false" ht="15" hidden="false" customHeight="false" outlineLevel="0" collapsed="false">
      <c r="A388" s="66" t="s">
        <v>1020</v>
      </c>
      <c r="B388" s="66" t="n">
        <v>1</v>
      </c>
      <c r="C388" s="93" t="s">
        <v>331</v>
      </c>
      <c r="D388" s="93" t="s">
        <v>1023</v>
      </c>
      <c r="E388" s="94" t="n">
        <v>8</v>
      </c>
      <c r="F388" s="96" t="n">
        <v>0.0348902228389165</v>
      </c>
      <c r="G388" s="96" t="n">
        <v>0.0348902228389165</v>
      </c>
      <c r="H388" s="96" t="n">
        <f aca="false">+(Yield_Originals!I388+Yield_Originals!G388)/2</f>
        <v>0.0342887375100484</v>
      </c>
      <c r="I388" s="96" t="n">
        <v>0.0336872521811804</v>
      </c>
      <c r="J388" s="96" t="n">
        <v>0.0344058354486358</v>
      </c>
      <c r="K388" s="97" t="n">
        <v>1</v>
      </c>
      <c r="L388" s="98" t="n">
        <f aca="false">(Yield_Originals!$G388*Yield_Originals!L$1)/Yield_Originals!$K388</f>
        <v>0.0418682674066998</v>
      </c>
      <c r="M388" s="98" t="n">
        <f aca="false">(Yield_Originals!$G388*Yield_Originals!M$1)/Yield_Originals!$K388</f>
        <v>0.0431766507631592</v>
      </c>
      <c r="N388" s="98" t="n">
        <f aca="false">(Yield_Originals!$G388*Yield_Originals!N$1)/Yield_Originals!$K388</f>
        <v>0.0444850341196185</v>
      </c>
      <c r="O388" s="98" t="n">
        <f aca="false">(Yield_Originals!$G388*Yield_Originals!O$1)/Yield_Originals!$K388</f>
        <v>0.0457934174760779</v>
      </c>
      <c r="P388" s="99" t="n">
        <f aca="false">(Yield_Originals!$H388*Yield_Originals!P$1)/Yield_Originals!$K388</f>
        <v>0.0462897956385654</v>
      </c>
      <c r="Q388" s="99" t="n">
        <f aca="false">(Yield_Originals!$H388*Yield_Originals!Q$1)/Yield_Originals!$K388</f>
        <v>0.0475756232951922</v>
      </c>
      <c r="R388" s="99" t="n">
        <f aca="false">(Yield_Originals!$H388*Yield_Originals!R$1)/Yield_Originals!$K388</f>
        <v>0.0488614509518191</v>
      </c>
      <c r="S388" s="99" t="n">
        <f aca="false">(Yield_Originals!$H388*Yield_Originals!S$1)/Yield_Originals!$K388</f>
        <v>0.0501472786084459</v>
      </c>
      <c r="T388" s="101" t="n">
        <f aca="false">(Yield_Originals!$I388*Yield_Originals!T$1)/Yield_Originals!$K388</f>
        <v>0.0505308782717706</v>
      </c>
      <c r="U388" s="101" t="n">
        <f aca="false">(Yield_Originals!$I388*Yield_Originals!U$1)/Yield_Originals!$K388</f>
        <v>0.0517941502285649</v>
      </c>
      <c r="V388" s="101" t="n">
        <f aca="false">(Yield_Originals!$I388*Yield_Originals!V$1)/Yield_Originals!$K388</f>
        <v>0.0530574221853591</v>
      </c>
      <c r="W388" s="101" t="n">
        <f aca="false">(Yield_Originals!$I388*Yield_Originals!W$1)/Yield_Originals!$K388</f>
        <v>0.0543206941421534</v>
      </c>
      <c r="X388" s="102" t="n">
        <f aca="false">(Yield_Originals!$J388*Yield_Originals!X$1)/Yield_Originals!$K388</f>
        <v>0.0567696284902491</v>
      </c>
      <c r="Y388" s="102" t="n">
        <f aca="false">(Yield_Originals!$J388*Yield_Originals!Y$1)/Yield_Originals!$K388</f>
        <v>0.0580598473195729</v>
      </c>
      <c r="Z388" s="102" t="n">
        <f aca="false">(Yield_Originals!$J388*Yield_Originals!Z$1)/Yield_Originals!$K388</f>
        <v>0.0593500661488967</v>
      </c>
      <c r="AA388" s="102" t="n">
        <f aca="false">(Yield_Originals!$J388*Yield_Originals!AA$1)/Yield_Originals!$K388</f>
        <v>0.0606402849782206</v>
      </c>
      <c r="AB388" s="102" t="n">
        <f aca="false">(Yield_Originals!$J388*Yield_Originals!AB$1)/Yield_Originals!$K388</f>
        <v>0.0619305038075444</v>
      </c>
    </row>
    <row r="389" customFormat="false" ht="15" hidden="false" customHeight="false" outlineLevel="0" collapsed="false">
      <c r="A389" s="66" t="s">
        <v>1020</v>
      </c>
      <c r="B389" s="66" t="n">
        <v>1</v>
      </c>
      <c r="C389" s="93" t="s">
        <v>1375</v>
      </c>
      <c r="D389" s="93" t="s">
        <v>1041</v>
      </c>
      <c r="E389" s="94" t="n">
        <v>8</v>
      </c>
      <c r="F389" s="96" t="n">
        <v>0.0348902228389165</v>
      </c>
      <c r="G389" s="96" t="n">
        <v>0.0348902228389165</v>
      </c>
      <c r="H389" s="96" t="n">
        <f aca="false">+(Yield_Originals!I389+Yield_Originals!G389)/2</f>
        <v>0.0342887375100484</v>
      </c>
      <c r="I389" s="96" t="n">
        <v>0.0336872521811804</v>
      </c>
      <c r="J389" s="96" t="n">
        <v>0.0344058354486358</v>
      </c>
      <c r="K389" s="97" t="n">
        <v>1</v>
      </c>
      <c r="L389" s="98" t="n">
        <f aca="false">(Yield_Originals!$G389*Yield_Originals!L$1)/Yield_Originals!$K389</f>
        <v>0.0418682674066998</v>
      </c>
      <c r="M389" s="98" t="n">
        <f aca="false">(Yield_Originals!$G389*Yield_Originals!M$1)/Yield_Originals!$K389</f>
        <v>0.0431766507631592</v>
      </c>
      <c r="N389" s="98" t="n">
        <f aca="false">(Yield_Originals!$G389*Yield_Originals!N$1)/Yield_Originals!$K389</f>
        <v>0.0444850341196185</v>
      </c>
      <c r="O389" s="98" t="n">
        <f aca="false">(Yield_Originals!$G389*Yield_Originals!O$1)/Yield_Originals!$K389</f>
        <v>0.0457934174760779</v>
      </c>
      <c r="P389" s="99" t="n">
        <f aca="false">(Yield_Originals!$H389*Yield_Originals!P$1)/Yield_Originals!$K389</f>
        <v>0.0462897956385654</v>
      </c>
      <c r="Q389" s="99" t="n">
        <f aca="false">(Yield_Originals!$H389*Yield_Originals!Q$1)/Yield_Originals!$K389</f>
        <v>0.0475756232951922</v>
      </c>
      <c r="R389" s="99" t="n">
        <f aca="false">(Yield_Originals!$H389*Yield_Originals!R$1)/Yield_Originals!$K389</f>
        <v>0.0488614509518191</v>
      </c>
      <c r="S389" s="99" t="n">
        <f aca="false">(Yield_Originals!$H389*Yield_Originals!S$1)/Yield_Originals!$K389</f>
        <v>0.0501472786084459</v>
      </c>
      <c r="T389" s="101" t="n">
        <f aca="false">(Yield_Originals!$I389*Yield_Originals!T$1)/Yield_Originals!$K389</f>
        <v>0.0505308782717706</v>
      </c>
      <c r="U389" s="101" t="n">
        <f aca="false">(Yield_Originals!$I389*Yield_Originals!U$1)/Yield_Originals!$K389</f>
        <v>0.0517941502285649</v>
      </c>
      <c r="V389" s="101" t="n">
        <f aca="false">(Yield_Originals!$I389*Yield_Originals!V$1)/Yield_Originals!$K389</f>
        <v>0.0530574221853591</v>
      </c>
      <c r="W389" s="101" t="n">
        <f aca="false">(Yield_Originals!$I389*Yield_Originals!W$1)/Yield_Originals!$K389</f>
        <v>0.0543206941421534</v>
      </c>
      <c r="X389" s="102" t="n">
        <f aca="false">(Yield_Originals!$J389*Yield_Originals!X$1)/Yield_Originals!$K389</f>
        <v>0.0567696284902491</v>
      </c>
      <c r="Y389" s="102" t="n">
        <f aca="false">(Yield_Originals!$J389*Yield_Originals!Y$1)/Yield_Originals!$K389</f>
        <v>0.0580598473195729</v>
      </c>
      <c r="Z389" s="102" t="n">
        <f aca="false">(Yield_Originals!$J389*Yield_Originals!Z$1)/Yield_Originals!$K389</f>
        <v>0.0593500661488967</v>
      </c>
      <c r="AA389" s="102" t="n">
        <f aca="false">(Yield_Originals!$J389*Yield_Originals!AA$1)/Yield_Originals!$K389</f>
        <v>0.0606402849782206</v>
      </c>
      <c r="AB389" s="102" t="n">
        <f aca="false">(Yield_Originals!$J389*Yield_Originals!AB$1)/Yield_Originals!$K389</f>
        <v>0.0619305038075444</v>
      </c>
    </row>
    <row r="390" customFormat="false" ht="15" hidden="false" customHeight="false" outlineLevel="0" collapsed="false">
      <c r="A390" s="66" t="s">
        <v>1020</v>
      </c>
      <c r="B390" s="66" t="n">
        <v>1</v>
      </c>
      <c r="C390" s="93" t="s">
        <v>809</v>
      </c>
      <c r="D390" s="93" t="s">
        <v>1032</v>
      </c>
      <c r="E390" s="94" t="n">
        <v>8</v>
      </c>
      <c r="F390" s="96" t="n">
        <v>0.0348902228389165</v>
      </c>
      <c r="G390" s="96" t="n">
        <v>0.0348902228389165</v>
      </c>
      <c r="H390" s="96" t="n">
        <f aca="false">+(Yield_Originals!I390+Yield_Originals!G390)/2</f>
        <v>0.0342887375100484</v>
      </c>
      <c r="I390" s="96" t="n">
        <v>0.0336872521811804</v>
      </c>
      <c r="J390" s="96" t="n">
        <v>0.0344058354486358</v>
      </c>
      <c r="K390" s="97" t="n">
        <v>1</v>
      </c>
      <c r="L390" s="98" t="n">
        <f aca="false">(Yield_Originals!$G390*Yield_Originals!L$1)/Yield_Originals!$K390</f>
        <v>0.0418682674066998</v>
      </c>
      <c r="M390" s="98" t="n">
        <f aca="false">(Yield_Originals!$G390*Yield_Originals!M$1)/Yield_Originals!$K390</f>
        <v>0.0431766507631592</v>
      </c>
      <c r="N390" s="98" t="n">
        <f aca="false">(Yield_Originals!$G390*Yield_Originals!N$1)/Yield_Originals!$K390</f>
        <v>0.0444850341196185</v>
      </c>
      <c r="O390" s="98" t="n">
        <f aca="false">(Yield_Originals!$G390*Yield_Originals!O$1)/Yield_Originals!$K390</f>
        <v>0.0457934174760779</v>
      </c>
      <c r="P390" s="99" t="n">
        <f aca="false">(Yield_Originals!$H390*Yield_Originals!P$1)/Yield_Originals!$K390</f>
        <v>0.0462897956385654</v>
      </c>
      <c r="Q390" s="99" t="n">
        <f aca="false">(Yield_Originals!$H390*Yield_Originals!Q$1)/Yield_Originals!$K390</f>
        <v>0.0475756232951922</v>
      </c>
      <c r="R390" s="99" t="n">
        <f aca="false">(Yield_Originals!$H390*Yield_Originals!R$1)/Yield_Originals!$K390</f>
        <v>0.0488614509518191</v>
      </c>
      <c r="S390" s="99" t="n">
        <f aca="false">(Yield_Originals!$H390*Yield_Originals!S$1)/Yield_Originals!$K390</f>
        <v>0.0501472786084459</v>
      </c>
      <c r="T390" s="101" t="n">
        <f aca="false">(Yield_Originals!$I390*Yield_Originals!T$1)/Yield_Originals!$K390</f>
        <v>0.0505308782717706</v>
      </c>
      <c r="U390" s="101" t="n">
        <f aca="false">(Yield_Originals!$I390*Yield_Originals!U$1)/Yield_Originals!$K390</f>
        <v>0.0517941502285649</v>
      </c>
      <c r="V390" s="101" t="n">
        <f aca="false">(Yield_Originals!$I390*Yield_Originals!V$1)/Yield_Originals!$K390</f>
        <v>0.0530574221853591</v>
      </c>
      <c r="W390" s="101" t="n">
        <f aca="false">(Yield_Originals!$I390*Yield_Originals!W$1)/Yield_Originals!$K390</f>
        <v>0.0543206941421534</v>
      </c>
      <c r="X390" s="102" t="n">
        <f aca="false">(Yield_Originals!$J390*Yield_Originals!X$1)/Yield_Originals!$K390</f>
        <v>0.0567696284902491</v>
      </c>
      <c r="Y390" s="102" t="n">
        <f aca="false">(Yield_Originals!$J390*Yield_Originals!Y$1)/Yield_Originals!$K390</f>
        <v>0.0580598473195729</v>
      </c>
      <c r="Z390" s="102" t="n">
        <f aca="false">(Yield_Originals!$J390*Yield_Originals!Z$1)/Yield_Originals!$K390</f>
        <v>0.0593500661488967</v>
      </c>
      <c r="AA390" s="102" t="n">
        <f aca="false">(Yield_Originals!$J390*Yield_Originals!AA$1)/Yield_Originals!$K390</f>
        <v>0.0606402849782206</v>
      </c>
      <c r="AB390" s="102" t="n">
        <f aca="false">(Yield_Originals!$J390*Yield_Originals!AB$1)/Yield_Originals!$K390</f>
        <v>0.0619305038075444</v>
      </c>
    </row>
    <row r="391" customFormat="false" ht="15" hidden="false" customHeight="false" outlineLevel="0" collapsed="false">
      <c r="A391" s="66" t="s">
        <v>1020</v>
      </c>
      <c r="B391" s="66" t="n">
        <v>1</v>
      </c>
      <c r="C391" s="93" t="s">
        <v>1380</v>
      </c>
      <c r="D391" s="93" t="s">
        <v>1034</v>
      </c>
      <c r="E391" s="94" t="n">
        <v>8</v>
      </c>
      <c r="F391" s="96" t="n">
        <v>0.0348902228389165</v>
      </c>
      <c r="G391" s="96" t="n">
        <v>0.0348902228389165</v>
      </c>
      <c r="H391" s="96" t="n">
        <f aca="false">+(Yield_Originals!I391+Yield_Originals!G391)/2</f>
        <v>0.0342887375100484</v>
      </c>
      <c r="I391" s="96" t="n">
        <v>0.0336872521811804</v>
      </c>
      <c r="J391" s="96" t="n">
        <v>0.0344058354486358</v>
      </c>
      <c r="K391" s="97" t="n">
        <v>1</v>
      </c>
      <c r="L391" s="98" t="n">
        <f aca="false">(Yield_Originals!$G391*Yield_Originals!L$1)/Yield_Originals!$K391</f>
        <v>0.0418682674066998</v>
      </c>
      <c r="M391" s="98" t="n">
        <f aca="false">(Yield_Originals!$G391*Yield_Originals!M$1)/Yield_Originals!$K391</f>
        <v>0.0431766507631592</v>
      </c>
      <c r="N391" s="98" t="n">
        <f aca="false">(Yield_Originals!$G391*Yield_Originals!N$1)/Yield_Originals!$K391</f>
        <v>0.0444850341196185</v>
      </c>
      <c r="O391" s="98" t="n">
        <f aca="false">(Yield_Originals!$G391*Yield_Originals!O$1)/Yield_Originals!$K391</f>
        <v>0.0457934174760779</v>
      </c>
      <c r="P391" s="99" t="n">
        <f aca="false">(Yield_Originals!$H391*Yield_Originals!P$1)/Yield_Originals!$K391</f>
        <v>0.0462897956385654</v>
      </c>
      <c r="Q391" s="99" t="n">
        <f aca="false">(Yield_Originals!$H391*Yield_Originals!Q$1)/Yield_Originals!$K391</f>
        <v>0.0475756232951922</v>
      </c>
      <c r="R391" s="99" t="n">
        <f aca="false">(Yield_Originals!$H391*Yield_Originals!R$1)/Yield_Originals!$K391</f>
        <v>0.0488614509518191</v>
      </c>
      <c r="S391" s="99" t="n">
        <f aca="false">(Yield_Originals!$H391*Yield_Originals!S$1)/Yield_Originals!$K391</f>
        <v>0.0501472786084459</v>
      </c>
      <c r="T391" s="101" t="n">
        <f aca="false">(Yield_Originals!$I391*Yield_Originals!T$1)/Yield_Originals!$K391</f>
        <v>0.0505308782717706</v>
      </c>
      <c r="U391" s="101" t="n">
        <f aca="false">(Yield_Originals!$I391*Yield_Originals!U$1)/Yield_Originals!$K391</f>
        <v>0.0517941502285649</v>
      </c>
      <c r="V391" s="101" t="n">
        <f aca="false">(Yield_Originals!$I391*Yield_Originals!V$1)/Yield_Originals!$K391</f>
        <v>0.0530574221853591</v>
      </c>
      <c r="W391" s="101" t="n">
        <f aca="false">(Yield_Originals!$I391*Yield_Originals!W$1)/Yield_Originals!$K391</f>
        <v>0.0543206941421534</v>
      </c>
      <c r="X391" s="102" t="n">
        <f aca="false">(Yield_Originals!$J391*Yield_Originals!X$1)/Yield_Originals!$K391</f>
        <v>0.0567696284902491</v>
      </c>
      <c r="Y391" s="102" t="n">
        <f aca="false">(Yield_Originals!$J391*Yield_Originals!Y$1)/Yield_Originals!$K391</f>
        <v>0.0580598473195729</v>
      </c>
      <c r="Z391" s="102" t="n">
        <f aca="false">(Yield_Originals!$J391*Yield_Originals!Z$1)/Yield_Originals!$K391</f>
        <v>0.0593500661488967</v>
      </c>
      <c r="AA391" s="102" t="n">
        <f aca="false">(Yield_Originals!$J391*Yield_Originals!AA$1)/Yield_Originals!$K391</f>
        <v>0.0606402849782206</v>
      </c>
      <c r="AB391" s="102" t="n">
        <f aca="false">(Yield_Originals!$J391*Yield_Originals!AB$1)/Yield_Originals!$K391</f>
        <v>0.0619305038075444</v>
      </c>
    </row>
    <row r="392" customFormat="false" ht="15" hidden="false" customHeight="false" outlineLevel="0" collapsed="false">
      <c r="A392" s="66" t="s">
        <v>1020</v>
      </c>
      <c r="B392" s="66" t="n">
        <v>1</v>
      </c>
      <c r="C392" s="93" t="s">
        <v>202</v>
      </c>
      <c r="D392" s="93" t="s">
        <v>1037</v>
      </c>
      <c r="E392" s="94" t="n">
        <v>8</v>
      </c>
      <c r="F392" s="96" t="n">
        <v>0.0348902228389165</v>
      </c>
      <c r="G392" s="96" t="n">
        <v>0.0348902228389165</v>
      </c>
      <c r="H392" s="96" t="n">
        <f aca="false">+(Yield_Originals!I392+Yield_Originals!G392)/2</f>
        <v>0.0342887375100484</v>
      </c>
      <c r="I392" s="96" t="n">
        <v>0.0336872521811804</v>
      </c>
      <c r="J392" s="96" t="n">
        <v>0.0344058354486358</v>
      </c>
      <c r="K392" s="97" t="n">
        <v>1</v>
      </c>
      <c r="L392" s="98"/>
      <c r="M392" s="98"/>
      <c r="N392" s="98"/>
      <c r="O392" s="98"/>
      <c r="P392" s="99"/>
      <c r="Q392" s="99"/>
      <c r="R392" s="99"/>
      <c r="S392" s="99"/>
      <c r="T392" s="101"/>
      <c r="U392" s="101"/>
      <c r="V392" s="101"/>
      <c r="W392" s="101"/>
      <c r="X392" s="102" t="n">
        <f aca="false">(Yield_Originals!$J392*Yield_Originals!X$1)/Yield_Originals!$K392</f>
        <v>0.0567696284902491</v>
      </c>
      <c r="Y392" s="102" t="n">
        <f aca="false">(Yield_Originals!$J392*Yield_Originals!Y$1)/Yield_Originals!$K392</f>
        <v>0.0580598473195729</v>
      </c>
      <c r="Z392" s="102" t="n">
        <f aca="false">(Yield_Originals!$J392*Yield_Originals!Z$1)/Yield_Originals!$K392</f>
        <v>0.0593500661488967</v>
      </c>
      <c r="AA392" s="102" t="n">
        <f aca="false">(Yield_Originals!$J392*Yield_Originals!AA$1)/Yield_Originals!$K392</f>
        <v>0.0606402849782206</v>
      </c>
      <c r="AB392" s="102" t="n">
        <f aca="false">(Yield_Originals!$J392*Yield_Originals!AB$1)/Yield_Originals!$K392</f>
        <v>0.0619305038075444</v>
      </c>
    </row>
    <row r="393" customFormat="false" ht="15" hidden="false" customHeight="false" outlineLevel="0" collapsed="false">
      <c r="A393" s="66" t="s">
        <v>1020</v>
      </c>
      <c r="B393" s="66" t="n">
        <v>1</v>
      </c>
      <c r="C393" s="93" t="s">
        <v>1384</v>
      </c>
      <c r="D393" s="93" t="s">
        <v>1039</v>
      </c>
      <c r="E393" s="94" t="n">
        <v>8</v>
      </c>
      <c r="F393" s="96" t="n">
        <v>0.0348902228389165</v>
      </c>
      <c r="G393" s="96" t="n">
        <v>0.0348902228389165</v>
      </c>
      <c r="H393" s="96" t="n">
        <f aca="false">+(Yield_Originals!I393+Yield_Originals!G393)/2</f>
        <v>0.0342887375100484</v>
      </c>
      <c r="I393" s="96" t="n">
        <v>0.0336872521811804</v>
      </c>
      <c r="J393" s="96" t="n">
        <v>0.0344058354486358</v>
      </c>
      <c r="K393" s="97" t="n">
        <v>1</v>
      </c>
      <c r="L393" s="98"/>
      <c r="M393" s="98"/>
      <c r="N393" s="98"/>
      <c r="O393" s="98"/>
      <c r="P393" s="99"/>
      <c r="Q393" s="99"/>
      <c r="R393" s="99"/>
      <c r="S393" s="99"/>
      <c r="T393" s="101"/>
      <c r="U393" s="101"/>
      <c r="V393" s="101"/>
      <c r="W393" s="101"/>
      <c r="X393" s="102" t="n">
        <f aca="false">(Yield_Originals!$J393*Yield_Originals!X$1)/Yield_Originals!$K393</f>
        <v>0.0567696284902491</v>
      </c>
      <c r="Y393" s="102" t="n">
        <f aca="false">(Yield_Originals!$J393*Yield_Originals!Y$1)/Yield_Originals!$K393</f>
        <v>0.0580598473195729</v>
      </c>
      <c r="Z393" s="102" t="n">
        <f aca="false">(Yield_Originals!$J393*Yield_Originals!Z$1)/Yield_Originals!$K393</f>
        <v>0.0593500661488967</v>
      </c>
      <c r="AA393" s="102" t="n">
        <f aca="false">(Yield_Originals!$J393*Yield_Originals!AA$1)/Yield_Originals!$K393</f>
        <v>0.0606402849782206</v>
      </c>
      <c r="AB393" s="102" t="n">
        <f aca="false">(Yield_Originals!$J393*Yield_Originals!AB$1)/Yield_Originals!$K393</f>
        <v>0.0619305038075444</v>
      </c>
    </row>
    <row r="394" customFormat="false" ht="15" hidden="false" customHeight="false" outlineLevel="0" collapsed="false">
      <c r="A394" s="113"/>
      <c r="B394" s="94"/>
      <c r="C394" s="114"/>
      <c r="D394" s="114"/>
      <c r="E394" s="94"/>
    </row>
    <row r="395" customFormat="false" ht="15" hidden="false" customHeight="false" outlineLevel="0" collapsed="false">
      <c r="A395" s="113"/>
      <c r="B395" s="94"/>
      <c r="C395" s="114"/>
      <c r="D395" s="114"/>
      <c r="E395" s="94"/>
    </row>
    <row r="396" customFormat="false" ht="15" hidden="false" customHeight="false" outlineLevel="0" collapsed="false">
      <c r="A396" s="113"/>
      <c r="B396" s="94"/>
      <c r="C396" s="114"/>
      <c r="D396" s="114"/>
      <c r="E396" s="94"/>
    </row>
    <row r="397" customFormat="false" ht="15" hidden="false" customHeight="false" outlineLevel="0" collapsed="false">
      <c r="A397" s="113"/>
      <c r="B397" s="94"/>
      <c r="C397" s="114"/>
      <c r="D397" s="114"/>
      <c r="E397" s="94"/>
    </row>
    <row r="398" customFormat="false" ht="15" hidden="false" customHeight="false" outlineLevel="0" collapsed="false">
      <c r="A398" s="113"/>
      <c r="B398" s="94"/>
      <c r="C398" s="114"/>
      <c r="D398" s="114"/>
      <c r="E398" s="94"/>
    </row>
    <row r="399" customFormat="false" ht="15" hidden="false" customHeight="false" outlineLevel="0" collapsed="false">
      <c r="A399" s="113"/>
      <c r="B399" s="94"/>
      <c r="C399" s="114"/>
      <c r="D399" s="114"/>
      <c r="E399" s="94"/>
    </row>
    <row r="400" customFormat="false" ht="15" hidden="false" customHeight="false" outlineLevel="0" collapsed="false">
      <c r="A400" s="113"/>
      <c r="B400" s="94"/>
      <c r="C400" s="114"/>
      <c r="D400" s="114"/>
      <c r="E400" s="94"/>
    </row>
    <row r="401" customFormat="false" ht="15" hidden="false" customHeight="false" outlineLevel="0" collapsed="false">
      <c r="A401" s="113"/>
      <c r="B401" s="94"/>
      <c r="C401" s="114"/>
      <c r="D401" s="114"/>
      <c r="E401" s="94"/>
    </row>
    <row r="402" customFormat="false" ht="15" hidden="false" customHeight="false" outlineLevel="0" collapsed="false">
      <c r="A402" s="113"/>
      <c r="B402" s="94"/>
      <c r="C402" s="114"/>
      <c r="D402" s="114"/>
      <c r="E402" s="94"/>
    </row>
    <row r="403" customFormat="false" ht="15" hidden="false" customHeight="false" outlineLevel="0" collapsed="false">
      <c r="A403" s="113"/>
      <c r="B403" s="94"/>
      <c r="C403" s="114"/>
      <c r="D403" s="114"/>
      <c r="E403" s="94"/>
    </row>
    <row r="404" customFormat="false" ht="15" hidden="false" customHeight="false" outlineLevel="0" collapsed="false">
      <c r="A404" s="113"/>
      <c r="B404" s="94"/>
      <c r="C404" s="114"/>
      <c r="D404" s="114"/>
      <c r="E404" s="94"/>
    </row>
    <row r="405" customFormat="false" ht="15" hidden="false" customHeight="false" outlineLevel="0" collapsed="false">
      <c r="A405" s="113"/>
      <c r="B405" s="94"/>
      <c r="C405" s="114"/>
      <c r="D405" s="114"/>
      <c r="E405" s="94"/>
    </row>
    <row r="406" customFormat="false" ht="15" hidden="false" customHeight="false" outlineLevel="0" collapsed="false">
      <c r="A406" s="113"/>
      <c r="B406" s="94"/>
      <c r="C406" s="114"/>
      <c r="D406" s="114"/>
      <c r="E406" s="94"/>
    </row>
    <row r="407" customFormat="false" ht="15" hidden="false" customHeight="false" outlineLevel="0" collapsed="false">
      <c r="A407" s="113"/>
      <c r="B407" s="94"/>
      <c r="C407" s="114"/>
      <c r="D407" s="114"/>
      <c r="E407" s="94"/>
    </row>
    <row r="408" customFormat="false" ht="15" hidden="false" customHeight="false" outlineLevel="0" collapsed="false">
      <c r="A408" s="113"/>
      <c r="B408" s="94"/>
      <c r="C408" s="114"/>
      <c r="D408" s="114"/>
      <c r="E408" s="94"/>
    </row>
    <row r="409" customFormat="false" ht="15" hidden="false" customHeight="false" outlineLevel="0" collapsed="false">
      <c r="A409" s="113"/>
      <c r="B409" s="94"/>
      <c r="C409" s="114"/>
      <c r="D409" s="114"/>
      <c r="E409" s="94"/>
    </row>
    <row r="410" customFormat="false" ht="15" hidden="false" customHeight="false" outlineLevel="0" collapsed="false">
      <c r="A410" s="113"/>
      <c r="B410" s="94"/>
      <c r="C410" s="114"/>
      <c r="D410" s="114"/>
      <c r="E410" s="94"/>
    </row>
    <row r="411" customFormat="false" ht="15" hidden="false" customHeight="false" outlineLevel="0" collapsed="false">
      <c r="A411" s="113"/>
      <c r="B411" s="94"/>
      <c r="C411" s="114"/>
      <c r="D411" s="114"/>
      <c r="E411" s="94"/>
    </row>
    <row r="412" customFormat="false" ht="15" hidden="false" customHeight="false" outlineLevel="0" collapsed="false">
      <c r="A412" s="113"/>
      <c r="B412" s="94"/>
      <c r="C412" s="114"/>
      <c r="D412" s="114"/>
      <c r="E412" s="94"/>
    </row>
    <row r="413" customFormat="false" ht="15" hidden="false" customHeight="false" outlineLevel="0" collapsed="false">
      <c r="A413" s="113"/>
      <c r="B413" s="94"/>
      <c r="C413" s="114"/>
      <c r="D413" s="114"/>
      <c r="E413" s="94"/>
    </row>
    <row r="414" customFormat="false" ht="15" hidden="false" customHeight="false" outlineLevel="0" collapsed="false">
      <c r="A414" s="113"/>
      <c r="B414" s="94"/>
      <c r="C414" s="114"/>
      <c r="D414" s="114"/>
      <c r="E414" s="94"/>
    </row>
    <row r="415" customFormat="false" ht="15" hidden="false" customHeight="false" outlineLevel="0" collapsed="false">
      <c r="A415" s="113"/>
      <c r="B415" s="94"/>
      <c r="C415" s="114"/>
      <c r="D415" s="114"/>
      <c r="E415" s="94"/>
    </row>
    <row r="416" customFormat="false" ht="15" hidden="false" customHeight="false" outlineLevel="0" collapsed="false">
      <c r="A416" s="113"/>
      <c r="B416" s="94"/>
      <c r="C416" s="114"/>
      <c r="D416" s="114"/>
      <c r="E416" s="94"/>
    </row>
    <row r="417" customFormat="false" ht="15" hidden="false" customHeight="false" outlineLevel="0" collapsed="false">
      <c r="A417" s="113"/>
      <c r="B417" s="94"/>
      <c r="C417" s="114"/>
      <c r="D417" s="114"/>
      <c r="E417" s="94"/>
    </row>
    <row r="418" customFormat="false" ht="15" hidden="false" customHeight="false" outlineLevel="0" collapsed="false">
      <c r="A418" s="113"/>
      <c r="B418" s="94"/>
      <c r="C418" s="114"/>
      <c r="D418" s="114"/>
      <c r="E418" s="94"/>
    </row>
    <row r="419" customFormat="false" ht="15" hidden="false" customHeight="false" outlineLevel="0" collapsed="false">
      <c r="A419" s="113"/>
      <c r="B419" s="94"/>
      <c r="C419" s="114"/>
      <c r="D419" s="114"/>
      <c r="E419" s="94"/>
    </row>
    <row r="420" customFormat="false" ht="15" hidden="false" customHeight="false" outlineLevel="0" collapsed="false">
      <c r="A420" s="113"/>
      <c r="B420" s="94"/>
      <c r="C420" s="114"/>
      <c r="D420" s="114"/>
      <c r="E420" s="94"/>
    </row>
    <row r="421" customFormat="false" ht="15" hidden="false" customHeight="false" outlineLevel="0" collapsed="false">
      <c r="A421" s="113"/>
      <c r="B421" s="94"/>
      <c r="C421" s="114"/>
      <c r="D421" s="114"/>
      <c r="E421" s="94"/>
    </row>
    <row r="422" customFormat="false" ht="15" hidden="false" customHeight="false" outlineLevel="0" collapsed="false">
      <c r="A422" s="113"/>
      <c r="B422" s="94"/>
      <c r="C422" s="114"/>
      <c r="D422" s="114"/>
      <c r="E422" s="94"/>
    </row>
    <row r="423" customFormat="false" ht="15" hidden="false" customHeight="false" outlineLevel="0" collapsed="false">
      <c r="A423" s="113"/>
      <c r="B423" s="94"/>
      <c r="C423" s="114"/>
      <c r="D423" s="114"/>
      <c r="E423" s="94"/>
    </row>
    <row r="424" customFormat="false" ht="15" hidden="false" customHeight="false" outlineLevel="0" collapsed="false">
      <c r="A424" s="113"/>
      <c r="B424" s="94"/>
      <c r="C424" s="114"/>
      <c r="D424" s="114"/>
      <c r="E424" s="94"/>
    </row>
    <row r="425" customFormat="false" ht="15" hidden="false" customHeight="false" outlineLevel="0" collapsed="false">
      <c r="A425" s="113"/>
      <c r="B425" s="94"/>
      <c r="C425" s="114"/>
      <c r="D425" s="114"/>
      <c r="E425" s="94"/>
    </row>
    <row r="426" customFormat="false" ht="15" hidden="false" customHeight="false" outlineLevel="0" collapsed="false">
      <c r="A426" s="113"/>
      <c r="B426" s="94"/>
      <c r="C426" s="114"/>
      <c r="D426" s="114"/>
      <c r="E426" s="94"/>
    </row>
    <row r="427" customFormat="false" ht="15" hidden="false" customHeight="false" outlineLevel="0" collapsed="false">
      <c r="A427" s="113"/>
      <c r="B427" s="94"/>
      <c r="C427" s="114"/>
      <c r="D427" s="114"/>
      <c r="E427" s="94"/>
    </row>
    <row r="428" customFormat="false" ht="15" hidden="false" customHeight="false" outlineLevel="0" collapsed="false">
      <c r="A428" s="113"/>
      <c r="B428" s="94"/>
      <c r="C428" s="114"/>
      <c r="D428" s="114"/>
      <c r="E428" s="94"/>
    </row>
    <row r="429" customFormat="false" ht="15" hidden="false" customHeight="false" outlineLevel="0" collapsed="false">
      <c r="A429" s="113"/>
      <c r="B429" s="94"/>
      <c r="C429" s="114"/>
      <c r="D429" s="114"/>
      <c r="E429" s="94"/>
    </row>
    <row r="430" customFormat="false" ht="15" hidden="false" customHeight="false" outlineLevel="0" collapsed="false">
      <c r="A430" s="113"/>
      <c r="B430" s="94"/>
      <c r="C430" s="114"/>
      <c r="D430" s="114"/>
      <c r="E430" s="94"/>
    </row>
    <row r="431" customFormat="false" ht="15" hidden="false" customHeight="false" outlineLevel="0" collapsed="false">
      <c r="A431" s="113"/>
      <c r="B431" s="94"/>
      <c r="C431" s="114"/>
      <c r="D431" s="114"/>
      <c r="E431" s="94"/>
    </row>
  </sheetData>
  <autoFilter ref="A2:AD393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3.8"/>
  <cols>
    <col collapsed="false" hidden="false" max="1" min="1" style="0" width="17.995951417004"/>
    <col collapsed="false" hidden="false" max="1025" min="2" style="0" width="9.10526315789474"/>
  </cols>
  <sheetData>
    <row r="1" customFormat="false" ht="13.8" hidden="false" customHeight="false" outlineLevel="0" collapsed="false">
      <c r="A1" s="76" t="s">
        <v>119</v>
      </c>
      <c r="B1" s="0" t="s">
        <v>1464</v>
      </c>
      <c r="C1" s="52" t="s">
        <v>1465</v>
      </c>
    </row>
    <row r="2" customFormat="false" ht="13.8" hidden="false" customHeight="false" outlineLevel="0" collapsed="false">
      <c r="A2" s="0" t="s">
        <v>349</v>
      </c>
      <c r="B2" s="0" t="n">
        <v>3</v>
      </c>
      <c r="C2" s="115" t="n">
        <v>0.095192785166059</v>
      </c>
      <c r="D2" s="0" t="e">
        <f aca="false">VLOOKUP(Shelf_Life!A2,Demand_Fresh!A3:A97,1,FALSE())</f>
        <v>#N/A</v>
      </c>
      <c r="E2" s="0" t="e">
        <f aca="false">VLOOKUP(Shelf_Life!A2,Demand_Frozen!A2:A120,1,FALSE())</f>
        <v>#N/A</v>
      </c>
    </row>
    <row r="3" customFormat="false" ht="13.8" hidden="false" customHeight="false" outlineLevel="0" collapsed="false">
      <c r="A3" s="0" t="s">
        <v>350</v>
      </c>
      <c r="B3" s="0" t="n">
        <v>3</v>
      </c>
      <c r="C3" s="115" t="n">
        <v>0.095192785166059</v>
      </c>
      <c r="D3" s="0" t="e">
        <f aca="false">VLOOKUP(Shelf_Life!A3,Demand_Fresh!A4:A98,1,FALSE())</f>
        <v>#N/A</v>
      </c>
      <c r="E3" s="0" t="e">
        <f aca="false">VLOOKUP(Shelf_Life!A3,Demand_Frozen!A3:A121,1,FALSE())</f>
        <v>#N/A</v>
      </c>
    </row>
    <row r="4" customFormat="false" ht="13.8" hidden="false" customHeight="false" outlineLevel="0" collapsed="false">
      <c r="A4" s="0" t="s">
        <v>351</v>
      </c>
      <c r="B4" s="0" t="n">
        <v>3</v>
      </c>
      <c r="C4" s="115" t="n">
        <v>0.102310002748568</v>
      </c>
      <c r="D4" s="0" t="e">
        <f aca="false">VLOOKUP(Shelf_Life!A4,Demand_Fresh!A5:A99,1,FALSE())</f>
        <v>#N/A</v>
      </c>
      <c r="E4" s="0" t="e">
        <f aca="false">VLOOKUP(Shelf_Life!A4,Demand_Frozen!A4:A122,1,FALSE())</f>
        <v>#N/A</v>
      </c>
    </row>
    <row r="5" customFormat="false" ht="13.8" hidden="false" customHeight="false" outlineLevel="0" collapsed="false">
      <c r="A5" s="0" t="s">
        <v>352</v>
      </c>
      <c r="B5" s="0" t="n">
        <v>3</v>
      </c>
      <c r="C5" s="115" t="n">
        <v>0.0810901503266428</v>
      </c>
      <c r="D5" s="0" t="e">
        <f aca="false">VLOOKUP(Shelf_Life!A5,Demand_Fresh!A6:A99,1,FALSE())</f>
        <v>#N/A</v>
      </c>
      <c r="E5" s="0" t="e">
        <f aca="false">VLOOKUP(Shelf_Life!A5,Demand_Frozen!A5:A123,1,FALSE())</f>
        <v>#N/A</v>
      </c>
    </row>
    <row r="6" customFormat="false" ht="13.8" hidden="false" customHeight="false" outlineLevel="0" collapsed="false">
      <c r="A6" s="0" t="s">
        <v>353</v>
      </c>
      <c r="B6" s="0" t="n">
        <v>3</v>
      </c>
      <c r="C6" s="115" t="n">
        <v>0.0985245326468711</v>
      </c>
      <c r="D6" s="0" t="e">
        <f aca="false">VLOOKUP(Shelf_Life!A6,Demand_Fresh!A7:A100,1,FALSE())</f>
        <v>#N/A</v>
      </c>
      <c r="E6" s="0" t="e">
        <f aca="false">VLOOKUP(Shelf_Life!A6,Demand_Frozen!A6:A124,1,FALSE())</f>
        <v>#N/A</v>
      </c>
    </row>
    <row r="7" customFormat="false" ht="13.8" hidden="false" customHeight="false" outlineLevel="0" collapsed="false">
      <c r="A7" s="0" t="s">
        <v>354</v>
      </c>
      <c r="B7" s="0" t="n">
        <v>3</v>
      </c>
      <c r="C7" s="115" t="n">
        <v>0.0821037772057258</v>
      </c>
      <c r="D7" s="0" t="e">
        <f aca="false">VLOOKUP(Shelf_Life!A7,Demand_Fresh!A8:A101,1,FALSE())</f>
        <v>#N/A</v>
      </c>
      <c r="E7" s="0" t="e">
        <f aca="false">VLOOKUP(Shelf_Life!A7,Demand_Frozen!A7:A125,1,FALSE())</f>
        <v>#N/A</v>
      </c>
    </row>
    <row r="8" customFormat="false" ht="13.8" hidden="false" customHeight="false" outlineLevel="0" collapsed="false">
      <c r="A8" s="0" t="s">
        <v>355</v>
      </c>
      <c r="B8" s="0" t="n">
        <v>3</v>
      </c>
      <c r="C8" s="115" t="n">
        <v>0.0772741432524479</v>
      </c>
      <c r="D8" s="0" t="e">
        <f aca="false">VLOOKUP(Shelf_Life!A8,Demand_Fresh!A9:A100,1,FALSE())</f>
        <v>#N/A</v>
      </c>
      <c r="E8" s="0" t="e">
        <f aca="false">VLOOKUP(Shelf_Life!A8,Demand_Frozen!A8:A126,1,FALSE())</f>
        <v>#N/A</v>
      </c>
    </row>
    <row r="9" customFormat="false" ht="13.8" hidden="false" customHeight="false" outlineLevel="0" collapsed="false">
      <c r="A9" s="0" t="s">
        <v>356</v>
      </c>
      <c r="B9" s="0" t="n">
        <v>3</v>
      </c>
      <c r="C9" s="115" t="n">
        <v>0.0772741432524479</v>
      </c>
      <c r="D9" s="0" t="e">
        <f aca="false">VLOOKUP(Shelf_Life!A9,Demand_Fresh!A10:A101,1,FALSE())</f>
        <v>#N/A</v>
      </c>
      <c r="E9" s="0" t="e">
        <f aca="false">VLOOKUP(Shelf_Life!A9,Demand_Frozen!A9:A127,1,FALSE())</f>
        <v>#N/A</v>
      </c>
    </row>
    <row r="10" customFormat="false" ht="13.8" hidden="false" customHeight="false" outlineLevel="0" collapsed="false">
      <c r="A10" s="0" t="s">
        <v>357</v>
      </c>
      <c r="B10" s="0" t="n">
        <v>3</v>
      </c>
      <c r="C10" s="115" t="n">
        <v>0.0821037772057259</v>
      </c>
      <c r="D10" s="0" t="e">
        <f aca="false">VLOOKUP(Shelf_Life!A10,Demand_Fresh!A11:A102,1,FALSE())</f>
        <v>#N/A</v>
      </c>
      <c r="E10" s="0" t="e">
        <f aca="false">VLOOKUP(Shelf_Life!A10,Demand_Frozen!A10:A128,1,FALSE())</f>
        <v>#N/A</v>
      </c>
    </row>
    <row r="11" customFormat="false" ht="13.8" hidden="false" customHeight="false" outlineLevel="0" collapsed="false">
      <c r="A11" s="0" t="s">
        <v>358</v>
      </c>
      <c r="B11" s="0" t="n">
        <v>3</v>
      </c>
      <c r="C11" s="115" t="n">
        <v>0.102629721507157</v>
      </c>
      <c r="D11" s="0" t="e">
        <f aca="false">VLOOKUP(Shelf_Life!A11,Demand_Fresh!A12:A103,1,FALSE())</f>
        <v>#N/A</v>
      </c>
      <c r="E11" s="0" t="e">
        <f aca="false">VLOOKUP(Shelf_Life!A11,Demand_Frozen!A11:A129,1,FALSE())</f>
        <v>#N/A</v>
      </c>
    </row>
    <row r="12" customFormat="false" ht="13.8" hidden="false" customHeight="false" outlineLevel="0" collapsed="false">
      <c r="A12" s="0" t="s">
        <v>1466</v>
      </c>
      <c r="B12" s="0" t="n">
        <v>3</v>
      </c>
      <c r="C12" s="115" t="n">
        <v>0.0821037772057259</v>
      </c>
      <c r="D12" s="0" t="e">
        <f aca="false">VLOOKUP(Shelf_Life!A12,Demand_Fresh!A13:A104,1,FALSE())</f>
        <v>#N/A</v>
      </c>
      <c r="E12" s="0" t="e">
        <f aca="false">VLOOKUP(Shelf_Life!A12,Demand_Frozen!A12:A130,1,FALSE())</f>
        <v>#N/A</v>
      </c>
    </row>
    <row r="13" customFormat="false" ht="13.8" hidden="false" customHeight="false" outlineLevel="0" collapsed="false">
      <c r="A13" s="0" t="s">
        <v>359</v>
      </c>
      <c r="B13" s="0" t="n">
        <v>3</v>
      </c>
      <c r="C13" s="115" t="n">
        <v>0.0671758177137757</v>
      </c>
      <c r="D13" s="0" t="e">
        <f aca="false">VLOOKUP(Shelf_Life!A13,Demand_Fresh!A14:A105,1,FALSE())</f>
        <v>#N/A</v>
      </c>
      <c r="E13" s="0" t="e">
        <f aca="false">VLOOKUP(Shelf_Life!A13,Demand_Frozen!A13:A131,1,FALSE())</f>
        <v>#N/A</v>
      </c>
    </row>
    <row r="14" customFormat="false" ht="13.8" hidden="false" customHeight="false" outlineLevel="0" collapsed="false">
      <c r="A14" s="0" t="s">
        <v>360</v>
      </c>
      <c r="B14" s="0" t="n">
        <v>3</v>
      </c>
      <c r="C14" s="115" t="n">
        <v>0.0429925233368165</v>
      </c>
      <c r="D14" s="0" t="e">
        <f aca="false">VLOOKUP(Shelf_Life!A14,Demand_Fresh!A15:A106,1,FALSE())</f>
        <v>#N/A</v>
      </c>
      <c r="E14" s="0" t="e">
        <f aca="false">VLOOKUP(Shelf_Life!A14,Demand_Frozen!A14:A132,1,FALSE())</f>
        <v>#N/A</v>
      </c>
    </row>
    <row r="15" customFormat="false" ht="13.8" hidden="false" customHeight="false" outlineLevel="0" collapsed="false">
      <c r="A15" s="0" t="s">
        <v>361</v>
      </c>
      <c r="B15" s="0" t="n">
        <v>3</v>
      </c>
      <c r="C15" s="115" t="n">
        <v>0.0358271027806804</v>
      </c>
      <c r="D15" s="0" t="e">
        <f aca="false">VLOOKUP(Shelf_Life!A15,Demand_Fresh!A16:A107,1,FALSE())</f>
        <v>#N/A</v>
      </c>
      <c r="E15" s="0" t="e">
        <f aca="false">VLOOKUP(Shelf_Life!A15,Demand_Frozen!A15:A133,1,FALSE())</f>
        <v>#N/A</v>
      </c>
    </row>
    <row r="16" customFormat="false" ht="13.8" hidden="false" customHeight="false" outlineLevel="0" collapsed="false">
      <c r="A16" s="0" t="s">
        <v>362</v>
      </c>
      <c r="B16" s="0" t="n">
        <v>3</v>
      </c>
      <c r="C16" s="115" t="n">
        <v>0.0671758177137757</v>
      </c>
      <c r="D16" s="0" t="e">
        <f aca="false">VLOOKUP(Shelf_Life!A16,Demand_Fresh!A17:A108,1,FALSE())</f>
        <v>#N/A</v>
      </c>
      <c r="E16" s="0" t="e">
        <f aca="false">VLOOKUP(Shelf_Life!A16,Demand_Frozen!A16:A134,1,FALSE())</f>
        <v>#N/A</v>
      </c>
    </row>
    <row r="17" customFormat="false" ht="13.8" hidden="false" customHeight="false" outlineLevel="0" collapsed="false">
      <c r="A17" s="0" t="s">
        <v>363</v>
      </c>
      <c r="B17" s="0" t="n">
        <v>3</v>
      </c>
      <c r="C17" s="115" t="n">
        <v>0.0429925233368165</v>
      </c>
      <c r="D17" s="0" t="e">
        <f aca="false">VLOOKUP(Shelf_Life!A17,Demand_Fresh!A18:A109,1,FALSE())</f>
        <v>#N/A</v>
      </c>
      <c r="E17" s="0" t="e">
        <f aca="false">VLOOKUP(Shelf_Life!A17,Demand_Frozen!A17:A135,1,FALSE())</f>
        <v>#N/A</v>
      </c>
    </row>
    <row r="18" customFormat="false" ht="13.8" hidden="false" customHeight="false" outlineLevel="0" collapsed="false">
      <c r="A18" s="0" t="s">
        <v>364</v>
      </c>
      <c r="B18" s="0" t="n">
        <v>3</v>
      </c>
      <c r="C18" s="115" t="n">
        <v>0.109471702940968</v>
      </c>
      <c r="D18" s="0" t="e">
        <f aca="false">VLOOKUP(Shelf_Life!A18,Demand_Fresh!A19:A110,1,FALSE())</f>
        <v>#N/A</v>
      </c>
      <c r="E18" s="0" t="e">
        <f aca="false">VLOOKUP(Shelf_Life!A18,Demand_Frozen!A18:A135,1,FALSE())</f>
        <v>#N/A</v>
      </c>
    </row>
    <row r="19" customFormat="false" ht="13.8" hidden="false" customHeight="false" outlineLevel="0" collapsed="false">
      <c r="A19" s="0" t="s">
        <v>365</v>
      </c>
      <c r="B19" s="0" t="n">
        <v>3</v>
      </c>
      <c r="C19" s="115" t="n">
        <v>0.0834070117645469</v>
      </c>
      <c r="D19" s="0" t="e">
        <f aca="false">VLOOKUP(Shelf_Life!A19,Demand_Fresh!A20:A111,1,FALSE())</f>
        <v>#N/A</v>
      </c>
      <c r="E19" s="0" t="e">
        <f aca="false">VLOOKUP(Shelf_Life!A19,Demand_Frozen!A19:A136,1,FALSE())</f>
        <v>#N/A</v>
      </c>
    </row>
    <row r="20" customFormat="false" ht="13.8" hidden="false" customHeight="false" outlineLevel="0" collapsed="false">
      <c r="A20" s="0" t="s">
        <v>366</v>
      </c>
      <c r="B20" s="0" t="n">
        <v>3</v>
      </c>
      <c r="C20" s="115" t="n">
        <v>0.131366043529161</v>
      </c>
      <c r="D20" s="0" t="e">
        <f aca="false">VLOOKUP(Shelf_Life!A20,Demand_Fresh!A21:A112,1,FALSE())</f>
        <v>#N/A</v>
      </c>
      <c r="E20" s="0" t="e">
        <f aca="false">VLOOKUP(Shelf_Life!A20,Demand_Frozen!A20:A137,1,FALSE())</f>
        <v>#N/A</v>
      </c>
    </row>
    <row r="21" customFormat="false" ht="13.8" hidden="false" customHeight="false" outlineLevel="0" collapsed="false">
      <c r="A21" s="0" t="s">
        <v>367</v>
      </c>
      <c r="B21" s="0" t="n">
        <v>3</v>
      </c>
      <c r="C21" s="115" t="n">
        <v>0.109471702940968</v>
      </c>
      <c r="D21" s="0" t="e">
        <f aca="false">VLOOKUP(Shelf_Life!A21,Demand_Fresh!A22:A113,1,FALSE())</f>
        <v>#N/A</v>
      </c>
      <c r="E21" s="0" t="e">
        <f aca="false">VLOOKUP(Shelf_Life!A21,Demand_Frozen!A21:A138,1,FALSE())</f>
        <v>#N/A</v>
      </c>
    </row>
    <row r="22" customFormat="false" ht="13.8" hidden="false" customHeight="false" outlineLevel="0" collapsed="false">
      <c r="A22" s="0" t="s">
        <v>368</v>
      </c>
      <c r="B22" s="0" t="n">
        <v>3</v>
      </c>
      <c r="C22" s="115" t="n">
        <v>0.109471702940968</v>
      </c>
      <c r="D22" s="0" t="e">
        <f aca="false">VLOOKUP(Shelf_Life!A22,Demand_Fresh!A23:A114,1,FALSE())</f>
        <v>#N/A</v>
      </c>
      <c r="E22" s="0" t="e">
        <f aca="false">VLOOKUP(Shelf_Life!A22,Demand_Frozen!A22:A139,1,FALSE())</f>
        <v>#N/A</v>
      </c>
    </row>
    <row r="23" customFormat="false" ht="13.8" hidden="false" customHeight="false" outlineLevel="0" collapsed="false">
      <c r="A23" s="0" t="s">
        <v>369</v>
      </c>
      <c r="B23" s="0" t="n">
        <v>3</v>
      </c>
      <c r="C23" s="115" t="n">
        <v>0.0875773623527743</v>
      </c>
      <c r="D23" s="0" t="e">
        <f aca="false">VLOOKUP(Shelf_Life!A23,Demand_Fresh!A24:A115,1,FALSE())</f>
        <v>#N/A</v>
      </c>
      <c r="E23" s="0" t="e">
        <f aca="false">VLOOKUP(Shelf_Life!A23,Demand_Frozen!A23:A140,1,FALSE())</f>
        <v>#N/A</v>
      </c>
    </row>
    <row r="24" customFormat="false" ht="13.8" hidden="false" customHeight="false" outlineLevel="0" collapsed="false">
      <c r="A24" s="0" t="s">
        <v>370</v>
      </c>
      <c r="B24" s="0" t="n">
        <v>3</v>
      </c>
      <c r="C24" s="115" t="n">
        <v>0.0875773623527743</v>
      </c>
      <c r="D24" s="0" t="e">
        <f aca="false">VLOOKUP(Shelf_Life!A24,Demand_Fresh!A25:A116,1,FALSE())</f>
        <v>#N/A</v>
      </c>
      <c r="E24" s="0" t="e">
        <f aca="false">VLOOKUP(Shelf_Life!A24,Demand_Frozen!A24:A141,1,FALSE())</f>
        <v>#N/A</v>
      </c>
    </row>
    <row r="25" customFormat="false" ht="13.8" hidden="false" customHeight="false" outlineLevel="0" collapsed="false">
      <c r="A25" s="0" t="s">
        <v>371</v>
      </c>
      <c r="B25" s="0" t="n">
        <v>3</v>
      </c>
      <c r="C25" s="115" t="n">
        <v>0.103032191003264</v>
      </c>
      <c r="D25" s="0" t="e">
        <f aca="false">VLOOKUP(Shelf_Life!A25,Demand_Fresh!A26:A117,1,FALSE())</f>
        <v>#N/A</v>
      </c>
      <c r="E25" s="0" t="e">
        <f aca="false">VLOOKUP(Shelf_Life!A25,Demand_Frozen!A25:A142,1,FALSE())</f>
        <v>#N/A</v>
      </c>
    </row>
    <row r="26" customFormat="false" ht="13.8" hidden="false" customHeight="false" outlineLevel="0" collapsed="false">
      <c r="A26" s="0" t="s">
        <v>372</v>
      </c>
      <c r="B26" s="0" t="n">
        <v>3</v>
      </c>
      <c r="C26" s="115" t="n">
        <v>0.0875773623527743</v>
      </c>
      <c r="D26" s="0" t="e">
        <f aca="false">VLOOKUP(Shelf_Life!A26,Demand_Fresh!A27:A118,1,FALSE())</f>
        <v>#N/A</v>
      </c>
      <c r="E26" s="0" t="e">
        <f aca="false">VLOOKUP(Shelf_Life!A26,Demand_Frozen!A26:A143,1,FALSE())</f>
        <v>#N/A</v>
      </c>
    </row>
    <row r="27" customFormat="false" ht="13.8" hidden="false" customHeight="false" outlineLevel="0" collapsed="false">
      <c r="A27" s="0" t="s">
        <v>373</v>
      </c>
      <c r="B27" s="0" t="n">
        <v>3</v>
      </c>
      <c r="C27" s="115" t="n">
        <v>0.103032191003264</v>
      </c>
      <c r="D27" s="0" t="e">
        <f aca="false">VLOOKUP(Shelf_Life!A27,Demand_Fresh!A28:A119,1,FALSE())</f>
        <v>#N/A</v>
      </c>
      <c r="E27" s="0" t="e">
        <f aca="false">VLOOKUP(Shelf_Life!A27,Demand_Frozen!A27:A144,1,FALSE())</f>
        <v>#N/A</v>
      </c>
    </row>
    <row r="28" customFormat="false" ht="13.8" hidden="false" customHeight="false" outlineLevel="0" collapsed="false">
      <c r="A28" s="0" t="s">
        <v>374</v>
      </c>
      <c r="B28" s="0" t="n">
        <v>3</v>
      </c>
      <c r="C28" s="115" t="n">
        <v>0.109471702940968</v>
      </c>
      <c r="D28" s="0" t="e">
        <f aca="false">VLOOKUP(Shelf_Life!A28,Demand_Fresh!A29:A120,1,FALSE())</f>
        <v>#N/A</v>
      </c>
      <c r="E28" s="0" t="e">
        <f aca="false">VLOOKUP(Shelf_Life!A28,Demand_Frozen!A28:A145,1,FALSE())</f>
        <v>#N/A</v>
      </c>
    </row>
    <row r="29" customFormat="false" ht="13.8" hidden="false" customHeight="false" outlineLevel="0" collapsed="false">
      <c r="A29" s="0" t="s">
        <v>375</v>
      </c>
      <c r="B29" s="0" t="n">
        <v>3</v>
      </c>
      <c r="C29" s="115" t="n">
        <v>0.109471702940968</v>
      </c>
      <c r="D29" s="0" t="e">
        <f aca="false">VLOOKUP(Shelf_Life!A29,Demand_Fresh!A30:A121,1,FALSE())</f>
        <v>#N/A</v>
      </c>
      <c r="E29" s="0" t="e">
        <f aca="false">VLOOKUP(Shelf_Life!A29,Demand_Frozen!A29:A146,1,FALSE())</f>
        <v>#N/A</v>
      </c>
    </row>
    <row r="30" customFormat="false" ht="13.8" hidden="false" customHeight="false" outlineLevel="0" collapsed="false">
      <c r="A30" s="0" t="s">
        <v>1467</v>
      </c>
      <c r="B30" s="0" t="n">
        <v>3</v>
      </c>
      <c r="C30" s="115" t="n">
        <v>0.131366043529161</v>
      </c>
      <c r="D30" s="0" t="e">
        <f aca="false">VLOOKUP(Shelf_Life!A30,Demand_Fresh!A31:A122,1,FALSE())</f>
        <v>#N/A</v>
      </c>
      <c r="E30" s="0" t="e">
        <f aca="false">VLOOKUP(Shelf_Life!A30,Demand_Frozen!A30:A147,1,FALSE())</f>
        <v>#N/A</v>
      </c>
    </row>
    <row r="31" customFormat="false" ht="13.8" hidden="false" customHeight="false" outlineLevel="0" collapsed="false">
      <c r="A31" s="0" t="s">
        <v>1468</v>
      </c>
      <c r="B31" s="0" t="n">
        <v>3</v>
      </c>
      <c r="C31" s="115" t="n">
        <v>0.109471702940968</v>
      </c>
      <c r="D31" s="0" t="e">
        <f aca="false">VLOOKUP(Shelf_Life!A31,Demand_Fresh!A32:A123,1,FALSE())</f>
        <v>#N/A</v>
      </c>
      <c r="E31" s="0" t="e">
        <f aca="false">VLOOKUP(Shelf_Life!A31,Demand_Frozen!A31:A148,1,FALSE())</f>
        <v>#N/A</v>
      </c>
    </row>
    <row r="32" customFormat="false" ht="13.8" hidden="false" customHeight="false" outlineLevel="0" collapsed="false">
      <c r="A32" s="0" t="s">
        <v>376</v>
      </c>
      <c r="B32" s="0" t="n">
        <v>3</v>
      </c>
      <c r="C32" s="115" t="n">
        <v>0.103032191003264</v>
      </c>
      <c r="D32" s="0" t="e">
        <f aca="false">VLOOKUP(Shelf_Life!A32,Demand_Fresh!A33:A124,1,FALSE())</f>
        <v>#N/A</v>
      </c>
      <c r="E32" s="0" t="e">
        <f aca="false">VLOOKUP(Shelf_Life!A32,Demand_Frozen!A32:A149,1,FALSE())</f>
        <v>#N/A</v>
      </c>
    </row>
    <row r="33" customFormat="false" ht="13.8" hidden="false" customHeight="false" outlineLevel="0" collapsed="false">
      <c r="A33" s="0" t="s">
        <v>377</v>
      </c>
      <c r="B33" s="0" t="n">
        <v>3</v>
      </c>
      <c r="C33" s="115" t="n">
        <v>0.109471702940968</v>
      </c>
      <c r="D33" s="0" t="e">
        <f aca="false">VLOOKUP(Shelf_Life!A33,Demand_Fresh!A34:A125,1,FALSE())</f>
        <v>#N/A</v>
      </c>
      <c r="E33" s="0" t="e">
        <f aca="false">VLOOKUP(Shelf_Life!A33,Demand_Frozen!A33:A150,1,FALSE())</f>
        <v>#N/A</v>
      </c>
    </row>
    <row r="34" customFormat="false" ht="13.8" hidden="false" customHeight="false" outlineLevel="0" collapsed="false">
      <c r="A34" s="0" t="s">
        <v>378</v>
      </c>
      <c r="B34" s="0" t="n">
        <v>3</v>
      </c>
      <c r="C34" s="115" t="n">
        <v>0.0875773623527743</v>
      </c>
      <c r="D34" s="0" t="e">
        <f aca="false">VLOOKUP(Shelf_Life!A34,Demand_Fresh!A35:A126,1,FALSE())</f>
        <v>#N/A</v>
      </c>
      <c r="E34" s="0" t="e">
        <f aca="false">VLOOKUP(Shelf_Life!A34,Demand_Frozen!A34:A151,1,FALSE())</f>
        <v>#N/A</v>
      </c>
    </row>
    <row r="35" customFormat="false" ht="13.8" hidden="false" customHeight="false" outlineLevel="0" collapsed="false">
      <c r="A35" s="0" t="s">
        <v>379</v>
      </c>
      <c r="B35" s="0" t="n">
        <v>3</v>
      </c>
      <c r="C35" s="115" t="n">
        <v>0.109471702940968</v>
      </c>
      <c r="D35" s="0" t="e">
        <f aca="false">VLOOKUP(Shelf_Life!A35,Demand_Fresh!A36:A127,1,FALSE())</f>
        <v>#N/A</v>
      </c>
      <c r="E35" s="0" t="e">
        <f aca="false">VLOOKUP(Shelf_Life!A35,Demand_Frozen!A35:A152,1,FALSE())</f>
        <v>#N/A</v>
      </c>
    </row>
    <row r="36" customFormat="false" ht="13.8" hidden="false" customHeight="false" outlineLevel="0" collapsed="false">
      <c r="A36" s="0" t="s">
        <v>380</v>
      </c>
      <c r="B36" s="0" t="n">
        <v>3</v>
      </c>
      <c r="C36" s="115" t="n">
        <v>0.103032191003264</v>
      </c>
      <c r="D36" s="0" t="e">
        <f aca="false">VLOOKUP(Shelf_Life!A36,Demand_Fresh!A37:A128,1,FALSE())</f>
        <v>#N/A</v>
      </c>
      <c r="E36" s="0" t="e">
        <f aca="false">VLOOKUP(Shelf_Life!A36,Demand_Frozen!A36:A152,1,FALSE())</f>
        <v>#N/A</v>
      </c>
    </row>
    <row r="37" customFormat="false" ht="13.8" hidden="false" customHeight="false" outlineLevel="0" collapsed="false">
      <c r="A37" s="0" t="s">
        <v>381</v>
      </c>
      <c r="B37" s="0" t="n">
        <v>3</v>
      </c>
      <c r="C37" s="115" t="n">
        <v>0.0875773623527743</v>
      </c>
      <c r="D37" s="0" t="e">
        <f aca="false">VLOOKUP(Shelf_Life!A37,Demand_Fresh!A38:A129,1,FALSE())</f>
        <v>#N/A</v>
      </c>
      <c r="E37" s="0" t="e">
        <f aca="false">VLOOKUP(Shelf_Life!A37,Demand_Frozen!A37:A153,1,FALSE())</f>
        <v>#N/A</v>
      </c>
    </row>
    <row r="38" customFormat="false" ht="13.8" hidden="false" customHeight="false" outlineLevel="0" collapsed="false">
      <c r="A38" s="0" t="s">
        <v>382</v>
      </c>
      <c r="B38" s="0" t="n">
        <v>3</v>
      </c>
      <c r="C38" s="115" t="n">
        <v>0.0985245326468711</v>
      </c>
      <c r="D38" s="0" t="e">
        <f aca="false">VLOOKUP(Shelf_Life!A38,Demand_Fresh!A39:A130,1,FALSE())</f>
        <v>#N/A</v>
      </c>
      <c r="E38" s="0" t="e">
        <f aca="false">VLOOKUP(Shelf_Life!A38,Demand_Frozen!A38:A153,1,FALSE())</f>
        <v>#N/A</v>
      </c>
    </row>
    <row r="39" customFormat="false" ht="13.8" hidden="false" customHeight="false" outlineLevel="0" collapsed="false">
      <c r="A39" s="0" t="s">
        <v>383</v>
      </c>
      <c r="B39" s="0" t="n">
        <v>3</v>
      </c>
      <c r="C39" s="115" t="n">
        <v>0.0703746661763365</v>
      </c>
      <c r="D39" s="0" t="e">
        <f aca="false">VLOOKUP(Shelf_Life!A39,Demand_Fresh!A40:A131,1,FALSE())</f>
        <v>#N/A</v>
      </c>
      <c r="E39" s="0" t="e">
        <f aca="false">VLOOKUP(Shelf_Life!A39,Demand_Frozen!A39:A154,1,FALSE())</f>
        <v>#N/A</v>
      </c>
    </row>
    <row r="40" customFormat="false" ht="13.8" hidden="false" customHeight="false" outlineLevel="0" collapsed="false">
      <c r="A40" s="0" t="s">
        <v>384</v>
      </c>
      <c r="B40" s="0" t="n">
        <v>3</v>
      </c>
      <c r="C40" s="115" t="n">
        <v>0.0745339254066164</v>
      </c>
      <c r="D40" s="0" t="e">
        <f aca="false">VLOOKUP(Shelf_Life!A40,Demand_Fresh!A41:A132,1,FALSE())</f>
        <v>#N/A</v>
      </c>
      <c r="E40" s="0" t="e">
        <f aca="false">VLOOKUP(Shelf_Life!A40,Demand_Frozen!A40:A155,1,FALSE())</f>
        <v>#N/A</v>
      </c>
    </row>
    <row r="41" customFormat="false" ht="13.8" hidden="false" customHeight="false" outlineLevel="0" collapsed="false">
      <c r="A41" s="0" t="s">
        <v>385</v>
      </c>
      <c r="B41" s="0" t="n">
        <v>3</v>
      </c>
      <c r="C41" s="115" t="n">
        <v>0.0745339254066164</v>
      </c>
      <c r="D41" s="0" t="e">
        <f aca="false">VLOOKUP(Shelf_Life!A41,Demand_Fresh!A42:A133,1,FALSE())</f>
        <v>#N/A</v>
      </c>
      <c r="E41" s="0" t="e">
        <f aca="false">VLOOKUP(Shelf_Life!A41,Demand_Frozen!A41:A156,1,FALSE())</f>
        <v>#N/A</v>
      </c>
    </row>
    <row r="42" customFormat="false" ht="13.8" hidden="false" customHeight="false" outlineLevel="0" collapsed="false">
      <c r="A42" s="0" t="s">
        <v>386</v>
      </c>
      <c r="B42" s="0" t="n">
        <v>3</v>
      </c>
      <c r="C42" s="115" t="n">
        <v>0.109471702940968</v>
      </c>
      <c r="D42" s="0" t="e">
        <f aca="false">VLOOKUP(Shelf_Life!A42,Demand_Fresh!A43:A134,1,FALSE())</f>
        <v>#N/A</v>
      </c>
      <c r="E42" s="0" t="e">
        <f aca="false">VLOOKUP(Shelf_Life!A42,Demand_Frozen!A42:A157,1,FALSE())</f>
        <v>#N/A</v>
      </c>
    </row>
    <row r="43" customFormat="false" ht="13.8" hidden="false" customHeight="false" outlineLevel="0" collapsed="false">
      <c r="A43" s="0" t="s">
        <v>387</v>
      </c>
      <c r="B43" s="0" t="n">
        <v>3</v>
      </c>
      <c r="C43" s="115" t="n">
        <v>0.103032191003264</v>
      </c>
      <c r="D43" s="0" t="e">
        <f aca="false">VLOOKUP(Shelf_Life!A43,Demand_Fresh!A44:A135,1,FALSE())</f>
        <v>#N/A</v>
      </c>
      <c r="E43" s="0" t="e">
        <f aca="false">VLOOKUP(Shelf_Life!A43,Demand_Frozen!A43:A158,1,FALSE())</f>
        <v>#N/A</v>
      </c>
    </row>
    <row r="44" customFormat="false" ht="13.8" hidden="false" customHeight="false" outlineLevel="0" collapsed="false">
      <c r="A44" s="0" t="s">
        <v>1469</v>
      </c>
      <c r="B44" s="0" t="n">
        <v>3</v>
      </c>
      <c r="C44" s="115" t="n">
        <v>0.109471702940968</v>
      </c>
      <c r="D44" s="0" t="e">
        <f aca="false">VLOOKUP(Shelf_Life!A44,Demand_Fresh!A45:A136,1,FALSE())</f>
        <v>#N/A</v>
      </c>
      <c r="E44" s="0" t="e">
        <f aca="false">VLOOKUP(Shelf_Life!A44,Demand_Frozen!A44:A159,1,FALSE())</f>
        <v>#N/A</v>
      </c>
    </row>
    <row r="45" customFormat="false" ht="13.8" hidden="false" customHeight="false" outlineLevel="0" collapsed="false">
      <c r="A45" s="0" t="s">
        <v>388</v>
      </c>
      <c r="B45" s="0" t="n">
        <v>3</v>
      </c>
      <c r="C45" s="115" t="n">
        <v>0.109471702940968</v>
      </c>
      <c r="D45" s="0" t="e">
        <f aca="false">VLOOKUP(Shelf_Life!A45,Demand_Fresh!A46:A137,1,FALSE())</f>
        <v>#N/A</v>
      </c>
      <c r="E45" s="0" t="e">
        <f aca="false">VLOOKUP(Shelf_Life!A45,Demand_Frozen!A45:A160,1,FALSE())</f>
        <v>#N/A</v>
      </c>
    </row>
    <row r="46" customFormat="false" ht="13.8" hidden="false" customHeight="false" outlineLevel="0" collapsed="false">
      <c r="A46" s="0" t="s">
        <v>1470</v>
      </c>
      <c r="B46" s="0" t="n">
        <v>3</v>
      </c>
      <c r="C46" s="115" t="n">
        <v>0.109471702940968</v>
      </c>
      <c r="D46" s="0" t="e">
        <f aca="false">VLOOKUP(Shelf_Life!A46,Demand_Fresh!A47:A138,1,FALSE())</f>
        <v>#N/A</v>
      </c>
      <c r="E46" s="0" t="e">
        <f aca="false">VLOOKUP(Shelf_Life!A46,Demand_Frozen!A46:A161,1,FALSE())</f>
        <v>#N/A</v>
      </c>
    </row>
    <row r="47" customFormat="false" ht="13.8" hidden="false" customHeight="false" outlineLevel="0" collapsed="false">
      <c r="A47" s="0" t="s">
        <v>389</v>
      </c>
      <c r="B47" s="0" t="n">
        <v>3</v>
      </c>
      <c r="C47" s="115" t="n">
        <v>0.131366043529161</v>
      </c>
      <c r="D47" s="0" t="e">
        <f aca="false">VLOOKUP(Shelf_Life!A47,Demand_Fresh!A48:A139,1,FALSE())</f>
        <v>#N/A</v>
      </c>
      <c r="E47" s="0" t="e">
        <f aca="false">VLOOKUP(Shelf_Life!A47,Demand_Frozen!A47:A162,1,FALSE())</f>
        <v>#N/A</v>
      </c>
    </row>
    <row r="48" customFormat="false" ht="13.8" hidden="false" customHeight="false" outlineLevel="0" collapsed="false">
      <c r="A48" s="0" t="s">
        <v>390</v>
      </c>
      <c r="B48" s="0" t="n">
        <v>3</v>
      </c>
      <c r="C48" s="115" t="n">
        <v>0.131366043529161</v>
      </c>
      <c r="D48" s="0" t="e">
        <f aca="false">VLOOKUP(Shelf_Life!A48,Demand_Fresh!A49:A140,1,FALSE())</f>
        <v>#N/A</v>
      </c>
      <c r="E48" s="0" t="e">
        <f aca="false">VLOOKUP(Shelf_Life!A48,Demand_Frozen!A48:A163,1,FALSE())</f>
        <v>#N/A</v>
      </c>
    </row>
    <row r="49" customFormat="false" ht="13.8" hidden="false" customHeight="false" outlineLevel="0" collapsed="false">
      <c r="A49" s="0" t="s">
        <v>391</v>
      </c>
      <c r="B49" s="0" t="n">
        <v>3</v>
      </c>
      <c r="C49" s="115" t="n">
        <v>0.109471702940968</v>
      </c>
      <c r="D49" s="0" t="e">
        <f aca="false">VLOOKUP(Shelf_Life!A49,Demand_Fresh!A50:A141,1,FALSE())</f>
        <v>#N/A</v>
      </c>
      <c r="E49" s="0" t="e">
        <f aca="false">VLOOKUP(Shelf_Life!A49,Demand_Frozen!A49:A164,1,FALSE())</f>
        <v>#N/A</v>
      </c>
    </row>
    <row r="50" customFormat="false" ht="13.8" hidden="false" customHeight="false" outlineLevel="0" collapsed="false">
      <c r="A50" s="0" t="s">
        <v>392</v>
      </c>
      <c r="B50" s="0" t="n">
        <v>3</v>
      </c>
      <c r="C50" s="115" t="n">
        <v>0.109471702940968</v>
      </c>
      <c r="D50" s="0" t="e">
        <f aca="false">VLOOKUP(Shelf_Life!A50,Demand_Fresh!A51:A142,1,FALSE())</f>
        <v>#N/A</v>
      </c>
      <c r="E50" s="0" t="e">
        <f aca="false">VLOOKUP(Shelf_Life!A50,Demand_Frozen!A50:A165,1,FALSE())</f>
        <v>#N/A</v>
      </c>
    </row>
    <row r="51" customFormat="false" ht="13.8" hidden="false" customHeight="false" outlineLevel="0" collapsed="false">
      <c r="A51" s="0" t="s">
        <v>393</v>
      </c>
      <c r="B51" s="0" t="n">
        <v>3</v>
      </c>
      <c r="C51" s="115" t="n">
        <v>0.0985245326468711</v>
      </c>
      <c r="D51" s="0" t="e">
        <f aca="false">VLOOKUP(Shelf_Life!A51,Demand_Fresh!A52:A143,1,FALSE())</f>
        <v>#N/A</v>
      </c>
      <c r="E51" s="0" t="e">
        <f aca="false">VLOOKUP(Shelf_Life!A51,Demand_Frozen!A51:A166,1,FALSE())</f>
        <v>#N/A</v>
      </c>
    </row>
    <row r="52" customFormat="false" ht="13.8" hidden="false" customHeight="false" outlineLevel="0" collapsed="false">
      <c r="A52" s="0" t="s">
        <v>394</v>
      </c>
      <c r="B52" s="0" t="n">
        <v>3</v>
      </c>
      <c r="C52" s="115" t="n">
        <v>0.147786798970307</v>
      </c>
      <c r="D52" s="0" t="e">
        <f aca="false">VLOOKUP(Shelf_Life!A52,Demand_Fresh!A53:A144,1,FALSE())</f>
        <v>#N/A</v>
      </c>
      <c r="E52" s="0" t="e">
        <f aca="false">VLOOKUP(Shelf_Life!A52,Demand_Frozen!A52:A167,1,FALSE())</f>
        <v>#N/A</v>
      </c>
    </row>
    <row r="53" customFormat="false" ht="13.8" hidden="false" customHeight="false" outlineLevel="0" collapsed="false">
      <c r="A53" s="0" t="s">
        <v>395</v>
      </c>
      <c r="B53" s="0" t="n">
        <v>3</v>
      </c>
      <c r="C53" s="115" t="n">
        <v>0.364905676469893</v>
      </c>
      <c r="D53" s="0" t="e">
        <f aca="false">VLOOKUP(Shelf_Life!A53,Demand_Fresh!A54:A145,1,FALSE())</f>
        <v>#N/A</v>
      </c>
      <c r="E53" s="0" t="e">
        <f aca="false">VLOOKUP(Shelf_Life!A53,Demand_Frozen!A53:A168,1,FALSE())</f>
        <v>#N/A</v>
      </c>
    </row>
    <row r="54" customFormat="false" ht="13.8" hidden="false" customHeight="false" outlineLevel="0" collapsed="false">
      <c r="A54" s="0" t="s">
        <v>396</v>
      </c>
      <c r="B54" s="0" t="n">
        <v>3</v>
      </c>
      <c r="C54" s="115" t="n">
        <v>0.194616360783943</v>
      </c>
      <c r="D54" s="0" t="e">
        <f aca="false">VLOOKUP(Shelf_Life!A54,Demand_Fresh!A55:A146,1,FALSE())</f>
        <v>#N/A</v>
      </c>
      <c r="E54" s="0" t="e">
        <f aca="false">VLOOKUP(Shelf_Life!A54,Demand_Frozen!A54:A169,1,FALSE())</f>
        <v>#N/A</v>
      </c>
    </row>
    <row r="55" customFormat="false" ht="13.8" hidden="false" customHeight="false" outlineLevel="0" collapsed="false">
      <c r="A55" s="0" t="s">
        <v>397</v>
      </c>
      <c r="B55" s="0" t="n">
        <v>3</v>
      </c>
      <c r="C55" s="115" t="n">
        <v>0.131366043529161</v>
      </c>
      <c r="D55" s="0" t="e">
        <f aca="false">VLOOKUP(Shelf_Life!A55,Demand_Fresh!A56:A147,1,FALSE())</f>
        <v>#N/A</v>
      </c>
      <c r="E55" s="0" t="e">
        <f aca="false">VLOOKUP(Shelf_Life!A55,Demand_Frozen!A55:A170,1,FALSE())</f>
        <v>#N/A</v>
      </c>
    </row>
    <row r="56" customFormat="false" ht="13.8" hidden="false" customHeight="false" outlineLevel="0" collapsed="false">
      <c r="A56" s="0" t="s">
        <v>398</v>
      </c>
      <c r="B56" s="0" t="n">
        <v>3</v>
      </c>
      <c r="C56" s="115" t="n">
        <v>0.246311331617178</v>
      </c>
      <c r="D56" s="0" t="e">
        <f aca="false">VLOOKUP(Shelf_Life!A56,Demand_Fresh!A57:A148,1,FALSE())</f>
        <v>#N/A</v>
      </c>
      <c r="E56" s="0" t="e">
        <f aca="false">VLOOKUP(Shelf_Life!A56,Demand_Frozen!A56:A171,1,FALSE())</f>
        <v>#N/A</v>
      </c>
    </row>
    <row r="57" customFormat="false" ht="13.8" hidden="false" customHeight="false" outlineLevel="0" collapsed="false">
      <c r="A57" s="0" t="s">
        <v>399</v>
      </c>
      <c r="B57" s="0" t="n">
        <v>3</v>
      </c>
      <c r="C57" s="115" t="n">
        <v>0.0985245326468711</v>
      </c>
      <c r="D57" s="0" t="e">
        <f aca="false">VLOOKUP(Shelf_Life!A57,Demand_Fresh!A58:A149,1,FALSE())</f>
        <v>#N/A</v>
      </c>
      <c r="E57" s="0" t="e">
        <f aca="false">VLOOKUP(Shelf_Life!A57,Demand_Frozen!A57:A172,1,FALSE())</f>
        <v>#N/A</v>
      </c>
    </row>
    <row r="58" customFormat="false" ht="13.8" hidden="false" customHeight="false" outlineLevel="0" collapsed="false">
      <c r="A58" s="0" t="s">
        <v>400</v>
      </c>
      <c r="B58" s="0" t="n">
        <v>3</v>
      </c>
      <c r="C58" s="115" t="n">
        <v>0.0985245326468711</v>
      </c>
      <c r="D58" s="0" t="e">
        <f aca="false">VLOOKUP(Shelf_Life!A58,Demand_Fresh!A59:A150,1,FALSE())</f>
        <v>#N/A</v>
      </c>
      <c r="E58" s="0" t="e">
        <f aca="false">VLOOKUP(Shelf_Life!A58,Demand_Frozen!A58:A173,1,FALSE())</f>
        <v>#N/A</v>
      </c>
    </row>
    <row r="59" customFormat="false" ht="13.8" hidden="false" customHeight="false" outlineLevel="0" collapsed="false">
      <c r="A59" s="0" t="s">
        <v>401</v>
      </c>
      <c r="B59" s="0" t="n">
        <v>3</v>
      </c>
      <c r="C59" s="115" t="n">
        <v>0.131366043529161</v>
      </c>
      <c r="D59" s="0" t="e">
        <f aca="false">VLOOKUP(Shelf_Life!A59,Demand_Fresh!A60:A151,1,FALSE())</f>
        <v>#N/A</v>
      </c>
      <c r="E59" s="0" t="e">
        <f aca="false">VLOOKUP(Shelf_Life!A59,Demand_Frozen!A59:A174,1,FALSE())</f>
        <v>#N/A</v>
      </c>
    </row>
    <row r="60" customFormat="false" ht="13.8" hidden="false" customHeight="false" outlineLevel="0" collapsed="false">
      <c r="A60" s="0" t="s">
        <v>402</v>
      </c>
      <c r="B60" s="0" t="n">
        <v>3</v>
      </c>
      <c r="C60" s="115" t="n">
        <v>0.103032191003264</v>
      </c>
      <c r="D60" s="0" t="e">
        <f aca="false">VLOOKUP(Shelf_Life!A60,Demand_Fresh!A61:A152,1,FALSE())</f>
        <v>#N/A</v>
      </c>
      <c r="E60" s="0" t="e">
        <f aca="false">VLOOKUP(Shelf_Life!A60,Demand_Frozen!A60:A175,1,FALSE())</f>
        <v>#N/A</v>
      </c>
    </row>
    <row r="61" customFormat="false" ht="13.8" hidden="false" customHeight="false" outlineLevel="0" collapsed="false">
      <c r="A61" s="0" t="s">
        <v>403</v>
      </c>
      <c r="B61" s="0" t="n">
        <v>3</v>
      </c>
      <c r="C61" s="115" t="n">
        <v>0.0615778329042944</v>
      </c>
      <c r="D61" s="0" t="e">
        <f aca="false">VLOOKUP(Shelf_Life!A61,Demand_Fresh!A62:A153,1,FALSE())</f>
        <v>#N/A</v>
      </c>
      <c r="E61" s="0" t="e">
        <f aca="false">VLOOKUP(Shelf_Life!A61,Demand_Frozen!A61:A176,1,FALSE())</f>
        <v>#N/A</v>
      </c>
    </row>
    <row r="62" customFormat="false" ht="13.8" hidden="false" customHeight="false" outlineLevel="0" collapsed="false">
      <c r="A62" s="0" t="s">
        <v>404</v>
      </c>
      <c r="B62" s="0" t="n">
        <v>3</v>
      </c>
      <c r="C62" s="115" t="n">
        <v>0.0579556074393359</v>
      </c>
      <c r="D62" s="0" t="e">
        <f aca="false">VLOOKUP(Shelf_Life!A62,Demand_Fresh!A63:A154,1,FALSE())</f>
        <v>#N/A</v>
      </c>
      <c r="E62" s="0" t="e">
        <f aca="false">VLOOKUP(Shelf_Life!A62,Demand_Frozen!A62:A177,1,FALSE())</f>
        <v>#N/A</v>
      </c>
    </row>
    <row r="63" customFormat="false" ht="13.8" hidden="false" customHeight="false" outlineLevel="0" collapsed="false">
      <c r="A63" s="0" t="s">
        <v>405</v>
      </c>
      <c r="B63" s="0" t="n">
        <v>3</v>
      </c>
      <c r="C63" s="115" t="n">
        <v>0.0684198143381049</v>
      </c>
      <c r="D63" s="0" t="e">
        <f aca="false">VLOOKUP(Shelf_Life!A63,Demand_Fresh!A64:A155,1,FALSE())</f>
        <v>#N/A</v>
      </c>
      <c r="E63" s="0" t="e">
        <f aca="false">VLOOKUP(Shelf_Life!A63,Demand_Frozen!A63:A178,1,FALSE())</f>
        <v>#N/A</v>
      </c>
    </row>
    <row r="64" customFormat="false" ht="13.8" hidden="false" customHeight="false" outlineLevel="0" collapsed="false">
      <c r="A64" s="0" t="s">
        <v>406</v>
      </c>
      <c r="B64" s="0" t="n">
        <v>3</v>
      </c>
      <c r="C64" s="115" t="n">
        <v>0.0421045011311415</v>
      </c>
      <c r="D64" s="0" t="e">
        <f aca="false">VLOOKUP(Shelf_Life!A64,Demand_Fresh!A65:A156,1,FALSE())</f>
        <v>#N/A</v>
      </c>
      <c r="E64" s="0" t="e">
        <f aca="false">VLOOKUP(Shelf_Life!A64,Demand_Frozen!A64:A179,1,FALSE())</f>
        <v>#N/A</v>
      </c>
    </row>
    <row r="65" customFormat="false" ht="13.8" hidden="false" customHeight="false" outlineLevel="0" collapsed="false">
      <c r="A65" s="0" t="s">
        <v>407</v>
      </c>
      <c r="B65" s="0" t="n">
        <v>3</v>
      </c>
      <c r="C65" s="115" t="n">
        <v>0.0615778329042944</v>
      </c>
      <c r="D65" s="0" t="e">
        <f aca="false">VLOOKUP(Shelf_Life!A65,Demand_Fresh!A66:A157,1,FALSE())</f>
        <v>#N/A</v>
      </c>
      <c r="E65" s="0" t="e">
        <f aca="false">VLOOKUP(Shelf_Life!A65,Demand_Frozen!A65:A180,1,FALSE())</f>
        <v>#N/A</v>
      </c>
    </row>
    <row r="66" customFormat="false" ht="13.8" hidden="false" customHeight="false" outlineLevel="0" collapsed="false">
      <c r="A66" s="0" t="s">
        <v>408</v>
      </c>
      <c r="B66" s="0" t="n">
        <v>3</v>
      </c>
      <c r="C66" s="115" t="n">
        <v>0.0615778329042944</v>
      </c>
      <c r="D66" s="0" t="e">
        <f aca="false">VLOOKUP(Shelf_Life!A66,Demand_Fresh!A67:A158,1,FALSE())</f>
        <v>#N/A</v>
      </c>
      <c r="E66" s="0" t="e">
        <f aca="false">VLOOKUP(Shelf_Life!A66,Demand_Frozen!A66:A181,1,FALSE())</f>
        <v>#N/A</v>
      </c>
    </row>
    <row r="67" customFormat="false" ht="13.8" hidden="false" customHeight="false" outlineLevel="0" collapsed="false">
      <c r="A67" s="0" t="s">
        <v>409</v>
      </c>
      <c r="B67" s="0" t="n">
        <v>3</v>
      </c>
      <c r="C67" s="115" t="n">
        <v>0.0615778329042944</v>
      </c>
      <c r="D67" s="0" t="e">
        <f aca="false">VLOOKUP(Shelf_Life!A67,Demand_Fresh!A68:A159,1,FALSE())</f>
        <v>#N/A</v>
      </c>
      <c r="E67" s="0" t="e">
        <f aca="false">VLOOKUP(Shelf_Life!A67,Demand_Frozen!A67:A182,1,FALSE())</f>
        <v>#N/A</v>
      </c>
    </row>
    <row r="68" customFormat="false" ht="13.8" hidden="false" customHeight="false" outlineLevel="0" collapsed="false">
      <c r="A68" s="0" t="s">
        <v>410</v>
      </c>
      <c r="B68" s="0" t="n">
        <v>3</v>
      </c>
      <c r="C68" s="115" t="n">
        <v>0.0615778329042944</v>
      </c>
      <c r="D68" s="0" t="e">
        <f aca="false">VLOOKUP(Shelf_Life!A68,Demand_Fresh!A69:A160,1,FALSE())</f>
        <v>#N/A</v>
      </c>
      <c r="E68" s="0" t="e">
        <f aca="false">VLOOKUP(Shelf_Life!A68,Demand_Frozen!A68:A183,1,FALSE())</f>
        <v>#N/A</v>
      </c>
    </row>
    <row r="69" customFormat="false" ht="13.8" hidden="false" customHeight="false" outlineLevel="0" collapsed="false">
      <c r="A69" s="0" t="s">
        <v>411</v>
      </c>
      <c r="B69" s="0" t="n">
        <v>3</v>
      </c>
      <c r="C69" s="115" t="n">
        <v>0.0615778329042944</v>
      </c>
      <c r="D69" s="0" t="e">
        <f aca="false">VLOOKUP(Shelf_Life!A69,Demand_Fresh!A70:A161,1,FALSE())</f>
        <v>#N/A</v>
      </c>
      <c r="E69" s="0" t="e">
        <f aca="false">VLOOKUP(Shelf_Life!A69,Demand_Frozen!A69:A184,1,FALSE())</f>
        <v>#N/A</v>
      </c>
    </row>
    <row r="70" customFormat="false" ht="13.8" hidden="false" customHeight="false" outlineLevel="0" collapsed="false">
      <c r="A70" s="0" t="s">
        <v>412</v>
      </c>
      <c r="B70" s="0" t="n">
        <v>3</v>
      </c>
      <c r="C70" s="115" t="n">
        <v>0.0615778329042944</v>
      </c>
      <c r="D70" s="0" t="e">
        <f aca="false">VLOOKUP(Shelf_Life!A70,Demand_Fresh!A71:A162,1,FALSE())</f>
        <v>#N/A</v>
      </c>
      <c r="E70" s="0" t="e">
        <f aca="false">VLOOKUP(Shelf_Life!A70,Demand_Frozen!A70:A185,1,FALSE())</f>
        <v>#N/A</v>
      </c>
    </row>
    <row r="71" customFormat="false" ht="13.8" hidden="false" customHeight="false" outlineLevel="0" collapsed="false">
      <c r="A71" s="0" t="s">
        <v>413</v>
      </c>
      <c r="B71" s="0" t="n">
        <v>3</v>
      </c>
      <c r="C71" s="115" t="n">
        <v>0.082933108288612</v>
      </c>
      <c r="D71" s="0" t="e">
        <f aca="false">VLOOKUP(Shelf_Life!A71,Demand_Fresh!A72:A163,1,FALSE())</f>
        <v>#N/A</v>
      </c>
      <c r="E71" s="0" t="e">
        <f aca="false">VLOOKUP(Shelf_Life!A71,Demand_Frozen!A71:A186,1,FALSE())</f>
        <v>#N/A</v>
      </c>
    </row>
    <row r="72" customFormat="false" ht="13.8" hidden="false" customHeight="false" outlineLevel="0" collapsed="false">
      <c r="A72" s="0" t="s">
        <v>414</v>
      </c>
      <c r="B72" s="0" t="n">
        <v>3</v>
      </c>
      <c r="C72" s="115" t="n">
        <v>0.0608176127449821</v>
      </c>
      <c r="D72" s="0" t="e">
        <f aca="false">VLOOKUP(Shelf_Life!A72,Demand_Fresh!A73:A164,1,FALSE())</f>
        <v>#N/A</v>
      </c>
      <c r="E72" s="0" t="e">
        <f aca="false">VLOOKUP(Shelf_Life!A72,Demand_Frozen!A72:A187,1,FALSE())</f>
        <v>#N/A</v>
      </c>
    </row>
    <row r="73" customFormat="false" ht="13.8" hidden="false" customHeight="false" outlineLevel="0" collapsed="false">
      <c r="A73" s="0" t="s">
        <v>415</v>
      </c>
      <c r="B73" s="0" t="n">
        <v>3</v>
      </c>
      <c r="C73" s="115" t="n">
        <v>0.0615778329042944</v>
      </c>
      <c r="D73" s="0" t="e">
        <f aca="false">VLOOKUP(Shelf_Life!A73,Demand_Fresh!A74:A165,1,FALSE())</f>
        <v>#N/A</v>
      </c>
      <c r="E73" s="0" t="e">
        <f aca="false">VLOOKUP(Shelf_Life!A73,Demand_Frozen!A73:A188,1,FALSE())</f>
        <v>#N/A</v>
      </c>
    </row>
    <row r="74" customFormat="false" ht="13.8" hidden="false" customHeight="false" outlineLevel="0" collapsed="false">
      <c r="A74" s="0" t="s">
        <v>1471</v>
      </c>
      <c r="B74" s="0" t="n">
        <v>3</v>
      </c>
      <c r="C74" s="115" t="n">
        <v>0.0684198143381049</v>
      </c>
      <c r="D74" s="0" t="e">
        <f aca="false">VLOOKUP(Shelf_Life!A74,Demand_Fresh!A75:A166,1,FALSE())</f>
        <v>#N/A</v>
      </c>
      <c r="E74" s="0" t="e">
        <f aca="false">VLOOKUP(Shelf_Life!A74,Demand_Frozen!A74:A189,1,FALSE())</f>
        <v>#N/A</v>
      </c>
    </row>
    <row r="75" customFormat="false" ht="13.8" hidden="false" customHeight="false" outlineLevel="0" collapsed="false">
      <c r="A75" s="0" t="s">
        <v>416</v>
      </c>
      <c r="B75" s="0" t="n">
        <v>3</v>
      </c>
      <c r="C75" s="115" t="n">
        <v>0.0615778329042944</v>
      </c>
      <c r="D75" s="0" t="e">
        <f aca="false">VLOOKUP(Shelf_Life!A75,Demand_Fresh!A76:A167,1,FALSE())</f>
        <v>#N/A</v>
      </c>
      <c r="E75" s="0" t="e">
        <f aca="false">VLOOKUP(Shelf_Life!A75,Demand_Frozen!A75:A190,1,FALSE())</f>
        <v>#N/A</v>
      </c>
    </row>
    <row r="76" customFormat="false" ht="13.8" hidden="false" customHeight="false" outlineLevel="0" collapsed="false">
      <c r="A76" s="0" t="s">
        <v>417</v>
      </c>
      <c r="B76" s="0" t="n">
        <v>3</v>
      </c>
      <c r="C76" s="115" t="n">
        <v>0.0615778329042944</v>
      </c>
      <c r="D76" s="0" t="e">
        <f aca="false">VLOOKUP(Shelf_Life!A76,Demand_Fresh!A77:A168,1,FALSE())</f>
        <v>#N/A</v>
      </c>
      <c r="E76" s="0" t="e">
        <f aca="false">VLOOKUP(Shelf_Life!A76,Demand_Frozen!A76:A191,1,FALSE())</f>
        <v>#N/A</v>
      </c>
    </row>
    <row r="77" customFormat="false" ht="13.8" hidden="false" customHeight="false" outlineLevel="0" collapsed="false">
      <c r="A77" s="0" t="s">
        <v>418</v>
      </c>
      <c r="B77" s="0" t="n">
        <v>3</v>
      </c>
      <c r="C77" s="115" t="n">
        <v>0.0615778329042944</v>
      </c>
      <c r="D77" s="0" t="e">
        <f aca="false">VLOOKUP(Shelf_Life!A77,Demand_Fresh!A78:A169,1,FALSE())</f>
        <v>#N/A</v>
      </c>
      <c r="E77" s="0" t="e">
        <f aca="false">VLOOKUP(Shelf_Life!A77,Demand_Frozen!A77:A192,1,FALSE())</f>
        <v>#N/A</v>
      </c>
    </row>
    <row r="78" customFormat="false" ht="13.8" hidden="false" customHeight="false" outlineLevel="0" collapsed="false">
      <c r="A78" s="0" t="s">
        <v>419</v>
      </c>
      <c r="B78" s="0" t="n">
        <v>3</v>
      </c>
      <c r="C78" s="115" t="n">
        <v>0.0615778329042944</v>
      </c>
      <c r="D78" s="0" t="e">
        <f aca="false">VLOOKUP(Shelf_Life!A78,Demand_Fresh!A79:A170,1,FALSE())</f>
        <v>#N/A</v>
      </c>
      <c r="E78" s="0" t="e">
        <f aca="false">VLOOKUP(Shelf_Life!A78,Demand_Frozen!A78:A193,1,FALSE())</f>
        <v>#N/A</v>
      </c>
    </row>
    <row r="79" customFormat="false" ht="13.8" hidden="false" customHeight="false" outlineLevel="0" collapsed="false">
      <c r="A79" s="0" t="s">
        <v>420</v>
      </c>
      <c r="B79" s="0" t="n">
        <v>3</v>
      </c>
      <c r="C79" s="115" t="n">
        <v>0.0615778329042944</v>
      </c>
      <c r="D79" s="0" t="e">
        <f aca="false">VLOOKUP(Shelf_Life!A79,Demand_Fresh!A80:A171,1,FALSE())</f>
        <v>#N/A</v>
      </c>
      <c r="E79" s="0" t="e">
        <f aca="false">VLOOKUP(Shelf_Life!A79,Demand_Frozen!A79:A194,1,FALSE())</f>
        <v>#N/A</v>
      </c>
    </row>
    <row r="80" customFormat="false" ht="13.8" hidden="false" customHeight="false" outlineLevel="0" collapsed="false">
      <c r="A80" s="0" t="s">
        <v>421</v>
      </c>
      <c r="B80" s="0" t="n">
        <v>3</v>
      </c>
      <c r="C80" s="115" t="n">
        <v>0.0912264191174732</v>
      </c>
      <c r="D80" s="0" t="e">
        <f aca="false">VLOOKUP(Shelf_Life!A80,Demand_Fresh!A81:A172,1,FALSE())</f>
        <v>#N/A</v>
      </c>
      <c r="E80" s="0" t="e">
        <f aca="false">VLOOKUP(Shelf_Life!A80,Demand_Frozen!A80:A195,1,FALSE())</f>
        <v>#N/A</v>
      </c>
    </row>
    <row r="81" customFormat="false" ht="13.8" hidden="false" customHeight="false" outlineLevel="0" collapsed="false">
      <c r="A81" s="0" t="s">
        <v>422</v>
      </c>
      <c r="B81" s="0" t="n">
        <v>3</v>
      </c>
      <c r="C81" s="115" t="n">
        <v>0.0684198143381049</v>
      </c>
      <c r="D81" s="0" t="e">
        <f aca="false">VLOOKUP(Shelf_Life!A81,Demand_Fresh!A82:A173,1,FALSE())</f>
        <v>#N/A</v>
      </c>
      <c r="E81" s="0" t="e">
        <f aca="false">VLOOKUP(Shelf_Life!A81,Demand_Frozen!A81:A196,1,FALSE())</f>
        <v>#N/A</v>
      </c>
    </row>
    <row r="82" customFormat="false" ht="13.8" hidden="false" customHeight="false" outlineLevel="0" collapsed="false">
      <c r="A82" s="0" t="s">
        <v>423</v>
      </c>
      <c r="B82" s="0" t="n">
        <v>3</v>
      </c>
      <c r="C82" s="115" t="n">
        <v>0.0615778329042944</v>
      </c>
      <c r="D82" s="0" t="e">
        <f aca="false">VLOOKUP(Shelf_Life!A82,Demand_Fresh!A83:A174,1,FALSE())</f>
        <v>#N/A</v>
      </c>
      <c r="E82" s="0" t="e">
        <f aca="false">VLOOKUP(Shelf_Life!A82,Demand_Frozen!A82:A197,1,FALSE())</f>
        <v>#N/A</v>
      </c>
    </row>
    <row r="83" customFormat="false" ht="13.8" hidden="false" customHeight="false" outlineLevel="0" collapsed="false">
      <c r="A83" s="0" t="s">
        <v>1472</v>
      </c>
      <c r="B83" s="0" t="n">
        <v>3</v>
      </c>
      <c r="C83" s="115" t="n">
        <v>0.0615778329042944</v>
      </c>
      <c r="D83" s="0" t="e">
        <f aca="false">VLOOKUP(Shelf_Life!A83,Demand_Fresh!A84:A175,1,FALSE())</f>
        <v>#N/A</v>
      </c>
      <c r="E83" s="0" t="e">
        <f aca="false">VLOOKUP(Shelf_Life!A83,Demand_Frozen!A83:A198,1,FALSE())</f>
        <v>#N/A</v>
      </c>
    </row>
    <row r="84" customFormat="false" ht="13.8" hidden="false" customHeight="false" outlineLevel="0" collapsed="false">
      <c r="A84" s="0" t="s">
        <v>1473</v>
      </c>
      <c r="B84" s="0" t="n">
        <v>3</v>
      </c>
      <c r="C84" s="115" t="n">
        <v>0.0684198143381049</v>
      </c>
      <c r="D84" s="0" t="e">
        <f aca="false">VLOOKUP(Shelf_Life!A84,Demand_Fresh!A85:A176,1,FALSE())</f>
        <v>#N/A</v>
      </c>
      <c r="E84" s="0" t="e">
        <f aca="false">VLOOKUP(Shelf_Life!A84,Demand_Frozen!A84:A199,1,FALSE())</f>
        <v>#N/A</v>
      </c>
    </row>
    <row r="85" customFormat="false" ht="13.8" hidden="false" customHeight="false" outlineLevel="0" collapsed="false">
      <c r="A85" s="0" t="s">
        <v>424</v>
      </c>
      <c r="B85" s="0" t="n">
        <v>3</v>
      </c>
      <c r="C85" s="115" t="n">
        <v>0.0684198143381049</v>
      </c>
      <c r="D85" s="0" t="e">
        <f aca="false">VLOOKUP(Shelf_Life!A85,Demand_Fresh!A86:A177,1,FALSE())</f>
        <v>#N/A</v>
      </c>
      <c r="E85" s="0" t="e">
        <f aca="false">VLOOKUP(Shelf_Life!A85,Demand_Frozen!A85:A200,1,FALSE())</f>
        <v>#N/A</v>
      </c>
    </row>
    <row r="86" customFormat="false" ht="13.8" hidden="false" customHeight="false" outlineLevel="0" collapsed="false">
      <c r="A86" s="0" t="s">
        <v>425</v>
      </c>
      <c r="B86" s="0" t="n">
        <v>3</v>
      </c>
      <c r="C86" s="115" t="n">
        <v>0.0615778329042944</v>
      </c>
      <c r="D86" s="0" t="e">
        <f aca="false">VLOOKUP(Shelf_Life!A86,Demand_Fresh!A87:A178,1,FALSE())</f>
        <v>#N/A</v>
      </c>
      <c r="E86" s="0" t="e">
        <f aca="false">VLOOKUP(Shelf_Life!A86,Demand_Frozen!A86:A200,1,FALSE())</f>
        <v>#N/A</v>
      </c>
    </row>
    <row r="87" customFormat="false" ht="13.8" hidden="false" customHeight="false" outlineLevel="0" collapsed="false">
      <c r="A87" s="0" t="s">
        <v>426</v>
      </c>
      <c r="B87" s="0" t="n">
        <v>3</v>
      </c>
      <c r="C87" s="115" t="n">
        <v>0.0912264191174732</v>
      </c>
      <c r="D87" s="0" t="e">
        <f aca="false">VLOOKUP(Shelf_Life!A87,Demand_Fresh!A88:A179,1,FALSE())</f>
        <v>#N/A</v>
      </c>
      <c r="E87" s="0" t="e">
        <f aca="false">VLOOKUP(Shelf_Life!A87,Demand_Frozen!A87:A201,1,FALSE())</f>
        <v>#N/A</v>
      </c>
    </row>
    <row r="88" customFormat="false" ht="13.8" hidden="false" customHeight="false" outlineLevel="0" collapsed="false">
      <c r="A88" s="0" t="s">
        <v>427</v>
      </c>
      <c r="B88" s="0" t="n">
        <v>3</v>
      </c>
      <c r="C88" s="115" t="n">
        <v>0.0684198143381049</v>
      </c>
      <c r="D88" s="0" t="e">
        <f aca="false">VLOOKUP(Shelf_Life!A88,Demand_Fresh!A89:A180,1,FALSE())</f>
        <v>#N/A</v>
      </c>
      <c r="E88" s="0" t="e">
        <f aca="false">VLOOKUP(Shelf_Life!A88,Demand_Frozen!A88:A202,1,FALSE())</f>
        <v>#N/A</v>
      </c>
    </row>
    <row r="89" customFormat="false" ht="13.8" hidden="false" customHeight="false" outlineLevel="0" collapsed="false">
      <c r="A89" s="0" t="s">
        <v>428</v>
      </c>
      <c r="B89" s="0" t="n">
        <v>3</v>
      </c>
      <c r="C89" s="115" t="n">
        <v>0.0684198143381049</v>
      </c>
      <c r="D89" s="0" t="e">
        <f aca="false">VLOOKUP(Shelf_Life!A89,Demand_Fresh!A90:A181,1,FALSE())</f>
        <v>#N/A</v>
      </c>
      <c r="E89" s="0" t="e">
        <f aca="false">VLOOKUP(Shelf_Life!A89,Demand_Frozen!A89:A203,1,FALSE())</f>
        <v>#N/A</v>
      </c>
    </row>
    <row r="90" customFormat="false" ht="13.8" hidden="false" customHeight="false" outlineLevel="0" collapsed="false">
      <c r="A90" s="0" t="s">
        <v>287</v>
      </c>
      <c r="B90" s="0" t="n">
        <v>3</v>
      </c>
      <c r="C90" s="115" t="n">
        <v>0.135119359058566</v>
      </c>
      <c r="D90" s="0" t="e">
        <f aca="false">VLOOKUP(Shelf_Life!A90,Demand_Fresh!A91:A182,1,FALSE())</f>
        <v>#N/A</v>
      </c>
      <c r="E90" s="0" t="e">
        <f aca="false">VLOOKUP(Shelf_Life!A90,Demand_Frozen!A90:A204,1,FALSE())</f>
        <v>#N/A</v>
      </c>
    </row>
    <row r="91" customFormat="false" ht="13.8" hidden="false" customHeight="false" outlineLevel="0" collapsed="false">
      <c r="A91" s="0" t="s">
        <v>288</v>
      </c>
      <c r="B91" s="0" t="n">
        <v>3</v>
      </c>
      <c r="C91" s="115" t="n">
        <v>0.112599465882138</v>
      </c>
      <c r="D91" s="0" t="e">
        <f aca="false">VLOOKUP(Shelf_Life!A91,Demand_Fresh!A92:A183,1,FALSE())</f>
        <v>#N/A</v>
      </c>
      <c r="E91" s="0" t="e">
        <f aca="false">VLOOKUP(Shelf_Life!A91,Demand_Frozen!A91:A205,1,FALSE())</f>
        <v>#N/A</v>
      </c>
    </row>
    <row r="92" customFormat="false" ht="13.8" hidden="false" customHeight="false" outlineLevel="0" collapsed="false">
      <c r="A92" s="0" t="s">
        <v>220</v>
      </c>
      <c r="B92" s="0" t="n">
        <v>3</v>
      </c>
      <c r="C92" s="115" t="n">
        <v>0.0985245326468711</v>
      </c>
      <c r="D92" s="0" t="str">
        <f aca="false">VLOOKUP(Shelf_Life!A92,Demand_Fresh!A93:A184,1,FALSE())</f>
        <v>MCONBS000K02DC</v>
      </c>
      <c r="E92" s="0" t="e">
        <f aca="false">VLOOKUP(Shelf_Life!A92,Demand_Frozen!A92:A206,1,FALSE())</f>
        <v>#N/A</v>
      </c>
    </row>
    <row r="93" customFormat="false" ht="13.8" hidden="false" customHeight="false" outlineLevel="0" collapsed="false">
      <c r="A93" s="0" t="s">
        <v>221</v>
      </c>
      <c r="B93" s="0" t="n">
        <v>3</v>
      </c>
      <c r="C93" s="115" t="n">
        <v>0.0985245326468711</v>
      </c>
      <c r="D93" s="0" t="str">
        <f aca="false">VLOOKUP(Shelf_Life!A93,Demand_Fresh!A94:A185,1,FALSE())</f>
        <v>MCONCS000K02DC</v>
      </c>
      <c r="E93" s="0" t="e">
        <f aca="false">VLOOKUP(Shelf_Life!A93,Demand_Frozen!A93:A206,1,FALSE())</f>
        <v>#N/A</v>
      </c>
    </row>
    <row r="94" customFormat="false" ht="13.8" hidden="false" customHeight="false" outlineLevel="0" collapsed="false">
      <c r="A94" s="0" t="s">
        <v>1474</v>
      </c>
      <c r="B94" s="0" t="n">
        <v>3</v>
      </c>
      <c r="C94" s="115" t="n">
        <v>0.0985245326468711</v>
      </c>
      <c r="D94" s="0" t="e">
        <f aca="false">VLOOKUP(Shelf_Life!A94,Demand_Fresh!A95:A186,1,FALSE())</f>
        <v>#N/A</v>
      </c>
      <c r="E94" s="0" t="e">
        <f aca="false">VLOOKUP(Shelf_Life!A94,Demand_Frozen!A94:A207,1,FALSE())</f>
        <v>#N/A</v>
      </c>
    </row>
    <row r="95" customFormat="false" ht="13.8" hidden="false" customHeight="false" outlineLevel="0" collapsed="false">
      <c r="A95" s="0" t="s">
        <v>1475</v>
      </c>
      <c r="B95" s="0" t="n">
        <v>3</v>
      </c>
      <c r="C95" s="116" t="n">
        <v>0.088230924758392</v>
      </c>
      <c r="D95" s="0" t="e">
        <f aca="false">VLOOKUP(Shelf_Life!A95,Demand_Fresh!A96:A187,1,FALSE())</f>
        <v>#N/A</v>
      </c>
      <c r="E95" s="0" t="e">
        <f aca="false">VLOOKUP(Shelf_Life!A95,Demand_Frozen!A95:A208,1,FALSE())</f>
        <v>#N/A</v>
      </c>
    </row>
    <row r="96" customFormat="false" ht="13.8" hidden="false" customHeight="false" outlineLevel="0" collapsed="false">
      <c r="A96" s="0" t="s">
        <v>1476</v>
      </c>
      <c r="B96" s="0" t="n">
        <v>3</v>
      </c>
      <c r="C96" s="116" t="n">
        <v>0.088230924758392</v>
      </c>
      <c r="D96" s="0" t="e">
        <f aca="false">VLOOKUP(Shelf_Life!A96,Demand_Fresh!A97:A188,1,FALSE())</f>
        <v>#N/A</v>
      </c>
      <c r="E96" s="0" t="e">
        <f aca="false">VLOOKUP(Shelf_Life!A96,Demand_Frozen!A96:A209,1,FALSE())</f>
        <v>#N/A</v>
      </c>
    </row>
    <row r="97" customFormat="false" ht="13.8" hidden="false" customHeight="false" outlineLevel="0" collapsed="false">
      <c r="A97" s="0" t="s">
        <v>1477</v>
      </c>
      <c r="B97" s="0" t="n">
        <v>3</v>
      </c>
      <c r="C97" s="116" t="n">
        <v>0.088230924758392</v>
      </c>
      <c r="D97" s="0" t="e">
        <f aca="false">VLOOKUP(Shelf_Life!A97,Demand_Fresh!A98:A189,1,FALSE())</f>
        <v>#N/A</v>
      </c>
      <c r="E97" s="0" t="e">
        <f aca="false">VLOOKUP(Shelf_Life!A97,Demand_Frozen!A97:A210,1,FALSE())</f>
        <v>#N/A</v>
      </c>
    </row>
    <row r="98" customFormat="false" ht="13.8" hidden="false" customHeight="false" outlineLevel="0" collapsed="false">
      <c r="A98" s="0" t="s">
        <v>1478</v>
      </c>
      <c r="B98" s="0" t="n">
        <v>3</v>
      </c>
      <c r="C98" s="116" t="n">
        <v>0.088230924758392</v>
      </c>
      <c r="D98" s="0" t="e">
        <f aca="false">VLOOKUP(Shelf_Life!A98,Demand_Fresh!A99:A190,1,FALSE())</f>
        <v>#N/A</v>
      </c>
      <c r="E98" s="0" t="e">
        <f aca="false">VLOOKUP(Shelf_Life!A98,Demand_Frozen!A98:A211,1,FALSE())</f>
        <v>#N/A</v>
      </c>
    </row>
    <row r="99" customFormat="false" ht="13.8" hidden="false" customHeight="false" outlineLevel="0" collapsed="false">
      <c r="A99" s="0" t="s">
        <v>1479</v>
      </c>
      <c r="B99" s="0" t="n">
        <v>3</v>
      </c>
      <c r="C99" s="116" t="n">
        <v>0.088230924758392</v>
      </c>
      <c r="D99" s="0" t="e">
        <f aca="false">VLOOKUP(Shelf_Life!A99,Demand_Fresh!A100:A191,1,FALSE())</f>
        <v>#N/A</v>
      </c>
      <c r="E99" s="0" t="e">
        <f aca="false">VLOOKUP(Shelf_Life!A99,Demand_Frozen!A99:A212,1,FALSE())</f>
        <v>#N/A</v>
      </c>
    </row>
    <row r="100" customFormat="false" ht="13.8" hidden="false" customHeight="false" outlineLevel="0" collapsed="false">
      <c r="A100" s="0" t="s">
        <v>1480</v>
      </c>
      <c r="B100" s="0" t="n">
        <v>3</v>
      </c>
      <c r="C100" s="116" t="n">
        <v>0.088230924758392</v>
      </c>
      <c r="D100" s="0" t="e">
        <f aca="false">VLOOKUP(Shelf_Life!A100,Demand_Fresh!A101:A192,1,FALSE())</f>
        <v>#N/A</v>
      </c>
      <c r="E100" s="0" t="e">
        <f aca="false">VLOOKUP(Shelf_Life!A100,Demand_Frozen!A100:A213,1,FALSE())</f>
        <v>#N/A</v>
      </c>
    </row>
    <row r="101" customFormat="false" ht="13.8" hidden="false" customHeight="false" outlineLevel="0" collapsed="false">
      <c r="A101" s="0" t="s">
        <v>296</v>
      </c>
      <c r="B101" s="0" t="n">
        <v>3</v>
      </c>
      <c r="C101" s="115" t="n">
        <v>0.139093457854406</v>
      </c>
      <c r="D101" s="0" t="e">
        <f aca="false">VLOOKUP(Shelf_Life!A101,Demand_Fresh!A102:A193,1,FALSE())</f>
        <v>#N/A</v>
      </c>
      <c r="E101" s="0" t="e">
        <f aca="false">VLOOKUP(Shelf_Life!A101,Demand_Frozen!A101:A214,1,FALSE())</f>
        <v>#N/A</v>
      </c>
    </row>
    <row r="102" customFormat="false" ht="13.8" hidden="false" customHeight="false" outlineLevel="0" collapsed="false">
      <c r="A102" s="0" t="s">
        <v>165</v>
      </c>
      <c r="B102" s="0" t="n">
        <v>3</v>
      </c>
      <c r="C102" s="115" t="n">
        <v>0.0772741432524479</v>
      </c>
      <c r="D102" s="0" t="e">
        <f aca="false">VLOOKUP(Shelf_Life!A102,Demand_Fresh!A100:A194,1,FALSE())</f>
        <v>#N/A</v>
      </c>
      <c r="E102" s="0" t="e">
        <f aca="false">VLOOKUP(Shelf_Life!A102,Demand_Frozen!A102:A215,1,FALSE())</f>
        <v>#N/A</v>
      </c>
    </row>
    <row r="103" customFormat="false" ht="13.8" hidden="false" customHeight="false" outlineLevel="0" collapsed="false">
      <c r="A103" s="0" t="s">
        <v>297</v>
      </c>
      <c r="B103" s="0" t="n">
        <v>3</v>
      </c>
      <c r="C103" s="115" t="n">
        <v>0.0985245326468711</v>
      </c>
      <c r="D103" s="0" t="e">
        <f aca="false">VLOOKUP(Shelf_Life!A103,Demand_Fresh!A101:A195,1,FALSE())</f>
        <v>#N/A</v>
      </c>
      <c r="E103" s="0" t="e">
        <f aca="false">VLOOKUP(Shelf_Life!A103,Demand_Frozen!A103:A216,1,FALSE())</f>
        <v>#N/A</v>
      </c>
    </row>
    <row r="104" customFormat="false" ht="13.8" hidden="false" customHeight="false" outlineLevel="0" collapsed="false">
      <c r="A104" s="0" t="s">
        <v>166</v>
      </c>
      <c r="B104" s="0" t="n">
        <v>3</v>
      </c>
      <c r="C104" s="115" t="n">
        <v>0.102629721507157</v>
      </c>
      <c r="D104" s="0" t="e">
        <f aca="false">VLOOKUP(Shelf_Life!A104,Demand_Fresh!A102:A196,1,FALSE())</f>
        <v>#N/A</v>
      </c>
      <c r="E104" s="0" t="e">
        <f aca="false">VLOOKUP(Shelf_Life!A104,Demand_Frozen!A104:A217,1,FALSE())</f>
        <v>#N/A</v>
      </c>
    </row>
    <row r="105" customFormat="false" ht="13.8" hidden="false" customHeight="false" outlineLevel="0" collapsed="false">
      <c r="A105" s="0" t="s">
        <v>298</v>
      </c>
      <c r="B105" s="0" t="n">
        <v>3</v>
      </c>
      <c r="C105" s="115" t="n">
        <v>0.10105080271474</v>
      </c>
      <c r="D105" s="0" t="e">
        <f aca="false">VLOOKUP(Shelf_Life!A105,Demand_Fresh!A103:A197,1,FALSE())</f>
        <v>#N/A</v>
      </c>
      <c r="E105" s="0" t="e">
        <f aca="false">VLOOKUP(Shelf_Life!A105,Demand_Frozen!A105:A218,1,FALSE())</f>
        <v>#N/A</v>
      </c>
    </row>
    <row r="106" customFormat="false" ht="13.8" hidden="false" customHeight="false" outlineLevel="0" collapsed="false">
      <c r="A106" s="0" t="s">
        <v>167</v>
      </c>
      <c r="B106" s="0" t="n">
        <v>3</v>
      </c>
      <c r="C106" s="115" t="n">
        <v>0.0895677569517009</v>
      </c>
      <c r="D106" s="0" t="e">
        <f aca="false">VLOOKUP(Shelf_Life!A106,Demand_Fresh!A104:A198,1,FALSE())</f>
        <v>#N/A</v>
      </c>
      <c r="E106" s="0" t="e">
        <f aca="false">VLOOKUP(Shelf_Life!A106,Demand_Frozen!A106:A219,1,FALSE())</f>
        <v>#N/A</v>
      </c>
    </row>
    <row r="107" customFormat="false" ht="13.8" hidden="false" customHeight="false" outlineLevel="0" collapsed="false">
      <c r="A107" s="0" t="s">
        <v>299</v>
      </c>
      <c r="B107" s="0" t="n">
        <v>3</v>
      </c>
      <c r="C107" s="115" t="n">
        <v>0.0985245326468711</v>
      </c>
      <c r="D107" s="0" t="e">
        <f aca="false">VLOOKUP(Shelf_Life!A107,Demand_Fresh!A105:A199,1,FALSE())</f>
        <v>#N/A</v>
      </c>
      <c r="E107" s="0" t="e">
        <f aca="false">VLOOKUP(Shelf_Life!A107,Demand_Frozen!A107:A220,1,FALSE())</f>
        <v>#N/A</v>
      </c>
    </row>
    <row r="108" customFormat="false" ht="13.8" hidden="false" customHeight="false" outlineLevel="0" collapsed="false">
      <c r="A108" s="0" t="s">
        <v>300</v>
      </c>
      <c r="B108" s="0" t="n">
        <v>3</v>
      </c>
      <c r="C108" s="115" t="n">
        <v>0.123155665808589</v>
      </c>
      <c r="D108" s="0" t="e">
        <f aca="false">VLOOKUP(Shelf_Life!A108,Demand_Fresh!A106:A200,1,FALSE())</f>
        <v>#N/A</v>
      </c>
      <c r="E108" s="0" t="e">
        <f aca="false">VLOOKUP(Shelf_Life!A108,Demand_Frozen!A108:A221,1,FALSE())</f>
        <v>#N/A</v>
      </c>
    </row>
    <row r="109" customFormat="false" ht="13.8" hidden="false" customHeight="false" outlineLevel="0" collapsed="false">
      <c r="A109" s="0" t="s">
        <v>168</v>
      </c>
      <c r="B109" s="0" t="n">
        <v>3</v>
      </c>
      <c r="C109" s="115" t="n">
        <v>0.0733069439336838</v>
      </c>
      <c r="D109" s="0" t="e">
        <f aca="false">VLOOKUP(Shelf_Life!A109,Demand_Fresh!A107:A201,1,FALSE())</f>
        <v>#N/A</v>
      </c>
      <c r="E109" s="0" t="e">
        <f aca="false">VLOOKUP(Shelf_Life!A109,Demand_Frozen!A109:A222,1,FALSE())</f>
        <v>#N/A</v>
      </c>
    </row>
    <row r="110" customFormat="false" ht="13.8" hidden="false" customHeight="false" outlineLevel="0" collapsed="false">
      <c r="A110" s="0" t="s">
        <v>169</v>
      </c>
      <c r="B110" s="0" t="n">
        <v>3</v>
      </c>
      <c r="C110" s="115" t="n">
        <v>0.0739673668520053</v>
      </c>
      <c r="D110" s="0" t="e">
        <f aca="false">VLOOKUP(Shelf_Life!A110,Demand_Fresh!A108:A202,1,FALSE())</f>
        <v>#N/A</v>
      </c>
      <c r="E110" s="0" t="e">
        <f aca="false">VLOOKUP(Shelf_Life!A110,Demand_Frozen!A110:A223,1,FALSE())</f>
        <v>#N/A</v>
      </c>
    </row>
    <row r="111" customFormat="false" ht="13.8" hidden="false" customHeight="false" outlineLevel="0" collapsed="false">
      <c r="A111" s="0" t="s">
        <v>301</v>
      </c>
      <c r="B111" s="0" t="n">
        <v>3</v>
      </c>
      <c r="C111" s="115" t="n">
        <v>0.10105080271474</v>
      </c>
      <c r="D111" s="0" t="e">
        <f aca="false">VLOOKUP(Shelf_Life!A111,Demand_Fresh!A109:A203,1,FALSE())</f>
        <v>#N/A</v>
      </c>
      <c r="E111" s="0" t="e">
        <f aca="false">VLOOKUP(Shelf_Life!A111,Demand_Frozen!A111:A224,1,FALSE())</f>
        <v>#N/A</v>
      </c>
    </row>
    <row r="112" customFormat="false" ht="13.8" hidden="false" customHeight="false" outlineLevel="0" collapsed="false">
      <c r="A112" s="0" t="s">
        <v>302</v>
      </c>
      <c r="B112" s="0" t="n">
        <v>3</v>
      </c>
      <c r="C112" s="115" t="n">
        <v>0.102310002748568</v>
      </c>
      <c r="D112" s="0" t="e">
        <f aca="false">VLOOKUP(Shelf_Life!A112,Demand_Fresh!A110:A204,1,FALSE())</f>
        <v>#N/A</v>
      </c>
      <c r="E112" s="0" t="e">
        <f aca="false">VLOOKUP(Shelf_Life!A112,Demand_Frozen!A112:A225,1,FALSE())</f>
        <v>#N/A</v>
      </c>
    </row>
    <row r="113" customFormat="false" ht="13.8" hidden="false" customHeight="false" outlineLevel="0" collapsed="false">
      <c r="A113" s="0" t="s">
        <v>303</v>
      </c>
      <c r="B113" s="0" t="n">
        <v>3</v>
      </c>
      <c r="C113" s="115" t="n">
        <v>0.0917930428386997</v>
      </c>
      <c r="D113" s="0" t="e">
        <f aca="false">VLOOKUP(Shelf_Life!A113,Demand_Fresh!A111:A205,1,FALSE())</f>
        <v>#N/A</v>
      </c>
      <c r="E113" s="0" t="e">
        <f aca="false">VLOOKUP(Shelf_Life!A113,Demand_Frozen!A113:A226,1,FALSE())</f>
        <v>#N/A</v>
      </c>
    </row>
    <row r="114" customFormat="false" ht="13.8" hidden="false" customHeight="false" outlineLevel="0" collapsed="false">
      <c r="A114" s="0" t="s">
        <v>170</v>
      </c>
      <c r="B114" s="0" t="n">
        <v>3</v>
      </c>
      <c r="C114" s="115" t="n">
        <v>0.0764942023655831</v>
      </c>
      <c r="D114" s="0" t="e">
        <f aca="false">VLOOKUP(Shelf_Life!A114,Demand_Fresh!A112:A206,1,FALSE())</f>
        <v>#N/A</v>
      </c>
      <c r="E114" s="0" t="e">
        <f aca="false">VLOOKUP(Shelf_Life!A114,Demand_Frozen!A114:A227,1,FALSE())</f>
        <v>#N/A</v>
      </c>
    </row>
    <row r="115" customFormat="false" ht="13.8" hidden="false" customHeight="false" outlineLevel="0" collapsed="false">
      <c r="A115" s="0" t="s">
        <v>304</v>
      </c>
      <c r="B115" s="0" t="n">
        <v>3</v>
      </c>
      <c r="C115" s="115" t="n">
        <v>0.0917930428386997</v>
      </c>
      <c r="D115" s="0" t="e">
        <f aca="false">VLOOKUP(Shelf_Life!A115,Demand_Fresh!A113:A207,1,FALSE())</f>
        <v>#N/A</v>
      </c>
      <c r="E115" s="0" t="e">
        <f aca="false">VLOOKUP(Shelf_Life!A115,Demand_Frozen!A115:A228,1,FALSE())</f>
        <v>#N/A</v>
      </c>
    </row>
    <row r="116" customFormat="false" ht="13.8" hidden="false" customHeight="false" outlineLevel="0" collapsed="false">
      <c r="A116" s="0" t="s">
        <v>171</v>
      </c>
      <c r="B116" s="0" t="n">
        <v>3</v>
      </c>
      <c r="C116" s="115" t="n">
        <v>0.0764942023655831</v>
      </c>
      <c r="D116" s="0" t="e">
        <f aca="false">VLOOKUP(Shelf_Life!A116,Demand_Fresh!A114:A208,1,FALSE())</f>
        <v>#N/A</v>
      </c>
      <c r="E116" s="0" t="e">
        <f aca="false">VLOOKUP(Shelf_Life!A116,Demand_Frozen!A116:A229,1,FALSE())</f>
        <v>#N/A</v>
      </c>
    </row>
    <row r="117" customFormat="false" ht="13.8" hidden="false" customHeight="false" outlineLevel="0" collapsed="false">
      <c r="A117" s="0" t="s">
        <v>172</v>
      </c>
      <c r="B117" s="0" t="n">
        <v>3</v>
      </c>
      <c r="C117" s="115" t="n">
        <v>0.0788196261174968</v>
      </c>
      <c r="D117" s="0" t="e">
        <f aca="false">VLOOKUP(Shelf_Life!A117,Demand_Fresh!A115:A209,1,FALSE())</f>
        <v>#N/A</v>
      </c>
      <c r="E117" s="0" t="e">
        <f aca="false">VLOOKUP(Shelf_Life!A117,Demand_Frozen!A117:A230,1,FALSE())</f>
        <v>#N/A</v>
      </c>
    </row>
    <row r="118" customFormat="false" ht="13.8" hidden="false" customHeight="false" outlineLevel="0" collapsed="false">
      <c r="A118" s="0" t="s">
        <v>305</v>
      </c>
      <c r="B118" s="0" t="n">
        <v>3</v>
      </c>
      <c r="C118" s="115" t="n">
        <v>0.0788196261174968</v>
      </c>
      <c r="D118" s="0" t="e">
        <f aca="false">VLOOKUP(Shelf_Life!A118,Demand_Fresh!A116:A210,1,FALSE())</f>
        <v>#N/A</v>
      </c>
      <c r="E118" s="0" t="e">
        <f aca="false">VLOOKUP(Shelf_Life!A118,Demand_Frozen!A118:A231,1,FALSE())</f>
        <v>#N/A</v>
      </c>
    </row>
    <row r="119" customFormat="false" ht="13.8" hidden="false" customHeight="false" outlineLevel="0" collapsed="false">
      <c r="A119" s="0" t="s">
        <v>306</v>
      </c>
      <c r="B119" s="0" t="n">
        <v>3</v>
      </c>
      <c r="C119" s="115" t="n">
        <v>0.138766947389959</v>
      </c>
      <c r="D119" s="0" t="e">
        <f aca="false">VLOOKUP(Shelf_Life!A119,Demand_Fresh!A117:A211,1,FALSE())</f>
        <v>#N/A</v>
      </c>
      <c r="E119" s="0" t="e">
        <f aca="false">VLOOKUP(Shelf_Life!A119,Demand_Frozen!A119:A232,1,FALSE())</f>
        <v>#N/A</v>
      </c>
    </row>
    <row r="120" customFormat="false" ht="13.8" hidden="false" customHeight="false" outlineLevel="0" collapsed="false">
      <c r="A120" s="0" t="s">
        <v>307</v>
      </c>
      <c r="B120" s="0" t="n">
        <v>3</v>
      </c>
      <c r="C120" s="115" t="n">
        <v>0.134965113214892</v>
      </c>
      <c r="D120" s="0" t="e">
        <f aca="false">VLOOKUP(Shelf_Life!A120,Demand_Fresh!A118:A212,1,FALSE())</f>
        <v>#N/A</v>
      </c>
      <c r="E120" s="0" t="e">
        <f aca="false">VLOOKUP(Shelf_Life!A120,Demand_Frozen!A120:A233,1,FALSE())</f>
        <v>#N/A</v>
      </c>
    </row>
    <row r="121" customFormat="false" ht="13.8" hidden="false" customHeight="false" outlineLevel="0" collapsed="false">
      <c r="A121" s="0" t="s">
        <v>222</v>
      </c>
      <c r="B121" s="0" t="n">
        <v>3</v>
      </c>
      <c r="C121" s="115" t="n">
        <v>0.0887608402224064</v>
      </c>
      <c r="D121" s="0" t="e">
        <f aca="false">VLOOKUP(Shelf_Life!A121,Demand_Fresh!A119:A213,1,FALSE())</f>
        <v>#N/A</v>
      </c>
      <c r="E121" s="0" t="e">
        <f aca="false">VLOOKUP(Shelf_Life!A121,Demand_Frozen!A121:A234,1,FALSE())</f>
        <v>#N/A</v>
      </c>
    </row>
    <row r="122" customFormat="false" ht="13.8" hidden="false" customHeight="false" outlineLevel="0" collapsed="false">
      <c r="A122" s="0" t="s">
        <v>308</v>
      </c>
      <c r="B122" s="0" t="n">
        <v>3</v>
      </c>
      <c r="C122" s="115" t="n">
        <v>0.0887608402224064</v>
      </c>
      <c r="D122" s="0" t="e">
        <f aca="false">VLOOKUP(Shelf_Life!A122,Demand_Fresh!A120:A214,1,FALSE())</f>
        <v>#N/A</v>
      </c>
      <c r="E122" s="0" t="e">
        <f aca="false">VLOOKUP(Shelf_Life!A122,Demand_Frozen!A122:A235,1,FALSE())</f>
        <v>#N/A</v>
      </c>
    </row>
    <row r="123" customFormat="false" ht="13.8" hidden="false" customHeight="false" outlineLevel="0" collapsed="false">
      <c r="A123" s="0" t="s">
        <v>309</v>
      </c>
      <c r="B123" s="0" t="n">
        <v>3</v>
      </c>
      <c r="C123" s="115" t="n">
        <v>0.0899767421432612</v>
      </c>
      <c r="D123" s="0" t="e">
        <f aca="false">VLOOKUP(Shelf_Life!A123,Demand_Fresh!A121:A215,1,FALSE())</f>
        <v>#N/A</v>
      </c>
      <c r="E123" s="0" t="e">
        <f aca="false">VLOOKUP(Shelf_Life!A123,Demand_Frozen!A123:A236,1,FALSE())</f>
        <v>#N/A</v>
      </c>
    </row>
    <row r="124" customFormat="false" ht="13.8" hidden="false" customHeight="false" outlineLevel="0" collapsed="false">
      <c r="A124" s="0" t="s">
        <v>310</v>
      </c>
      <c r="B124" s="0" t="n">
        <v>3</v>
      </c>
      <c r="C124" s="115" t="n">
        <v>0.0899767421432612</v>
      </c>
      <c r="D124" s="0" t="e">
        <f aca="false">VLOOKUP(Shelf_Life!A124,Demand_Fresh!A122:A216,1,FALSE())</f>
        <v>#N/A</v>
      </c>
      <c r="E124" s="0" t="e">
        <f aca="false">VLOOKUP(Shelf_Life!A124,Demand_Frozen!A124:A237,1,FALSE())</f>
        <v>#N/A</v>
      </c>
    </row>
    <row r="125" customFormat="false" ht="13.8" hidden="false" customHeight="false" outlineLevel="0" collapsed="false">
      <c r="A125" s="0" t="s">
        <v>173</v>
      </c>
      <c r="B125" s="0" t="n">
        <v>3</v>
      </c>
      <c r="C125" s="115" t="n">
        <v>0.113682153054082</v>
      </c>
      <c r="D125" s="0" t="e">
        <f aca="false">VLOOKUP(Shelf_Life!A125,Demand_Fresh!A123:A217,1,FALSE())</f>
        <v>#N/A</v>
      </c>
      <c r="E125" s="0" t="e">
        <f aca="false">VLOOKUP(Shelf_Life!A125,Demand_Frozen!A125:A238,1,FALSE())</f>
        <v>#N/A</v>
      </c>
    </row>
    <row r="126" customFormat="false" ht="13.8" hidden="false" customHeight="false" outlineLevel="0" collapsed="false">
      <c r="A126" s="0" t="s">
        <v>313</v>
      </c>
      <c r="B126" s="0" t="n">
        <v>3</v>
      </c>
      <c r="C126" s="115" t="n">
        <v>0.0985245326468711</v>
      </c>
      <c r="D126" s="0" t="e">
        <f aca="false">VLOOKUP(Shelf_Life!A126,Demand_Fresh!A124:A218,1,FALSE())</f>
        <v>#N/A</v>
      </c>
      <c r="E126" s="0" t="e">
        <f aca="false">VLOOKUP(Shelf_Life!A126,Demand_Frozen!A126:A239,1,FALSE())</f>
        <v>#N/A</v>
      </c>
    </row>
    <row r="127" customFormat="false" ht="13.8" hidden="false" customHeight="false" outlineLevel="0" collapsed="false">
      <c r="A127" s="0" t="s">
        <v>314</v>
      </c>
      <c r="B127" s="0" t="n">
        <v>3</v>
      </c>
      <c r="C127" s="115" t="n">
        <v>0.0985245326468711</v>
      </c>
      <c r="D127" s="0" t="e">
        <f aca="false">VLOOKUP(Shelf_Life!A127,Demand_Fresh!A125:A219,1,FALSE())</f>
        <v>#N/A</v>
      </c>
      <c r="E127" s="0" t="e">
        <f aca="false">VLOOKUP(Shelf_Life!A127,Demand_Frozen!A127:A240,1,FALSE())</f>
        <v>#N/A</v>
      </c>
    </row>
    <row r="128" customFormat="false" ht="13.8" hidden="false" customHeight="false" outlineLevel="0" collapsed="false">
      <c r="A128" s="0" t="s">
        <v>315</v>
      </c>
      <c r="B128" s="0" t="n">
        <v>3</v>
      </c>
      <c r="C128" s="115" t="n">
        <v>0.0985245326468711</v>
      </c>
      <c r="D128" s="0" t="e">
        <f aca="false">VLOOKUP(Shelf_Life!A128,Demand_Fresh!A126:A220,1,FALSE())</f>
        <v>#N/A</v>
      </c>
      <c r="E128" s="0" t="e">
        <f aca="false">VLOOKUP(Shelf_Life!A128,Demand_Frozen!A128:A241,1,FALSE())</f>
        <v>#N/A</v>
      </c>
    </row>
    <row r="129" customFormat="false" ht="13.8" hidden="false" customHeight="false" outlineLevel="0" collapsed="false">
      <c r="A129" s="0" t="s">
        <v>174</v>
      </c>
      <c r="B129" s="0" t="n">
        <v>3</v>
      </c>
      <c r="C129" s="115" t="n">
        <v>0.0995197299463344</v>
      </c>
      <c r="D129" s="0" t="e">
        <f aca="false">VLOOKUP(Shelf_Life!A129,Demand_Fresh!A127:A221,1,FALSE())</f>
        <v>#N/A</v>
      </c>
      <c r="E129" s="0" t="e">
        <f aca="false">VLOOKUP(Shelf_Life!A129,Demand_Frozen!A129:A242,1,FALSE())</f>
        <v>#N/A</v>
      </c>
    </row>
    <row r="130" customFormat="false" ht="13.8" hidden="false" customHeight="false" outlineLevel="0" collapsed="false">
      <c r="A130" s="0" t="s">
        <v>175</v>
      </c>
      <c r="B130" s="0" t="n">
        <v>3</v>
      </c>
      <c r="C130" s="115" t="n">
        <v>0.093788227174556</v>
      </c>
      <c r="D130" s="0" t="e">
        <f aca="false">VLOOKUP(Shelf_Life!A130,Demand_Fresh!A128:A222,1,FALSE())</f>
        <v>#N/A</v>
      </c>
      <c r="E130" s="0" t="e">
        <f aca="false">VLOOKUP(Shelf_Life!A130,Demand_Frozen!A130:A243,1,FALSE())</f>
        <v>#N/A</v>
      </c>
    </row>
    <row r="131" customFormat="false" ht="13.8" hidden="false" customHeight="false" outlineLevel="0" collapsed="false">
      <c r="A131" s="0" t="s">
        <v>176</v>
      </c>
      <c r="B131" s="0" t="n">
        <v>3</v>
      </c>
      <c r="C131" s="115" t="n">
        <v>0.0750663105880922</v>
      </c>
      <c r="D131" s="0" t="e">
        <f aca="false">VLOOKUP(Shelf_Life!A131,Demand_Fresh!A129:A223,1,FALSE())</f>
        <v>#N/A</v>
      </c>
      <c r="E131" s="0" t="e">
        <f aca="false">VLOOKUP(Shelf_Life!A131,Demand_Frozen!A131:A244,1,FALSE())</f>
        <v>#N/A</v>
      </c>
    </row>
    <row r="132" customFormat="false" ht="13.8" hidden="false" customHeight="false" outlineLevel="0" collapsed="false">
      <c r="A132" s="0" t="s">
        <v>1481</v>
      </c>
      <c r="B132" s="0" t="n">
        <v>3</v>
      </c>
      <c r="C132" s="115" t="n">
        <v>0.088230924758392</v>
      </c>
      <c r="D132" s="0" t="e">
        <f aca="false">VLOOKUP(Shelf_Life!A132,Demand_Fresh!A130:A224,1,FALSE())</f>
        <v>#N/A</v>
      </c>
      <c r="E132" s="0" t="e">
        <f aca="false">VLOOKUP(Shelf_Life!A132,Demand_Frozen!A132:A245,1,FALSE())</f>
        <v>#N/A</v>
      </c>
    </row>
    <row r="133" customFormat="false" ht="13.8" hidden="false" customHeight="false" outlineLevel="0" collapsed="false">
      <c r="A133" s="0" t="s">
        <v>1482</v>
      </c>
      <c r="B133" s="0" t="n">
        <v>3</v>
      </c>
      <c r="C133" s="115" t="n">
        <v>0.0920790024737113</v>
      </c>
      <c r="D133" s="0" t="e">
        <f aca="false">VLOOKUP(Shelf_Life!A133,Demand_Fresh!A131:A225,1,FALSE())</f>
        <v>#N/A</v>
      </c>
      <c r="E133" s="0" t="e">
        <f aca="false">VLOOKUP(Shelf_Life!A133,Demand_Frozen!A133:A246,1,FALSE())</f>
        <v>#N/A</v>
      </c>
    </row>
    <row r="134" customFormat="false" ht="13.8" hidden="false" customHeight="false" outlineLevel="0" collapsed="false">
      <c r="A134" s="0" t="s">
        <v>316</v>
      </c>
      <c r="B134" s="0" t="n">
        <v>3</v>
      </c>
      <c r="C134" s="115" t="n">
        <v>0.0920790024737113</v>
      </c>
      <c r="D134" s="0" t="e">
        <f aca="false">VLOOKUP(Shelf_Life!A134,Demand_Fresh!A132:A226,1,FALSE())</f>
        <v>#N/A</v>
      </c>
      <c r="E134" s="0" t="e">
        <f aca="false">VLOOKUP(Shelf_Life!A134,Demand_Frozen!A134:A247,1,FALSE())</f>
        <v>#N/A</v>
      </c>
    </row>
    <row r="135" customFormat="false" ht="13.8" hidden="false" customHeight="false" outlineLevel="0" collapsed="false">
      <c r="A135" s="0" t="s">
        <v>177</v>
      </c>
      <c r="B135" s="0" t="n">
        <v>3</v>
      </c>
      <c r="C135" s="115" t="n">
        <v>0.0909457224432656</v>
      </c>
      <c r="D135" s="0" t="e">
        <f aca="false">VLOOKUP(Shelf_Life!A135,Demand_Fresh!A133:A227,1,FALSE())</f>
        <v>#N/A</v>
      </c>
      <c r="E135" s="0" t="e">
        <f aca="false">VLOOKUP(Shelf_Life!A135,Demand_Frozen!A135:A248,1,FALSE())</f>
        <v>#N/A</v>
      </c>
    </row>
    <row r="136" customFormat="false" ht="13.8" hidden="false" customHeight="false" outlineLevel="0" collapsed="false">
      <c r="A136" s="0" t="s">
        <v>178</v>
      </c>
      <c r="B136" s="0" t="n">
        <v>3</v>
      </c>
      <c r="C136" s="115" t="n">
        <v>0.0909457224432656</v>
      </c>
      <c r="D136" s="0" t="e">
        <f aca="false">VLOOKUP(Shelf_Life!A136,Demand_Fresh!A134:A228,1,FALSE())</f>
        <v>#N/A</v>
      </c>
      <c r="E136" s="0" t="e">
        <f aca="false">VLOOKUP(Shelf_Life!A136,Demand_Frozen!A136:A249,1,FALSE())</f>
        <v>#N/A</v>
      </c>
    </row>
    <row r="137" customFormat="false" ht="13.8" hidden="false" customHeight="false" outlineLevel="0" collapsed="false">
      <c r="A137" s="0" t="s">
        <v>179</v>
      </c>
      <c r="B137" s="0" t="n">
        <v>3</v>
      </c>
      <c r="C137" s="115" t="n">
        <v>0.0909457224432656</v>
      </c>
      <c r="D137" s="0" t="e">
        <f aca="false">VLOOKUP(Shelf_Life!A137,Demand_Fresh!A135:A229,1,FALSE())</f>
        <v>#N/A</v>
      </c>
      <c r="E137" s="0" t="e">
        <f aca="false">VLOOKUP(Shelf_Life!A137,Demand_Frozen!A136:A250,1,FALSE())</f>
        <v>#N/A</v>
      </c>
    </row>
    <row r="138" customFormat="false" ht="13.8" hidden="false" customHeight="false" outlineLevel="0" collapsed="false">
      <c r="A138" s="0" t="s">
        <v>317</v>
      </c>
      <c r="B138" s="0" t="n">
        <v>3</v>
      </c>
      <c r="C138" s="115" t="n">
        <v>0.0769222115655467</v>
      </c>
      <c r="D138" s="0" t="e">
        <f aca="false">VLOOKUP(Shelf_Life!A138,Demand_Fresh!A136:A230,1,FALSE())</f>
        <v>#N/A</v>
      </c>
      <c r="E138" s="0" t="e">
        <f aca="false">VLOOKUP(Shelf_Life!A138,Demand_Frozen!A137:A251,1,FALSE())</f>
        <v>#N/A</v>
      </c>
    </row>
    <row r="139" customFormat="false" ht="13.8" hidden="false" customHeight="false" outlineLevel="0" collapsed="false">
      <c r="A139" s="0" t="s">
        <v>180</v>
      </c>
      <c r="B139" s="0" t="n">
        <v>3</v>
      </c>
      <c r="C139" s="115" t="n">
        <v>0.106628282085358</v>
      </c>
      <c r="D139" s="0" t="e">
        <f aca="false">VLOOKUP(Shelf_Life!A139,Demand_Fresh!A137:A231,1,FALSE())</f>
        <v>#N/A</v>
      </c>
      <c r="E139" s="0" t="e">
        <f aca="false">VLOOKUP(Shelf_Life!A139,Demand_Frozen!A138:A252,1,FALSE())</f>
        <v>#N/A</v>
      </c>
    </row>
    <row r="140" customFormat="false" ht="13.8" hidden="false" customHeight="false" outlineLevel="0" collapsed="false">
      <c r="A140" s="0" t="s">
        <v>318</v>
      </c>
      <c r="B140" s="0" t="n">
        <v>3</v>
      </c>
      <c r="C140" s="115" t="n">
        <v>0.109980873652321</v>
      </c>
      <c r="D140" s="0" t="e">
        <f aca="false">VLOOKUP(Shelf_Life!A140,Demand_Fresh!A138:A232,1,FALSE())</f>
        <v>#N/A</v>
      </c>
      <c r="E140" s="0" t="e">
        <f aca="false">VLOOKUP(Shelf_Life!A140,Demand_Frozen!A139:A253,1,FALSE())</f>
        <v>#N/A</v>
      </c>
    </row>
    <row r="141" customFormat="false" ht="13.8" hidden="false" customHeight="false" outlineLevel="0" collapsed="false">
      <c r="A141" s="0" t="s">
        <v>181</v>
      </c>
      <c r="B141" s="0" t="n">
        <v>3</v>
      </c>
      <c r="C141" s="115" t="n">
        <v>0.107481308342041</v>
      </c>
      <c r="D141" s="0" t="e">
        <f aca="false">VLOOKUP(Shelf_Life!A141,Demand_Fresh!A139:A233,1,FALSE())</f>
        <v>#N/A</v>
      </c>
      <c r="E141" s="0" t="e">
        <f aca="false">VLOOKUP(Shelf_Life!A141,Demand_Frozen!A140:A254,1,FALSE())</f>
        <v>#N/A</v>
      </c>
    </row>
    <row r="142" customFormat="false" ht="13.8" hidden="false" customHeight="false" outlineLevel="0" collapsed="false">
      <c r="A142" s="0" t="s">
        <v>319</v>
      </c>
      <c r="B142" s="0" t="n">
        <v>3</v>
      </c>
      <c r="C142" s="115" t="n">
        <v>0.102808207979344</v>
      </c>
      <c r="D142" s="0" t="e">
        <f aca="false">VLOOKUP(Shelf_Life!A142,Demand_Fresh!A140:A234,1,FALSE())</f>
        <v>#N/A</v>
      </c>
      <c r="E142" s="0" t="e">
        <f aca="false">VLOOKUP(Shelf_Life!A142,Demand_Frozen!A141:A255,1,FALSE())</f>
        <v>#N/A</v>
      </c>
    </row>
    <row r="143" customFormat="false" ht="13.8" hidden="false" customHeight="false" outlineLevel="0" collapsed="false">
      <c r="A143" s="0" t="s">
        <v>223</v>
      </c>
      <c r="B143" s="0" t="n">
        <v>3</v>
      </c>
      <c r="C143" s="115" t="n">
        <v>0.107481308342041</v>
      </c>
      <c r="D143" s="0" t="e">
        <f aca="false">VLOOKUP(Shelf_Life!A143,Demand_Fresh!A141:A235,1,FALSE())</f>
        <v>#N/A</v>
      </c>
      <c r="E143" s="0" t="e">
        <f aca="false">VLOOKUP(Shelf_Life!A143,Demand_Frozen!A142:A256,1,FALSE())</f>
        <v>#N/A</v>
      </c>
    </row>
    <row r="144" customFormat="false" ht="13.8" hidden="false" customHeight="false" outlineLevel="0" collapsed="false">
      <c r="A144" s="0" t="s">
        <v>320</v>
      </c>
      <c r="B144" s="0" t="n">
        <v>3</v>
      </c>
      <c r="C144" s="115" t="n">
        <v>0.109980873652321</v>
      </c>
      <c r="D144" s="0" t="e">
        <f aca="false">VLOOKUP(Shelf_Life!A144,Demand_Fresh!A142:A236,1,FALSE())</f>
        <v>#N/A</v>
      </c>
      <c r="E144" s="0" t="e">
        <f aca="false">VLOOKUP(Shelf_Life!A144,Demand_Frozen!A143:A257,1,FALSE())</f>
        <v>#N/A</v>
      </c>
    </row>
    <row r="145" customFormat="false" ht="13.8" hidden="false" customHeight="false" outlineLevel="0" collapsed="false">
      <c r="A145" s="0" t="s">
        <v>182</v>
      </c>
      <c r="B145" s="0" t="n">
        <v>3</v>
      </c>
      <c r="C145" s="115" t="n">
        <v>0.107481308342041</v>
      </c>
      <c r="D145" s="0" t="e">
        <f aca="false">VLOOKUP(Shelf_Life!A145,Demand_Fresh!A143:A237,1,FALSE())</f>
        <v>#N/A</v>
      </c>
      <c r="E145" s="0" t="e">
        <f aca="false">VLOOKUP(Shelf_Life!A145,Demand_Frozen!A144:A258,1,FALSE())</f>
        <v>#N/A</v>
      </c>
    </row>
    <row r="146" customFormat="false" ht="13.8" hidden="false" customHeight="false" outlineLevel="0" collapsed="false">
      <c r="A146" s="0" t="s">
        <v>321</v>
      </c>
      <c r="B146" s="0" t="n">
        <v>3</v>
      </c>
      <c r="C146" s="115" t="n">
        <v>0.0902514802872101</v>
      </c>
      <c r="D146" s="0" t="e">
        <f aca="false">VLOOKUP(Shelf_Life!A146,Demand_Fresh!A144:A238,1,FALSE())</f>
        <v>#N/A</v>
      </c>
      <c r="E146" s="0" t="e">
        <f aca="false">VLOOKUP(Shelf_Life!A146,Demand_Frozen!A145:A259,1,FALSE())</f>
        <v>#N/A</v>
      </c>
    </row>
    <row r="147" customFormat="false" ht="13.8" hidden="false" customHeight="false" outlineLevel="0" collapsed="false">
      <c r="A147" s="0" t="s">
        <v>183</v>
      </c>
      <c r="B147" s="0" t="n">
        <v>3</v>
      </c>
      <c r="C147" s="115" t="n">
        <v>0.0902514802872101</v>
      </c>
      <c r="D147" s="0" t="e">
        <f aca="false">VLOOKUP(Shelf_Life!A147,Demand_Fresh!A145:A239,1,FALSE())</f>
        <v>#N/A</v>
      </c>
      <c r="E147" s="0" t="e">
        <f aca="false">VLOOKUP(Shelf_Life!A147,Demand_Frozen!A146:A260,1,FALSE())</f>
        <v>#N/A</v>
      </c>
    </row>
    <row r="148" customFormat="false" ht="13.8" hidden="false" customHeight="false" outlineLevel="0" collapsed="false">
      <c r="A148" s="0" t="s">
        <v>322</v>
      </c>
      <c r="B148" s="0" t="n">
        <v>3</v>
      </c>
      <c r="C148" s="115" t="n">
        <v>0.0902514802872101</v>
      </c>
      <c r="D148" s="0" t="e">
        <f aca="false">VLOOKUP(Shelf_Life!A148,Demand_Fresh!A146:A240,1,FALSE())</f>
        <v>#N/A</v>
      </c>
      <c r="E148" s="0" t="e">
        <f aca="false">VLOOKUP(Shelf_Life!A148,Demand_Frozen!A147:A261,1,FALSE())</f>
        <v>#N/A</v>
      </c>
    </row>
    <row r="149" customFormat="false" ht="13.8" hidden="false" customHeight="false" outlineLevel="0" collapsed="false">
      <c r="A149" s="0" t="s">
        <v>184</v>
      </c>
      <c r="B149" s="0" t="n">
        <v>3</v>
      </c>
      <c r="C149" s="115" t="n">
        <v>0.0902514802872101</v>
      </c>
      <c r="D149" s="0" t="e">
        <f aca="false">VLOOKUP(Shelf_Life!A149,Demand_Fresh!A147:A241,1,FALSE())</f>
        <v>#N/A</v>
      </c>
      <c r="E149" s="0" t="e">
        <f aca="false">VLOOKUP(Shelf_Life!A149,Demand_Frozen!A148:A262,1,FALSE())</f>
        <v>#N/A</v>
      </c>
    </row>
    <row r="150" customFormat="false" ht="13.8" hidden="false" customHeight="false" outlineLevel="0" collapsed="false">
      <c r="A150" s="0" t="s">
        <v>185</v>
      </c>
      <c r="B150" s="0" t="n">
        <v>3</v>
      </c>
      <c r="C150" s="115" t="n">
        <v>0.0895677569517009</v>
      </c>
      <c r="D150" s="0" t="e">
        <f aca="false">VLOOKUP(Shelf_Life!A150,Demand_Fresh!A148:A242,1,FALSE())</f>
        <v>#N/A</v>
      </c>
      <c r="E150" s="0" t="e">
        <f aca="false">VLOOKUP(Shelf_Life!A150,Demand_Frozen!A149:A263,1,FALSE())</f>
        <v>#N/A</v>
      </c>
    </row>
    <row r="151" customFormat="false" ht="13.8" hidden="false" customHeight="false" outlineLevel="0" collapsed="false">
      <c r="A151" s="0" t="s">
        <v>323</v>
      </c>
      <c r="B151" s="0" t="n">
        <v>3</v>
      </c>
      <c r="C151" s="115" t="n">
        <v>0.0895677569517009</v>
      </c>
      <c r="D151" s="0" t="e">
        <f aca="false">VLOOKUP(Shelf_Life!A151,Demand_Fresh!A149:A243,1,FALSE())</f>
        <v>#N/A</v>
      </c>
      <c r="E151" s="0" t="e">
        <f aca="false">VLOOKUP(Shelf_Life!A151,Demand_Frozen!A150:A264,1,FALSE())</f>
        <v>#N/A</v>
      </c>
    </row>
    <row r="152" customFormat="false" ht="13.8" hidden="false" customHeight="false" outlineLevel="0" collapsed="false">
      <c r="A152" s="0" t="s">
        <v>186</v>
      </c>
      <c r="B152" s="0" t="n">
        <v>3</v>
      </c>
      <c r="C152" s="115" t="n">
        <v>0.111537206770043</v>
      </c>
      <c r="D152" s="0" t="e">
        <f aca="false">VLOOKUP(Shelf_Life!A152,Demand_Fresh!A150:A244,1,FALSE())</f>
        <v>#N/A</v>
      </c>
      <c r="E152" s="0" t="e">
        <f aca="false">VLOOKUP(Shelf_Life!A152,Demand_Frozen!A151:A265,1,FALSE())</f>
        <v>#N/A</v>
      </c>
    </row>
    <row r="153" customFormat="false" ht="13.8" hidden="false" customHeight="false" outlineLevel="0" collapsed="false">
      <c r="A153" s="0" t="s">
        <v>187</v>
      </c>
      <c r="B153" s="0" t="n">
        <v>3</v>
      </c>
      <c r="C153" s="115" t="n">
        <v>0.107481308342041</v>
      </c>
      <c r="D153" s="0" t="e">
        <f aca="false">VLOOKUP(Shelf_Life!A153,Demand_Fresh!A151:A245,1,FALSE())</f>
        <v>#N/A</v>
      </c>
      <c r="E153" s="0" t="e">
        <f aca="false">VLOOKUP(Shelf_Life!A153,Demand_Frozen!A152:A266,1,FALSE())</f>
        <v>#N/A</v>
      </c>
    </row>
    <row r="154" customFormat="false" ht="13.8" hidden="false" customHeight="false" outlineLevel="0" collapsed="false">
      <c r="A154" s="0" t="s">
        <v>188</v>
      </c>
      <c r="B154" s="0" t="n">
        <v>3</v>
      </c>
      <c r="C154" s="115" t="n">
        <v>0.107481308342041</v>
      </c>
      <c r="D154" s="0" t="e">
        <f aca="false">VLOOKUP(Shelf_Life!A154,Demand_Fresh!A152:A246,1,FALSE())</f>
        <v>#N/A</v>
      </c>
      <c r="E154" s="0" t="e">
        <f aca="false">VLOOKUP(Shelf_Life!A154,Demand_Frozen!A153:A267,1,FALSE())</f>
        <v>#N/A</v>
      </c>
    </row>
    <row r="155" customFormat="false" ht="13.8" hidden="false" customHeight="false" outlineLevel="0" collapsed="false">
      <c r="A155" s="0" t="s">
        <v>189</v>
      </c>
      <c r="B155" s="0" t="n">
        <v>3</v>
      </c>
      <c r="C155" s="115" t="n">
        <v>0.107481308342041</v>
      </c>
      <c r="D155" s="0" t="e">
        <f aca="false">VLOOKUP(Shelf_Life!A155,Demand_Fresh!A153:A247,1,FALSE())</f>
        <v>#N/A</v>
      </c>
      <c r="E155" s="0" t="e">
        <f aca="false">VLOOKUP(Shelf_Life!A155,Demand_Frozen!A154:A268,1,FALSE())</f>
        <v>#N/A</v>
      </c>
    </row>
    <row r="156" customFormat="false" ht="13.8" hidden="false" customHeight="false" outlineLevel="0" collapsed="false">
      <c r="A156" s="0" t="s">
        <v>190</v>
      </c>
      <c r="B156" s="0" t="n">
        <v>3</v>
      </c>
      <c r="C156" s="115" t="n">
        <v>0.107481308342041</v>
      </c>
      <c r="D156" s="0" t="e">
        <f aca="false">VLOOKUP(Shelf_Life!A156,Demand_Fresh!A154:A248,1,FALSE())</f>
        <v>#N/A</v>
      </c>
      <c r="E156" s="0" t="e">
        <f aca="false">VLOOKUP(Shelf_Life!A156,Demand_Frozen!A153:A269,1,FALSE())</f>
        <v>#N/A</v>
      </c>
    </row>
    <row r="157" customFormat="false" ht="13.8" hidden="false" customHeight="false" outlineLevel="0" collapsed="false">
      <c r="A157" s="0" t="s">
        <v>191</v>
      </c>
      <c r="B157" s="0" t="n">
        <v>3</v>
      </c>
      <c r="C157" s="115" t="n">
        <v>0.107481308342041</v>
      </c>
      <c r="D157" s="0" t="e">
        <f aca="false">VLOOKUP(Shelf_Life!A157,Demand_Fresh!A155:A249,1,FALSE())</f>
        <v>#N/A</v>
      </c>
      <c r="E157" s="0" t="e">
        <f aca="false">VLOOKUP(Shelf_Life!A157,Demand_Frozen!A154:A270,1,FALSE())</f>
        <v>#N/A</v>
      </c>
    </row>
    <row r="158" customFormat="false" ht="13.8" hidden="false" customHeight="false" outlineLevel="0" collapsed="false">
      <c r="A158" s="0" t="s">
        <v>192</v>
      </c>
      <c r="B158" s="0" t="n">
        <v>3</v>
      </c>
      <c r="C158" s="115" t="n">
        <v>0.107481308342041</v>
      </c>
      <c r="D158" s="0" t="e">
        <f aca="false">VLOOKUP(Shelf_Life!A158,Demand_Fresh!A156:A250,1,FALSE())</f>
        <v>#N/A</v>
      </c>
      <c r="E158" s="0" t="e">
        <f aca="false">VLOOKUP(Shelf_Life!A158,Demand_Frozen!A155:A271,1,FALSE())</f>
        <v>#N/A</v>
      </c>
    </row>
    <row r="159" customFormat="false" ht="13.8" hidden="false" customHeight="false" outlineLevel="0" collapsed="false">
      <c r="A159" s="0" t="s">
        <v>193</v>
      </c>
      <c r="B159" s="0" t="n">
        <v>3</v>
      </c>
      <c r="C159" s="115" t="n">
        <v>0.107481308342041</v>
      </c>
      <c r="D159" s="0" t="e">
        <f aca="false">VLOOKUP(Shelf_Life!A159,Demand_Fresh!A157:A251,1,FALSE())</f>
        <v>#N/A</v>
      </c>
      <c r="E159" s="0" t="e">
        <f aca="false">VLOOKUP(Shelf_Life!A159,Demand_Frozen!A156:A272,1,FALSE())</f>
        <v>#N/A</v>
      </c>
    </row>
    <row r="160" customFormat="false" ht="13.8" hidden="false" customHeight="false" outlineLevel="0" collapsed="false">
      <c r="A160" s="0" t="s">
        <v>324</v>
      </c>
      <c r="B160" s="0" t="n">
        <v>3</v>
      </c>
      <c r="C160" s="115" t="n">
        <v>0.102808207979344</v>
      </c>
      <c r="D160" s="0" t="e">
        <f aca="false">VLOOKUP(Shelf_Life!A160,Demand_Fresh!A158:A252,1,FALSE())</f>
        <v>#N/A</v>
      </c>
      <c r="E160" s="0" t="e">
        <f aca="false">VLOOKUP(Shelf_Life!A160,Demand_Frozen!A157:A273,1,FALSE())</f>
        <v>#N/A</v>
      </c>
    </row>
    <row r="161" customFormat="false" ht="13.8" hidden="false" customHeight="false" outlineLevel="0" collapsed="false">
      <c r="A161" s="0" t="s">
        <v>194</v>
      </c>
      <c r="B161" s="0" t="n">
        <v>3</v>
      </c>
      <c r="C161" s="115" t="n">
        <v>0.107481308342041</v>
      </c>
      <c r="D161" s="0" t="e">
        <f aca="false">VLOOKUP(Shelf_Life!A161,Demand_Fresh!A159:A253,1,FALSE())</f>
        <v>#N/A</v>
      </c>
      <c r="E161" s="0" t="e">
        <f aca="false">VLOOKUP(Shelf_Life!A161,Demand_Frozen!A158:A274,1,FALSE())</f>
        <v>#N/A</v>
      </c>
    </row>
    <row r="162" customFormat="false" ht="13.8" hidden="false" customHeight="false" outlineLevel="0" collapsed="false">
      <c r="A162" s="0" t="s">
        <v>325</v>
      </c>
      <c r="B162" s="0" t="n">
        <v>3</v>
      </c>
      <c r="C162" s="115" t="n">
        <v>0.0853642160117294</v>
      </c>
      <c r="D162" s="0" t="e">
        <f aca="false">VLOOKUP(Shelf_Life!A162,Demand_Fresh!A160:A254,1,FALSE())</f>
        <v>#N/A</v>
      </c>
      <c r="E162" s="0" t="e">
        <f aca="false">VLOOKUP(Shelf_Life!A162,Demand_Frozen!A159:A275,1,FALSE())</f>
        <v>#N/A</v>
      </c>
    </row>
    <row r="163" customFormat="false" ht="13.8" hidden="false" customHeight="false" outlineLevel="0" collapsed="false">
      <c r="A163" s="0" t="s">
        <v>195</v>
      </c>
      <c r="B163" s="0" t="n">
        <v>3</v>
      </c>
      <c r="C163" s="115" t="n">
        <v>0.0853642160117294</v>
      </c>
      <c r="D163" s="0" t="e">
        <f aca="false">VLOOKUP(Shelf_Life!A163,Demand_Fresh!A161:A255,1,FALSE())</f>
        <v>#N/A</v>
      </c>
      <c r="E163" s="0" t="e">
        <f aca="false">VLOOKUP(Shelf_Life!A163,Demand_Frozen!A160:A276,1,FALSE())</f>
        <v>#N/A</v>
      </c>
    </row>
    <row r="164" customFormat="false" ht="13.8" hidden="false" customHeight="false" outlineLevel="0" collapsed="false">
      <c r="A164" s="0" t="s">
        <v>196</v>
      </c>
      <c r="B164" s="0" t="n">
        <v>3</v>
      </c>
      <c r="C164" s="115" t="n">
        <v>0.0710086721779251</v>
      </c>
      <c r="D164" s="0" t="e">
        <f aca="false">VLOOKUP(Shelf_Life!A164,Demand_Fresh!A162:A256,1,FALSE())</f>
        <v>#N/A</v>
      </c>
      <c r="E164" s="0" t="e">
        <f aca="false">VLOOKUP(Shelf_Life!A164,Demand_Frozen!A161:A277,1,FALSE())</f>
        <v>#N/A</v>
      </c>
    </row>
    <row r="165" customFormat="false" ht="13.8" hidden="false" customHeight="false" outlineLevel="0" collapsed="false">
      <c r="A165" s="0" t="s">
        <v>429</v>
      </c>
      <c r="B165" s="0" t="n">
        <v>3</v>
      </c>
      <c r="C165" s="115" t="n">
        <v>0.0656830217645807</v>
      </c>
      <c r="D165" s="0" t="e">
        <f aca="false">VLOOKUP(Shelf_Life!A165,Demand_Fresh!A163:A257,1,FALSE())</f>
        <v>#N/A</v>
      </c>
      <c r="E165" s="0" t="str">
        <f aca="false">VLOOKUP(Shelf_Life!A165,Demand_Frozen!A162:A278,1,FALSE())</f>
        <v>BBBRF0000K02PF</v>
      </c>
    </row>
    <row r="166" customFormat="false" ht="13.8" hidden="false" customHeight="false" outlineLevel="0" collapsed="false">
      <c r="A166" s="0" t="s">
        <v>977</v>
      </c>
      <c r="B166" s="0" t="n">
        <v>3</v>
      </c>
      <c r="C166" s="115" t="n">
        <v>0.0656830217645807</v>
      </c>
      <c r="D166" s="0" t="e">
        <f aca="false">VLOOKUP(Shelf_Life!A166,Demand_Fresh!A164:A258,1,FALSE())</f>
        <v>#N/A</v>
      </c>
      <c r="E166" s="0" t="e">
        <f aca="false">VLOOKUP(Shelf_Life!A166,Demand_Frozen!A163:A279,1,FALSE())</f>
        <v>#N/A</v>
      </c>
    </row>
    <row r="167" customFormat="false" ht="13.8" hidden="false" customHeight="false" outlineLevel="0" collapsed="false">
      <c r="A167" s="0" t="s">
        <v>1316</v>
      </c>
      <c r="B167" s="0" t="n">
        <v>3</v>
      </c>
      <c r="C167" s="115" t="n">
        <v>0.112599465882138</v>
      </c>
      <c r="D167" s="0" t="e">
        <f aca="false">VLOOKUP(Shelf_Life!A167,Demand_Fresh!A165:A259,1,FALSE())</f>
        <v>#N/A</v>
      </c>
      <c r="E167" s="0" t="e">
        <f aca="false">VLOOKUP(Shelf_Life!A167,Demand_Frozen!A164:A280,1,FALSE())</f>
        <v>#N/A</v>
      </c>
    </row>
    <row r="168" customFormat="false" ht="13.8" hidden="false" customHeight="false" outlineLevel="0" collapsed="false">
      <c r="A168" s="0" t="s">
        <v>120</v>
      </c>
      <c r="B168" s="0" t="n">
        <v>3</v>
      </c>
      <c r="C168" s="115" t="n">
        <v>0.0656830217645807</v>
      </c>
      <c r="D168" s="0" t="e">
        <f aca="false">VLOOKUP(Shelf_Life!A168,Demand_Fresh!A166:A260,1,FALSE())</f>
        <v>#N/A</v>
      </c>
      <c r="E168" s="0" t="e">
        <f aca="false">VLOOKUP(Shelf_Life!A168,Demand_Frozen!A165:A281,1,FALSE())</f>
        <v>#N/A</v>
      </c>
    </row>
    <row r="169" customFormat="false" ht="13.8" hidden="false" customHeight="false" outlineLevel="0" collapsed="false">
      <c r="A169" s="0" t="s">
        <v>225</v>
      </c>
      <c r="B169" s="0" t="n">
        <v>3</v>
      </c>
      <c r="C169" s="115" t="n">
        <v>0.0656830217645807</v>
      </c>
      <c r="D169" s="0" t="e">
        <f aca="false">VLOOKUP(Shelf_Life!A169,Demand_Fresh!A167:A261,1,FALSE())</f>
        <v>#N/A</v>
      </c>
      <c r="E169" s="0" t="e">
        <f aca="false">VLOOKUP(Shelf_Life!A169,Demand_Frozen!A166:A282,1,FALSE())</f>
        <v>#N/A</v>
      </c>
    </row>
    <row r="170" customFormat="false" ht="13.8" hidden="false" customHeight="false" outlineLevel="0" collapsed="false">
      <c r="A170" s="0" t="s">
        <v>434</v>
      </c>
      <c r="B170" s="0" t="n">
        <v>3</v>
      </c>
      <c r="C170" s="115" t="n">
        <v>0.0525464174116646</v>
      </c>
      <c r="D170" s="0" t="e">
        <f aca="false">VLOOKUP(Shelf_Life!A170,Demand_Fresh!A168:A262,1,FALSE())</f>
        <v>#N/A</v>
      </c>
      <c r="E170" s="0" t="e">
        <f aca="false">VLOOKUP(Shelf_Life!A170,Demand_Frozen!A167:A283,1,FALSE())</f>
        <v>#N/A</v>
      </c>
    </row>
    <row r="171" customFormat="false" ht="13.8" hidden="false" customHeight="false" outlineLevel="0" collapsed="false">
      <c r="A171" s="0" t="s">
        <v>344</v>
      </c>
      <c r="B171" s="0" t="n">
        <v>3</v>
      </c>
      <c r="C171" s="115" t="n">
        <v>0.0525464174116646</v>
      </c>
      <c r="D171" s="0" t="e">
        <f aca="false">VLOOKUP(Shelf_Life!A171,Demand_Fresh!A169:A263,1,FALSE())</f>
        <v>#N/A</v>
      </c>
      <c r="E171" s="0" t="e">
        <f aca="false">VLOOKUP(Shelf_Life!A171,Demand_Frozen!A168:A284,1,FALSE())</f>
        <v>#N/A</v>
      </c>
    </row>
    <row r="172" customFormat="false" ht="13.8" hidden="false" customHeight="false" outlineLevel="0" collapsed="false">
      <c r="A172" s="0" t="s">
        <v>226</v>
      </c>
      <c r="B172" s="0" t="n">
        <v>3</v>
      </c>
      <c r="C172" s="115" t="n">
        <v>0.0643951193770399</v>
      </c>
      <c r="D172" s="0" t="e">
        <f aca="false">VLOOKUP(Shelf_Life!A172,Demand_Fresh!A170:A264,1,FALSE())</f>
        <v>#N/A</v>
      </c>
      <c r="E172" s="0" t="e">
        <f aca="false">VLOOKUP(Shelf_Life!A172,Demand_Frozen!A169:A285,1,FALSE())</f>
        <v>#N/A</v>
      </c>
    </row>
    <row r="173" customFormat="false" ht="13.8" hidden="false" customHeight="false" outlineLevel="0" collapsed="false">
      <c r="A173" s="0" t="s">
        <v>883</v>
      </c>
      <c r="B173" s="0" t="n">
        <v>3</v>
      </c>
      <c r="C173" s="115" t="n">
        <v>0.0656830217645807</v>
      </c>
      <c r="D173" s="0" t="e">
        <f aca="false">VLOOKUP(Shelf_Life!A173,Demand_Fresh!A171:A265,1,FALSE())</f>
        <v>#N/A</v>
      </c>
      <c r="E173" s="0" t="e">
        <f aca="false">VLOOKUP(Shelf_Life!A173,Demand_Frozen!A170:A286,1,FALSE())</f>
        <v>#N/A</v>
      </c>
    </row>
    <row r="174" customFormat="false" ht="13.8" hidden="false" customHeight="false" outlineLevel="0" collapsed="false">
      <c r="A174" s="0" t="s">
        <v>886</v>
      </c>
      <c r="B174" s="0" t="n">
        <v>3</v>
      </c>
      <c r="C174" s="115" t="n">
        <v>0.0656830217645807</v>
      </c>
      <c r="D174" s="0" t="e">
        <f aca="false">VLOOKUP(Shelf_Life!A174,Demand_Fresh!A172:A266,1,FALSE())</f>
        <v>#N/A</v>
      </c>
      <c r="E174" s="0" t="e">
        <f aca="false">VLOOKUP(Shelf_Life!A174,Demand_Frozen!A171:A287,1,FALSE())</f>
        <v>#N/A</v>
      </c>
    </row>
    <row r="175" customFormat="false" ht="13.8" hidden="false" customHeight="false" outlineLevel="0" collapsed="false">
      <c r="A175" s="0" t="s">
        <v>215</v>
      </c>
      <c r="B175" s="0" t="n">
        <v>3</v>
      </c>
      <c r="C175" s="115" t="n">
        <v>0.0525464174116646</v>
      </c>
      <c r="D175" s="0" t="e">
        <f aca="false">VLOOKUP(Shelf_Life!A175,Demand_Fresh!A173:A267,1,FALSE())</f>
        <v>#N/A</v>
      </c>
      <c r="E175" s="0" t="e">
        <f aca="false">VLOOKUP(Shelf_Life!A175,Demand_Frozen!A172:A288,1,FALSE())</f>
        <v>#N/A</v>
      </c>
    </row>
    <row r="176" customFormat="false" ht="13.8" hidden="false" customHeight="false" outlineLevel="0" collapsed="false">
      <c r="A176" s="0" t="s">
        <v>227</v>
      </c>
      <c r="B176" s="0" t="n">
        <v>3</v>
      </c>
      <c r="C176" s="115" t="n">
        <v>0.0525464174116646</v>
      </c>
      <c r="D176" s="0" t="e">
        <f aca="false">VLOOKUP(Shelf_Life!A176,Demand_Fresh!A174:A268,1,FALSE())</f>
        <v>#N/A</v>
      </c>
      <c r="E176" s="0" t="e">
        <f aca="false">VLOOKUP(Shelf_Life!A176,Demand_Frozen!A173:A289,1,FALSE())</f>
        <v>#N/A</v>
      </c>
    </row>
    <row r="177" customFormat="false" ht="13.8" hidden="false" customHeight="false" outlineLevel="0" collapsed="false">
      <c r="A177" s="0" t="s">
        <v>441</v>
      </c>
      <c r="B177" s="0" t="n">
        <v>3</v>
      </c>
      <c r="C177" s="115" t="n">
        <v>0.0656830217645807</v>
      </c>
      <c r="D177" s="0" t="e">
        <f aca="false">VLOOKUP(Shelf_Life!A177,Demand_Fresh!A175:A269,1,FALSE())</f>
        <v>#N/A</v>
      </c>
      <c r="E177" s="0" t="e">
        <f aca="false">VLOOKUP(Shelf_Life!A177,Demand_Frozen!A174:A290,1,FALSE())</f>
        <v>#N/A</v>
      </c>
    </row>
    <row r="178" customFormat="false" ht="13.8" hidden="false" customHeight="false" outlineLevel="0" collapsed="false">
      <c r="A178" s="0" t="s">
        <v>228</v>
      </c>
      <c r="B178" s="0" t="n">
        <v>3</v>
      </c>
      <c r="C178" s="115" t="n">
        <v>0.0656830217645807</v>
      </c>
      <c r="D178" s="0" t="e">
        <f aca="false">VLOOKUP(Shelf_Life!A178,Demand_Fresh!A176:A270,1,FALSE())</f>
        <v>#N/A</v>
      </c>
      <c r="E178" s="0" t="e">
        <f aca="false">VLOOKUP(Shelf_Life!A178,Demand_Frozen!A175:A291,1,FALSE())</f>
        <v>#N/A</v>
      </c>
    </row>
    <row r="179" customFormat="false" ht="13.8" hidden="false" customHeight="false" outlineLevel="0" collapsed="false">
      <c r="A179" s="0" t="s">
        <v>229</v>
      </c>
      <c r="B179" s="0" t="n">
        <v>3</v>
      </c>
      <c r="C179" s="115" t="n">
        <v>0.0656830217645807</v>
      </c>
      <c r="D179" s="0" t="e">
        <f aca="false">VLOOKUP(Shelf_Life!A179,Demand_Fresh!A177:A271,1,FALSE())</f>
        <v>#N/A</v>
      </c>
      <c r="E179" s="0" t="e">
        <f aca="false">VLOOKUP(Shelf_Life!A179,Demand_Frozen!A176:A292,1,FALSE())</f>
        <v>#N/A</v>
      </c>
    </row>
    <row r="180" customFormat="false" ht="13.8" hidden="false" customHeight="false" outlineLevel="0" collapsed="false">
      <c r="A180" s="0" t="s">
        <v>445</v>
      </c>
      <c r="B180" s="0" t="n">
        <v>3</v>
      </c>
      <c r="C180" s="115" t="n">
        <v>0.0656830217645807</v>
      </c>
      <c r="D180" s="0" t="e">
        <f aca="false">VLOOKUP(Shelf_Life!A180,Demand_Fresh!A178:A272,1,FALSE())</f>
        <v>#N/A</v>
      </c>
      <c r="E180" s="0" t="e">
        <f aca="false">VLOOKUP(Shelf_Life!A180,Demand_Frozen!A177:A293,1,FALSE())</f>
        <v>#N/A</v>
      </c>
    </row>
    <row r="181" customFormat="false" ht="13.8" hidden="false" customHeight="false" outlineLevel="0" collapsed="false">
      <c r="A181" s="0" t="s">
        <v>230</v>
      </c>
      <c r="B181" s="0" t="n">
        <v>3</v>
      </c>
      <c r="C181" s="115" t="n">
        <v>0.0656830217645807</v>
      </c>
      <c r="D181" s="0" t="e">
        <f aca="false">VLOOKUP(Shelf_Life!A181,Demand_Fresh!A179:A273,1,FALSE())</f>
        <v>#N/A</v>
      </c>
      <c r="E181" s="0" t="e">
        <f aca="false">VLOOKUP(Shelf_Life!A181,Demand_Frozen!A178:A294,1,FALSE())</f>
        <v>#N/A</v>
      </c>
    </row>
    <row r="182" customFormat="false" ht="13.8" hidden="false" customHeight="false" outlineLevel="0" collapsed="false">
      <c r="A182" s="0" t="s">
        <v>121</v>
      </c>
      <c r="B182" s="0" t="n">
        <v>3</v>
      </c>
      <c r="C182" s="115" t="n">
        <v>0.0656830217645807</v>
      </c>
      <c r="D182" s="0" t="e">
        <f aca="false">VLOOKUP(Shelf_Life!A182,Demand_Fresh!A180:A274,1,FALSE())</f>
        <v>#N/A</v>
      </c>
      <c r="E182" s="0" t="e">
        <f aca="false">VLOOKUP(Shelf_Life!A182,Demand_Frozen!A179:A295,1,FALSE())</f>
        <v>#N/A</v>
      </c>
    </row>
    <row r="183" customFormat="false" ht="13.8" hidden="false" customHeight="false" outlineLevel="0" collapsed="false">
      <c r="A183" s="0" t="s">
        <v>231</v>
      </c>
      <c r="B183" s="0" t="n">
        <v>3</v>
      </c>
      <c r="C183" s="115" t="n">
        <v>0.0656830217645807</v>
      </c>
      <c r="D183" s="0" t="e">
        <f aca="false">VLOOKUP(Shelf_Life!A183,Demand_Fresh!A181:A275,1,FALSE())</f>
        <v>#N/A</v>
      </c>
      <c r="E183" s="0" t="e">
        <f aca="false">VLOOKUP(Shelf_Life!A183,Demand_Frozen!A180:A296,1,FALSE())</f>
        <v>#N/A</v>
      </c>
    </row>
    <row r="184" customFormat="false" ht="13.8" hidden="false" customHeight="false" outlineLevel="0" collapsed="false">
      <c r="A184" s="0" t="s">
        <v>232</v>
      </c>
      <c r="B184" s="0" t="n">
        <v>3</v>
      </c>
      <c r="C184" s="115" t="n">
        <v>0.0656830217645807</v>
      </c>
      <c r="D184" s="0" t="e">
        <f aca="false">VLOOKUP(Shelf_Life!A184,Demand_Fresh!A182:A276,1,FALSE())</f>
        <v>#N/A</v>
      </c>
      <c r="E184" s="0" t="e">
        <f aca="false">VLOOKUP(Shelf_Life!A184,Demand_Frozen!A181:A297,1,FALSE())</f>
        <v>#N/A</v>
      </c>
    </row>
    <row r="185" customFormat="false" ht="13.8" hidden="false" customHeight="false" outlineLevel="0" collapsed="false">
      <c r="A185" s="0" t="s">
        <v>122</v>
      </c>
      <c r="B185" s="0" t="n">
        <v>3</v>
      </c>
      <c r="C185" s="115" t="n">
        <v>0.0492622663234355</v>
      </c>
      <c r="D185" s="0" t="e">
        <f aca="false">VLOOKUP(Shelf_Life!A185,Demand_Fresh!A183:A277,1,FALSE())</f>
        <v>#N/A</v>
      </c>
      <c r="E185" s="0" t="e">
        <f aca="false">VLOOKUP(Shelf_Life!A185,Demand_Frozen!A182:A298,1,FALSE())</f>
        <v>#N/A</v>
      </c>
    </row>
    <row r="186" customFormat="false" ht="13.8" hidden="false" customHeight="false" outlineLevel="0" collapsed="false">
      <c r="A186" s="0" t="s">
        <v>938</v>
      </c>
      <c r="B186" s="0" t="n">
        <v>3</v>
      </c>
      <c r="C186" s="115" t="n">
        <v>0.0656830217645807</v>
      </c>
      <c r="D186" s="0" t="e">
        <f aca="false">VLOOKUP(Shelf_Life!A186,Demand_Fresh!A184:A278,1,FALSE())</f>
        <v>#N/A</v>
      </c>
      <c r="E186" s="0" t="e">
        <f aca="false">VLOOKUP(Shelf_Life!A186,Demand_Frozen!A183:A299,1,FALSE())</f>
        <v>#N/A</v>
      </c>
    </row>
    <row r="187" customFormat="false" ht="13.8" hidden="false" customHeight="false" outlineLevel="0" collapsed="false">
      <c r="A187" s="0" t="s">
        <v>214</v>
      </c>
      <c r="B187" s="0" t="n">
        <v>3</v>
      </c>
      <c r="C187" s="115" t="n">
        <v>0.0525464174116646</v>
      </c>
      <c r="D187" s="0" t="e">
        <f aca="false">VLOOKUP(Shelf_Life!A187,Demand_Fresh!A185:A279,1,FALSE())</f>
        <v>#N/A</v>
      </c>
      <c r="E187" s="0" t="e">
        <f aca="false">VLOOKUP(Shelf_Life!A187,Demand_Frozen!A184:A300,1,FALSE())</f>
        <v>#N/A</v>
      </c>
    </row>
    <row r="188" customFormat="false" ht="13.8" hidden="false" customHeight="false" outlineLevel="0" collapsed="false">
      <c r="A188" s="0" t="s">
        <v>944</v>
      </c>
      <c r="B188" s="0" t="n">
        <v>3</v>
      </c>
      <c r="C188" s="116" t="n">
        <v>0.0656830217645807</v>
      </c>
      <c r="D188" s="0" t="e">
        <f aca="false">VLOOKUP(Shelf_Life!A188,Demand_Fresh!A186:A280,1,FALSE())</f>
        <v>#N/A</v>
      </c>
      <c r="E188" s="0" t="e">
        <f aca="false">VLOOKUP(Shelf_Life!A188,Demand_Frozen!A185:A301,1,FALSE())</f>
        <v>#N/A</v>
      </c>
    </row>
    <row r="189" customFormat="false" ht="13.8" hidden="false" customHeight="false" outlineLevel="0" collapsed="false">
      <c r="A189" s="0" t="s">
        <v>948</v>
      </c>
      <c r="B189" s="0" t="n">
        <v>3</v>
      </c>
      <c r="C189" s="115" t="n">
        <v>0.0656830217645807</v>
      </c>
      <c r="D189" s="0" t="e">
        <f aca="false">VLOOKUP(Shelf_Life!A189,Demand_Fresh!A187:A281,1,FALSE())</f>
        <v>#N/A</v>
      </c>
      <c r="E189" s="0" t="e">
        <f aca="false">VLOOKUP(Shelf_Life!A189,Demand_Frozen!A186:A302,1,FALSE())</f>
        <v>#N/A</v>
      </c>
    </row>
    <row r="190" customFormat="false" ht="13.8" hidden="false" customHeight="false" outlineLevel="0" collapsed="false">
      <c r="A190" s="0" t="s">
        <v>233</v>
      </c>
      <c r="B190" s="0" t="n">
        <v>3</v>
      </c>
      <c r="C190" s="115" t="n">
        <v>0.0656830217645807</v>
      </c>
      <c r="D190" s="0" t="e">
        <f aca="false">VLOOKUP(Shelf_Life!A190,Demand_Fresh!A188:A282,1,FALSE())</f>
        <v>#N/A</v>
      </c>
      <c r="E190" s="0" t="e">
        <f aca="false">VLOOKUP(Shelf_Life!A190,Demand_Frozen!A187:A303,1,FALSE())</f>
        <v>#N/A</v>
      </c>
    </row>
    <row r="191" customFormat="false" ht="13.8" hidden="false" customHeight="false" outlineLevel="0" collapsed="false">
      <c r="A191" s="0" t="s">
        <v>234</v>
      </c>
      <c r="B191" s="0" t="n">
        <v>3</v>
      </c>
      <c r="C191" s="115" t="n">
        <v>0.0656830217645807</v>
      </c>
      <c r="D191" s="0" t="e">
        <f aca="false">VLOOKUP(Shelf_Life!A191,Demand_Fresh!A189:A283,1,FALSE())</f>
        <v>#N/A</v>
      </c>
      <c r="E191" s="0" t="e">
        <f aca="false">VLOOKUP(Shelf_Life!A191,Demand_Frozen!A188:A304,1,FALSE())</f>
        <v>#N/A</v>
      </c>
    </row>
    <row r="192" customFormat="false" ht="13.8" hidden="false" customHeight="false" outlineLevel="0" collapsed="false">
      <c r="A192" s="0" t="s">
        <v>123</v>
      </c>
      <c r="B192" s="0" t="n">
        <v>3</v>
      </c>
      <c r="C192" s="115" t="n">
        <v>0.0656830217645807</v>
      </c>
      <c r="D192" s="0" t="e">
        <f aca="false">VLOOKUP(Shelf_Life!A192,Demand_Fresh!A190:A284,1,FALSE())</f>
        <v>#N/A</v>
      </c>
      <c r="E192" s="0" t="e">
        <f aca="false">VLOOKUP(Shelf_Life!A192,Demand_Frozen!A189:A305,1,FALSE())</f>
        <v>#N/A</v>
      </c>
    </row>
    <row r="193" customFormat="false" ht="13.8" hidden="false" customHeight="false" outlineLevel="0" collapsed="false">
      <c r="A193" s="0" t="s">
        <v>235</v>
      </c>
      <c r="B193" s="0" t="n">
        <v>3</v>
      </c>
      <c r="C193" s="115" t="n">
        <v>0.0656830217645807</v>
      </c>
      <c r="D193" s="0" t="e">
        <f aca="false">VLOOKUP(Shelf_Life!A193,Demand_Fresh!A191:A285,1,FALSE())</f>
        <v>#N/A</v>
      </c>
      <c r="E193" s="0" t="e">
        <f aca="false">VLOOKUP(Shelf_Life!A193,Demand_Frozen!A190:A306,1,FALSE())</f>
        <v>#N/A</v>
      </c>
    </row>
    <row r="194" customFormat="false" ht="13.8" hidden="false" customHeight="false" outlineLevel="0" collapsed="false">
      <c r="A194" s="0" t="s">
        <v>236</v>
      </c>
      <c r="B194" s="0" t="n">
        <v>3</v>
      </c>
      <c r="C194" s="115" t="n">
        <v>0.0656830217645807</v>
      </c>
      <c r="D194" s="0" t="e">
        <f aca="false">VLOOKUP(Shelf_Life!A194,Demand_Fresh!A192:A286,1,FALSE())</f>
        <v>#N/A</v>
      </c>
      <c r="E194" s="0" t="e">
        <f aca="false">VLOOKUP(Shelf_Life!A194,Demand_Frozen!A191:A307,1,FALSE())</f>
        <v>#N/A</v>
      </c>
    </row>
    <row r="195" customFormat="false" ht="13.8" hidden="false" customHeight="false" outlineLevel="0" collapsed="false">
      <c r="A195" s="0" t="s">
        <v>124</v>
      </c>
      <c r="B195" s="0" t="n">
        <v>3</v>
      </c>
      <c r="C195" s="115" t="n">
        <v>0.0656830217645807</v>
      </c>
      <c r="D195" s="0" t="e">
        <f aca="false">VLOOKUP(Shelf_Life!A195,Demand_Fresh!A193:A287,1,FALSE())</f>
        <v>#N/A</v>
      </c>
      <c r="E195" s="0" t="e">
        <f aca="false">VLOOKUP(Shelf_Life!A195,Demand_Frozen!A192:A308,1,FALSE())</f>
        <v>#N/A</v>
      </c>
    </row>
    <row r="196" customFormat="false" ht="13.8" hidden="false" customHeight="false" outlineLevel="0" collapsed="false">
      <c r="A196" s="0" t="s">
        <v>237</v>
      </c>
      <c r="B196" s="0" t="n">
        <v>3</v>
      </c>
      <c r="C196" s="115" t="n">
        <v>0.0656830217645807</v>
      </c>
      <c r="D196" s="0" t="e">
        <f aca="false">VLOOKUP(Shelf_Life!A196,Demand_Fresh!A194:A288,1,FALSE())</f>
        <v>#N/A</v>
      </c>
      <c r="E196" s="0" t="e">
        <f aca="false">VLOOKUP(Shelf_Life!A196,Demand_Frozen!A193:A309,1,FALSE())</f>
        <v>#N/A</v>
      </c>
    </row>
    <row r="197" customFormat="false" ht="13.8" hidden="false" customHeight="false" outlineLevel="0" collapsed="false">
      <c r="A197" s="0" t="s">
        <v>467</v>
      </c>
      <c r="B197" s="0" t="n">
        <v>3</v>
      </c>
      <c r="C197" s="115" t="n">
        <v>0.0525464174116646</v>
      </c>
      <c r="D197" s="0" t="e">
        <f aca="false">VLOOKUP(Shelf_Life!A197,Demand_Fresh!A195:A289,1,FALSE())</f>
        <v>#N/A</v>
      </c>
      <c r="E197" s="0" t="e">
        <f aca="false">VLOOKUP(Shelf_Life!A197,Demand_Frozen!A194:A310,1,FALSE())</f>
        <v>#N/A</v>
      </c>
    </row>
    <row r="198" customFormat="false" ht="13.8" hidden="false" customHeight="false" outlineLevel="0" collapsed="false">
      <c r="A198" s="0" t="s">
        <v>1483</v>
      </c>
      <c r="B198" s="0" t="n">
        <v>3</v>
      </c>
      <c r="C198" s="115" t="n">
        <v>0.0525464174116646</v>
      </c>
      <c r="D198" s="0" t="e">
        <f aca="false">VLOOKUP(Shelf_Life!A198,Demand_Fresh!A196:A290,1,FALSE())</f>
        <v>#N/A</v>
      </c>
      <c r="E198" s="0" t="e">
        <f aca="false">VLOOKUP(Shelf_Life!A198,Demand_Frozen!A195:A311,1,FALSE())</f>
        <v>#N/A</v>
      </c>
    </row>
    <row r="199" customFormat="false" ht="13.8" hidden="false" customHeight="false" outlineLevel="0" collapsed="false">
      <c r="A199" s="0" t="s">
        <v>238</v>
      </c>
      <c r="B199" s="0" t="n">
        <v>3</v>
      </c>
      <c r="C199" s="115" t="n">
        <v>0.0643951193770399</v>
      </c>
      <c r="D199" s="0" t="e">
        <f aca="false">VLOOKUP(Shelf_Life!A199,Demand_Fresh!A197:A291,1,FALSE())</f>
        <v>#N/A</v>
      </c>
      <c r="E199" s="0" t="e">
        <f aca="false">VLOOKUP(Shelf_Life!A199,Demand_Frozen!A196:A312,1,FALSE())</f>
        <v>#N/A</v>
      </c>
    </row>
    <row r="200" customFormat="false" ht="13.8" hidden="false" customHeight="false" outlineLevel="0" collapsed="false">
      <c r="A200" s="0" t="s">
        <v>125</v>
      </c>
      <c r="B200" s="0" t="n">
        <v>3</v>
      </c>
      <c r="C200" s="115" t="n">
        <v>0.0656830217645807</v>
      </c>
      <c r="D200" s="0" t="e">
        <f aca="false">VLOOKUP(Shelf_Life!A200,Demand_Fresh!A198:A292,1,FALSE())</f>
        <v>#N/A</v>
      </c>
      <c r="E200" s="0" t="e">
        <f aca="false">VLOOKUP(Shelf_Life!A200,Demand_Frozen!A197:A313,1,FALSE())</f>
        <v>#N/A</v>
      </c>
    </row>
    <row r="201" customFormat="false" ht="13.8" hidden="false" customHeight="false" outlineLevel="0" collapsed="false">
      <c r="A201" s="0" t="s">
        <v>239</v>
      </c>
      <c r="B201" s="0" t="n">
        <v>3</v>
      </c>
      <c r="C201" s="115" t="n">
        <v>0.0656830217645807</v>
      </c>
      <c r="D201" s="0" t="e">
        <f aca="false">VLOOKUP(Shelf_Life!A201,Demand_Fresh!A199:A293,1,FALSE())</f>
        <v>#N/A</v>
      </c>
      <c r="E201" s="0" t="e">
        <f aca="false">VLOOKUP(Shelf_Life!A201,Demand_Frozen!A198:A314,1,FALSE())</f>
        <v>#N/A</v>
      </c>
    </row>
    <row r="202" customFormat="false" ht="13.8" hidden="false" customHeight="false" outlineLevel="0" collapsed="false">
      <c r="A202" s="0" t="s">
        <v>218</v>
      </c>
      <c r="B202" s="0" t="n">
        <v>3</v>
      </c>
      <c r="C202" s="115" t="n">
        <v>0.0525464174116646</v>
      </c>
      <c r="D202" s="0" t="e">
        <f aca="false">VLOOKUP(Shelf_Life!A202,Demand_Fresh!A200:A294,1,FALSE())</f>
        <v>#N/A</v>
      </c>
      <c r="E202" s="0" t="e">
        <f aca="false">VLOOKUP(Shelf_Life!A202,Demand_Frozen!A199:A315,1,FALSE())</f>
        <v>#N/A</v>
      </c>
    </row>
    <row r="203" customFormat="false" ht="13.8" hidden="false" customHeight="false" outlineLevel="0" collapsed="false">
      <c r="A203" s="0" t="s">
        <v>240</v>
      </c>
      <c r="B203" s="0" t="n">
        <v>3</v>
      </c>
      <c r="C203" s="115" t="n">
        <v>0.0656830217645807</v>
      </c>
      <c r="D203" s="0" t="e">
        <f aca="false">VLOOKUP(Shelf_Life!A203,Demand_Fresh!A201:A295,1,FALSE())</f>
        <v>#N/A</v>
      </c>
      <c r="E203" s="0" t="e">
        <f aca="false">VLOOKUP(Shelf_Life!A203,Demand_Frozen!A200:A316,1,FALSE())</f>
        <v>#N/A</v>
      </c>
    </row>
    <row r="204" customFormat="false" ht="13.8" hidden="false" customHeight="false" outlineLevel="0" collapsed="false">
      <c r="A204" s="0" t="s">
        <v>126</v>
      </c>
      <c r="B204" s="0" t="n">
        <v>3</v>
      </c>
      <c r="C204" s="115" t="n">
        <v>0.0656830217645807</v>
      </c>
      <c r="D204" s="0" t="e">
        <f aca="false">VLOOKUP(Shelf_Life!A204,Demand_Fresh!A202:A296,1,FALSE())</f>
        <v>#N/A</v>
      </c>
      <c r="E204" s="0" t="e">
        <f aca="false">VLOOKUP(Shelf_Life!A204,Demand_Frozen!A201:A317,1,FALSE())</f>
        <v>#N/A</v>
      </c>
    </row>
    <row r="205" customFormat="false" ht="13.8" hidden="false" customHeight="false" outlineLevel="0" collapsed="false">
      <c r="A205" s="0" t="s">
        <v>1031</v>
      </c>
      <c r="B205" s="0" t="n">
        <v>3</v>
      </c>
      <c r="C205" s="115" t="n">
        <v>0.0684198143381049</v>
      </c>
      <c r="D205" s="0" t="e">
        <f aca="false">VLOOKUP(Shelf_Life!A205,Demand_Fresh!A203:A297,1,FALSE())</f>
        <v>#N/A</v>
      </c>
      <c r="E205" s="0" t="e">
        <f aca="false">VLOOKUP(Shelf_Life!A205,Demand_Frozen!A201:A318,1,FALSE())</f>
        <v>#N/A</v>
      </c>
    </row>
    <row r="206" customFormat="false" ht="13.8" hidden="false" customHeight="false" outlineLevel="0" collapsed="false">
      <c r="A206" s="0" t="s">
        <v>241</v>
      </c>
      <c r="B206" s="0" t="n">
        <v>3</v>
      </c>
      <c r="C206" s="115" t="n">
        <v>0.0656830217645807</v>
      </c>
      <c r="D206" s="0" t="e">
        <f aca="false">VLOOKUP(Shelf_Life!A206,Demand_Fresh!A204:A298,1,FALSE())</f>
        <v>#N/A</v>
      </c>
      <c r="E206" s="0" t="e">
        <f aca="false">VLOOKUP(Shelf_Life!A206,Demand_Frozen!A202:A319,1,FALSE())</f>
        <v>#N/A</v>
      </c>
    </row>
    <row r="207" customFormat="false" ht="13.8" hidden="false" customHeight="false" outlineLevel="0" collapsed="false">
      <c r="A207" s="0" t="s">
        <v>1036</v>
      </c>
      <c r="B207" s="0" t="n">
        <v>3</v>
      </c>
      <c r="C207" s="115" t="n">
        <v>0.0691400229100849</v>
      </c>
      <c r="D207" s="0" t="e">
        <f aca="false">VLOOKUP(Shelf_Life!A207,Demand_Fresh!A205:A299,1,FALSE())</f>
        <v>#N/A</v>
      </c>
      <c r="E207" s="0" t="e">
        <f aca="false">VLOOKUP(Shelf_Life!A207,Demand_Frozen!A203:A320,1,FALSE())</f>
        <v>#N/A</v>
      </c>
    </row>
    <row r="208" customFormat="false" ht="13.8" hidden="false" customHeight="false" outlineLevel="0" collapsed="false">
      <c r="A208" s="0" t="s">
        <v>242</v>
      </c>
      <c r="B208" s="0" t="n">
        <v>3</v>
      </c>
      <c r="C208" s="115" t="n">
        <v>0.0656830217645807</v>
      </c>
      <c r="D208" s="0" t="e">
        <f aca="false">VLOOKUP(Shelf_Life!A208,Demand_Fresh!A206:A300,1,FALSE())</f>
        <v>#N/A</v>
      </c>
      <c r="E208" s="0" t="e">
        <f aca="false">VLOOKUP(Shelf_Life!A208,Demand_Frozen!A204:A321,1,FALSE())</f>
        <v>#N/A</v>
      </c>
    </row>
    <row r="209" customFormat="false" ht="13.8" hidden="false" customHeight="false" outlineLevel="0" collapsed="false">
      <c r="A209" s="0" t="s">
        <v>219</v>
      </c>
      <c r="B209" s="0" t="n">
        <v>3</v>
      </c>
      <c r="C209" s="115" t="n">
        <v>0.0656830217645807</v>
      </c>
      <c r="D209" s="0" t="e">
        <f aca="false">VLOOKUP(Shelf_Life!A209,Demand_Fresh!A207:A301,1,FALSE())</f>
        <v>#N/A</v>
      </c>
      <c r="E209" s="0" t="e">
        <f aca="false">VLOOKUP(Shelf_Life!A209,Demand_Frozen!A205:A322,1,FALSE())</f>
        <v>#N/A</v>
      </c>
    </row>
    <row r="210" customFormat="false" ht="13.8" hidden="false" customHeight="false" outlineLevel="0" collapsed="false">
      <c r="A210" s="0" t="s">
        <v>243</v>
      </c>
      <c r="B210" s="0" t="n">
        <v>3</v>
      </c>
      <c r="C210" s="115" t="n">
        <v>0.0656830217645807</v>
      </c>
      <c r="D210" s="0" t="e">
        <f aca="false">VLOOKUP(Shelf_Life!A210,Demand_Fresh!A208:A302,1,FALSE())</f>
        <v>#N/A</v>
      </c>
      <c r="E210" s="0" t="e">
        <f aca="false">VLOOKUP(Shelf_Life!A210,Demand_Frozen!A206:A323,1,FALSE())</f>
        <v>#N/A</v>
      </c>
    </row>
    <row r="211" customFormat="false" ht="13.8" hidden="false" customHeight="false" outlineLevel="0" collapsed="false">
      <c r="A211" s="0" t="s">
        <v>244</v>
      </c>
      <c r="B211" s="0" t="n">
        <v>3</v>
      </c>
      <c r="C211" s="115" t="n">
        <v>0.0643951193770399</v>
      </c>
      <c r="D211" s="0" t="e">
        <f aca="false">VLOOKUP(Shelf_Life!A211,Demand_Fresh!A209:A303,1,FALSE())</f>
        <v>#N/A</v>
      </c>
      <c r="E211" s="0" t="e">
        <f aca="false">VLOOKUP(Shelf_Life!A211,Demand_Frozen!A207:A324,1,FALSE())</f>
        <v>#N/A</v>
      </c>
    </row>
    <row r="212" customFormat="false" ht="13.8" hidden="false" customHeight="false" outlineLevel="0" collapsed="false">
      <c r="A212" s="0" t="s">
        <v>127</v>
      </c>
      <c r="B212" s="0" t="n">
        <v>3</v>
      </c>
      <c r="C212" s="115" t="n">
        <v>0.0656830217645807</v>
      </c>
      <c r="D212" s="0" t="e">
        <f aca="false">VLOOKUP(Shelf_Life!A212,Demand_Fresh!A210:A304,1,FALSE())</f>
        <v>#N/A</v>
      </c>
      <c r="E212" s="0" t="e">
        <f aca="false">VLOOKUP(Shelf_Life!A212,Demand_Frozen!A207:A325,1,FALSE())</f>
        <v>#N/A</v>
      </c>
    </row>
    <row r="213" customFormat="false" ht="13.8" hidden="false" customHeight="false" outlineLevel="0" collapsed="false">
      <c r="A213" s="0" t="s">
        <v>245</v>
      </c>
      <c r="B213" s="0" t="n">
        <v>3</v>
      </c>
      <c r="C213" s="115" t="n">
        <v>0.0656830217645807</v>
      </c>
      <c r="D213" s="0" t="e">
        <f aca="false">VLOOKUP(Shelf_Life!A213,Demand_Fresh!A211:A305,1,FALSE())</f>
        <v>#N/A</v>
      </c>
      <c r="E213" s="0" t="e">
        <f aca="false">VLOOKUP(Shelf_Life!A213,Demand_Frozen!A208:A326,1,FALSE())</f>
        <v>#N/A</v>
      </c>
    </row>
    <row r="214" customFormat="false" ht="13.8" hidden="false" customHeight="false" outlineLevel="0" collapsed="false">
      <c r="A214" s="0" t="s">
        <v>128</v>
      </c>
      <c r="B214" s="0" t="n">
        <v>3</v>
      </c>
      <c r="C214" s="115" t="n">
        <v>0.0492622663234355</v>
      </c>
      <c r="D214" s="0" t="e">
        <f aca="false">VLOOKUP(Shelf_Life!A214,Demand_Fresh!A212:A306,1,FALSE())</f>
        <v>#N/A</v>
      </c>
      <c r="E214" s="0" t="e">
        <f aca="false">VLOOKUP(Shelf_Life!A214,Demand_Frozen!A209:A327,1,FALSE())</f>
        <v>#N/A</v>
      </c>
    </row>
    <row r="215" customFormat="false" ht="13.8" hidden="false" customHeight="false" outlineLevel="0" collapsed="false">
      <c r="A215" s="0" t="s">
        <v>246</v>
      </c>
      <c r="B215" s="0" t="n">
        <v>3</v>
      </c>
      <c r="C215" s="115" t="n">
        <v>0.0656830217645807</v>
      </c>
      <c r="D215" s="0" t="e">
        <f aca="false">VLOOKUP(Shelf_Life!A215,Demand_Fresh!A213:A307,1,FALSE())</f>
        <v>#N/A</v>
      </c>
      <c r="E215" s="0" t="e">
        <f aca="false">VLOOKUP(Shelf_Life!A215,Demand_Frozen!A210:A328,1,FALSE())</f>
        <v>#N/A</v>
      </c>
    </row>
    <row r="216" customFormat="false" ht="13.8" hidden="false" customHeight="false" outlineLevel="0" collapsed="false">
      <c r="A216" s="0" t="s">
        <v>247</v>
      </c>
      <c r="B216" s="0" t="n">
        <v>3</v>
      </c>
      <c r="C216" s="115" t="n">
        <v>0.0656830217645807</v>
      </c>
      <c r="D216" s="0" t="e">
        <f aca="false">VLOOKUP(Shelf_Life!A216,Demand_Fresh!A214:A308,1,FALSE())</f>
        <v>#N/A</v>
      </c>
      <c r="E216" s="0" t="e">
        <f aca="false">VLOOKUP(Shelf_Life!A216,Demand_Frozen!A211:A329,1,FALSE())</f>
        <v>#N/A</v>
      </c>
    </row>
    <row r="217" customFormat="false" ht="13.8" hidden="false" customHeight="false" outlineLevel="0" collapsed="false">
      <c r="A217" s="0" t="s">
        <v>129</v>
      </c>
      <c r="B217" s="0" t="n">
        <v>3</v>
      </c>
      <c r="C217" s="115" t="n">
        <v>0.0656830217645807</v>
      </c>
      <c r="D217" s="0" t="e">
        <f aca="false">VLOOKUP(Shelf_Life!A217,Demand_Fresh!A215:A309,1,FALSE())</f>
        <v>#N/A</v>
      </c>
      <c r="E217" s="0" t="e">
        <f aca="false">VLOOKUP(Shelf_Life!A217,Demand_Frozen!A212:A330,1,FALSE())</f>
        <v>#N/A</v>
      </c>
    </row>
    <row r="218" customFormat="false" ht="13.8" hidden="false" customHeight="false" outlineLevel="0" collapsed="false">
      <c r="A218" s="0" t="s">
        <v>248</v>
      </c>
      <c r="B218" s="0" t="n">
        <v>3</v>
      </c>
      <c r="C218" s="115" t="n">
        <v>0.112599465882138</v>
      </c>
      <c r="D218" s="0" t="e">
        <f aca="false">VLOOKUP(Shelf_Life!A218,Demand_Fresh!A216:A310,1,FALSE())</f>
        <v>#N/A</v>
      </c>
      <c r="E218" s="0" t="e">
        <f aca="false">VLOOKUP(Shelf_Life!A218,Demand_Frozen!A213:A331,1,FALSE())</f>
        <v>#N/A</v>
      </c>
    </row>
    <row r="219" customFormat="false" ht="13.8" hidden="false" customHeight="false" outlineLevel="0" collapsed="false">
      <c r="A219" s="0" t="s">
        <v>130</v>
      </c>
      <c r="B219" s="0" t="n">
        <v>3</v>
      </c>
      <c r="C219" s="115" t="n">
        <v>0.112599465882138</v>
      </c>
      <c r="D219" s="0" t="e">
        <f aca="false">VLOOKUP(Shelf_Life!A219,Demand_Fresh!A217:A311,1,FALSE())</f>
        <v>#N/A</v>
      </c>
      <c r="E219" s="0" t="e">
        <f aca="false">VLOOKUP(Shelf_Life!A219,Demand_Frozen!A214:A332,1,FALSE())</f>
        <v>#N/A</v>
      </c>
    </row>
    <row r="220" customFormat="false" ht="13.8" hidden="false" customHeight="false" outlineLevel="0" collapsed="false">
      <c r="A220" s="0" t="s">
        <v>249</v>
      </c>
      <c r="B220" s="0" t="n">
        <v>3</v>
      </c>
      <c r="C220" s="115" t="n">
        <v>0.112599465882138</v>
      </c>
      <c r="D220" s="0" t="e">
        <f aca="false">VLOOKUP(Shelf_Life!A220,Demand_Fresh!A218:A312,1,FALSE())</f>
        <v>#N/A</v>
      </c>
      <c r="E220" s="0" t="e">
        <f aca="false">VLOOKUP(Shelf_Life!A220,Demand_Frozen!A215:A333,1,FALSE())</f>
        <v>#N/A</v>
      </c>
    </row>
    <row r="221" customFormat="false" ht="13.8" hidden="false" customHeight="false" outlineLevel="0" collapsed="false">
      <c r="A221" s="0" t="s">
        <v>250</v>
      </c>
      <c r="B221" s="0" t="n">
        <v>3</v>
      </c>
      <c r="C221" s="115" t="n">
        <v>0.112599465882138</v>
      </c>
      <c r="D221" s="0" t="e">
        <f aca="false">VLOOKUP(Shelf_Life!A221,Demand_Fresh!A219:A313,1,FALSE())</f>
        <v>#N/A</v>
      </c>
      <c r="E221" s="0" t="e">
        <f aca="false">VLOOKUP(Shelf_Life!A221,Demand_Frozen!A216:A334,1,FALSE())</f>
        <v>#N/A</v>
      </c>
    </row>
    <row r="222" customFormat="false" ht="13.8" hidden="false" customHeight="false" outlineLevel="0" collapsed="false">
      <c r="A222" s="0" t="s">
        <v>131</v>
      </c>
      <c r="B222" s="0" t="n">
        <v>3</v>
      </c>
      <c r="C222" s="115" t="n">
        <v>0.112599465882138</v>
      </c>
      <c r="D222" s="0" t="e">
        <f aca="false">VLOOKUP(Shelf_Life!A222,Demand_Fresh!A220:A314,1,FALSE())</f>
        <v>#N/A</v>
      </c>
      <c r="E222" s="0" t="e">
        <f aca="false">VLOOKUP(Shelf_Life!A222,Demand_Frozen!A217:A335,1,FALSE())</f>
        <v>#N/A</v>
      </c>
    </row>
    <row r="223" customFormat="false" ht="13.8" hidden="false" customHeight="false" outlineLevel="0" collapsed="false">
      <c r="A223" s="0" t="s">
        <v>251</v>
      </c>
      <c r="B223" s="0" t="n">
        <v>3</v>
      </c>
      <c r="C223" s="115" t="n">
        <v>0.112599465882138</v>
      </c>
      <c r="D223" s="0" t="e">
        <f aca="false">VLOOKUP(Shelf_Life!A223,Demand_Fresh!A221:A315,1,FALSE())</f>
        <v>#N/A</v>
      </c>
      <c r="E223" s="0" t="e">
        <f aca="false">VLOOKUP(Shelf_Life!A223,Demand_Frozen!A218:A336,1,FALSE())</f>
        <v>#N/A</v>
      </c>
    </row>
    <row r="224" customFormat="false" ht="13.8" hidden="false" customHeight="false" outlineLevel="0" collapsed="false">
      <c r="A224" s="0" t="s">
        <v>496</v>
      </c>
      <c r="B224" s="0" t="n">
        <v>3</v>
      </c>
      <c r="C224" s="115" t="n">
        <v>0.102363150801944</v>
      </c>
      <c r="D224" s="0" t="e">
        <f aca="false">VLOOKUP(Shelf_Life!A224,Demand_Fresh!A222:A316,1,FALSE())</f>
        <v>#N/A</v>
      </c>
      <c r="E224" s="0" t="e">
        <f aca="false">VLOOKUP(Shelf_Life!A224,Demand_Frozen!A219:A337,1,FALSE())</f>
        <v>#N/A</v>
      </c>
    </row>
    <row r="225" customFormat="false" ht="13.8" hidden="false" customHeight="false" outlineLevel="0" collapsed="false">
      <c r="A225" s="0" t="s">
        <v>252</v>
      </c>
      <c r="B225" s="0" t="n">
        <v>3</v>
      </c>
      <c r="C225" s="115" t="n">
        <v>0.102363150801944</v>
      </c>
      <c r="D225" s="0" t="e">
        <f aca="false">VLOOKUP(Shelf_Life!A225,Demand_Fresh!A223:A317,1,FALSE())</f>
        <v>#N/A</v>
      </c>
      <c r="E225" s="0" t="e">
        <f aca="false">VLOOKUP(Shelf_Life!A225,Demand_Frozen!A220:A338,1,FALSE())</f>
        <v>#N/A</v>
      </c>
    </row>
    <row r="226" customFormat="false" ht="13.8" hidden="false" customHeight="false" outlineLevel="0" collapsed="false">
      <c r="A226" s="0" t="s">
        <v>253</v>
      </c>
      <c r="B226" s="0" t="n">
        <v>3</v>
      </c>
      <c r="C226" s="115" t="n">
        <v>0.112599465882138</v>
      </c>
      <c r="D226" s="0" t="e">
        <f aca="false">VLOOKUP(Shelf_Life!A226,Demand_Fresh!A224:A318,1,FALSE())</f>
        <v>#N/A</v>
      </c>
      <c r="E226" s="0" t="e">
        <f aca="false">VLOOKUP(Shelf_Life!A226,Demand_Frozen!A221:A339,1,FALSE())</f>
        <v>#N/A</v>
      </c>
    </row>
    <row r="227" customFormat="false" ht="13.8" hidden="false" customHeight="false" outlineLevel="0" collapsed="false">
      <c r="A227" s="0" t="s">
        <v>1118</v>
      </c>
      <c r="B227" s="0" t="n">
        <v>3</v>
      </c>
      <c r="C227" s="116" t="n">
        <v>0.112599465882138</v>
      </c>
      <c r="D227" s="0" t="e">
        <f aca="false">VLOOKUP(Shelf_Life!A227,Demand_Fresh!A225:A319,1,FALSE())</f>
        <v>#N/A</v>
      </c>
      <c r="E227" s="0" t="e">
        <f aca="false">VLOOKUP(Shelf_Life!A227,Demand_Frozen!A222:A340,1,FALSE())</f>
        <v>#N/A</v>
      </c>
    </row>
    <row r="228" customFormat="false" ht="13.8" hidden="false" customHeight="false" outlineLevel="0" collapsed="false">
      <c r="A228" s="0" t="s">
        <v>132</v>
      </c>
      <c r="B228" s="0" t="n">
        <v>3</v>
      </c>
      <c r="C228" s="115" t="n">
        <v>0.127471093451477</v>
      </c>
      <c r="D228" s="0" t="e">
        <f aca="false">VLOOKUP(Shelf_Life!A228,Demand_Fresh!A226:A320,1,FALSE())</f>
        <v>#N/A</v>
      </c>
      <c r="E228" s="0" t="e">
        <f aca="false">VLOOKUP(Shelf_Life!A228,Demand_Frozen!A223:A341,1,FALSE())</f>
        <v>#N/A</v>
      </c>
    </row>
    <row r="229" customFormat="false" ht="13.8" hidden="false" customHeight="false" outlineLevel="0" collapsed="false">
      <c r="A229" s="0" t="s">
        <v>133</v>
      </c>
      <c r="B229" s="0" t="n">
        <v>3</v>
      </c>
      <c r="C229" s="115" t="n">
        <v>0.102270177912932</v>
      </c>
      <c r="D229" s="0" t="e">
        <f aca="false">VLOOKUP(Shelf_Life!A229,Demand_Fresh!A227:A321,1,FALSE())</f>
        <v>#N/A</v>
      </c>
      <c r="E229" s="0" t="e">
        <f aca="false">VLOOKUP(Shelf_Life!A229,Demand_Frozen!A224:A342,1,FALSE())</f>
        <v>#N/A</v>
      </c>
    </row>
    <row r="230" customFormat="false" ht="13.8" hidden="false" customHeight="false" outlineLevel="0" collapsed="false">
      <c r="A230" s="0" t="s">
        <v>254</v>
      </c>
      <c r="B230" s="0" t="n">
        <v>3</v>
      </c>
      <c r="C230" s="115" t="n">
        <v>0.102270177912932</v>
      </c>
      <c r="D230" s="0" t="e">
        <f aca="false">VLOOKUP(Shelf_Life!A230,Demand_Fresh!A228:A322,1,FALSE())</f>
        <v>#N/A</v>
      </c>
      <c r="E230" s="0" t="e">
        <f aca="false">VLOOKUP(Shelf_Life!A230,Demand_Frozen!A225:A343,1,FALSE())</f>
        <v>#N/A</v>
      </c>
    </row>
    <row r="231" customFormat="false" ht="13.8" hidden="false" customHeight="false" outlineLevel="0" collapsed="false">
      <c r="A231" s="0" t="s">
        <v>836</v>
      </c>
      <c r="B231" s="0" t="n">
        <v>3</v>
      </c>
      <c r="C231" s="115" t="n">
        <v>0.0697930573649618</v>
      </c>
      <c r="D231" s="0" t="e">
        <f aca="false">VLOOKUP(Shelf_Life!A231,Demand_Fresh!A229:A323,1,FALSE())</f>
        <v>#N/A</v>
      </c>
      <c r="E231" s="0" t="e">
        <f aca="false">VLOOKUP(Shelf_Life!A231,Demand_Frozen!A226:A344,1,FALSE())</f>
        <v>#N/A</v>
      </c>
    </row>
    <row r="232" customFormat="false" ht="13.8" hidden="false" customHeight="false" outlineLevel="0" collapsed="false">
      <c r="A232" s="0" t="s">
        <v>255</v>
      </c>
      <c r="B232" s="0" t="n">
        <v>3</v>
      </c>
      <c r="C232" s="115" t="n">
        <v>0.0900795727057107</v>
      </c>
      <c r="D232" s="0" t="e">
        <f aca="false">VLOOKUP(Shelf_Life!A232,Demand_Fresh!A230:A324,1,FALSE())</f>
        <v>#N/A</v>
      </c>
      <c r="E232" s="0" t="e">
        <f aca="false">VLOOKUP(Shelf_Life!A232,Demand_Frozen!A227:A345,1,FALSE())</f>
        <v>#N/A</v>
      </c>
    </row>
    <row r="233" customFormat="false" ht="13.8" hidden="false" customHeight="false" outlineLevel="0" collapsed="false">
      <c r="A233" s="0" t="s">
        <v>508</v>
      </c>
      <c r="B233" s="0" t="n">
        <v>3</v>
      </c>
      <c r="C233" s="115" t="n">
        <v>0.0737551086564225</v>
      </c>
      <c r="D233" s="0" t="e">
        <f aca="false">VLOOKUP(Shelf_Life!A233,Demand_Fresh!A231:A325,1,FALSE())</f>
        <v>#N/A</v>
      </c>
      <c r="E233" s="0" t="e">
        <f aca="false">VLOOKUP(Shelf_Life!A233,Demand_Frozen!A228:A346,1,FALSE())</f>
        <v>#N/A</v>
      </c>
    </row>
    <row r="234" customFormat="false" ht="13.8" hidden="false" customHeight="false" outlineLevel="0" collapsed="false">
      <c r="A234" s="0" t="s">
        <v>837</v>
      </c>
      <c r="B234" s="0" t="n">
        <v>3</v>
      </c>
      <c r="C234" s="115" t="n">
        <v>0.0737551086564225</v>
      </c>
      <c r="D234" s="0" t="e">
        <f aca="false">VLOOKUP(Shelf_Life!A234,Demand_Fresh!A232:A326,1,FALSE())</f>
        <v>#N/A</v>
      </c>
      <c r="E234" s="0" t="e">
        <f aca="false">VLOOKUP(Shelf_Life!A234,Demand_Frozen!A229:A347,1,FALSE())</f>
        <v>#N/A</v>
      </c>
    </row>
    <row r="235" customFormat="false" ht="13.8" hidden="false" customHeight="false" outlineLevel="0" collapsed="false">
      <c r="A235" s="0" t="s">
        <v>834</v>
      </c>
      <c r="B235" s="0" t="n">
        <v>3</v>
      </c>
      <c r="C235" s="115" t="n">
        <v>0.0697930573649618</v>
      </c>
      <c r="D235" s="0" t="e">
        <f aca="false">VLOOKUP(Shelf_Life!A235,Demand_Fresh!A233:A327,1,FALSE())</f>
        <v>#N/A</v>
      </c>
      <c r="E235" s="0" t="e">
        <f aca="false">VLOOKUP(Shelf_Life!A235,Demand_Frozen!A230:A348,1,FALSE())</f>
        <v>#N/A</v>
      </c>
    </row>
    <row r="236" customFormat="false" ht="13.8" hidden="false" customHeight="false" outlineLevel="0" collapsed="false">
      <c r="A236" s="0" t="s">
        <v>134</v>
      </c>
      <c r="B236" s="0" t="n">
        <v>3</v>
      </c>
      <c r="C236" s="115" t="n">
        <v>0.0900795727057107</v>
      </c>
      <c r="D236" s="0" t="e">
        <f aca="false">VLOOKUP(Shelf_Life!A236,Demand_Fresh!A234:A328,1,FALSE())</f>
        <v>#N/A</v>
      </c>
      <c r="E236" s="0" t="e">
        <f aca="false">VLOOKUP(Shelf_Life!A236,Demand_Frozen!A231:A349,1,FALSE())</f>
        <v>#N/A</v>
      </c>
    </row>
    <row r="237" customFormat="false" ht="13.8" hidden="false" customHeight="false" outlineLevel="0" collapsed="false">
      <c r="A237" s="0" t="s">
        <v>256</v>
      </c>
      <c r="B237" s="0" t="n">
        <v>3</v>
      </c>
      <c r="C237" s="115" t="n">
        <v>0.0900795727057107</v>
      </c>
      <c r="D237" s="0" t="e">
        <f aca="false">VLOOKUP(Shelf_Life!A237,Demand_Fresh!A235:A329,1,FALSE())</f>
        <v>#N/A</v>
      </c>
      <c r="E237" s="0" t="e">
        <f aca="false">VLOOKUP(Shelf_Life!A237,Demand_Frozen!A232:A350,1,FALSE())</f>
        <v>#N/A</v>
      </c>
    </row>
    <row r="238" customFormat="false" ht="13.8" hidden="false" customHeight="false" outlineLevel="0" collapsed="false">
      <c r="A238" s="0" t="s">
        <v>515</v>
      </c>
      <c r="B238" s="0" t="n">
        <v>3</v>
      </c>
      <c r="C238" s="115" t="n">
        <v>0.112599465882138</v>
      </c>
      <c r="D238" s="0" t="e">
        <f aca="false">VLOOKUP(Shelf_Life!A238,Demand_Fresh!A236:A330,1,FALSE())</f>
        <v>#N/A</v>
      </c>
      <c r="E238" s="0" t="e">
        <f aca="false">VLOOKUP(Shelf_Life!A238,Demand_Frozen!A233:A351,1,FALSE())</f>
        <v>#N/A</v>
      </c>
    </row>
    <row r="239" customFormat="false" ht="13.8" hidden="false" customHeight="false" outlineLevel="0" collapsed="false">
      <c r="A239" s="0" t="s">
        <v>343</v>
      </c>
      <c r="B239" s="0" t="n">
        <v>3</v>
      </c>
      <c r="C239" s="115" t="n">
        <v>0.112599465882138</v>
      </c>
      <c r="D239" s="0" t="e">
        <f aca="false">VLOOKUP(Shelf_Life!A239,Demand_Fresh!A237:A331,1,FALSE())</f>
        <v>#N/A</v>
      </c>
      <c r="E239" s="0" t="e">
        <f aca="false">VLOOKUP(Shelf_Life!A239,Demand_Frozen!A234:A352,1,FALSE())</f>
        <v>#N/A</v>
      </c>
    </row>
    <row r="240" customFormat="false" ht="13.8" hidden="false" customHeight="false" outlineLevel="0" collapsed="false">
      <c r="A240" s="0" t="s">
        <v>135</v>
      </c>
      <c r="B240" s="0" t="n">
        <v>3</v>
      </c>
      <c r="C240" s="115" t="n">
        <v>0.0818905206415552</v>
      </c>
      <c r="D240" s="0" t="e">
        <f aca="false">VLOOKUP(Shelf_Life!A240,Demand_Fresh!A238:A332,1,FALSE())</f>
        <v>#N/A</v>
      </c>
      <c r="E240" s="0" t="e">
        <f aca="false">VLOOKUP(Shelf_Life!A240,Demand_Frozen!A235:A353,1,FALSE())</f>
        <v>#N/A</v>
      </c>
    </row>
    <row r="241" customFormat="false" ht="13.8" hidden="false" customHeight="false" outlineLevel="0" collapsed="false">
      <c r="A241" s="0" t="s">
        <v>257</v>
      </c>
      <c r="B241" s="0" t="n">
        <v>3</v>
      </c>
      <c r="C241" s="115" t="n">
        <v>0.0818905206415552</v>
      </c>
      <c r="D241" s="0" t="e">
        <f aca="false">VLOOKUP(Shelf_Life!A241,Demand_Fresh!A239:A333,1,FALSE())</f>
        <v>#N/A</v>
      </c>
      <c r="E241" s="0" t="e">
        <f aca="false">VLOOKUP(Shelf_Life!A241,Demand_Frozen!A236:A354,1,FALSE())</f>
        <v>#N/A</v>
      </c>
    </row>
    <row r="242" customFormat="false" ht="13.8" hidden="false" customHeight="false" outlineLevel="0" collapsed="false">
      <c r="A242" s="0" t="s">
        <v>136</v>
      </c>
      <c r="B242" s="0" t="n">
        <v>3</v>
      </c>
      <c r="C242" s="115" t="n">
        <v>0.112599465882138</v>
      </c>
      <c r="D242" s="0" t="e">
        <f aca="false">VLOOKUP(Shelf_Life!A242,Demand_Fresh!A240:A334,1,FALSE())</f>
        <v>#N/A</v>
      </c>
      <c r="E242" s="0" t="e">
        <f aca="false">VLOOKUP(Shelf_Life!A242,Demand_Frozen!A237:A355,1,FALSE())</f>
        <v>#N/A</v>
      </c>
    </row>
    <row r="243" customFormat="false" ht="13.8" hidden="false" customHeight="false" outlineLevel="0" collapsed="false">
      <c r="A243" s="0" t="s">
        <v>137</v>
      </c>
      <c r="B243" s="0" t="n">
        <v>3</v>
      </c>
      <c r="C243" s="115" t="n">
        <v>0.112599465882138</v>
      </c>
      <c r="D243" s="0" t="e">
        <f aca="false">VLOOKUP(Shelf_Life!A243,Demand_Fresh!A241:A335,1,FALSE())</f>
        <v>#N/A</v>
      </c>
      <c r="E243" s="0" t="e">
        <f aca="false">VLOOKUP(Shelf_Life!A243,Demand_Frozen!A238:A356,1,FALSE())</f>
        <v>#N/A</v>
      </c>
    </row>
    <row r="244" customFormat="false" ht="13.8" hidden="false" customHeight="false" outlineLevel="0" collapsed="false">
      <c r="A244" s="0" t="s">
        <v>258</v>
      </c>
      <c r="B244" s="0" t="n">
        <v>3</v>
      </c>
      <c r="C244" s="115" t="n">
        <v>0.112599465882138</v>
      </c>
      <c r="D244" s="0" t="e">
        <f aca="false">VLOOKUP(Shelf_Life!A244,Demand_Fresh!A242:A336,1,FALSE())</f>
        <v>#N/A</v>
      </c>
      <c r="E244" s="0" t="e">
        <f aca="false">VLOOKUP(Shelf_Life!A244,Demand_Frozen!A239:A357,1,FALSE())</f>
        <v>#N/A</v>
      </c>
    </row>
    <row r="245" customFormat="false" ht="13.8" hidden="false" customHeight="false" outlineLevel="0" collapsed="false">
      <c r="A245" s="0" t="s">
        <v>138</v>
      </c>
      <c r="B245" s="0" t="n">
        <v>3</v>
      </c>
      <c r="C245" s="115" t="n">
        <v>0.112599465882138</v>
      </c>
      <c r="D245" s="0" t="e">
        <f aca="false">VLOOKUP(Shelf_Life!A245,Demand_Fresh!A243:A337,1,FALSE())</f>
        <v>#N/A</v>
      </c>
      <c r="E245" s="0" t="e">
        <f aca="false">VLOOKUP(Shelf_Life!A245,Demand_Frozen!A240:A358,1,FALSE())</f>
        <v>#N/A</v>
      </c>
    </row>
    <row r="246" customFormat="false" ht="13.8" hidden="false" customHeight="false" outlineLevel="0" collapsed="false">
      <c r="A246" s="0" t="s">
        <v>259</v>
      </c>
      <c r="B246" s="0" t="n">
        <v>3</v>
      </c>
      <c r="C246" s="115" t="n">
        <v>0.112599465882138</v>
      </c>
      <c r="D246" s="0" t="e">
        <f aca="false">VLOOKUP(Shelf_Life!A246,Demand_Fresh!A244:A338,1,FALSE())</f>
        <v>#N/A</v>
      </c>
      <c r="E246" s="0" t="e">
        <f aca="false">VLOOKUP(Shelf_Life!A246,Demand_Frozen!A241:A359,1,FALSE())</f>
        <v>#N/A</v>
      </c>
    </row>
    <row r="247" customFormat="false" ht="13.8" hidden="false" customHeight="false" outlineLevel="0" collapsed="false">
      <c r="A247" s="0" t="s">
        <v>139</v>
      </c>
      <c r="B247" s="0" t="n">
        <v>3</v>
      </c>
      <c r="C247" s="115" t="n">
        <v>0.112599465882138</v>
      </c>
      <c r="D247" s="0" t="e">
        <f aca="false">VLOOKUP(Shelf_Life!A247,Demand_Fresh!A245:A339,1,FALSE())</f>
        <v>#N/A</v>
      </c>
      <c r="E247" s="0" t="e">
        <f aca="false">VLOOKUP(Shelf_Life!A247,Demand_Frozen!A242:A360,1,FALSE())</f>
        <v>#N/A</v>
      </c>
    </row>
    <row r="248" customFormat="false" ht="13.8" hidden="false" customHeight="false" outlineLevel="0" collapsed="false">
      <c r="A248" s="0" t="s">
        <v>260</v>
      </c>
      <c r="B248" s="0" t="n">
        <v>3</v>
      </c>
      <c r="C248" s="115" t="n">
        <v>0.112599465882138</v>
      </c>
      <c r="D248" s="0" t="e">
        <f aca="false">VLOOKUP(Shelf_Life!A248,Demand_Fresh!A246:A340,1,FALSE())</f>
        <v>#N/A</v>
      </c>
      <c r="E248" s="0" t="e">
        <f aca="false">VLOOKUP(Shelf_Life!A248,Demand_Frozen!A243:A361,1,FALSE())</f>
        <v>#N/A</v>
      </c>
    </row>
    <row r="249" customFormat="false" ht="13.8" hidden="false" customHeight="false" outlineLevel="0" collapsed="false">
      <c r="A249" s="0" t="s">
        <v>140</v>
      </c>
      <c r="B249" s="0" t="n">
        <v>3</v>
      </c>
      <c r="C249" s="115" t="n">
        <v>0.0938328882351153</v>
      </c>
      <c r="D249" s="0" t="e">
        <f aca="false">VLOOKUP(Shelf_Life!A249,Demand_Fresh!A247:A341,1,FALSE())</f>
        <v>#N/A</v>
      </c>
      <c r="E249" s="0" t="e">
        <f aca="false">VLOOKUP(Shelf_Life!A249,Demand_Frozen!A244:A362,1,FALSE())</f>
        <v>#N/A</v>
      </c>
    </row>
    <row r="250" customFormat="false" ht="13.8" hidden="false" customHeight="false" outlineLevel="0" collapsed="false">
      <c r="A250" s="0" t="s">
        <v>261</v>
      </c>
      <c r="B250" s="0" t="n">
        <v>3</v>
      </c>
      <c r="C250" s="115" t="n">
        <v>0.0938328882351153</v>
      </c>
      <c r="D250" s="0" t="e">
        <f aca="false">VLOOKUP(Shelf_Life!A250,Demand_Fresh!A248:A342,1,FALSE())</f>
        <v>#N/A</v>
      </c>
      <c r="E250" s="0" t="e">
        <f aca="false">VLOOKUP(Shelf_Life!A250,Demand_Frozen!A245:A363,1,FALSE())</f>
        <v>#N/A</v>
      </c>
    </row>
    <row r="251" customFormat="false" ht="13.8" hidden="false" customHeight="false" outlineLevel="0" collapsed="false">
      <c r="A251" s="0" t="s">
        <v>525</v>
      </c>
      <c r="B251" s="0" t="n">
        <v>3</v>
      </c>
      <c r="C251" s="115" t="n">
        <v>0.0938328882351153</v>
      </c>
      <c r="D251" s="0" t="e">
        <f aca="false">VLOOKUP(Shelf_Life!A251,Demand_Fresh!A249:A343,1,FALSE())</f>
        <v>#N/A</v>
      </c>
      <c r="E251" s="0" t="e">
        <f aca="false">VLOOKUP(Shelf_Life!A251,Demand_Frozen!A246:A364,1,FALSE())</f>
        <v>#N/A</v>
      </c>
    </row>
    <row r="252" customFormat="false" ht="13.8" hidden="false" customHeight="false" outlineLevel="0" collapsed="false">
      <c r="A252" s="0" t="s">
        <v>262</v>
      </c>
      <c r="B252" s="0" t="n">
        <v>3</v>
      </c>
      <c r="C252" s="115" t="n">
        <v>0.0938328882351153</v>
      </c>
      <c r="D252" s="0" t="e">
        <f aca="false">VLOOKUP(Shelf_Life!A252,Demand_Fresh!A250:A344,1,FALSE())</f>
        <v>#N/A</v>
      </c>
      <c r="E252" s="0" t="e">
        <f aca="false">VLOOKUP(Shelf_Life!A252,Demand_Frozen!A247:A365,1,FALSE())</f>
        <v>#N/A</v>
      </c>
    </row>
    <row r="253" customFormat="false" ht="13.8" hidden="false" customHeight="false" outlineLevel="0" collapsed="false">
      <c r="A253" s="0" t="s">
        <v>141</v>
      </c>
      <c r="B253" s="0" t="n">
        <v>3</v>
      </c>
      <c r="C253" s="115" t="n">
        <v>0.112599465882138</v>
      </c>
      <c r="D253" s="0" t="e">
        <f aca="false">VLOOKUP(Shelf_Life!A253,Demand_Fresh!A251:A345,1,FALSE())</f>
        <v>#N/A</v>
      </c>
      <c r="E253" s="0" t="e">
        <f aca="false">VLOOKUP(Shelf_Life!A253,Demand_Frozen!A248:A366,1,FALSE())</f>
        <v>#N/A</v>
      </c>
    </row>
    <row r="254" customFormat="false" ht="13.8" hidden="false" customHeight="false" outlineLevel="0" collapsed="false">
      <c r="A254" s="0" t="s">
        <v>263</v>
      </c>
      <c r="B254" s="0" t="n">
        <v>3</v>
      </c>
      <c r="C254" s="115" t="n">
        <v>0.112599465882138</v>
      </c>
      <c r="D254" s="0" t="e">
        <f aca="false">VLOOKUP(Shelf_Life!A254,Demand_Fresh!A252:A346,1,FALSE())</f>
        <v>#N/A</v>
      </c>
      <c r="E254" s="0" t="e">
        <f aca="false">VLOOKUP(Shelf_Life!A254,Demand_Frozen!A249:A367,1,FALSE())</f>
        <v>#N/A</v>
      </c>
    </row>
    <row r="255" customFormat="false" ht="13.8" hidden="false" customHeight="false" outlineLevel="0" collapsed="false">
      <c r="A255" s="0" t="s">
        <v>264</v>
      </c>
      <c r="B255" s="0" t="n">
        <v>3</v>
      </c>
      <c r="C255" s="115" t="n">
        <v>0.112599465882138</v>
      </c>
      <c r="D255" s="0" t="e">
        <f aca="false">VLOOKUP(Shelf_Life!A255,Demand_Fresh!A253:A347,1,FALSE())</f>
        <v>#N/A</v>
      </c>
      <c r="E255" s="0" t="e">
        <f aca="false">VLOOKUP(Shelf_Life!A255,Demand_Frozen!A250:A368,1,FALSE())</f>
        <v>#N/A</v>
      </c>
    </row>
    <row r="256" customFormat="false" ht="13.8" hidden="false" customHeight="false" outlineLevel="0" collapsed="false">
      <c r="A256" s="0" t="s">
        <v>1214</v>
      </c>
      <c r="B256" s="0" t="n">
        <v>3</v>
      </c>
      <c r="C256" s="115" t="n">
        <v>0.112599465882138</v>
      </c>
      <c r="D256" s="0" t="e">
        <f aca="false">VLOOKUP(Shelf_Life!A256,Demand_Fresh!A254:A348,1,FALSE())</f>
        <v>#N/A</v>
      </c>
      <c r="E256" s="0" t="e">
        <f aca="false">VLOOKUP(Shelf_Life!A256,Demand_Frozen!A251:A369,1,FALSE())</f>
        <v>#N/A</v>
      </c>
    </row>
    <row r="257" customFormat="false" ht="13.8" hidden="false" customHeight="false" outlineLevel="0" collapsed="false">
      <c r="A257" s="0" t="s">
        <v>530</v>
      </c>
      <c r="B257" s="0" t="n">
        <v>3</v>
      </c>
      <c r="C257" s="115" t="n">
        <v>0.112599465882138</v>
      </c>
      <c r="D257" s="0" t="e">
        <f aca="false">VLOOKUP(Shelf_Life!A257,Demand_Fresh!A255:A349,1,FALSE())</f>
        <v>#N/A</v>
      </c>
      <c r="E257" s="0" t="e">
        <f aca="false">VLOOKUP(Shelf_Life!A257,Demand_Frozen!A252:A370,1,FALSE())</f>
        <v>#N/A</v>
      </c>
    </row>
    <row r="258" customFormat="false" ht="13.8" hidden="false" customHeight="false" outlineLevel="0" collapsed="false">
      <c r="A258" s="0" t="s">
        <v>265</v>
      </c>
      <c r="B258" s="0" t="n">
        <v>3</v>
      </c>
      <c r="C258" s="115" t="n">
        <v>0.112599465882138</v>
      </c>
      <c r="D258" s="0" t="e">
        <f aca="false">VLOOKUP(Shelf_Life!A258,Demand_Fresh!A256:A350,1,FALSE())</f>
        <v>#N/A</v>
      </c>
      <c r="E258" s="0" t="e">
        <f aca="false">VLOOKUP(Shelf_Life!A258,Demand_Frozen!A253:A371,1,FALSE())</f>
        <v>#N/A</v>
      </c>
    </row>
    <row r="259" customFormat="false" ht="13.8" hidden="false" customHeight="false" outlineLevel="0" collapsed="false">
      <c r="A259" s="0" t="s">
        <v>532</v>
      </c>
      <c r="B259" s="0" t="n">
        <v>3</v>
      </c>
      <c r="C259" s="115" t="n">
        <v>0.112599465882138</v>
      </c>
      <c r="D259" s="0" t="e">
        <f aca="false">VLOOKUP(Shelf_Life!A259,Demand_Fresh!A257:A351,1,FALSE())</f>
        <v>#N/A</v>
      </c>
      <c r="E259" s="0" t="e">
        <f aca="false">VLOOKUP(Shelf_Life!A259,Demand_Frozen!A254:A372,1,FALSE())</f>
        <v>#N/A</v>
      </c>
    </row>
    <row r="260" customFormat="false" ht="13.8" hidden="false" customHeight="false" outlineLevel="0" collapsed="false">
      <c r="A260" s="0" t="s">
        <v>266</v>
      </c>
      <c r="B260" s="0" t="n">
        <v>3</v>
      </c>
      <c r="C260" s="115" t="n">
        <v>0.112599465882138</v>
      </c>
      <c r="D260" s="0" t="e">
        <f aca="false">VLOOKUP(Shelf_Life!A260,Demand_Fresh!A258:A352,1,FALSE())</f>
        <v>#N/A</v>
      </c>
      <c r="E260" s="0" t="e">
        <f aca="false">VLOOKUP(Shelf_Life!A260,Demand_Frozen!A255:A373,1,FALSE())</f>
        <v>#N/A</v>
      </c>
    </row>
    <row r="261" customFormat="false" ht="13.8" hidden="false" customHeight="false" outlineLevel="0" collapsed="false">
      <c r="A261" s="0" t="s">
        <v>142</v>
      </c>
      <c r="B261" s="0" t="n">
        <v>3</v>
      </c>
      <c r="C261" s="115" t="n">
        <v>0.112599465882138</v>
      </c>
      <c r="D261" s="0" t="e">
        <f aca="false">VLOOKUP(Shelf_Life!A261,Demand_Fresh!A259:A353,1,FALSE())</f>
        <v>#N/A</v>
      </c>
      <c r="E261" s="0" t="e">
        <f aca="false">VLOOKUP(Shelf_Life!A261,Demand_Frozen!A256:A374,1,FALSE())</f>
        <v>#N/A</v>
      </c>
    </row>
    <row r="262" customFormat="false" ht="13.8" hidden="false" customHeight="false" outlineLevel="0" collapsed="false">
      <c r="A262" s="0" t="s">
        <v>267</v>
      </c>
      <c r="B262" s="0" t="n">
        <v>3</v>
      </c>
      <c r="C262" s="115" t="n">
        <v>0.112599465882138</v>
      </c>
      <c r="D262" s="0" t="e">
        <f aca="false">VLOOKUP(Shelf_Life!A262,Demand_Fresh!A260:A354,1,FALSE())</f>
        <v>#N/A</v>
      </c>
      <c r="E262" s="0" t="e">
        <f aca="false">VLOOKUP(Shelf_Life!A262,Demand_Frozen!A257:A375,1,FALSE())</f>
        <v>#N/A</v>
      </c>
    </row>
    <row r="263" customFormat="false" ht="13.8" hidden="false" customHeight="false" outlineLevel="0" collapsed="false">
      <c r="A263" s="0" t="s">
        <v>1235</v>
      </c>
      <c r="B263" s="0" t="n">
        <v>3</v>
      </c>
      <c r="C263" s="115" t="n">
        <v>0.112599465882138</v>
      </c>
      <c r="D263" s="0" t="e">
        <f aca="false">VLOOKUP(Shelf_Life!A263,Demand_Fresh!A261:A355,1,FALSE())</f>
        <v>#N/A</v>
      </c>
      <c r="E263" s="0" t="e">
        <f aca="false">VLOOKUP(Shelf_Life!A263,Demand_Frozen!A258:A376,1,FALSE())</f>
        <v>#N/A</v>
      </c>
    </row>
    <row r="264" customFormat="false" ht="13.8" hidden="false" customHeight="false" outlineLevel="0" collapsed="false">
      <c r="A264" s="0" t="s">
        <v>143</v>
      </c>
      <c r="B264" s="0" t="n">
        <v>3</v>
      </c>
      <c r="C264" s="115" t="n">
        <v>0.112599465882138</v>
      </c>
      <c r="D264" s="0" t="e">
        <f aca="false">VLOOKUP(Shelf_Life!A264,Demand_Fresh!A262:A356,1,FALSE())</f>
        <v>#N/A</v>
      </c>
      <c r="E264" s="0" t="e">
        <f aca="false">VLOOKUP(Shelf_Life!A264,Demand_Frozen!A259:A377,1,FALSE())</f>
        <v>#N/A</v>
      </c>
    </row>
    <row r="265" customFormat="false" ht="13.8" hidden="false" customHeight="false" outlineLevel="0" collapsed="false">
      <c r="A265" s="0" t="s">
        <v>268</v>
      </c>
      <c r="B265" s="0" t="n">
        <v>3</v>
      </c>
      <c r="C265" s="115" t="n">
        <v>0.112599465882138</v>
      </c>
      <c r="D265" s="0" t="e">
        <f aca="false">VLOOKUP(Shelf_Life!A265,Demand_Fresh!A263:A357,1,FALSE())</f>
        <v>#N/A</v>
      </c>
      <c r="E265" s="0" t="e">
        <f aca="false">VLOOKUP(Shelf_Life!A265,Demand_Frozen!A260:A378,1,FALSE())</f>
        <v>#N/A</v>
      </c>
    </row>
    <row r="266" customFormat="false" ht="13.8" hidden="false" customHeight="false" outlineLevel="0" collapsed="false">
      <c r="A266" s="0" t="s">
        <v>144</v>
      </c>
      <c r="B266" s="0" t="n">
        <v>3</v>
      </c>
      <c r="C266" s="115" t="n">
        <v>0.0919179313323578</v>
      </c>
      <c r="D266" s="0" t="e">
        <f aca="false">VLOOKUP(Shelf_Life!A266,Demand_Fresh!A264:A358,1,FALSE())</f>
        <v>#N/A</v>
      </c>
      <c r="E266" s="0" t="e">
        <f aca="false">VLOOKUP(Shelf_Life!A266,Demand_Frozen!A261:A379,1,FALSE())</f>
        <v>#N/A</v>
      </c>
    </row>
    <row r="267" customFormat="false" ht="13.8" hidden="false" customHeight="false" outlineLevel="0" collapsed="false">
      <c r="A267" s="0" t="s">
        <v>269</v>
      </c>
      <c r="B267" s="0" t="n">
        <v>3</v>
      </c>
      <c r="C267" s="115" t="n">
        <v>0.0919179313323578</v>
      </c>
      <c r="D267" s="0" t="e">
        <f aca="false">VLOOKUP(Shelf_Life!A267,Demand_Fresh!A265:A359,1,FALSE())</f>
        <v>#N/A</v>
      </c>
      <c r="E267" s="0" t="e">
        <f aca="false">VLOOKUP(Shelf_Life!A267,Demand_Frozen!A262:A380,1,FALSE())</f>
        <v>#N/A</v>
      </c>
    </row>
    <row r="268" customFormat="false" ht="13.8" hidden="false" customHeight="false" outlineLevel="0" collapsed="false">
      <c r="A268" s="0" t="s">
        <v>145</v>
      </c>
      <c r="B268" s="0" t="n">
        <v>3</v>
      </c>
      <c r="C268" s="115" t="n">
        <v>0.112599465882138</v>
      </c>
      <c r="D268" s="0" t="e">
        <f aca="false">VLOOKUP(Shelf_Life!A268,Demand_Fresh!A266:A360,1,FALSE())</f>
        <v>#N/A</v>
      </c>
      <c r="E268" s="0" t="e">
        <f aca="false">VLOOKUP(Shelf_Life!A268,Demand_Frozen!A263:A381,1,FALSE())</f>
        <v>#N/A</v>
      </c>
    </row>
    <row r="269" customFormat="false" ht="13.8" hidden="false" customHeight="false" outlineLevel="0" collapsed="false">
      <c r="A269" s="0" t="s">
        <v>270</v>
      </c>
      <c r="B269" s="0" t="n">
        <v>3</v>
      </c>
      <c r="C269" s="115" t="n">
        <v>0.112599465882138</v>
      </c>
      <c r="D269" s="0" t="e">
        <f aca="false">VLOOKUP(Shelf_Life!A269,Demand_Fresh!A267:A361,1,FALSE())</f>
        <v>#N/A</v>
      </c>
      <c r="E269" s="0" t="e">
        <f aca="false">VLOOKUP(Shelf_Life!A269,Demand_Frozen!A264:A382,1,FALSE())</f>
        <v>#N/A</v>
      </c>
    </row>
    <row r="270" customFormat="false" ht="13.8" hidden="false" customHeight="false" outlineLevel="0" collapsed="false">
      <c r="A270" s="0" t="s">
        <v>146</v>
      </c>
      <c r="B270" s="0" t="n">
        <v>3</v>
      </c>
      <c r="C270" s="115" t="n">
        <v>0.112599465882138</v>
      </c>
      <c r="D270" s="0" t="e">
        <f aca="false">VLOOKUP(Shelf_Life!A270,Demand_Fresh!A268:A362,1,FALSE())</f>
        <v>#N/A</v>
      </c>
      <c r="E270" s="0" t="e">
        <f aca="false">VLOOKUP(Shelf_Life!A270,Demand_Frozen!A265:A383,1,FALSE())</f>
        <v>#N/A</v>
      </c>
    </row>
    <row r="271" customFormat="false" ht="13.8" hidden="false" customHeight="false" outlineLevel="0" collapsed="false">
      <c r="A271" s="0" t="s">
        <v>271</v>
      </c>
      <c r="B271" s="0" t="n">
        <v>3</v>
      </c>
      <c r="C271" s="115" t="n">
        <v>0.112599465882138</v>
      </c>
      <c r="D271" s="0" t="e">
        <f aca="false">VLOOKUP(Shelf_Life!A271,Demand_Fresh!A269:A363,1,FALSE())</f>
        <v>#N/A</v>
      </c>
      <c r="E271" s="0" t="e">
        <f aca="false">VLOOKUP(Shelf_Life!A271,Demand_Frozen!A266:A384,1,FALSE())</f>
        <v>#N/A</v>
      </c>
    </row>
    <row r="272" customFormat="false" ht="13.8" hidden="false" customHeight="false" outlineLevel="0" collapsed="false">
      <c r="A272" s="0" t="s">
        <v>147</v>
      </c>
      <c r="B272" s="0" t="n">
        <v>3</v>
      </c>
      <c r="C272" s="115" t="n">
        <v>0.112599465882138</v>
      </c>
      <c r="D272" s="0" t="e">
        <f aca="false">VLOOKUP(Shelf_Life!A272,Demand_Fresh!A270:A364,1,FALSE())</f>
        <v>#N/A</v>
      </c>
      <c r="E272" s="0" t="e">
        <f aca="false">VLOOKUP(Shelf_Life!A272,Demand_Frozen!A267:A385,1,FALSE())</f>
        <v>#N/A</v>
      </c>
    </row>
    <row r="273" customFormat="false" ht="13.8" hidden="false" customHeight="false" outlineLevel="0" collapsed="false">
      <c r="A273" s="0" t="s">
        <v>148</v>
      </c>
      <c r="B273" s="0" t="n">
        <v>3</v>
      </c>
      <c r="C273" s="115" t="n">
        <v>0.112599465882138</v>
      </c>
      <c r="D273" s="0" t="e">
        <f aca="false">VLOOKUP(Shelf_Life!A273,Demand_Fresh!A271:A365,1,FALSE())</f>
        <v>#N/A</v>
      </c>
      <c r="E273" s="0" t="e">
        <f aca="false">VLOOKUP(Shelf_Life!A273,Demand_Frozen!A268:A386,1,FALSE())</f>
        <v>#N/A</v>
      </c>
    </row>
    <row r="274" customFormat="false" ht="13.8" hidden="false" customHeight="false" outlineLevel="0" collapsed="false">
      <c r="A274" s="0" t="s">
        <v>272</v>
      </c>
      <c r="B274" s="0" t="n">
        <v>3</v>
      </c>
      <c r="C274" s="115" t="n">
        <v>0.112599465882138</v>
      </c>
      <c r="D274" s="0" t="e">
        <f aca="false">VLOOKUP(Shelf_Life!A274,Demand_Fresh!A272:A366,1,FALSE())</f>
        <v>#N/A</v>
      </c>
      <c r="E274" s="0" t="e">
        <f aca="false">VLOOKUP(Shelf_Life!A274,Demand_Frozen!A269:A387,1,FALSE())</f>
        <v>#N/A</v>
      </c>
    </row>
    <row r="275" customFormat="false" ht="13.8" hidden="false" customHeight="false" outlineLevel="0" collapsed="false">
      <c r="A275" s="0" t="s">
        <v>149</v>
      </c>
      <c r="B275" s="0" t="n">
        <v>3</v>
      </c>
      <c r="C275" s="115" t="n">
        <v>0.112599465882138</v>
      </c>
      <c r="D275" s="0" t="e">
        <f aca="false">VLOOKUP(Shelf_Life!A275,Demand_Fresh!A273:A367,1,FALSE())</f>
        <v>#N/A</v>
      </c>
      <c r="E275" s="0" t="e">
        <f aca="false">VLOOKUP(Shelf_Life!A275,Demand_Frozen!A270:A388,1,FALSE())</f>
        <v>#N/A</v>
      </c>
    </row>
    <row r="276" customFormat="false" ht="13.8" hidden="false" customHeight="false" outlineLevel="0" collapsed="false">
      <c r="A276" s="0" t="s">
        <v>542</v>
      </c>
      <c r="B276" s="0" t="n">
        <v>3</v>
      </c>
      <c r="C276" s="115" t="n">
        <v>0.130929611490859</v>
      </c>
      <c r="D276" s="0" t="e">
        <f aca="false">VLOOKUP(Shelf_Life!A276,Demand_Fresh!A274:A368,1,FALSE())</f>
        <v>#N/A</v>
      </c>
      <c r="E276" s="0" t="e">
        <f aca="false">VLOOKUP(Shelf_Life!A276,Demand_Frozen!A271:A389,1,FALSE())</f>
        <v>#N/A</v>
      </c>
    </row>
    <row r="277" customFormat="false" ht="13.8" hidden="false" customHeight="false" outlineLevel="0" collapsed="false">
      <c r="A277" s="0" t="s">
        <v>273</v>
      </c>
      <c r="B277" s="0" t="n">
        <v>3</v>
      </c>
      <c r="C277" s="115" t="n">
        <v>0.130929611490859</v>
      </c>
      <c r="D277" s="0" t="e">
        <f aca="false">VLOOKUP(Shelf_Life!A277,Demand_Fresh!A275:A369,1,FALSE())</f>
        <v>#N/A</v>
      </c>
      <c r="E277" s="0" t="e">
        <f aca="false">VLOOKUP(Shelf_Life!A277,Demand_Frozen!A272:A390,1,FALSE())</f>
        <v>#N/A</v>
      </c>
    </row>
    <row r="278" customFormat="false" ht="13.8" hidden="false" customHeight="false" outlineLevel="0" collapsed="false">
      <c r="A278" s="0" t="s">
        <v>150</v>
      </c>
      <c r="B278" s="0" t="n">
        <v>3</v>
      </c>
      <c r="C278" s="115" t="n">
        <v>0.112599465882138</v>
      </c>
      <c r="D278" s="0" t="e">
        <f aca="false">VLOOKUP(Shelf_Life!A278,Demand_Fresh!A276:A370,1,FALSE())</f>
        <v>#N/A</v>
      </c>
      <c r="E278" s="0" t="e">
        <f aca="false">VLOOKUP(Shelf_Life!A278,Demand_Frozen!A273:A391,1,FALSE())</f>
        <v>#N/A</v>
      </c>
    </row>
    <row r="279" customFormat="false" ht="13.8" hidden="false" customHeight="false" outlineLevel="0" collapsed="false">
      <c r="A279" s="0" t="s">
        <v>274</v>
      </c>
      <c r="B279" s="0" t="n">
        <v>3</v>
      </c>
      <c r="C279" s="115" t="n">
        <v>0.112599465882138</v>
      </c>
      <c r="D279" s="0" t="e">
        <f aca="false">VLOOKUP(Shelf_Life!A279,Demand_Fresh!A277:A371,1,FALSE())</f>
        <v>#N/A</v>
      </c>
      <c r="E279" s="0" t="e">
        <f aca="false">VLOOKUP(Shelf_Life!A279,Demand_Frozen!A274:A392,1,FALSE())</f>
        <v>#N/A</v>
      </c>
    </row>
    <row r="280" customFormat="false" ht="13.8" hidden="false" customHeight="false" outlineLevel="0" collapsed="false">
      <c r="A280" s="0" t="s">
        <v>1284</v>
      </c>
      <c r="B280" s="0" t="n">
        <v>3</v>
      </c>
      <c r="C280" s="115" t="n">
        <v>0.0776548040566471</v>
      </c>
      <c r="D280" s="0" t="e">
        <f aca="false">VLOOKUP(Shelf_Life!A280,Demand_Fresh!A278:A372,1,FALSE())</f>
        <v>#N/A</v>
      </c>
      <c r="E280" s="0" t="e">
        <f aca="false">VLOOKUP(Shelf_Life!A280,Demand_Frozen!A275:A393,1,FALSE())</f>
        <v>#N/A</v>
      </c>
    </row>
    <row r="281" customFormat="false" ht="13.8" hidden="false" customHeight="false" outlineLevel="0" collapsed="false">
      <c r="A281" s="0" t="s">
        <v>275</v>
      </c>
      <c r="B281" s="0" t="n">
        <v>3</v>
      </c>
      <c r="C281" s="115" t="n">
        <v>0.113736834224382</v>
      </c>
      <c r="D281" s="0" t="e">
        <f aca="false">VLOOKUP(Shelf_Life!A281,Demand_Fresh!A279:A373,1,FALSE())</f>
        <v>#N/A</v>
      </c>
      <c r="E281" s="0" t="e">
        <f aca="false">VLOOKUP(Shelf_Life!A281,Demand_Frozen!A276:A394,1,FALSE())</f>
        <v>#N/A</v>
      </c>
    </row>
    <row r="282" customFormat="false" ht="13.8" hidden="false" customHeight="false" outlineLevel="0" collapsed="false">
      <c r="A282" s="0" t="s">
        <v>276</v>
      </c>
      <c r="B282" s="0" t="n">
        <v>3</v>
      </c>
      <c r="C282" s="115" t="n">
        <v>0.112599465882138</v>
      </c>
      <c r="D282" s="0" t="e">
        <f aca="false">VLOOKUP(Shelf_Life!A282,Demand_Fresh!A280:A374,1,FALSE())</f>
        <v>#N/A</v>
      </c>
      <c r="E282" s="0" t="e">
        <f aca="false">VLOOKUP(Shelf_Life!A282,Demand_Frozen!A277:A395,1,FALSE())</f>
        <v>#N/A</v>
      </c>
    </row>
    <row r="283" customFormat="false" ht="13.8" hidden="false" customHeight="false" outlineLevel="0" collapsed="false">
      <c r="A283" s="0" t="s">
        <v>151</v>
      </c>
      <c r="B283" s="0" t="n">
        <v>3</v>
      </c>
      <c r="C283" s="115" t="n">
        <v>0.112599465882138</v>
      </c>
      <c r="D283" s="0" t="e">
        <f aca="false">VLOOKUP(Shelf_Life!A283,Demand_Fresh!A281:A375,1,FALSE())</f>
        <v>#N/A</v>
      </c>
      <c r="E283" s="0" t="e">
        <f aca="false">VLOOKUP(Shelf_Life!A283,Demand_Frozen!A278:A396,1,FALSE())</f>
        <v>#N/A</v>
      </c>
    </row>
    <row r="284" customFormat="false" ht="13.8" hidden="false" customHeight="false" outlineLevel="0" collapsed="false">
      <c r="A284" s="0" t="s">
        <v>277</v>
      </c>
      <c r="B284" s="0" t="n">
        <v>3</v>
      </c>
      <c r="C284" s="115" t="n">
        <v>0.112599465882138</v>
      </c>
      <c r="D284" s="0" t="e">
        <f aca="false">VLOOKUP(Shelf_Life!A284,Demand_Fresh!A282:A376,1,FALSE())</f>
        <v>#N/A</v>
      </c>
      <c r="E284" s="0" t="e">
        <f aca="false">VLOOKUP(Shelf_Life!A284,Demand_Frozen!A279:A397,1,FALSE())</f>
        <v>#N/A</v>
      </c>
    </row>
    <row r="285" customFormat="false" ht="13.8" hidden="false" customHeight="false" outlineLevel="0" collapsed="false">
      <c r="A285" s="0" t="s">
        <v>1302</v>
      </c>
      <c r="B285" s="0" t="n">
        <v>3</v>
      </c>
      <c r="C285" s="115" t="n">
        <v>0.0608645761525072</v>
      </c>
      <c r="D285" s="0" t="e">
        <f aca="false">VLOOKUP(Shelf_Life!A285,Demand_Fresh!A283:A377,1,FALSE())</f>
        <v>#N/A</v>
      </c>
      <c r="E285" s="0" t="e">
        <f aca="false">VLOOKUP(Shelf_Life!A285,Demand_Frozen!A280:A398,1,FALSE())</f>
        <v>#N/A</v>
      </c>
    </row>
    <row r="286" customFormat="false" ht="13.8" hidden="false" customHeight="false" outlineLevel="0" collapsed="false">
      <c r="A286" s="0" t="s">
        <v>550</v>
      </c>
      <c r="B286" s="0" t="n">
        <v>3</v>
      </c>
      <c r="C286" s="115" t="n">
        <v>0.0912968642287608</v>
      </c>
      <c r="D286" s="0" t="e">
        <f aca="false">VLOOKUP(Shelf_Life!A286,Demand_Fresh!A284:A378,1,FALSE())</f>
        <v>#N/A</v>
      </c>
      <c r="E286" s="0" t="e">
        <f aca="false">VLOOKUP(Shelf_Life!A286,Demand_Frozen!A281:A399,1,FALSE())</f>
        <v>#N/A</v>
      </c>
    </row>
    <row r="287" customFormat="false" ht="13.8" hidden="false" customHeight="false" outlineLevel="0" collapsed="false">
      <c r="A287" s="0" t="s">
        <v>278</v>
      </c>
      <c r="B287" s="0" t="n">
        <v>3</v>
      </c>
      <c r="C287" s="115" t="n">
        <v>0.0912968642287608</v>
      </c>
      <c r="D287" s="0" t="e">
        <f aca="false">VLOOKUP(Shelf_Life!A287,Demand_Fresh!A285:A379,1,FALSE())</f>
        <v>#N/A</v>
      </c>
      <c r="E287" s="0" t="e">
        <f aca="false">VLOOKUP(Shelf_Life!A287,Demand_Frozen!A282:A400,1,FALSE())</f>
        <v>#N/A</v>
      </c>
    </row>
    <row r="288" customFormat="false" ht="13.8" hidden="false" customHeight="false" outlineLevel="0" collapsed="false">
      <c r="A288" s="0" t="s">
        <v>152</v>
      </c>
      <c r="B288" s="0" t="n">
        <v>3</v>
      </c>
      <c r="C288" s="115" t="n">
        <v>0.135119359058566</v>
      </c>
      <c r="D288" s="0" t="e">
        <f aca="false">VLOOKUP(Shelf_Life!A288,Demand_Fresh!A286:A380,1,FALSE())</f>
        <v>#N/A</v>
      </c>
      <c r="E288" s="0" t="e">
        <f aca="false">VLOOKUP(Shelf_Life!A288,Demand_Frozen!A283:A401,1,FALSE())</f>
        <v>#N/A</v>
      </c>
    </row>
    <row r="289" customFormat="false" ht="13.8" hidden="false" customHeight="false" outlineLevel="0" collapsed="false">
      <c r="A289" s="0" t="s">
        <v>279</v>
      </c>
      <c r="B289" s="0" t="n">
        <v>3</v>
      </c>
      <c r="C289" s="115" t="n">
        <v>0.135119359058566</v>
      </c>
      <c r="D289" s="0" t="e">
        <f aca="false">VLOOKUP(Shelf_Life!A289,Demand_Fresh!A287:A381,1,FALSE())</f>
        <v>#N/A</v>
      </c>
      <c r="E289" s="0" t="e">
        <f aca="false">VLOOKUP(Shelf_Life!A289,Demand_Frozen!A284:A402,1,FALSE())</f>
        <v>#N/A</v>
      </c>
    </row>
    <row r="290" customFormat="false" ht="13.8" hidden="false" customHeight="false" outlineLevel="0" collapsed="false">
      <c r="A290" s="0" t="s">
        <v>701</v>
      </c>
      <c r="B290" s="0" t="n">
        <v>3</v>
      </c>
      <c r="C290" s="115" t="n">
        <v>0.112599465882138</v>
      </c>
      <c r="D290" s="0" t="e">
        <f aca="false">VLOOKUP(Shelf_Life!A290,Demand_Fresh!A288:A382,1,FALSE())</f>
        <v>#N/A</v>
      </c>
      <c r="E290" s="0" t="e">
        <f aca="false">VLOOKUP(Shelf_Life!A290,Demand_Frozen!A285:A403,1,FALSE())</f>
        <v>#N/A</v>
      </c>
    </row>
    <row r="291" customFormat="false" ht="13.8" hidden="false" customHeight="false" outlineLevel="0" collapsed="false">
      <c r="A291" s="0" t="s">
        <v>280</v>
      </c>
      <c r="B291" s="0" t="n">
        <v>3</v>
      </c>
      <c r="C291" s="115" t="n">
        <v>0.112599465882138</v>
      </c>
      <c r="D291" s="0" t="e">
        <f aca="false">VLOOKUP(Shelf_Life!A291,Demand_Fresh!A289:A383,1,FALSE())</f>
        <v>#N/A</v>
      </c>
      <c r="E291" s="0" t="e">
        <f aca="false">VLOOKUP(Shelf_Life!A291,Demand_Frozen!A286:A404,1,FALSE())</f>
        <v>#N/A</v>
      </c>
    </row>
    <row r="292" customFormat="false" ht="13.8" hidden="false" customHeight="false" outlineLevel="0" collapsed="false">
      <c r="A292" s="0" t="s">
        <v>216</v>
      </c>
      <c r="B292" s="0" t="n">
        <v>3</v>
      </c>
      <c r="C292" s="115" t="n">
        <v>0.0900795727057107</v>
      </c>
      <c r="D292" s="0" t="e">
        <f aca="false">VLOOKUP(Shelf_Life!A292,Demand_Fresh!A290:A384,1,FALSE())</f>
        <v>#N/A</v>
      </c>
      <c r="E292" s="0" t="e">
        <f aca="false">VLOOKUP(Shelf_Life!A292,Demand_Frozen!A287:A405,1,FALSE())</f>
        <v>#N/A</v>
      </c>
    </row>
    <row r="293" customFormat="false" ht="13.8" hidden="false" customHeight="false" outlineLevel="0" collapsed="false">
      <c r="A293" s="0" t="s">
        <v>281</v>
      </c>
      <c r="B293" s="0" t="n">
        <v>3</v>
      </c>
      <c r="C293" s="115" t="n">
        <v>0.0900795727057107</v>
      </c>
      <c r="D293" s="0" t="e">
        <f aca="false">VLOOKUP(Shelf_Life!A293,Demand_Fresh!A291:A385,1,FALSE())</f>
        <v>#N/A</v>
      </c>
      <c r="E293" s="0" t="e">
        <f aca="false">VLOOKUP(Shelf_Life!A293,Demand_Frozen!A288:A406,1,FALSE())</f>
        <v>#N/A</v>
      </c>
    </row>
    <row r="294" customFormat="false" ht="13.8" hidden="false" customHeight="false" outlineLevel="0" collapsed="false">
      <c r="A294" s="0" t="s">
        <v>1484</v>
      </c>
      <c r="B294" s="0" t="n">
        <v>3</v>
      </c>
      <c r="C294" s="115" t="n">
        <v>0.112599465882138</v>
      </c>
      <c r="D294" s="0" t="e">
        <f aca="false">VLOOKUP(Shelf_Life!A294,Demand_Fresh!A292:A386,1,FALSE())</f>
        <v>#N/A</v>
      </c>
      <c r="E294" s="0" t="e">
        <f aca="false">VLOOKUP(Shelf_Life!A294,Demand_Frozen!A289:A407,1,FALSE())</f>
        <v>#N/A</v>
      </c>
    </row>
    <row r="295" customFormat="false" ht="13.8" hidden="false" customHeight="false" outlineLevel="0" collapsed="false">
      <c r="A295" s="0" t="s">
        <v>153</v>
      </c>
      <c r="B295" s="0" t="n">
        <v>3</v>
      </c>
      <c r="C295" s="115" t="n">
        <v>0.112599465882138</v>
      </c>
      <c r="D295" s="0" t="e">
        <f aca="false">VLOOKUP(Shelf_Life!A295,Demand_Fresh!A293:A387,1,FALSE())</f>
        <v>#N/A</v>
      </c>
      <c r="E295" s="0" t="e">
        <f aca="false">VLOOKUP(Shelf_Life!A295,Demand_Frozen!A290:A408,1,FALSE())</f>
        <v>#N/A</v>
      </c>
    </row>
    <row r="296" customFormat="false" ht="13.8" hidden="false" customHeight="false" outlineLevel="0" collapsed="false">
      <c r="A296" s="0" t="s">
        <v>282</v>
      </c>
      <c r="B296" s="0" t="n">
        <v>3</v>
      </c>
      <c r="C296" s="115" t="n">
        <v>0.112599465882138</v>
      </c>
      <c r="D296" s="0" t="e">
        <f aca="false">VLOOKUP(Shelf_Life!A296,Demand_Fresh!A294:A388,1,FALSE())</f>
        <v>#N/A</v>
      </c>
      <c r="E296" s="0" t="e">
        <f aca="false">VLOOKUP(Shelf_Life!A296,Demand_Frozen!A291:A409,1,FALSE())</f>
        <v>#N/A</v>
      </c>
    </row>
    <row r="297" customFormat="false" ht="13.8" hidden="false" customHeight="false" outlineLevel="0" collapsed="false">
      <c r="A297" s="0" t="s">
        <v>154</v>
      </c>
      <c r="B297" s="0" t="n">
        <v>3</v>
      </c>
      <c r="C297" s="115" t="n">
        <v>0.112599465882138</v>
      </c>
      <c r="D297" s="0" t="e">
        <f aca="false">VLOOKUP(Shelf_Life!A297,Demand_Fresh!A295:A389,1,FALSE())</f>
        <v>#N/A</v>
      </c>
      <c r="E297" s="0" t="e">
        <f aca="false">VLOOKUP(Shelf_Life!A297,Demand_Frozen!A292:A410,1,FALSE())</f>
        <v>#N/A</v>
      </c>
    </row>
    <row r="298" customFormat="false" ht="13.8" hidden="false" customHeight="false" outlineLevel="0" collapsed="false">
      <c r="A298" s="0" t="s">
        <v>283</v>
      </c>
      <c r="B298" s="0" t="n">
        <v>3</v>
      </c>
      <c r="C298" s="115" t="n">
        <v>0.112599465882138</v>
      </c>
      <c r="D298" s="0" t="e">
        <f aca="false">VLOOKUP(Shelf_Life!A298,Demand_Fresh!A296:A390,1,FALSE())</f>
        <v>#N/A</v>
      </c>
      <c r="E298" s="0" t="e">
        <f aca="false">VLOOKUP(Shelf_Life!A298,Demand_Frozen!A293:A411,1,FALSE())</f>
        <v>#N/A</v>
      </c>
    </row>
    <row r="299" customFormat="false" ht="13.8" hidden="false" customHeight="false" outlineLevel="0" collapsed="false">
      <c r="A299" s="0" t="s">
        <v>155</v>
      </c>
      <c r="B299" s="0" t="n">
        <v>3</v>
      </c>
      <c r="C299" s="115" t="n">
        <v>0.112599465882138</v>
      </c>
      <c r="D299" s="0" t="e">
        <f aca="false">VLOOKUP(Shelf_Life!A299,Demand_Fresh!A297:A391,1,FALSE())</f>
        <v>#N/A</v>
      </c>
      <c r="E299" s="0" t="e">
        <f aca="false">VLOOKUP(Shelf_Life!A299,Demand_Frozen!A294:A412,1,FALSE())</f>
        <v>#N/A</v>
      </c>
    </row>
    <row r="300" customFormat="false" ht="13.8" hidden="false" customHeight="false" outlineLevel="0" collapsed="false">
      <c r="A300" s="0" t="s">
        <v>284</v>
      </c>
      <c r="B300" s="0" t="n">
        <v>3</v>
      </c>
      <c r="C300" s="115" t="n">
        <v>0.112599465882138</v>
      </c>
      <c r="D300" s="0" t="e">
        <f aca="false">VLOOKUP(Shelf_Life!A300,Demand_Fresh!A298:A392,1,FALSE())</f>
        <v>#N/A</v>
      </c>
      <c r="E300" s="0" t="e">
        <f aca="false">VLOOKUP(Shelf_Life!A300,Demand_Frozen!A295:A413,1,FALSE())</f>
        <v>#N/A</v>
      </c>
    </row>
    <row r="301" customFormat="false" ht="13.8" hidden="false" customHeight="false" outlineLevel="0" collapsed="false">
      <c r="A301" s="0" t="s">
        <v>285</v>
      </c>
      <c r="B301" s="0" t="n">
        <v>3</v>
      </c>
      <c r="C301" s="115" t="n">
        <v>0.135119359058566</v>
      </c>
      <c r="D301" s="0" t="e">
        <f aca="false">VLOOKUP(Shelf_Life!A301,Demand_Fresh!A299:A393,1,FALSE())</f>
        <v>#N/A</v>
      </c>
      <c r="E301" s="0" t="e">
        <f aca="false">VLOOKUP(Shelf_Life!A301,Demand_Frozen!A296:A414,1,FALSE())</f>
        <v>#N/A</v>
      </c>
    </row>
    <row r="302" customFormat="false" ht="13.8" hidden="false" customHeight="false" outlineLevel="0" collapsed="false">
      <c r="A302" s="0" t="s">
        <v>156</v>
      </c>
      <c r="B302" s="0" t="n">
        <v>3</v>
      </c>
      <c r="C302" s="115" t="n">
        <v>0.112599465882138</v>
      </c>
      <c r="D302" s="0" t="e">
        <f aca="false">VLOOKUP(Shelf_Life!A302,Demand_Fresh!A300:A394,1,FALSE())</f>
        <v>#N/A</v>
      </c>
      <c r="E302" s="0" t="e">
        <f aca="false">VLOOKUP(Shelf_Life!A302,Demand_Frozen!A297:A415,1,FALSE())</f>
        <v>#N/A</v>
      </c>
    </row>
    <row r="303" customFormat="false" ht="13.8" hidden="false" customHeight="false" outlineLevel="0" collapsed="false">
      <c r="A303" s="0" t="s">
        <v>286</v>
      </c>
      <c r="B303" s="0" t="n">
        <v>3</v>
      </c>
      <c r="C303" s="115" t="n">
        <v>0.112599465882138</v>
      </c>
      <c r="D303" s="0" t="e">
        <f aca="false">VLOOKUP(Shelf_Life!A303,Demand_Fresh!A301:A395,1,FALSE())</f>
        <v>#N/A</v>
      </c>
      <c r="E303" s="0" t="e">
        <f aca="false">VLOOKUP(Shelf_Life!A303,Demand_Frozen!A298:A416,1,FALSE())</f>
        <v>#N/A</v>
      </c>
    </row>
    <row r="304" customFormat="false" ht="13.8" hidden="false" customHeight="false" outlineLevel="0" collapsed="false">
      <c r="A304" s="0" t="s">
        <v>157</v>
      </c>
      <c r="B304" s="0" t="n">
        <v>3</v>
      </c>
      <c r="C304" s="115" t="n">
        <v>0.0900795727057107</v>
      </c>
      <c r="D304" s="0" t="e">
        <f aca="false">VLOOKUP(Shelf_Life!A304,Demand_Fresh!A302:A396,1,FALSE())</f>
        <v>#N/A</v>
      </c>
      <c r="E304" s="0" t="e">
        <f aca="false">VLOOKUP(Shelf_Life!A304,Demand_Frozen!A299:A417,1,FALSE())</f>
        <v>#N/A</v>
      </c>
    </row>
    <row r="305" customFormat="false" ht="13.8" hidden="false" customHeight="false" outlineLevel="0" collapsed="false">
      <c r="A305" s="0" t="s">
        <v>158</v>
      </c>
      <c r="B305" s="0" t="n">
        <v>3</v>
      </c>
      <c r="C305" s="115" t="n">
        <v>0.112599465882138</v>
      </c>
      <c r="D305" s="0" t="e">
        <f aca="false">VLOOKUP(Shelf_Life!A305,Demand_Fresh!A303:A397,1,FALSE())</f>
        <v>#N/A</v>
      </c>
      <c r="E305" s="0" t="e">
        <f aca="false">VLOOKUP(Shelf_Life!A305,Demand_Frozen!A300:A418,1,FALSE())</f>
        <v>#N/A</v>
      </c>
    </row>
    <row r="306" customFormat="false" ht="13.8" hidden="false" customHeight="false" outlineLevel="0" collapsed="false">
      <c r="A306" s="0" t="s">
        <v>289</v>
      </c>
      <c r="B306" s="0" t="n">
        <v>3</v>
      </c>
      <c r="C306" s="115" t="n">
        <v>0.112599465882138</v>
      </c>
      <c r="D306" s="0" t="e">
        <f aca="false">VLOOKUP(Shelf_Life!A306,Demand_Fresh!A304:A398,1,FALSE())</f>
        <v>#N/A</v>
      </c>
      <c r="E306" s="0" t="e">
        <f aca="false">VLOOKUP(Shelf_Life!A306,Demand_Frozen!A301:A419,1,FALSE())</f>
        <v>#N/A</v>
      </c>
    </row>
    <row r="307" customFormat="false" ht="13.8" hidden="false" customHeight="false" outlineLevel="0" collapsed="false">
      <c r="A307" s="0" t="s">
        <v>159</v>
      </c>
      <c r="B307" s="0" t="n">
        <v>3</v>
      </c>
      <c r="C307" s="115" t="n">
        <v>0.112599465882138</v>
      </c>
      <c r="D307" s="0" t="e">
        <f aca="false">VLOOKUP(Shelf_Life!A307,Demand_Fresh!A305:A399,1,FALSE())</f>
        <v>#N/A</v>
      </c>
      <c r="E307" s="0" t="e">
        <f aca="false">VLOOKUP(Shelf_Life!A307,Demand_Frozen!A302:A420,1,FALSE())</f>
        <v>#N/A</v>
      </c>
    </row>
    <row r="308" customFormat="false" ht="13.8" hidden="false" customHeight="false" outlineLevel="0" collapsed="false">
      <c r="A308" s="0" t="s">
        <v>290</v>
      </c>
      <c r="B308" s="0" t="n">
        <v>3</v>
      </c>
      <c r="C308" s="115" t="n">
        <v>0.112599465882138</v>
      </c>
      <c r="D308" s="0" t="e">
        <f aca="false">VLOOKUP(Shelf_Life!A308,Demand_Fresh!A306:A400,1,FALSE())</f>
        <v>#N/A</v>
      </c>
      <c r="E308" s="0" t="e">
        <f aca="false">VLOOKUP(Shelf_Life!A308,Demand_Frozen!A303:A421,1,FALSE())</f>
        <v>#N/A</v>
      </c>
    </row>
    <row r="309" customFormat="false" ht="13.8" hidden="false" customHeight="false" outlineLevel="0" collapsed="false">
      <c r="A309" s="0" t="s">
        <v>160</v>
      </c>
      <c r="B309" s="0" t="n">
        <v>3</v>
      </c>
      <c r="C309" s="115" t="n">
        <v>0.112599465882138</v>
      </c>
      <c r="D309" s="0" t="e">
        <f aca="false">VLOOKUP(Shelf_Life!A309,Demand_Fresh!A307:A401,1,FALSE())</f>
        <v>#N/A</v>
      </c>
      <c r="E309" s="0" t="e">
        <f aca="false">VLOOKUP(Shelf_Life!A309,Demand_Frozen!A304:A422,1,FALSE())</f>
        <v>#N/A</v>
      </c>
    </row>
    <row r="310" customFormat="false" ht="13.8" hidden="false" customHeight="false" outlineLevel="0" collapsed="false">
      <c r="A310" s="0" t="s">
        <v>161</v>
      </c>
      <c r="B310" s="0" t="n">
        <v>3</v>
      </c>
      <c r="C310" s="115" t="n">
        <v>0.225198931764277</v>
      </c>
      <c r="D310" s="0" t="e">
        <f aca="false">VLOOKUP(Shelf_Life!A310,Demand_Fresh!A308:A402,1,FALSE())</f>
        <v>#N/A</v>
      </c>
      <c r="E310" s="0" t="e">
        <f aca="false">VLOOKUP(Shelf_Life!A310,Demand_Frozen!A305:A423,1,FALSE())</f>
        <v>#N/A</v>
      </c>
    </row>
    <row r="311" customFormat="false" ht="13.8" hidden="false" customHeight="false" outlineLevel="0" collapsed="false">
      <c r="A311" s="0" t="s">
        <v>291</v>
      </c>
      <c r="B311" s="0" t="n">
        <v>3</v>
      </c>
      <c r="C311" s="115" t="n">
        <v>0.135119359058566</v>
      </c>
      <c r="D311" s="0" t="e">
        <f aca="false">VLOOKUP(Shelf_Life!A311,Demand_Fresh!A309:A403,1,FALSE())</f>
        <v>#N/A</v>
      </c>
      <c r="E311" s="0" t="e">
        <f aca="false">VLOOKUP(Shelf_Life!A311,Demand_Frozen!A306:A424,1,FALSE())</f>
        <v>#N/A</v>
      </c>
    </row>
    <row r="312" customFormat="false" ht="13.8" hidden="false" customHeight="false" outlineLevel="0" collapsed="false">
      <c r="A312" s="0" t="s">
        <v>162</v>
      </c>
      <c r="B312" s="0" t="n">
        <v>3</v>
      </c>
      <c r="C312" s="115" t="n">
        <v>0.112599465882138</v>
      </c>
      <c r="D312" s="0" t="e">
        <f aca="false">VLOOKUP(Shelf_Life!A312,Demand_Fresh!A310:A404,1,FALSE())</f>
        <v>#N/A</v>
      </c>
      <c r="E312" s="0" t="e">
        <f aca="false">VLOOKUP(Shelf_Life!A312,Demand_Frozen!A307:A425,1,FALSE())</f>
        <v>#N/A</v>
      </c>
    </row>
    <row r="313" customFormat="false" ht="13.8" hidden="false" customHeight="false" outlineLevel="0" collapsed="false">
      <c r="A313" s="0" t="s">
        <v>292</v>
      </c>
      <c r="B313" s="0" t="n">
        <v>3</v>
      </c>
      <c r="C313" s="115" t="n">
        <v>0.112599465882138</v>
      </c>
      <c r="D313" s="0" t="e">
        <f aca="false">VLOOKUP(Shelf_Life!A313,Demand_Fresh!A311:A405,1,FALSE())</f>
        <v>#N/A</v>
      </c>
      <c r="E313" s="0" t="e">
        <f aca="false">VLOOKUP(Shelf_Life!A313,Demand_Frozen!A308:A426,1,FALSE())</f>
        <v>#N/A</v>
      </c>
    </row>
    <row r="314" customFormat="false" ht="13.8" hidden="false" customHeight="false" outlineLevel="0" collapsed="false">
      <c r="A314" s="0" t="s">
        <v>722</v>
      </c>
      <c r="B314" s="0" t="n">
        <v>3</v>
      </c>
      <c r="C314" s="115" t="n">
        <v>0.0900795727057107</v>
      </c>
      <c r="D314" s="0" t="e">
        <f aca="false">VLOOKUP(Shelf_Life!A314,Demand_Fresh!A312:A406,1,FALSE())</f>
        <v>#N/A</v>
      </c>
      <c r="E314" s="0" t="e">
        <f aca="false">VLOOKUP(Shelf_Life!A314,Demand_Frozen!A309:A427,1,FALSE())</f>
        <v>#N/A</v>
      </c>
    </row>
    <row r="315" customFormat="false" ht="13.8" hidden="false" customHeight="false" outlineLevel="0" collapsed="false">
      <c r="A315" s="0" t="s">
        <v>430</v>
      </c>
      <c r="B315" s="0" t="n">
        <v>3</v>
      </c>
      <c r="C315" s="115" t="n">
        <v>0.0900795727057107</v>
      </c>
      <c r="D315" s="0" t="e">
        <f aca="false">VLOOKUP(Shelf_Life!A315,Demand_Fresh!A313:A407,1,FALSE())</f>
        <v>#N/A</v>
      </c>
      <c r="E315" s="0" t="e">
        <f aca="false">VLOOKUP(Shelf_Life!A315,Demand_Frozen!A310:A428,1,FALSE())</f>
        <v>#N/A</v>
      </c>
    </row>
    <row r="316" customFormat="false" ht="13.8" hidden="false" customHeight="false" outlineLevel="0" collapsed="false">
      <c r="A316" s="0" t="s">
        <v>1485</v>
      </c>
      <c r="B316" s="0" t="n">
        <v>3</v>
      </c>
      <c r="C316" s="115" t="n">
        <v>0.112599465882138</v>
      </c>
      <c r="D316" s="0" t="e">
        <f aca="false">VLOOKUP(Shelf_Life!A316,Demand_Fresh!A314:A408,1,FALSE())</f>
        <v>#N/A</v>
      </c>
      <c r="E316" s="0" t="e">
        <f aca="false">VLOOKUP(Shelf_Life!A316,Demand_Frozen!A311:A429,1,FALSE())</f>
        <v>#N/A</v>
      </c>
    </row>
    <row r="317" customFormat="false" ht="13.8" hidden="false" customHeight="false" outlineLevel="0" collapsed="false">
      <c r="A317" s="0" t="s">
        <v>163</v>
      </c>
      <c r="B317" s="0" t="n">
        <v>3</v>
      </c>
      <c r="C317" s="115" t="n">
        <v>0.0844495994116038</v>
      </c>
      <c r="D317" s="0" t="e">
        <f aca="false">VLOOKUP(Shelf_Life!A317,Demand_Fresh!A315:A409,1,FALSE())</f>
        <v>#N/A</v>
      </c>
      <c r="E317" s="0" t="e">
        <f aca="false">VLOOKUP(Shelf_Life!A317,Demand_Frozen!A312:A430,1,FALSE())</f>
        <v>#N/A</v>
      </c>
    </row>
    <row r="318" customFormat="false" ht="13.8" hidden="false" customHeight="false" outlineLevel="0" collapsed="false">
      <c r="A318" s="0" t="s">
        <v>1486</v>
      </c>
      <c r="B318" s="0" t="n">
        <v>3</v>
      </c>
      <c r="C318" s="115" t="n">
        <v>0.0900795727057107</v>
      </c>
      <c r="D318" s="0" t="e">
        <f aca="false">VLOOKUP(Shelf_Life!A318,Demand_Fresh!A316:A410,1,FALSE())</f>
        <v>#N/A</v>
      </c>
      <c r="E318" s="0" t="e">
        <f aca="false">VLOOKUP(Shelf_Life!A318,Demand_Frozen!A313:A431,1,FALSE())</f>
        <v>#N/A</v>
      </c>
    </row>
    <row r="319" customFormat="false" ht="13.8" hidden="false" customHeight="false" outlineLevel="0" collapsed="false">
      <c r="A319" s="0" t="s">
        <v>293</v>
      </c>
      <c r="B319" s="0" t="n">
        <v>3</v>
      </c>
      <c r="C319" s="115" t="n">
        <v>0.0900795727057107</v>
      </c>
      <c r="D319" s="0" t="e">
        <f aca="false">VLOOKUP(Shelf_Life!A319,Demand_Fresh!A317:A411,1,FALSE())</f>
        <v>#N/A</v>
      </c>
      <c r="E319" s="0" t="e">
        <f aca="false">VLOOKUP(Shelf_Life!A319,Demand_Frozen!A314:A432,1,FALSE())</f>
        <v>#N/A</v>
      </c>
    </row>
    <row r="320" customFormat="false" ht="13.8" hidden="false" customHeight="false" outlineLevel="0" collapsed="false">
      <c r="A320" s="0" t="s">
        <v>727</v>
      </c>
      <c r="B320" s="0" t="n">
        <v>3</v>
      </c>
      <c r="C320" s="115" t="n">
        <v>0.0900795727057107</v>
      </c>
      <c r="D320" s="0" t="e">
        <f aca="false">VLOOKUP(Shelf_Life!A320,Demand_Fresh!A318:A412,1,FALSE())</f>
        <v>#N/A</v>
      </c>
      <c r="E320" s="0" t="e">
        <f aca="false">VLOOKUP(Shelf_Life!A320,Demand_Frozen!A315:A433,1,FALSE())</f>
        <v>#N/A</v>
      </c>
    </row>
    <row r="321" customFormat="false" ht="13.8" hidden="false" customHeight="false" outlineLevel="0" collapsed="false">
      <c r="A321" s="0" t="s">
        <v>431</v>
      </c>
      <c r="B321" s="0" t="n">
        <v>3</v>
      </c>
      <c r="C321" s="115" t="n">
        <v>0.0900795727057107</v>
      </c>
      <c r="D321" s="0" t="e">
        <f aca="false">VLOOKUP(Shelf_Life!A321,Demand_Fresh!A319:A413,1,FALSE())</f>
        <v>#N/A</v>
      </c>
      <c r="E321" s="0" t="e">
        <f aca="false">VLOOKUP(Shelf_Life!A321,Demand_Frozen!A316:A434,1,FALSE())</f>
        <v>#N/A</v>
      </c>
    </row>
    <row r="322" customFormat="false" ht="13.8" hidden="false" customHeight="false" outlineLevel="0" collapsed="false">
      <c r="A322" s="0" t="s">
        <v>164</v>
      </c>
      <c r="B322" s="0" t="n">
        <v>3</v>
      </c>
      <c r="C322" s="115" t="n">
        <v>0.112599465882138</v>
      </c>
      <c r="D322" s="0" t="e">
        <f aca="false">VLOOKUP(Shelf_Life!A322,Demand_Fresh!A320:A414,1,FALSE())</f>
        <v>#N/A</v>
      </c>
      <c r="E322" s="0" t="e">
        <f aca="false">VLOOKUP(Shelf_Life!A322,Demand_Frozen!A317:A435,1,FALSE())</f>
        <v>#N/A</v>
      </c>
    </row>
    <row r="323" customFormat="false" ht="13.8" hidden="false" customHeight="false" outlineLevel="0" collapsed="false">
      <c r="A323" s="0" t="s">
        <v>295</v>
      </c>
      <c r="B323" s="0" t="n">
        <v>3</v>
      </c>
      <c r="C323" s="115" t="n">
        <v>0.112599465882138</v>
      </c>
      <c r="D323" s="0" t="e">
        <f aca="false">VLOOKUP(Shelf_Life!A323,Demand_Fresh!A321:A415,1,FALSE())</f>
        <v>#N/A</v>
      </c>
      <c r="E323" s="0" t="e">
        <f aca="false">VLOOKUP(Shelf_Life!A323,Demand_Frozen!A318:A436,1,FALSE())</f>
        <v>#N/A</v>
      </c>
    </row>
    <row r="324" customFormat="false" ht="13.8" hidden="false" customHeight="false" outlineLevel="0" collapsed="false">
      <c r="A324" s="0" t="s">
        <v>311</v>
      </c>
      <c r="B324" s="0" t="n">
        <v>3</v>
      </c>
      <c r="C324" s="115" t="n">
        <v>0.0793486168968089</v>
      </c>
      <c r="D324" s="0" t="e">
        <f aca="false">VLOOKUP(Shelf_Life!A324,Demand_Fresh!A322:A416,1,FALSE())</f>
        <v>#N/A</v>
      </c>
      <c r="E324" s="0" t="e">
        <f aca="false">VLOOKUP(Shelf_Life!A324,Demand_Frozen!A319:A437,1,FALSE())</f>
        <v>#N/A</v>
      </c>
    </row>
    <row r="325" customFormat="false" ht="13.8" hidden="false" customHeight="false" outlineLevel="0" collapsed="false">
      <c r="A325" s="0" t="s">
        <v>312</v>
      </c>
      <c r="B325" s="0" t="n">
        <v>3</v>
      </c>
      <c r="C325" s="115" t="n">
        <v>0.10105080271474</v>
      </c>
      <c r="D325" s="0" t="e">
        <f aca="false">VLOOKUP(Shelf_Life!A325,Demand_Fresh!A323:A417,1,FALSE())</f>
        <v>#N/A</v>
      </c>
      <c r="E325" s="0" t="e">
        <f aca="false">VLOOKUP(Shelf_Life!A325,Demand_Frozen!A320:A438,1,FALSE())</f>
        <v>#N/A</v>
      </c>
    </row>
    <row r="326" customFormat="false" ht="13.8" hidden="false" customHeight="false" outlineLevel="0" collapsed="false">
      <c r="A326" s="0" t="s">
        <v>217</v>
      </c>
      <c r="B326" s="0" t="n">
        <v>3</v>
      </c>
      <c r="C326" s="115" t="n">
        <v>0.112599465882138</v>
      </c>
      <c r="D326" s="0" t="e">
        <f aca="false">VLOOKUP(Shelf_Life!A326,Demand_Fresh!A324:A418,1,FALSE())</f>
        <v>#N/A</v>
      </c>
      <c r="E326" s="0" t="e">
        <f aca="false">VLOOKUP(Shelf_Life!A326,Demand_Frozen!A321:A439,1,FALSE())</f>
        <v>#N/A</v>
      </c>
    </row>
    <row r="327" customFormat="false" ht="13.8" hidden="false" customHeight="false" outlineLevel="0" collapsed="false">
      <c r="A327" s="0" t="s">
        <v>326</v>
      </c>
      <c r="B327" s="0" t="n">
        <v>3</v>
      </c>
      <c r="C327" s="115" t="n">
        <v>0.112599465882138</v>
      </c>
      <c r="D327" s="0" t="e">
        <f aca="false">VLOOKUP(Shelf_Life!A327,Demand_Fresh!A325:A419,1,FALSE())</f>
        <v>#N/A</v>
      </c>
      <c r="E327" s="0" t="e">
        <f aca="false">VLOOKUP(Shelf_Life!A327,Demand_Frozen!A322:A440,1,FALSE())</f>
        <v>#N/A</v>
      </c>
    </row>
    <row r="328" customFormat="false" ht="13.8" hidden="false" customHeight="false" outlineLevel="0" collapsed="false">
      <c r="A328" s="0" t="s">
        <v>197</v>
      </c>
      <c r="B328" s="0" t="n">
        <v>3</v>
      </c>
      <c r="C328" s="115" t="n">
        <v>0.112599465882138</v>
      </c>
      <c r="D328" s="0" t="e">
        <f aca="false">VLOOKUP(Shelf_Life!A328,Demand_Fresh!A326:A420,1,FALSE())</f>
        <v>#N/A</v>
      </c>
      <c r="E328" s="0" t="e">
        <f aca="false">VLOOKUP(Shelf_Life!A328,Demand_Frozen!A323:A441,1,FALSE())</f>
        <v>#N/A</v>
      </c>
    </row>
    <row r="329" customFormat="false" ht="13.8" hidden="false" customHeight="false" outlineLevel="0" collapsed="false">
      <c r="A329" s="0" t="s">
        <v>327</v>
      </c>
      <c r="B329" s="0" t="n">
        <v>3</v>
      </c>
      <c r="C329" s="115" t="n">
        <v>0.112599465882138</v>
      </c>
      <c r="D329" s="0" t="e">
        <f aca="false">VLOOKUP(Shelf_Life!A329,Demand_Fresh!A327:A421,1,FALSE())</f>
        <v>#N/A</v>
      </c>
      <c r="E329" s="0" t="e">
        <f aca="false">VLOOKUP(Shelf_Life!A329,Demand_Frozen!A324:A442,1,FALSE())</f>
        <v>#N/A</v>
      </c>
    </row>
    <row r="330" customFormat="false" ht="13.8" hidden="false" customHeight="false" outlineLevel="0" collapsed="false">
      <c r="A330" s="0" t="s">
        <v>198</v>
      </c>
      <c r="B330" s="0" t="n">
        <v>3</v>
      </c>
      <c r="C330" s="115" t="n">
        <v>0.112599465882138</v>
      </c>
      <c r="D330" s="0" t="e">
        <f aca="false">VLOOKUP(Shelf_Life!A330,Demand_Fresh!A328:A422,1,FALSE())</f>
        <v>#N/A</v>
      </c>
      <c r="E330" s="0" t="e">
        <f aca="false">VLOOKUP(Shelf_Life!A330,Demand_Frozen!A325:A443,1,FALSE())</f>
        <v>#N/A</v>
      </c>
    </row>
    <row r="331" customFormat="false" ht="13.8" hidden="false" customHeight="false" outlineLevel="0" collapsed="false">
      <c r="A331" s="0" t="s">
        <v>328</v>
      </c>
      <c r="B331" s="0" t="n">
        <v>3</v>
      </c>
      <c r="C331" s="115" t="n">
        <v>0.112599465882138</v>
      </c>
      <c r="D331" s="0" t="e">
        <f aca="false">VLOOKUP(Shelf_Life!A331,Demand_Fresh!A329:A423,1,FALSE())</f>
        <v>#N/A</v>
      </c>
      <c r="E331" s="0" t="e">
        <f aca="false">VLOOKUP(Shelf_Life!A331,Demand_Frozen!A326:A444,1,FALSE())</f>
        <v>#N/A</v>
      </c>
    </row>
    <row r="332" customFormat="false" ht="13.8" hidden="false" customHeight="false" outlineLevel="0" collapsed="false">
      <c r="A332" s="0" t="s">
        <v>1335</v>
      </c>
      <c r="B332" s="0" t="n">
        <v>3</v>
      </c>
      <c r="C332" s="115" t="n">
        <v>0.112599465882138</v>
      </c>
      <c r="D332" s="0" t="e">
        <f aca="false">VLOOKUP(Shelf_Life!A332,Demand_Fresh!A330:A424,1,FALSE())</f>
        <v>#N/A</v>
      </c>
      <c r="E332" s="0" t="e">
        <f aca="false">VLOOKUP(Shelf_Life!A332,Demand_Frozen!A327:A445,1,FALSE())</f>
        <v>#N/A</v>
      </c>
    </row>
    <row r="333" customFormat="false" ht="13.8" hidden="false" customHeight="false" outlineLevel="0" collapsed="false">
      <c r="A333" s="0" t="s">
        <v>794</v>
      </c>
      <c r="B333" s="0" t="n">
        <v>3</v>
      </c>
      <c r="C333" s="115" t="n">
        <v>0.112599465882138</v>
      </c>
      <c r="D333" s="0" t="e">
        <f aca="false">VLOOKUP(Shelf_Life!A333,Demand_Fresh!A331:A425,1,FALSE())</f>
        <v>#N/A</v>
      </c>
      <c r="E333" s="0" t="e">
        <f aca="false">VLOOKUP(Shelf_Life!A333,Demand_Frozen!A328:A446,1,FALSE())</f>
        <v>#N/A</v>
      </c>
    </row>
    <row r="334" customFormat="false" ht="13.8" hidden="false" customHeight="false" outlineLevel="0" collapsed="false">
      <c r="A334" s="0" t="s">
        <v>345</v>
      </c>
      <c r="B334" s="0" t="n">
        <v>3</v>
      </c>
      <c r="C334" s="115" t="n">
        <v>0.112599465882138</v>
      </c>
      <c r="D334" s="0" t="e">
        <f aca="false">VLOOKUP(Shelf_Life!A334,Demand_Fresh!A332:A426,1,FALSE())</f>
        <v>#N/A</v>
      </c>
      <c r="E334" s="0" t="e">
        <f aca="false">VLOOKUP(Shelf_Life!A334,Demand_Frozen!A329:A447,1,FALSE())</f>
        <v>#N/A</v>
      </c>
    </row>
    <row r="335" customFormat="false" ht="13.8" hidden="false" customHeight="false" outlineLevel="0" collapsed="false">
      <c r="A335" s="0" t="s">
        <v>1342</v>
      </c>
      <c r="B335" s="0" t="n">
        <v>3</v>
      </c>
      <c r="C335" s="115" t="n">
        <v>0.112599465882138</v>
      </c>
      <c r="D335" s="0" t="e">
        <f aca="false">VLOOKUP(Shelf_Life!A335,Demand_Fresh!A333:A427,1,FALSE())</f>
        <v>#N/A</v>
      </c>
      <c r="E335" s="0" t="e">
        <f aca="false">VLOOKUP(Shelf_Life!A335,Demand_Frozen!A330:A448,1,FALSE())</f>
        <v>#N/A</v>
      </c>
    </row>
    <row r="336" customFormat="false" ht="13.8" hidden="false" customHeight="false" outlineLevel="0" collapsed="false">
      <c r="A336" s="0" t="s">
        <v>329</v>
      </c>
      <c r="B336" s="0" t="n">
        <v>3</v>
      </c>
      <c r="C336" s="115" t="n">
        <v>0.112599465882138</v>
      </c>
      <c r="D336" s="0" t="e">
        <f aca="false">VLOOKUP(Shelf_Life!A336,Demand_Fresh!A334:A428,1,FALSE())</f>
        <v>#N/A</v>
      </c>
      <c r="E336" s="0" t="e">
        <f aca="false">VLOOKUP(Shelf_Life!A336,Demand_Frozen!A331:A449,1,FALSE())</f>
        <v>#N/A</v>
      </c>
    </row>
    <row r="337" customFormat="false" ht="13.8" hidden="false" customHeight="false" outlineLevel="0" collapsed="false">
      <c r="A337" s="0" t="s">
        <v>199</v>
      </c>
      <c r="B337" s="0" t="n">
        <v>3</v>
      </c>
      <c r="C337" s="115" t="n">
        <v>0.112599465882138</v>
      </c>
      <c r="D337" s="0" t="e">
        <f aca="false">VLOOKUP(Shelf_Life!A337,Demand_Fresh!A335:A429,1,FALSE())</f>
        <v>#N/A</v>
      </c>
      <c r="E337" s="0" t="e">
        <f aca="false">VLOOKUP(Shelf_Life!A337,Demand_Frozen!A332:A450,1,FALSE())</f>
        <v>#N/A</v>
      </c>
    </row>
    <row r="338" customFormat="false" ht="13.8" hidden="false" customHeight="false" outlineLevel="0" collapsed="false">
      <c r="A338" s="0" t="s">
        <v>330</v>
      </c>
      <c r="B338" s="0" t="n">
        <v>3</v>
      </c>
      <c r="C338" s="115" t="n">
        <v>0.112599465882138</v>
      </c>
      <c r="D338" s="0" t="e">
        <f aca="false">VLOOKUP(Shelf_Life!A338,Demand_Fresh!A336:A430,1,FALSE())</f>
        <v>#N/A</v>
      </c>
      <c r="E338" s="0" t="e">
        <f aca="false">VLOOKUP(Shelf_Life!A338,Demand_Frozen!A333:A451,1,FALSE())</f>
        <v>#N/A</v>
      </c>
    </row>
    <row r="339" customFormat="false" ht="13.8" hidden="false" customHeight="false" outlineLevel="0" collapsed="false">
      <c r="A339" s="0" t="s">
        <v>200</v>
      </c>
      <c r="B339" s="0" t="n">
        <v>3</v>
      </c>
      <c r="C339" s="115" t="n">
        <v>0.102363150801944</v>
      </c>
      <c r="D339" s="0" t="e">
        <f aca="false">VLOOKUP(Shelf_Life!A339,Demand_Fresh!A337:A431,1,FALSE())</f>
        <v>#N/A</v>
      </c>
      <c r="E339" s="0" t="e">
        <f aca="false">VLOOKUP(Shelf_Life!A339,Demand_Frozen!A334:A452,1,FALSE())</f>
        <v>#N/A</v>
      </c>
    </row>
    <row r="340" customFormat="false" ht="13.8" hidden="false" customHeight="false" outlineLevel="0" collapsed="false">
      <c r="A340" s="0" t="s">
        <v>1365</v>
      </c>
      <c r="B340" s="0" t="n">
        <v>3</v>
      </c>
      <c r="C340" s="115" t="n">
        <v>0.112599465882138</v>
      </c>
      <c r="D340" s="0" t="e">
        <f aca="false">VLOOKUP(Shelf_Life!A340,Demand_Fresh!A338:A432,1,FALSE())</f>
        <v>#N/A</v>
      </c>
      <c r="E340" s="0" t="e">
        <f aca="false">VLOOKUP(Shelf_Life!A340,Demand_Frozen!A335:A453,1,FALSE())</f>
        <v>#N/A</v>
      </c>
    </row>
    <row r="341" customFormat="false" ht="13.8" hidden="false" customHeight="false" outlineLevel="0" collapsed="false">
      <c r="A341" s="0" t="s">
        <v>806</v>
      </c>
      <c r="B341" s="0" t="n">
        <v>3</v>
      </c>
      <c r="C341" s="115" t="n">
        <v>0.112599465882138</v>
      </c>
      <c r="D341" s="0" t="e">
        <f aca="false">VLOOKUP(Shelf_Life!A341,Demand_Fresh!A339:A433,1,FALSE())</f>
        <v>#N/A</v>
      </c>
      <c r="E341" s="0" t="e">
        <f aca="false">VLOOKUP(Shelf_Life!A341,Demand_Frozen!A336:A454,1,FALSE())</f>
        <v>#N/A</v>
      </c>
    </row>
    <row r="342" customFormat="false" ht="13.8" hidden="false" customHeight="false" outlineLevel="0" collapsed="false">
      <c r="A342" s="0" t="s">
        <v>347</v>
      </c>
      <c r="B342" s="0" t="n">
        <v>3</v>
      </c>
      <c r="C342" s="115" t="n">
        <v>0.112599465882138</v>
      </c>
      <c r="D342" s="0" t="e">
        <f aca="false">VLOOKUP(Shelf_Life!A342,Demand_Fresh!A340:A434,1,FALSE())</f>
        <v>#N/A</v>
      </c>
      <c r="E342" s="0" t="e">
        <f aca="false">VLOOKUP(Shelf_Life!A342,Demand_Frozen!A337:A455,1,FALSE())</f>
        <v>#N/A</v>
      </c>
    </row>
    <row r="343" customFormat="false" ht="13.8" hidden="false" customHeight="false" outlineLevel="0" collapsed="false">
      <c r="A343" s="0" t="s">
        <v>201</v>
      </c>
      <c r="B343" s="0" t="n">
        <v>3</v>
      </c>
      <c r="C343" s="115" t="n">
        <v>0.112599465882138</v>
      </c>
      <c r="D343" s="0" t="e">
        <f aca="false">VLOOKUP(Shelf_Life!A343,Demand_Fresh!A341:A435,1,FALSE())</f>
        <v>#N/A</v>
      </c>
      <c r="E343" s="0" t="e">
        <f aca="false">VLOOKUP(Shelf_Life!A343,Demand_Frozen!A338:A456,1,FALSE())</f>
        <v>#N/A</v>
      </c>
    </row>
    <row r="344" customFormat="false" ht="13.8" hidden="false" customHeight="false" outlineLevel="0" collapsed="false">
      <c r="A344" s="0" t="s">
        <v>331</v>
      </c>
      <c r="B344" s="0" t="n">
        <v>3</v>
      </c>
      <c r="C344" s="115" t="n">
        <v>0.112599465882138</v>
      </c>
      <c r="D344" s="0" t="e">
        <f aca="false">VLOOKUP(Shelf_Life!A344,Demand_Fresh!A342:A436,1,FALSE())</f>
        <v>#N/A</v>
      </c>
      <c r="E344" s="0" t="e">
        <f aca="false">VLOOKUP(Shelf_Life!A344,Demand_Frozen!A339:A457,1,FALSE())</f>
        <v>#N/A</v>
      </c>
    </row>
    <row r="345" customFormat="false" ht="13.8" hidden="false" customHeight="false" outlineLevel="0" collapsed="false">
      <c r="A345" s="0" t="s">
        <v>202</v>
      </c>
      <c r="B345" s="0" t="n">
        <v>3</v>
      </c>
      <c r="C345" s="115" t="n">
        <v>0.128685103865301</v>
      </c>
      <c r="D345" s="0" t="e">
        <f aca="false">VLOOKUP(Shelf_Life!A345,Demand_Fresh!A343:A437,1,FALSE())</f>
        <v>#N/A</v>
      </c>
      <c r="E345" s="0" t="e">
        <f aca="false">VLOOKUP(Shelf_Life!A345,Demand_Frozen!A340:A458,1,FALSE())</f>
        <v>#N/A</v>
      </c>
    </row>
    <row r="346" customFormat="false" ht="13.8" hidden="false" customHeight="false" outlineLevel="0" collapsed="false">
      <c r="A346" s="0" t="s">
        <v>811</v>
      </c>
      <c r="B346" s="0" t="n">
        <v>3</v>
      </c>
      <c r="C346" s="115" t="n">
        <v>0.0900795727057107</v>
      </c>
      <c r="D346" s="0" t="e">
        <f aca="false">VLOOKUP(Shelf_Life!A346,Demand_Fresh!A344:A438,1,FALSE())</f>
        <v>#N/A</v>
      </c>
      <c r="E346" s="0" t="e">
        <f aca="false">VLOOKUP(Shelf_Life!A346,Demand_Frozen!A341:A459,1,FALSE())</f>
        <v>#N/A</v>
      </c>
    </row>
    <row r="347" customFormat="false" ht="13.8" hidden="false" customHeight="false" outlineLevel="0" collapsed="false">
      <c r="A347" s="0" t="s">
        <v>1487</v>
      </c>
      <c r="B347" s="0" t="n">
        <v>3</v>
      </c>
      <c r="C347" s="115" t="n">
        <v>0.0900795727057107</v>
      </c>
      <c r="D347" s="0" t="e">
        <f aca="false">VLOOKUP(Shelf_Life!A347,Demand_Fresh!A345:A439,1,FALSE())</f>
        <v>#N/A</v>
      </c>
      <c r="E347" s="0" t="e">
        <f aca="false">VLOOKUP(Shelf_Life!A347,Demand_Frozen!A342:A460,1,FALSE())</f>
        <v>#N/A</v>
      </c>
    </row>
    <row r="348" customFormat="false" ht="13.8" hidden="false" customHeight="false" outlineLevel="0" collapsed="false">
      <c r="A348" s="0" t="s">
        <v>203</v>
      </c>
      <c r="B348" s="0" t="n">
        <v>3</v>
      </c>
      <c r="C348" s="115" t="n">
        <v>0.07502463023796</v>
      </c>
      <c r="D348" s="0" t="e">
        <f aca="false">VLOOKUP(Shelf_Life!A348,Demand_Fresh!A346:A440,1,FALSE())</f>
        <v>#N/A</v>
      </c>
      <c r="E348" s="0" t="e">
        <f aca="false">VLOOKUP(Shelf_Life!A348,Demand_Frozen!A343:A461,1,FALSE())</f>
        <v>#N/A</v>
      </c>
    </row>
    <row r="349" customFormat="false" ht="13.8" hidden="false" customHeight="false" outlineLevel="0" collapsed="false">
      <c r="A349" s="0" t="s">
        <v>332</v>
      </c>
      <c r="B349" s="0" t="n">
        <v>3</v>
      </c>
      <c r="C349" s="115" t="n">
        <v>0.07502463023796</v>
      </c>
      <c r="D349" s="0" t="e">
        <f aca="false">VLOOKUP(Shelf_Life!A349,Demand_Fresh!A347:A441,1,FALSE())</f>
        <v>#N/A</v>
      </c>
      <c r="E349" s="0" t="e">
        <f aca="false">VLOOKUP(Shelf_Life!A349,Demand_Frozen!A344:A462,1,FALSE())</f>
        <v>#N/A</v>
      </c>
    </row>
    <row r="350" customFormat="false" ht="13.8" hidden="false" customHeight="false" outlineLevel="0" collapsed="false">
      <c r="A350" s="0" t="s">
        <v>204</v>
      </c>
      <c r="B350" s="0" t="n">
        <v>3</v>
      </c>
      <c r="C350" s="115" t="n">
        <v>0.0818905206415552</v>
      </c>
      <c r="D350" s="0" t="e">
        <f aca="false">VLOOKUP(Shelf_Life!A350,Demand_Fresh!A348:A442,1,FALSE())</f>
        <v>#N/A</v>
      </c>
      <c r="E350" s="0" t="e">
        <f aca="false">VLOOKUP(Shelf_Life!A350,Demand_Frozen!A345:A463,1,FALSE())</f>
        <v>#N/A</v>
      </c>
    </row>
    <row r="351" customFormat="false" ht="13.8" hidden="false" customHeight="false" outlineLevel="0" collapsed="false">
      <c r="A351" s="0" t="s">
        <v>205</v>
      </c>
      <c r="B351" s="0" t="n">
        <v>3</v>
      </c>
      <c r="C351" s="115" t="n">
        <v>0.0794819759168035</v>
      </c>
      <c r="D351" s="0" t="e">
        <f aca="false">VLOOKUP(Shelf_Life!A351,Demand_Fresh!A349:A443,1,FALSE())</f>
        <v>#N/A</v>
      </c>
      <c r="E351" s="0" t="e">
        <f aca="false">VLOOKUP(Shelf_Life!A351,Demand_Frozen!A346:A464,1,FALSE())</f>
        <v>#N/A</v>
      </c>
    </row>
    <row r="352" customFormat="false" ht="13.8" hidden="false" customHeight="false" outlineLevel="0" collapsed="false">
      <c r="A352" s="0" t="s">
        <v>333</v>
      </c>
      <c r="B352" s="0" t="n">
        <v>3</v>
      </c>
      <c r="C352" s="115" t="n">
        <v>0.0794819759168035</v>
      </c>
      <c r="D352" s="0" t="e">
        <f aca="false">VLOOKUP(Shelf_Life!A352,Demand_Fresh!A350:A444,1,FALSE())</f>
        <v>#N/A</v>
      </c>
      <c r="E352" s="0" t="e">
        <f aca="false">VLOOKUP(Shelf_Life!A352,Demand_Frozen!A347:A465,1,FALSE())</f>
        <v>#N/A</v>
      </c>
    </row>
    <row r="353" customFormat="false" ht="13.8" hidden="false" customHeight="false" outlineLevel="0" collapsed="false">
      <c r="A353" s="0" t="s">
        <v>206</v>
      </c>
      <c r="B353" s="0" t="n">
        <v>3</v>
      </c>
      <c r="C353" s="115" t="n">
        <v>0.112505711122869</v>
      </c>
      <c r="D353" s="0" t="e">
        <f aca="false">VLOOKUP(Shelf_Life!A353,Demand_Fresh!A351:A445,1,FALSE())</f>
        <v>#N/A</v>
      </c>
      <c r="E353" s="0" t="e">
        <f aca="false">VLOOKUP(Shelf_Life!A353,Demand_Frozen!A348:A466,1,FALSE())</f>
        <v>#N/A</v>
      </c>
    </row>
    <row r="354" customFormat="false" ht="13.8" hidden="false" customHeight="false" outlineLevel="0" collapsed="false">
      <c r="A354" s="0" t="s">
        <v>207</v>
      </c>
      <c r="B354" s="0" t="n">
        <v>3</v>
      </c>
      <c r="C354" s="115" t="n">
        <v>0.112505711122869</v>
      </c>
      <c r="D354" s="0" t="e">
        <f aca="false">VLOOKUP(Shelf_Life!A354,Demand_Fresh!A352:A446,1,FALSE())</f>
        <v>#N/A</v>
      </c>
      <c r="E354" s="0" t="e">
        <f aca="false">VLOOKUP(Shelf_Life!A354,Demand_Frozen!A349:A467,1,FALSE())</f>
        <v>#N/A</v>
      </c>
    </row>
    <row r="355" customFormat="false" ht="13.8" hidden="false" customHeight="false" outlineLevel="0" collapsed="false">
      <c r="A355" s="0" t="s">
        <v>335</v>
      </c>
      <c r="B355" s="0" t="n">
        <v>3</v>
      </c>
      <c r="C355" s="115" t="n">
        <v>0.112505711122869</v>
      </c>
      <c r="D355" s="0" t="e">
        <f aca="false">VLOOKUP(Shelf_Life!A355,Demand_Fresh!A353:A447,1,FALSE())</f>
        <v>#N/A</v>
      </c>
      <c r="E355" s="0" t="e">
        <f aca="false">VLOOKUP(Shelf_Life!A355,Demand_Frozen!A350:A468,1,FALSE())</f>
        <v>#N/A</v>
      </c>
    </row>
    <row r="356" customFormat="false" ht="13.8" hidden="false" customHeight="false" outlineLevel="0" collapsed="false">
      <c r="A356" s="0" t="s">
        <v>336</v>
      </c>
      <c r="B356" s="0" t="n">
        <v>3</v>
      </c>
      <c r="C356" s="115" t="n">
        <v>0.11499519919878</v>
      </c>
      <c r="D356" s="0" t="e">
        <f aca="false">VLOOKUP(Shelf_Life!A356,Demand_Fresh!A354:A448,1,FALSE())</f>
        <v>#N/A</v>
      </c>
      <c r="E356" s="0" t="e">
        <f aca="false">VLOOKUP(Shelf_Life!A356,Demand_Frozen!A351:A469,1,FALSE())</f>
        <v>#N/A</v>
      </c>
    </row>
    <row r="357" customFormat="false" ht="13.8" hidden="false" customHeight="false" outlineLevel="0" collapsed="false">
      <c r="A357" s="0" t="s">
        <v>208</v>
      </c>
      <c r="B357" s="0" t="n">
        <v>3</v>
      </c>
      <c r="C357" s="115" t="n">
        <v>0.0900195596659334</v>
      </c>
      <c r="D357" s="0" t="e">
        <f aca="false">VLOOKUP(Shelf_Life!A357,Demand_Fresh!A355:A449,1,FALSE())</f>
        <v>#N/A</v>
      </c>
      <c r="E357" s="0" t="e">
        <f aca="false">VLOOKUP(Shelf_Life!A357,Demand_Frozen!A352:A470,1,FALSE())</f>
        <v>#N/A</v>
      </c>
    </row>
    <row r="358" customFormat="false" ht="13.8" hidden="false" customHeight="false" outlineLevel="0" collapsed="false">
      <c r="A358" s="0" t="s">
        <v>337</v>
      </c>
      <c r="B358" s="0" t="n">
        <v>3</v>
      </c>
      <c r="C358" s="115" t="n">
        <v>0.0900195596659334</v>
      </c>
      <c r="D358" s="0" t="e">
        <f aca="false">VLOOKUP(Shelf_Life!A358,Demand_Fresh!A356:A450,1,FALSE())</f>
        <v>#N/A</v>
      </c>
      <c r="E358" s="0" t="e">
        <f aca="false">VLOOKUP(Shelf_Life!A358,Demand_Frozen!A353:A471,1,FALSE())</f>
        <v>#N/A</v>
      </c>
    </row>
    <row r="359" customFormat="false" ht="13.8" hidden="false" customHeight="false" outlineLevel="0" collapsed="false">
      <c r="A359" s="0" t="s">
        <v>209</v>
      </c>
      <c r="B359" s="0" t="n">
        <v>3</v>
      </c>
      <c r="C359" s="115" t="n">
        <v>0.0900195596659334</v>
      </c>
      <c r="D359" s="0" t="e">
        <f aca="false">VLOOKUP(Shelf_Life!A359,Demand_Fresh!A357:A451,1,FALSE())</f>
        <v>#N/A</v>
      </c>
      <c r="E359" s="0" t="e">
        <f aca="false">VLOOKUP(Shelf_Life!A359,Demand_Frozen!A354:A472,1,FALSE())</f>
        <v>#N/A</v>
      </c>
    </row>
    <row r="360" customFormat="false" ht="13.8" hidden="false" customHeight="false" outlineLevel="0" collapsed="false">
      <c r="A360" s="0" t="s">
        <v>338</v>
      </c>
      <c r="B360" s="0" t="n">
        <v>3</v>
      </c>
      <c r="C360" s="115" t="n">
        <v>0.0900195596659334</v>
      </c>
      <c r="D360" s="0" t="e">
        <f aca="false">VLOOKUP(Shelf_Life!A360,Demand_Fresh!A358:A452,1,FALSE())</f>
        <v>#N/A</v>
      </c>
      <c r="E360" s="0" t="e">
        <f aca="false">VLOOKUP(Shelf_Life!A360,Demand_Frozen!A355:A473,1,FALSE())</f>
        <v>#N/A</v>
      </c>
    </row>
    <row r="361" customFormat="false" ht="13.8" hidden="false" customHeight="false" outlineLevel="0" collapsed="false">
      <c r="A361" s="0" t="s">
        <v>210</v>
      </c>
      <c r="B361" s="0" t="n">
        <v>3</v>
      </c>
      <c r="C361" s="115" t="n">
        <v>0.0900795727057107</v>
      </c>
      <c r="D361" s="0" t="e">
        <f aca="false">VLOOKUP(Shelf_Life!A361,Demand_Fresh!A359:A453,1,FALSE())</f>
        <v>#N/A</v>
      </c>
      <c r="E361" s="0" t="e">
        <f aca="false">VLOOKUP(Shelf_Life!A361,Demand_Frozen!A356:A474,1,FALSE())</f>
        <v>#N/A</v>
      </c>
    </row>
    <row r="362" customFormat="false" ht="13.8" hidden="false" customHeight="false" outlineLevel="0" collapsed="false">
      <c r="A362" s="0" t="s">
        <v>1488</v>
      </c>
      <c r="B362" s="0" t="n">
        <v>3</v>
      </c>
      <c r="C362" s="115" t="n">
        <v>0.0759097522800932</v>
      </c>
      <c r="D362" s="0" t="e">
        <f aca="false">VLOOKUP(Shelf_Life!A362,Demand_Fresh!A360:A454,1,FALSE())</f>
        <v>#N/A</v>
      </c>
      <c r="E362" s="0" t="e">
        <f aca="false">VLOOKUP(Shelf_Life!A362,Demand_Frozen!A357:A475,1,FALSE())</f>
        <v>#N/A</v>
      </c>
    </row>
    <row r="363" customFormat="false" ht="13.8" hidden="false" customHeight="false" outlineLevel="0" collapsed="false">
      <c r="A363" s="0" t="s">
        <v>1489</v>
      </c>
      <c r="B363" s="0" t="n">
        <v>3</v>
      </c>
      <c r="C363" s="115" t="n">
        <v>0.0759097522800932</v>
      </c>
      <c r="D363" s="0" t="e">
        <f aca="false">VLOOKUP(Shelf_Life!A363,Demand_Fresh!A361:A455,1,FALSE())</f>
        <v>#N/A</v>
      </c>
      <c r="E363" s="0" t="e">
        <f aca="false">VLOOKUP(Shelf_Life!A363,Demand_Frozen!A358:A476,1,FALSE())</f>
        <v>#N/A</v>
      </c>
    </row>
    <row r="364" customFormat="false" ht="13.8" hidden="false" customHeight="false" outlineLevel="0" collapsed="false">
      <c r="A364" s="0" t="s">
        <v>212</v>
      </c>
      <c r="B364" s="0" t="n">
        <v>3</v>
      </c>
      <c r="C364" s="115" t="n">
        <v>0.102363150801944</v>
      </c>
      <c r="D364" s="0" t="e">
        <f aca="false">VLOOKUP(Shelf_Life!A364,Demand_Fresh!A362:A456,1,FALSE())</f>
        <v>#N/A</v>
      </c>
      <c r="E364" s="0" t="e">
        <f aca="false">VLOOKUP(Shelf_Life!A364,Demand_Frozen!A359:A477,1,FALSE())</f>
        <v>#N/A</v>
      </c>
    </row>
    <row r="365" customFormat="false" ht="13.8" hidden="false" customHeight="false" outlineLevel="0" collapsed="false">
      <c r="A365" s="0" t="s">
        <v>340</v>
      </c>
      <c r="B365" s="0" t="n">
        <v>3</v>
      </c>
      <c r="C365" s="115" t="n">
        <v>0.102363150801944</v>
      </c>
      <c r="D365" s="0" t="e">
        <f aca="false">VLOOKUP(Shelf_Life!A365,Demand_Fresh!A363:A457,1,FALSE())</f>
        <v>#N/A</v>
      </c>
      <c r="E365" s="0" t="e">
        <f aca="false">VLOOKUP(Shelf_Life!A365,Demand_Frozen!A360:A478,1,FALSE())</f>
        <v>#N/A</v>
      </c>
    </row>
    <row r="366" customFormat="false" ht="13.8" hidden="false" customHeight="false" outlineLevel="0" collapsed="false">
      <c r="A366" s="0" t="s">
        <v>213</v>
      </c>
      <c r="B366" s="0" t="n">
        <v>3</v>
      </c>
      <c r="C366" s="115" t="n">
        <v>0.118525753560146</v>
      </c>
      <c r="D366" s="0" t="e">
        <f aca="false">VLOOKUP(Shelf_Life!A366,Demand_Fresh!A364:A458,1,FALSE())</f>
        <v>#N/A</v>
      </c>
      <c r="E366" s="0" t="e">
        <f aca="false">VLOOKUP(Shelf_Life!A366,Demand_Frozen!A361:A479,1,FALSE())</f>
        <v>#N/A</v>
      </c>
    </row>
    <row r="367" customFormat="false" ht="13.8" hidden="false" customHeight="false" outlineLevel="0" collapsed="false">
      <c r="A367" s="0" t="s">
        <v>341</v>
      </c>
      <c r="B367" s="0" t="n">
        <v>3</v>
      </c>
      <c r="C367" s="115" t="n">
        <v>0.118525753560146</v>
      </c>
      <c r="D367" s="0" t="e">
        <f aca="false">VLOOKUP(Shelf_Life!A367,Demand_Fresh!A365:A459,1,FALSE())</f>
        <v>#N/A</v>
      </c>
      <c r="E367" s="0" t="e">
        <f aca="false">VLOOKUP(Shelf_Life!A367,Demand_Frozen!A362:A480,1,FALSE())</f>
        <v>#N/A</v>
      </c>
    </row>
    <row r="368" customFormat="false" ht="13.8" hidden="false" customHeight="false" outlineLevel="0" collapsed="false">
      <c r="A368" s="0" t="s">
        <v>1490</v>
      </c>
      <c r="B368" s="0" t="n">
        <v>3</v>
      </c>
      <c r="C368" s="115" t="n">
        <v>0.118525753560146</v>
      </c>
      <c r="D368" s="0" t="e">
        <f aca="false">VLOOKUP(Shelf_Life!A368,Demand_Fresh!A366:A460,1,FALSE())</f>
        <v>#N/A</v>
      </c>
      <c r="E368" s="0" t="e">
        <f aca="false">VLOOKUP(Shelf_Life!A368,Demand_Frozen!A363:A481,1,FALSE())</f>
        <v>#N/A</v>
      </c>
    </row>
    <row r="369" customFormat="false" ht="13.8" hidden="false" customHeight="false" outlineLevel="0" collapsed="false">
      <c r="A369" s="0" t="s">
        <v>1491</v>
      </c>
      <c r="B369" s="0" t="n">
        <v>3</v>
      </c>
      <c r="C369" s="115" t="n">
        <v>0.118525753560146</v>
      </c>
      <c r="D369" s="0" t="e">
        <f aca="false">VLOOKUP(Shelf_Life!A369,Demand_Fresh!A367:A461,1,FALSE())</f>
        <v>#N/A</v>
      </c>
      <c r="E369" s="0" t="e">
        <f aca="false">VLOOKUP(Shelf_Life!A369,Demand_Frozen!A364:A482,1,FALSE())</f>
        <v>#N/A</v>
      </c>
    </row>
  </sheetData>
  <autoFilter ref="A1:C369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D44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RowHeight="13.8"/>
  <cols>
    <col collapsed="false" hidden="false" max="1" min="1" style="0" width="18.5303643724696"/>
    <col collapsed="false" hidden="false" max="2" min="2" style="0" width="13.3886639676113"/>
    <col collapsed="false" hidden="false" max="20" min="3" style="0" width="9.10526315789474"/>
    <col collapsed="false" hidden="false" max="21" min="21" style="0" width="16.497975708502"/>
    <col collapsed="false" hidden="false" max="1025" min="22" style="0" width="9.10526315789474"/>
  </cols>
  <sheetData>
    <row r="1" customFormat="false" ht="13.8" hidden="false" customHeight="false" outlineLevel="0" collapsed="false">
      <c r="A1" s="76" t="s">
        <v>119</v>
      </c>
      <c r="B1" s="91" t="s">
        <v>1440</v>
      </c>
      <c r="C1" s="87" t="n">
        <v>1.3</v>
      </c>
      <c r="D1" s="87" t="n">
        <v>1.35</v>
      </c>
      <c r="E1" s="87" t="n">
        <v>1.4</v>
      </c>
      <c r="F1" s="87" t="n">
        <v>1.45</v>
      </c>
      <c r="G1" s="88" t="n">
        <v>1.5</v>
      </c>
      <c r="H1" s="88" t="n">
        <v>1.55</v>
      </c>
      <c r="I1" s="88" t="n">
        <v>1.6</v>
      </c>
      <c r="J1" s="88" t="n">
        <v>1.65</v>
      </c>
      <c r="K1" s="89" t="n">
        <v>1.7</v>
      </c>
      <c r="L1" s="89" t="n">
        <v>1.75</v>
      </c>
      <c r="M1" s="89" t="n">
        <v>1.8</v>
      </c>
      <c r="N1" s="89" t="n">
        <v>1.85</v>
      </c>
      <c r="O1" s="90" t="n">
        <v>1.9</v>
      </c>
      <c r="P1" s="90" t="n">
        <v>1.95</v>
      </c>
      <c r="Q1" s="90" t="n">
        <v>2</v>
      </c>
      <c r="R1" s="90" t="n">
        <v>2.05</v>
      </c>
      <c r="S1" s="90" t="n">
        <v>2.1</v>
      </c>
      <c r="T1" s="0" t="n">
        <v>2.15</v>
      </c>
      <c r="U1" s="0" t="n">
        <v>2.2</v>
      </c>
      <c r="V1" s="0" t="n">
        <v>2.25</v>
      </c>
      <c r="W1" s="0" t="n">
        <v>2.3</v>
      </c>
      <c r="X1" s="0" t="n">
        <v>2.35</v>
      </c>
      <c r="Y1" s="0" t="n">
        <v>2.4</v>
      </c>
      <c r="Z1" s="0" t="n">
        <v>2.45</v>
      </c>
      <c r="AA1" s="0" t="n">
        <v>2.5</v>
      </c>
      <c r="AB1" s="0" t="n">
        <v>2.55</v>
      </c>
      <c r="AC1" s="0" t="n">
        <v>2.6</v>
      </c>
      <c r="AD1" s="91" t="s">
        <v>1492</v>
      </c>
    </row>
    <row r="2" customFormat="false" ht="13.8" hidden="false" customHeight="false" outlineLevel="0" collapsed="false">
      <c r="A2" s="117" t="s">
        <v>185</v>
      </c>
      <c r="B2" s="94" t="n">
        <v>35</v>
      </c>
      <c r="G2" s="0" t="n">
        <v>1.1025</v>
      </c>
      <c r="H2" s="0" t="n">
        <v>1.13925</v>
      </c>
      <c r="I2" s="0" t="n">
        <v>1.176</v>
      </c>
      <c r="J2" s="0" t="n">
        <v>1.21275</v>
      </c>
      <c r="K2" s="0" t="n">
        <v>1.2495</v>
      </c>
      <c r="L2" s="0" t="n">
        <v>1.28625</v>
      </c>
      <c r="AD2" s="118" t="n">
        <v>100</v>
      </c>
    </row>
    <row r="3" customFormat="false" ht="13.8" hidden="false" customHeight="false" outlineLevel="0" collapsed="false">
      <c r="A3" s="117" t="s">
        <v>188</v>
      </c>
      <c r="B3" s="94" t="n">
        <v>35</v>
      </c>
      <c r="G3" s="0" t="n">
        <v>1.1025</v>
      </c>
      <c r="H3" s="0" t="n">
        <v>1.13925</v>
      </c>
      <c r="I3" s="0" t="n">
        <v>1.176</v>
      </c>
      <c r="J3" s="0" t="n">
        <v>1.21275</v>
      </c>
      <c r="K3" s="0" t="n">
        <v>1.2495</v>
      </c>
      <c r="L3" s="0" t="n">
        <v>1.28625</v>
      </c>
      <c r="AD3" s="118" t="n">
        <v>100</v>
      </c>
    </row>
    <row r="4" customFormat="false" ht="13.8" hidden="false" customHeight="false" outlineLevel="0" collapsed="false">
      <c r="A4" s="117" t="s">
        <v>190</v>
      </c>
      <c r="B4" s="94" t="n">
        <v>35</v>
      </c>
      <c r="G4" s="0" t="n">
        <v>1.1025</v>
      </c>
      <c r="H4" s="0" t="n">
        <v>1.13925</v>
      </c>
      <c r="I4" s="0" t="n">
        <v>1.176</v>
      </c>
      <c r="J4" s="0" t="n">
        <v>1.21275</v>
      </c>
      <c r="K4" s="0" t="n">
        <v>1.2495</v>
      </c>
      <c r="L4" s="0" t="n">
        <v>1.28625</v>
      </c>
      <c r="AD4" s="118" t="n">
        <v>100</v>
      </c>
    </row>
    <row r="5" customFormat="false" ht="13.8" hidden="false" customHeight="false" outlineLevel="0" collapsed="false">
      <c r="A5" s="117" t="s">
        <v>192</v>
      </c>
      <c r="B5" s="94" t="n">
        <v>35</v>
      </c>
      <c r="G5" s="0" t="n">
        <v>1.1025</v>
      </c>
      <c r="H5" s="0" t="n">
        <v>1.13925</v>
      </c>
      <c r="I5" s="0" t="n">
        <v>1.176</v>
      </c>
      <c r="J5" s="0" t="n">
        <v>1.21275</v>
      </c>
      <c r="K5" s="0" t="n">
        <v>1.2495</v>
      </c>
      <c r="L5" s="0" t="n">
        <v>1.28625</v>
      </c>
      <c r="AD5" s="118" t="n">
        <v>100</v>
      </c>
    </row>
    <row r="6" customFormat="false" ht="13.8" hidden="false" customHeight="false" outlineLevel="0" collapsed="false">
      <c r="A6" s="117" t="s">
        <v>193</v>
      </c>
      <c r="B6" s="94" t="n">
        <v>35</v>
      </c>
      <c r="G6" s="0" t="n">
        <v>1.1025</v>
      </c>
      <c r="H6" s="0" t="n">
        <v>1.13925</v>
      </c>
      <c r="I6" s="0" t="n">
        <v>1.176</v>
      </c>
      <c r="J6" s="0" t="n">
        <v>1.21275</v>
      </c>
      <c r="K6" s="0" t="n">
        <v>1.2495</v>
      </c>
      <c r="L6" s="0" t="n">
        <v>1.28625</v>
      </c>
      <c r="AD6" s="118" t="n">
        <v>100</v>
      </c>
    </row>
    <row r="7" customFormat="false" ht="13.8" hidden="false" customHeight="false" outlineLevel="0" collapsed="false">
      <c r="A7" s="52" t="s">
        <v>323</v>
      </c>
      <c r="B7" s="94" t="n">
        <v>35</v>
      </c>
      <c r="J7" s="0" t="n">
        <v>1.21275</v>
      </c>
      <c r="K7" s="0" t="n">
        <v>1.2495</v>
      </c>
      <c r="L7" s="0" t="n">
        <v>1.28625</v>
      </c>
      <c r="M7" s="0" t="n">
        <v>1.323</v>
      </c>
      <c r="AD7" s="118" t="n">
        <v>100</v>
      </c>
    </row>
    <row r="8" customFormat="false" ht="13.8" hidden="false" customHeight="false" outlineLevel="0" collapsed="false">
      <c r="A8" s="117" t="s">
        <v>182</v>
      </c>
      <c r="B8" s="94" t="n">
        <v>35</v>
      </c>
      <c r="G8" s="0" t="n">
        <v>1.1025</v>
      </c>
      <c r="H8" s="0" t="n">
        <v>1.13925</v>
      </c>
      <c r="I8" s="0" t="n">
        <v>1.176</v>
      </c>
      <c r="J8" s="0" t="n">
        <v>1.21275</v>
      </c>
      <c r="K8" s="0" t="n">
        <v>1.2495</v>
      </c>
      <c r="L8" s="0" t="n">
        <v>1.28625</v>
      </c>
      <c r="AD8" s="118" t="n">
        <v>102.5</v>
      </c>
    </row>
    <row r="9" customFormat="false" ht="13.8" hidden="false" customHeight="false" outlineLevel="0" collapsed="false">
      <c r="A9" s="117" t="s">
        <v>189</v>
      </c>
      <c r="B9" s="94" t="n">
        <v>35</v>
      </c>
      <c r="G9" s="0" t="n">
        <v>1.1025</v>
      </c>
      <c r="H9" s="0" t="n">
        <v>1.13925</v>
      </c>
      <c r="I9" s="0" t="n">
        <v>1.176</v>
      </c>
      <c r="J9" s="0" t="n">
        <v>1.21275</v>
      </c>
      <c r="K9" s="0" t="n">
        <v>1.2495</v>
      </c>
      <c r="L9" s="0" t="n">
        <v>1.28625</v>
      </c>
      <c r="AD9" s="118" t="n">
        <v>102.5</v>
      </c>
    </row>
    <row r="10" customFormat="false" ht="13.8" hidden="false" customHeight="false" outlineLevel="0" collapsed="false">
      <c r="A10" s="52" t="s">
        <v>320</v>
      </c>
      <c r="B10" s="94" t="n">
        <v>35</v>
      </c>
      <c r="G10" s="0" t="n">
        <v>1.1025</v>
      </c>
      <c r="H10" s="0" t="n">
        <v>1.13925</v>
      </c>
      <c r="I10" s="0" t="n">
        <v>1.176</v>
      </c>
      <c r="J10" s="0" t="n">
        <v>1.21275</v>
      </c>
      <c r="K10" s="0" t="n">
        <v>1.2495</v>
      </c>
      <c r="L10" s="0" t="n">
        <v>1.28625</v>
      </c>
      <c r="AD10" s="118" t="n">
        <v>102.5</v>
      </c>
    </row>
    <row r="11" customFormat="false" ht="13.8" hidden="false" customHeight="false" outlineLevel="0" collapsed="false">
      <c r="A11" s="117" t="s">
        <v>181</v>
      </c>
      <c r="B11" s="94" t="n">
        <v>35</v>
      </c>
      <c r="G11" s="0" t="n">
        <v>1.1025</v>
      </c>
      <c r="H11" s="0" t="n">
        <v>1.13925</v>
      </c>
      <c r="I11" s="0" t="n">
        <v>1.176</v>
      </c>
      <c r="J11" s="0" t="n">
        <v>1.21275</v>
      </c>
      <c r="K11" s="0" t="n">
        <v>1.2495</v>
      </c>
      <c r="L11" s="0" t="n">
        <v>1.28625</v>
      </c>
      <c r="AD11" s="118" t="n">
        <v>103.5</v>
      </c>
    </row>
    <row r="12" customFormat="false" ht="13.8" hidden="false" customHeight="false" outlineLevel="0" collapsed="false">
      <c r="A12" s="117" t="s">
        <v>186</v>
      </c>
      <c r="B12" s="94" t="n">
        <v>35</v>
      </c>
      <c r="G12" s="0" t="n">
        <v>1.1025</v>
      </c>
      <c r="H12" s="0" t="n">
        <v>1.13925</v>
      </c>
      <c r="I12" s="0" t="n">
        <v>1.176</v>
      </c>
      <c r="J12" s="0" t="n">
        <v>1.21275</v>
      </c>
      <c r="K12" s="0" t="n">
        <v>1.2495</v>
      </c>
      <c r="L12" s="0" t="n">
        <v>1.28625</v>
      </c>
      <c r="AD12" s="118" t="n">
        <v>103.5</v>
      </c>
    </row>
    <row r="13" customFormat="false" ht="13.8" hidden="false" customHeight="false" outlineLevel="0" collapsed="false">
      <c r="A13" s="117" t="s">
        <v>191</v>
      </c>
      <c r="B13" s="94" t="n">
        <v>35</v>
      </c>
      <c r="G13" s="0" t="n">
        <v>1.1025</v>
      </c>
      <c r="H13" s="0" t="n">
        <v>1.13925</v>
      </c>
      <c r="I13" s="0" t="n">
        <v>1.176</v>
      </c>
      <c r="J13" s="0" t="n">
        <v>1.21275</v>
      </c>
      <c r="K13" s="0" t="n">
        <v>1.2495</v>
      </c>
      <c r="L13" s="0" t="n">
        <v>1.28625</v>
      </c>
      <c r="AD13" s="118" t="n">
        <v>103.5</v>
      </c>
    </row>
    <row r="14" customFormat="false" ht="13.8" hidden="false" customHeight="false" outlineLevel="0" collapsed="false">
      <c r="A14" s="117" t="s">
        <v>194</v>
      </c>
      <c r="B14" s="94" t="n">
        <v>35</v>
      </c>
      <c r="G14" s="0" t="n">
        <v>1.1025</v>
      </c>
      <c r="H14" s="0" t="n">
        <v>1.13925</v>
      </c>
      <c r="I14" s="0" t="n">
        <v>1.176</v>
      </c>
      <c r="J14" s="0" t="n">
        <v>1.21275</v>
      </c>
      <c r="K14" s="0" t="n">
        <v>1.2495</v>
      </c>
      <c r="L14" s="0" t="n">
        <v>1.28625</v>
      </c>
      <c r="AD14" s="118" t="n">
        <v>103.5</v>
      </c>
    </row>
    <row r="15" customFormat="false" ht="13.8" hidden="false" customHeight="false" outlineLevel="0" collapsed="false">
      <c r="A15" s="52" t="s">
        <v>318</v>
      </c>
      <c r="B15" s="94" t="n">
        <v>35</v>
      </c>
      <c r="G15" s="0" t="n">
        <v>1.1025</v>
      </c>
      <c r="H15" s="0" t="n">
        <v>1.13925</v>
      </c>
      <c r="I15" s="0" t="n">
        <v>1.176</v>
      </c>
      <c r="J15" s="0" t="n">
        <v>1.21275</v>
      </c>
      <c r="K15" s="0" t="n">
        <v>1.2495</v>
      </c>
      <c r="L15" s="0" t="n">
        <v>1.28625</v>
      </c>
      <c r="AD15" s="118" t="n">
        <v>103.5</v>
      </c>
    </row>
    <row r="16" customFormat="false" ht="13.8" hidden="false" customHeight="false" outlineLevel="0" collapsed="false">
      <c r="A16" s="52" t="s">
        <v>324</v>
      </c>
      <c r="B16" s="94" t="n">
        <v>35</v>
      </c>
      <c r="G16" s="0" t="n">
        <v>1.1025</v>
      </c>
      <c r="H16" s="0" t="n">
        <v>1.13925</v>
      </c>
      <c r="I16" s="0" t="n">
        <v>1.176</v>
      </c>
      <c r="J16" s="0" t="n">
        <v>1.21275</v>
      </c>
      <c r="K16" s="0" t="n">
        <v>1.2495</v>
      </c>
      <c r="L16" s="0" t="n">
        <v>1.28625</v>
      </c>
      <c r="AD16" s="118" t="n">
        <v>103.5</v>
      </c>
    </row>
    <row r="17" customFormat="false" ht="13.8" hidden="false" customHeight="false" outlineLevel="0" collapsed="false">
      <c r="A17" s="117" t="s">
        <v>187</v>
      </c>
      <c r="B17" s="94" t="n">
        <v>35</v>
      </c>
      <c r="G17" s="0" t="n">
        <v>1.1025</v>
      </c>
      <c r="H17" s="0" t="n">
        <v>1.13925</v>
      </c>
      <c r="I17" s="0" t="n">
        <v>1.176</v>
      </c>
      <c r="J17" s="0" t="n">
        <v>1.21275</v>
      </c>
      <c r="K17" s="0" t="n">
        <v>1.2495</v>
      </c>
      <c r="L17" s="0" t="n">
        <v>1.28625</v>
      </c>
      <c r="AD17" s="118" t="n">
        <v>104.5</v>
      </c>
    </row>
    <row r="18" customFormat="false" ht="13.8" hidden="false" customHeight="false" outlineLevel="0" collapsed="false">
      <c r="A18" s="52" t="s">
        <v>319</v>
      </c>
      <c r="B18" s="94" t="n">
        <v>35</v>
      </c>
      <c r="G18" s="0" t="n">
        <v>1.1025</v>
      </c>
      <c r="H18" s="0" t="n">
        <v>1.13925</v>
      </c>
      <c r="I18" s="0" t="n">
        <v>1.176</v>
      </c>
      <c r="J18" s="0" t="n">
        <v>1.21275</v>
      </c>
      <c r="K18" s="0" t="n">
        <v>1.2495</v>
      </c>
      <c r="L18" s="0" t="n">
        <v>1.28625</v>
      </c>
      <c r="AD18" s="118" t="n">
        <v>104.5</v>
      </c>
    </row>
    <row r="19" customFormat="false" ht="13.8" hidden="false" customHeight="false" outlineLevel="0" collapsed="false">
      <c r="A19" s="117" t="s">
        <v>183</v>
      </c>
      <c r="B19" s="94" t="n">
        <v>36</v>
      </c>
      <c r="L19" s="0" t="n">
        <v>1.28625</v>
      </c>
      <c r="M19" s="0" t="n">
        <v>1.323</v>
      </c>
      <c r="N19" s="0" t="n">
        <v>1.35975</v>
      </c>
      <c r="AD19" s="118" t="n">
        <v>105</v>
      </c>
    </row>
    <row r="20" customFormat="false" ht="13.8" hidden="false" customHeight="false" outlineLevel="0" collapsed="false">
      <c r="A20" s="117" t="s">
        <v>184</v>
      </c>
      <c r="B20" s="94" t="n">
        <v>36</v>
      </c>
      <c r="J20" s="0" t="n">
        <v>1.21275</v>
      </c>
      <c r="K20" s="0" t="n">
        <v>1.2495</v>
      </c>
      <c r="L20" s="0" t="n">
        <v>1.28625</v>
      </c>
      <c r="M20" s="0" t="n">
        <v>1.323</v>
      </c>
      <c r="AD20" s="118" t="n">
        <v>105</v>
      </c>
    </row>
    <row r="21" customFormat="false" ht="13.8" hidden="false" customHeight="false" outlineLevel="0" collapsed="false">
      <c r="A21" s="52" t="s">
        <v>321</v>
      </c>
      <c r="B21" s="94" t="n">
        <v>35</v>
      </c>
      <c r="L21" s="0" t="n">
        <v>1.28625</v>
      </c>
      <c r="M21" s="0" t="n">
        <v>1.323</v>
      </c>
      <c r="N21" s="0" t="n">
        <v>1.35975</v>
      </c>
      <c r="AD21" s="118" t="n">
        <v>105</v>
      </c>
    </row>
    <row r="22" customFormat="false" ht="13.8" hidden="false" customHeight="false" outlineLevel="0" collapsed="false">
      <c r="A22" s="52" t="s">
        <v>322</v>
      </c>
      <c r="B22" s="94" t="n">
        <v>35</v>
      </c>
      <c r="J22" s="0" t="n">
        <v>1.21275</v>
      </c>
      <c r="K22" s="0" t="n">
        <v>1.2495</v>
      </c>
      <c r="L22" s="0" t="n">
        <v>1.28625</v>
      </c>
      <c r="M22" s="0" t="n">
        <v>1.323</v>
      </c>
      <c r="AD22" s="118" t="n">
        <v>105</v>
      </c>
    </row>
    <row r="23" customFormat="false" ht="13.8" hidden="false" customHeight="false" outlineLevel="0" collapsed="false">
      <c r="A23" s="117" t="s">
        <v>170</v>
      </c>
      <c r="B23" s="94" t="n">
        <v>1</v>
      </c>
      <c r="I23" s="0" t="n">
        <v>1.08</v>
      </c>
      <c r="J23" s="0" t="n">
        <v>1.11375</v>
      </c>
      <c r="K23" s="0" t="n">
        <v>1.1475</v>
      </c>
      <c r="L23" s="0" t="n">
        <v>1.18125</v>
      </c>
      <c r="M23" s="0" t="n">
        <v>1.215</v>
      </c>
      <c r="N23" s="0" t="n">
        <v>1.24875</v>
      </c>
      <c r="AD23" s="118" t="n">
        <v>107</v>
      </c>
    </row>
    <row r="24" customFormat="false" ht="13.8" hidden="false" customHeight="false" outlineLevel="0" collapsed="false">
      <c r="A24" s="117" t="s">
        <v>171</v>
      </c>
      <c r="B24" s="94" t="n">
        <v>1</v>
      </c>
      <c r="I24" s="0" t="n">
        <v>1.08</v>
      </c>
      <c r="J24" s="0" t="n">
        <v>1.11375</v>
      </c>
      <c r="K24" s="0" t="n">
        <v>1.1475</v>
      </c>
      <c r="L24" s="0" t="n">
        <v>1.18125</v>
      </c>
      <c r="M24" s="0" t="n">
        <v>1.215</v>
      </c>
      <c r="N24" s="0" t="n">
        <v>1.24875</v>
      </c>
      <c r="AD24" s="118" t="n">
        <v>107</v>
      </c>
    </row>
    <row r="25" customFormat="false" ht="13.8" hidden="false" customHeight="false" outlineLevel="0" collapsed="false">
      <c r="A25" s="117" t="s">
        <v>169</v>
      </c>
      <c r="B25" s="94" t="n">
        <v>2</v>
      </c>
      <c r="K25" s="0" t="n">
        <v>1.1475</v>
      </c>
      <c r="L25" s="0" t="n">
        <v>1.18125</v>
      </c>
      <c r="M25" s="0" t="n">
        <v>1.215</v>
      </c>
      <c r="N25" s="0" t="n">
        <v>1.24875</v>
      </c>
      <c r="AD25" s="118" t="n">
        <v>111</v>
      </c>
    </row>
    <row r="26" customFormat="false" ht="13.8" hidden="false" customHeight="false" outlineLevel="0" collapsed="false">
      <c r="A26" s="117" t="s">
        <v>196</v>
      </c>
      <c r="B26" s="94" t="n">
        <v>36</v>
      </c>
      <c r="J26" s="0" t="n">
        <v>1.21275</v>
      </c>
      <c r="K26" s="0" t="n">
        <v>1.2495</v>
      </c>
      <c r="L26" s="0" t="n">
        <v>1.28625</v>
      </c>
      <c r="M26" s="0" t="n">
        <v>1.323</v>
      </c>
      <c r="AD26" s="118" t="n">
        <v>113.5</v>
      </c>
    </row>
    <row r="27" customFormat="false" ht="13.8" hidden="false" customHeight="false" outlineLevel="0" collapsed="false">
      <c r="A27" s="117" t="s">
        <v>195</v>
      </c>
      <c r="B27" s="94" t="n">
        <v>35</v>
      </c>
      <c r="J27" s="0" t="n">
        <v>1.21275</v>
      </c>
      <c r="K27" s="0" t="n">
        <v>1.2495</v>
      </c>
      <c r="L27" s="0" t="n">
        <v>1.28625</v>
      </c>
      <c r="M27" s="0" t="n">
        <v>1.323</v>
      </c>
      <c r="AD27" s="118" t="n">
        <v>113.5</v>
      </c>
    </row>
    <row r="28" customFormat="false" ht="13.8" hidden="false" customHeight="false" outlineLevel="0" collapsed="false">
      <c r="A28" s="52" t="s">
        <v>325</v>
      </c>
      <c r="B28" s="94" t="n">
        <v>35</v>
      </c>
      <c r="J28" s="0" t="n">
        <v>1.21275</v>
      </c>
      <c r="K28" s="0" t="n">
        <v>1.2495</v>
      </c>
      <c r="L28" s="0" t="n">
        <v>1.28625</v>
      </c>
      <c r="M28" s="0" t="n">
        <v>1.323</v>
      </c>
      <c r="AD28" s="118" t="n">
        <v>113.5</v>
      </c>
    </row>
    <row r="29" customFormat="false" ht="13.8" hidden="false" customHeight="false" outlineLevel="0" collapsed="false">
      <c r="A29" s="0" t="s">
        <v>1136</v>
      </c>
      <c r="B29" s="64" t="n">
        <v>1</v>
      </c>
      <c r="C29" s="98"/>
      <c r="D29" s="98"/>
      <c r="E29" s="98"/>
      <c r="F29" s="98"/>
      <c r="G29" s="99"/>
      <c r="H29" s="99"/>
      <c r="I29" s="99" t="n">
        <v>1.08</v>
      </c>
      <c r="J29" s="99" t="n">
        <v>1.11375</v>
      </c>
      <c r="K29" s="86" t="n">
        <v>1.1475</v>
      </c>
      <c r="L29" s="86" t="n">
        <v>1.18125</v>
      </c>
      <c r="M29" s="86" t="n">
        <v>1.215</v>
      </c>
      <c r="N29" s="86" t="n">
        <v>1.24875</v>
      </c>
      <c r="O29" s="83"/>
      <c r="P29" s="83"/>
      <c r="Q29" s="83"/>
      <c r="R29" s="83"/>
      <c r="S29" s="83"/>
      <c r="U29" s="93"/>
    </row>
    <row r="30" customFormat="false" ht="13.8" hidden="false" customHeight="false" outlineLevel="0" collapsed="false">
      <c r="A30" s="0" t="s">
        <v>255</v>
      </c>
      <c r="B30" s="64" t="n">
        <v>1</v>
      </c>
      <c r="C30" s="98"/>
      <c r="D30" s="98"/>
      <c r="E30" s="98"/>
      <c r="F30" s="98"/>
      <c r="G30" s="99"/>
      <c r="H30" s="99"/>
      <c r="I30" s="99"/>
      <c r="J30" s="99" t="n">
        <v>1.11375</v>
      </c>
      <c r="K30" s="86" t="n">
        <v>1.1475</v>
      </c>
      <c r="L30" s="86" t="n">
        <v>1.18125</v>
      </c>
      <c r="M30" s="86" t="n">
        <v>1.215</v>
      </c>
      <c r="N30" s="86" t="n">
        <v>1.24875</v>
      </c>
      <c r="O30" s="83"/>
      <c r="P30" s="83"/>
      <c r="Q30" s="83"/>
      <c r="R30" s="83"/>
      <c r="S30" s="83"/>
      <c r="U30" s="93"/>
    </row>
    <row r="31" customFormat="false" ht="13.8" hidden="false" customHeight="false" outlineLevel="0" collapsed="false">
      <c r="A31" s="0" t="s">
        <v>133</v>
      </c>
      <c r="B31" s="64" t="n">
        <v>1</v>
      </c>
      <c r="C31" s="98"/>
      <c r="D31" s="98"/>
      <c r="E31" s="98"/>
      <c r="F31" s="98" t="n">
        <v>0.97875</v>
      </c>
      <c r="G31" s="99" t="n">
        <v>1.0125</v>
      </c>
      <c r="H31" s="99" t="n">
        <v>1.04625</v>
      </c>
      <c r="I31" s="99" t="n">
        <v>1.08</v>
      </c>
      <c r="J31" s="99" t="n">
        <v>1.11375</v>
      </c>
      <c r="K31" s="101" t="n">
        <v>1.1475</v>
      </c>
      <c r="L31" s="101" t="n">
        <v>1.18125</v>
      </c>
      <c r="M31" s="101" t="n">
        <v>1.215</v>
      </c>
      <c r="N31" s="101" t="n">
        <v>1.24875</v>
      </c>
      <c r="O31" s="102"/>
      <c r="P31" s="102"/>
      <c r="Q31" s="102"/>
      <c r="R31" s="102"/>
      <c r="S31" s="102"/>
      <c r="U31" s="93"/>
    </row>
    <row r="32" customFormat="false" ht="13.8" hidden="false" customHeight="false" outlineLevel="0" collapsed="false">
      <c r="A32" s="0" t="s">
        <v>254</v>
      </c>
      <c r="B32" s="64" t="n">
        <v>1</v>
      </c>
      <c r="C32" s="98"/>
      <c r="D32" s="98"/>
      <c r="E32" s="98"/>
      <c r="F32" s="98" t="n">
        <v>0.97875</v>
      </c>
      <c r="G32" s="99" t="n">
        <v>1.0125</v>
      </c>
      <c r="H32" s="99" t="n">
        <v>1.04625</v>
      </c>
      <c r="I32" s="99" t="n">
        <v>1.08</v>
      </c>
      <c r="J32" s="99" t="n">
        <v>1.11375</v>
      </c>
      <c r="K32" s="101" t="n">
        <v>1.1475</v>
      </c>
      <c r="L32" s="101" t="n">
        <v>1.18125</v>
      </c>
      <c r="M32" s="101" t="n">
        <v>1.215</v>
      </c>
      <c r="N32" s="101" t="n">
        <v>1.24875</v>
      </c>
      <c r="O32" s="102"/>
      <c r="P32" s="102"/>
      <c r="Q32" s="102"/>
      <c r="R32" s="102"/>
      <c r="S32" s="102"/>
      <c r="U32" s="93"/>
    </row>
    <row r="33" customFormat="false" ht="13.8" hidden="false" customHeight="false" outlineLevel="0" collapsed="false">
      <c r="A33" s="0" t="s">
        <v>134</v>
      </c>
      <c r="B33" s="64" t="n">
        <v>1</v>
      </c>
      <c r="C33" s="98"/>
      <c r="D33" s="98"/>
      <c r="E33" s="98"/>
      <c r="F33" s="98"/>
      <c r="G33" s="99"/>
      <c r="H33" s="99"/>
      <c r="I33" s="99"/>
      <c r="J33" s="99"/>
      <c r="K33" s="101"/>
      <c r="L33" s="101"/>
      <c r="M33" s="101" t="n">
        <v>1.215</v>
      </c>
      <c r="N33" s="101" t="n">
        <v>1.24875</v>
      </c>
      <c r="O33" s="102" t="n">
        <v>1.2825</v>
      </c>
      <c r="P33" s="102" t="n">
        <v>1.31625</v>
      </c>
      <c r="Q33" s="102" t="n">
        <v>1.35</v>
      </c>
      <c r="R33" s="102" t="n">
        <v>1.38375</v>
      </c>
      <c r="S33" s="102" t="n">
        <v>1.4175</v>
      </c>
      <c r="T33" s="0" t="n">
        <v>1.45125</v>
      </c>
      <c r="U33" s="38"/>
    </row>
    <row r="34" customFormat="false" ht="13.8" hidden="false" customHeight="false" outlineLevel="0" collapsed="false">
      <c r="A34" s="0" t="s">
        <v>256</v>
      </c>
      <c r="B34" s="64" t="n">
        <v>1</v>
      </c>
      <c r="C34" s="98"/>
      <c r="D34" s="98"/>
      <c r="E34" s="98"/>
      <c r="F34" s="98"/>
      <c r="G34" s="99"/>
      <c r="H34" s="99"/>
      <c r="I34" s="99"/>
      <c r="J34" s="99"/>
      <c r="K34" s="101"/>
      <c r="L34" s="101"/>
      <c r="M34" s="101" t="n">
        <v>1.215</v>
      </c>
      <c r="N34" s="101" t="n">
        <v>1.24875</v>
      </c>
      <c r="O34" s="102" t="n">
        <v>1.2825</v>
      </c>
      <c r="P34" s="102" t="n">
        <v>1.31625</v>
      </c>
      <c r="Q34" s="102" t="n">
        <v>1.35</v>
      </c>
      <c r="R34" s="102" t="n">
        <v>1.38375</v>
      </c>
      <c r="S34" s="102" t="n">
        <v>1.4175</v>
      </c>
      <c r="T34" s="0" t="n">
        <v>1.45125</v>
      </c>
      <c r="U34" s="38"/>
    </row>
    <row r="35" customFormat="false" ht="13.8" hidden="false" customHeight="false" outlineLevel="0" collapsed="false">
      <c r="A35" s="0" t="s">
        <v>510</v>
      </c>
      <c r="B35" s="64" t="n">
        <v>1</v>
      </c>
      <c r="C35" s="98"/>
      <c r="D35" s="98"/>
      <c r="E35" s="98"/>
      <c r="F35" s="98"/>
      <c r="G35" s="99"/>
      <c r="H35" s="99"/>
      <c r="I35" s="99" t="n">
        <v>1.08</v>
      </c>
      <c r="J35" s="99" t="n">
        <v>1.11375</v>
      </c>
      <c r="K35" s="101" t="n">
        <v>1.1475</v>
      </c>
      <c r="L35" s="101" t="n">
        <v>1.18125</v>
      </c>
      <c r="M35" s="101" t="n">
        <v>1.215</v>
      </c>
      <c r="N35" s="101" t="n">
        <v>1.24875</v>
      </c>
      <c r="O35" s="102"/>
      <c r="P35" s="102"/>
      <c r="Q35" s="102"/>
      <c r="R35" s="102"/>
      <c r="S35" s="102"/>
      <c r="U35" s="93"/>
    </row>
    <row r="36" customFormat="false" ht="13.8" hidden="false" customHeight="false" outlineLevel="0" collapsed="false">
      <c r="A36" s="0" t="s">
        <v>1152</v>
      </c>
      <c r="B36" s="64" t="n">
        <v>1</v>
      </c>
      <c r="C36" s="98"/>
      <c r="D36" s="98"/>
      <c r="E36" s="98"/>
      <c r="F36" s="98"/>
      <c r="G36" s="99"/>
      <c r="H36" s="99"/>
      <c r="I36" s="99" t="n">
        <v>1.08</v>
      </c>
      <c r="J36" s="99" t="n">
        <v>1.11375</v>
      </c>
      <c r="K36" s="101" t="n">
        <v>1.1475</v>
      </c>
      <c r="L36" s="101" t="n">
        <v>1.18125</v>
      </c>
      <c r="M36" s="101" t="n">
        <v>1.215</v>
      </c>
      <c r="N36" s="101" t="n">
        <v>1.24875</v>
      </c>
      <c r="O36" s="102"/>
      <c r="P36" s="102"/>
      <c r="Q36" s="102"/>
      <c r="R36" s="102"/>
      <c r="S36" s="102"/>
      <c r="U36" s="93"/>
    </row>
    <row r="37" customFormat="false" ht="13.8" hidden="false" customHeight="false" outlineLevel="0" collapsed="false">
      <c r="A37" s="0" t="s">
        <v>504</v>
      </c>
      <c r="B37" s="64" t="n">
        <v>1</v>
      </c>
      <c r="C37" s="98"/>
      <c r="D37" s="98"/>
      <c r="E37" s="98"/>
      <c r="F37" s="98"/>
      <c r="G37" s="99"/>
      <c r="H37" s="99"/>
      <c r="I37" s="99" t="n">
        <v>1.08</v>
      </c>
      <c r="J37" s="99" t="n">
        <v>1.11375</v>
      </c>
      <c r="K37" s="101" t="n">
        <v>1.1475</v>
      </c>
      <c r="L37" s="101" t="n">
        <v>1.18125</v>
      </c>
      <c r="M37" s="101" t="n">
        <v>1.215</v>
      </c>
      <c r="N37" s="101" t="n">
        <v>1.24875</v>
      </c>
      <c r="O37" s="102"/>
      <c r="P37" s="102"/>
      <c r="Q37" s="102"/>
      <c r="R37" s="102"/>
      <c r="S37" s="102"/>
      <c r="U37" s="38"/>
    </row>
    <row r="38" customFormat="false" ht="13.8" hidden="false" customHeight="false" outlineLevel="0" collapsed="false">
      <c r="A38" s="0" t="s">
        <v>1141</v>
      </c>
      <c r="B38" s="64" t="n">
        <v>1</v>
      </c>
      <c r="C38" s="98"/>
      <c r="D38" s="98"/>
      <c r="E38" s="98"/>
      <c r="F38" s="98"/>
      <c r="G38" s="99"/>
      <c r="H38" s="99"/>
      <c r="I38" s="99" t="n">
        <v>1.08</v>
      </c>
      <c r="J38" s="99" t="n">
        <v>1.11375</v>
      </c>
      <c r="K38" s="101" t="n">
        <v>1.1475</v>
      </c>
      <c r="L38" s="101" t="n">
        <v>1.18125</v>
      </c>
      <c r="M38" s="101" t="n">
        <v>1.215</v>
      </c>
      <c r="N38" s="101" t="n">
        <v>1.24875</v>
      </c>
      <c r="O38" s="102"/>
      <c r="P38" s="102"/>
      <c r="Q38" s="102"/>
      <c r="R38" s="102"/>
      <c r="S38" s="102"/>
      <c r="U38" s="38"/>
    </row>
    <row r="39" customFormat="false" ht="13.8" hidden="false" customHeight="false" outlineLevel="0" collapsed="false">
      <c r="A39" s="0" t="s">
        <v>1133</v>
      </c>
      <c r="B39" s="64" t="n">
        <v>1</v>
      </c>
      <c r="C39" s="98"/>
      <c r="D39" s="98"/>
      <c r="E39" s="98"/>
      <c r="F39" s="98"/>
      <c r="G39" s="99"/>
      <c r="H39" s="99"/>
      <c r="I39" s="99" t="n">
        <v>1.08</v>
      </c>
      <c r="J39" s="99" t="n">
        <v>1.11375</v>
      </c>
      <c r="K39" s="101" t="n">
        <v>1.1475</v>
      </c>
      <c r="L39" s="101" t="n">
        <v>1.18125</v>
      </c>
      <c r="M39" s="101" t="n">
        <v>1.215</v>
      </c>
      <c r="N39" s="101" t="n">
        <v>1.24875</v>
      </c>
      <c r="O39" s="102"/>
      <c r="P39" s="102"/>
      <c r="Q39" s="102"/>
      <c r="R39" s="102"/>
      <c r="S39" s="102"/>
      <c r="U39" s="93"/>
    </row>
    <row r="40" customFormat="false" ht="13.8" hidden="false" customHeight="false" outlineLevel="0" collapsed="false">
      <c r="A40" s="0" t="s">
        <v>512</v>
      </c>
      <c r="B40" s="64" t="n">
        <v>1</v>
      </c>
      <c r="C40" s="98"/>
      <c r="D40" s="98"/>
      <c r="E40" s="98"/>
      <c r="F40" s="98"/>
      <c r="G40" s="99"/>
      <c r="H40" s="99"/>
      <c r="I40" s="99" t="n">
        <v>1.08</v>
      </c>
      <c r="J40" s="99" t="n">
        <v>1.11375</v>
      </c>
      <c r="K40" s="101" t="n">
        <v>1.1475</v>
      </c>
      <c r="L40" s="101" t="n">
        <v>1.18125</v>
      </c>
      <c r="M40" s="101" t="n">
        <v>1.215</v>
      </c>
      <c r="N40" s="101" t="n">
        <v>1.24875</v>
      </c>
      <c r="O40" s="102"/>
      <c r="P40" s="102"/>
      <c r="Q40" s="102"/>
      <c r="R40" s="102"/>
      <c r="S40" s="102"/>
      <c r="U40" s="93"/>
    </row>
    <row r="41" customFormat="false" ht="13.8" hidden="false" customHeight="false" outlineLevel="0" collapsed="false">
      <c r="A41" s="0" t="s">
        <v>1157</v>
      </c>
      <c r="B41" s="64" t="n">
        <v>1</v>
      </c>
      <c r="C41" s="98"/>
      <c r="D41" s="98"/>
      <c r="E41" s="98"/>
      <c r="F41" s="98"/>
      <c r="G41" s="99"/>
      <c r="H41" s="99"/>
      <c r="I41" s="99" t="n">
        <v>1.08</v>
      </c>
      <c r="J41" s="99" t="n">
        <v>1.11375</v>
      </c>
      <c r="K41" s="101" t="n">
        <v>1.1475</v>
      </c>
      <c r="L41" s="101" t="n">
        <v>1.18125</v>
      </c>
      <c r="M41" s="101" t="n">
        <v>1.215</v>
      </c>
      <c r="N41" s="101" t="n">
        <v>1.24875</v>
      </c>
      <c r="O41" s="102"/>
      <c r="P41" s="102"/>
      <c r="Q41" s="102"/>
      <c r="R41" s="102"/>
      <c r="S41" s="102"/>
      <c r="U41" s="38"/>
    </row>
    <row r="42" customFormat="false" ht="13.8" hidden="false" customHeight="false" outlineLevel="0" collapsed="false">
      <c r="A42" s="0" t="s">
        <v>1145</v>
      </c>
      <c r="B42" s="64" t="n">
        <v>1</v>
      </c>
      <c r="C42" s="98"/>
      <c r="D42" s="98"/>
      <c r="E42" s="98"/>
      <c r="F42" s="98"/>
      <c r="G42" s="99"/>
      <c r="H42" s="99"/>
      <c r="I42" s="99"/>
      <c r="J42" s="99"/>
      <c r="K42" s="101"/>
      <c r="L42" s="101" t="n">
        <v>1.18125</v>
      </c>
      <c r="M42" s="101" t="n">
        <v>1.215</v>
      </c>
      <c r="N42" s="101" t="n">
        <v>1.24875</v>
      </c>
      <c r="O42" s="102" t="n">
        <v>1.2825</v>
      </c>
      <c r="P42" s="102"/>
      <c r="Q42" s="102"/>
      <c r="R42" s="102"/>
      <c r="S42" s="102"/>
      <c r="U42" s="38"/>
    </row>
    <row r="43" customFormat="false" ht="13.8" hidden="false" customHeight="false" outlineLevel="0" collapsed="false">
      <c r="A43" s="0" t="s">
        <v>1126</v>
      </c>
      <c r="B43" s="64" t="n">
        <v>2</v>
      </c>
      <c r="C43" s="98"/>
      <c r="D43" s="98"/>
      <c r="E43" s="98"/>
      <c r="F43" s="98"/>
      <c r="G43" s="99"/>
      <c r="H43" s="99"/>
      <c r="I43" s="99"/>
      <c r="J43" s="99"/>
      <c r="K43" s="101"/>
      <c r="L43" s="101" t="n">
        <v>1.18125</v>
      </c>
      <c r="M43" s="101" t="n">
        <v>1.215</v>
      </c>
      <c r="N43" s="101" t="n">
        <v>1.24875</v>
      </c>
      <c r="O43" s="102" t="n">
        <v>1.2825</v>
      </c>
      <c r="P43" s="102"/>
      <c r="Q43" s="102"/>
      <c r="R43" s="102"/>
      <c r="S43" s="102"/>
      <c r="U43" s="38"/>
    </row>
    <row r="44" customFormat="false" ht="13.8" hidden="false" customHeight="false" outlineLevel="0" collapsed="false">
      <c r="A44" s="38" t="s">
        <v>1123</v>
      </c>
      <c r="B44" s="61" t="n">
        <v>5</v>
      </c>
      <c r="C44" s="98"/>
      <c r="D44" s="98"/>
      <c r="E44" s="98"/>
      <c r="F44" s="98"/>
      <c r="G44" s="99"/>
      <c r="H44" s="99"/>
      <c r="I44" s="99"/>
      <c r="J44" s="99"/>
      <c r="K44" s="101"/>
      <c r="L44" s="101" t="n">
        <v>1.18125</v>
      </c>
      <c r="M44" s="101" t="n">
        <v>1.215</v>
      </c>
      <c r="N44" s="101" t="n">
        <v>1.24875</v>
      </c>
      <c r="O44" s="102" t="n">
        <v>1.2825</v>
      </c>
      <c r="P44" s="102"/>
      <c r="Q44" s="102"/>
      <c r="R44" s="102"/>
      <c r="S44" s="102"/>
      <c r="U44" s="38"/>
      <c r="AD44" s="61"/>
    </row>
    <row r="45" customFormat="false" ht="13.8" hidden="false" customHeight="false" outlineLevel="0" collapsed="false">
      <c r="A45" s="0" t="s">
        <v>1087</v>
      </c>
      <c r="B45" s="64" t="n">
        <v>4</v>
      </c>
      <c r="C45" s="98"/>
      <c r="D45" s="98"/>
      <c r="E45" s="98"/>
      <c r="F45" s="98"/>
      <c r="G45" s="99"/>
      <c r="H45" s="99"/>
      <c r="I45" s="99"/>
      <c r="J45" s="99"/>
      <c r="K45" s="101"/>
      <c r="L45" s="101"/>
      <c r="M45" s="101"/>
      <c r="N45" s="101" t="n">
        <v>1.24875</v>
      </c>
      <c r="O45" s="102" t="n">
        <v>1.2825</v>
      </c>
      <c r="P45" s="102" t="n">
        <v>1.31625</v>
      </c>
      <c r="Q45" s="102" t="n">
        <v>1.35</v>
      </c>
      <c r="R45" s="102"/>
      <c r="S45" s="102"/>
      <c r="U45" s="38"/>
    </row>
    <row r="46" customFormat="false" ht="13.8" hidden="false" customHeight="false" outlineLevel="0" collapsed="false">
      <c r="A46" s="0" t="s">
        <v>132</v>
      </c>
      <c r="B46" s="64" t="n">
        <v>5</v>
      </c>
      <c r="C46" s="98"/>
      <c r="D46" s="98"/>
      <c r="E46" s="98"/>
      <c r="F46" s="98"/>
      <c r="G46" s="99"/>
      <c r="H46" s="99"/>
      <c r="I46" s="99" t="n">
        <v>1.08</v>
      </c>
      <c r="J46" s="99" t="n">
        <v>1.11375</v>
      </c>
      <c r="K46" s="101"/>
      <c r="L46" s="101"/>
      <c r="M46" s="101"/>
      <c r="N46" s="101"/>
      <c r="O46" s="102"/>
      <c r="P46" s="102"/>
      <c r="Q46" s="102"/>
      <c r="R46" s="102"/>
      <c r="S46" s="102"/>
      <c r="U46" s="38"/>
    </row>
    <row r="47" customFormat="false" ht="13.8" hidden="false" customHeight="false" outlineLevel="0" collapsed="false">
      <c r="A47" s="0" t="s">
        <v>137</v>
      </c>
      <c r="B47" s="64" t="n">
        <v>3</v>
      </c>
      <c r="C47" s="98"/>
      <c r="D47" s="98"/>
      <c r="E47" s="98" t="n">
        <v>0.945</v>
      </c>
      <c r="F47" s="98" t="n">
        <v>0.97875</v>
      </c>
      <c r="G47" s="99" t="n">
        <v>1.0125</v>
      </c>
      <c r="H47" s="99" t="n">
        <v>1.04625</v>
      </c>
      <c r="I47" s="99" t="n">
        <v>1.08</v>
      </c>
      <c r="J47" s="99" t="n">
        <v>1.11375</v>
      </c>
      <c r="K47" s="101" t="n">
        <v>1.1475</v>
      </c>
      <c r="L47" s="101" t="n">
        <v>1.18125</v>
      </c>
      <c r="M47" s="101" t="n">
        <v>1.215</v>
      </c>
      <c r="N47" s="101" t="n">
        <v>1.24875</v>
      </c>
      <c r="O47" s="102" t="n">
        <v>1.2825</v>
      </c>
      <c r="P47" s="102" t="n">
        <v>1.31625</v>
      </c>
      <c r="Q47" s="102" t="n">
        <v>1.35</v>
      </c>
      <c r="R47" s="102" t="n">
        <v>1.38375</v>
      </c>
      <c r="S47" s="102" t="n">
        <v>1.4175</v>
      </c>
      <c r="T47" s="0" t="n">
        <v>1.45125</v>
      </c>
      <c r="U47" s="38"/>
    </row>
    <row r="48" customFormat="false" ht="13.8" hidden="false" customHeight="false" outlineLevel="0" collapsed="false">
      <c r="A48" s="0" t="s">
        <v>258</v>
      </c>
      <c r="B48" s="64" t="n">
        <v>3</v>
      </c>
      <c r="C48" s="98"/>
      <c r="D48" s="98"/>
      <c r="E48" s="98" t="n">
        <v>0.945</v>
      </c>
      <c r="F48" s="98" t="n">
        <v>0.97875</v>
      </c>
      <c r="G48" s="99" t="n">
        <v>1.0125</v>
      </c>
      <c r="H48" s="99" t="n">
        <v>1.04625</v>
      </c>
      <c r="I48" s="99" t="n">
        <v>1.08</v>
      </c>
      <c r="J48" s="99" t="n">
        <v>1.11375</v>
      </c>
      <c r="K48" s="101" t="n">
        <v>1.1475</v>
      </c>
      <c r="L48" s="101" t="n">
        <v>1.18125</v>
      </c>
      <c r="M48" s="101" t="n">
        <v>1.215</v>
      </c>
      <c r="N48" s="101" t="n">
        <v>1.24875</v>
      </c>
      <c r="O48" s="102" t="n">
        <v>1.2825</v>
      </c>
      <c r="P48" s="102" t="n">
        <v>1.31625</v>
      </c>
      <c r="Q48" s="102" t="n">
        <v>1.35</v>
      </c>
      <c r="R48" s="102" t="n">
        <v>1.38375</v>
      </c>
      <c r="S48" s="102" t="n">
        <v>1.4175</v>
      </c>
      <c r="T48" s="0" t="n">
        <v>1.45125</v>
      </c>
      <c r="U48" s="38"/>
    </row>
    <row r="49" customFormat="false" ht="13.8" hidden="false" customHeight="false" outlineLevel="0" collapsed="false">
      <c r="A49" s="0" t="s">
        <v>136</v>
      </c>
      <c r="B49" s="64" t="n">
        <v>3</v>
      </c>
      <c r="C49" s="98"/>
      <c r="D49" s="98"/>
      <c r="E49" s="98" t="n">
        <v>0.945</v>
      </c>
      <c r="F49" s="98" t="n">
        <v>0.97875</v>
      </c>
      <c r="G49" s="99" t="n">
        <v>1.0125</v>
      </c>
      <c r="H49" s="99" t="n">
        <v>1.04625</v>
      </c>
      <c r="I49" s="99" t="n">
        <v>1.08</v>
      </c>
      <c r="J49" s="99" t="n">
        <v>1.11375</v>
      </c>
      <c r="K49" s="101" t="n">
        <v>1.1475</v>
      </c>
      <c r="L49" s="101" t="n">
        <v>1.18125</v>
      </c>
      <c r="M49" s="101" t="n">
        <v>1.215</v>
      </c>
      <c r="N49" s="101" t="n">
        <v>1.24875</v>
      </c>
      <c r="O49" s="102" t="n">
        <v>1.2825</v>
      </c>
      <c r="P49" s="102" t="n">
        <v>1.31625</v>
      </c>
      <c r="Q49" s="102" t="n">
        <v>1.35</v>
      </c>
      <c r="R49" s="102" t="n">
        <v>1.38375</v>
      </c>
      <c r="S49" s="102" t="n">
        <v>1.4175</v>
      </c>
      <c r="T49" s="0" t="n">
        <v>1.45125</v>
      </c>
      <c r="U49" s="38"/>
    </row>
    <row r="50" customFormat="false" ht="13.8" hidden="false" customHeight="false" outlineLevel="0" collapsed="false">
      <c r="A50" s="0" t="s">
        <v>1175</v>
      </c>
      <c r="B50" s="64" t="n">
        <v>3</v>
      </c>
      <c r="C50" s="98"/>
      <c r="D50" s="98"/>
      <c r="E50" s="98" t="n">
        <v>0.945</v>
      </c>
      <c r="F50" s="98" t="n">
        <v>0.97875</v>
      </c>
      <c r="G50" s="99" t="n">
        <v>1.0125</v>
      </c>
      <c r="H50" s="99" t="n">
        <v>1.04625</v>
      </c>
      <c r="I50" s="99" t="n">
        <v>1.08</v>
      </c>
      <c r="J50" s="99" t="n">
        <v>1.11375</v>
      </c>
      <c r="K50" s="101" t="n">
        <v>1.1475</v>
      </c>
      <c r="L50" s="101" t="n">
        <v>1.18125</v>
      </c>
      <c r="M50" s="101" t="n">
        <v>1.215</v>
      </c>
      <c r="N50" s="101" t="n">
        <v>1.24875</v>
      </c>
      <c r="O50" s="102" t="n">
        <v>1.2825</v>
      </c>
      <c r="P50" s="102" t="n">
        <v>1.31625</v>
      </c>
      <c r="Q50" s="102" t="n">
        <v>1.35</v>
      </c>
      <c r="R50" s="102" t="n">
        <v>1.38375</v>
      </c>
      <c r="S50" s="102" t="n">
        <v>1.4175</v>
      </c>
      <c r="T50" s="0" t="n">
        <v>1.45125</v>
      </c>
      <c r="U50" s="38"/>
    </row>
    <row r="51" customFormat="false" ht="13.8" hidden="false" customHeight="false" outlineLevel="0" collapsed="false">
      <c r="A51" s="0" t="s">
        <v>342</v>
      </c>
      <c r="B51" s="64" t="n">
        <v>3</v>
      </c>
      <c r="C51" s="98"/>
      <c r="D51" s="98"/>
      <c r="E51" s="98" t="n">
        <v>0.945</v>
      </c>
      <c r="F51" s="98" t="n">
        <v>0.97875</v>
      </c>
      <c r="G51" s="99" t="n">
        <v>1.0125</v>
      </c>
      <c r="H51" s="99" t="n">
        <v>1.04625</v>
      </c>
      <c r="I51" s="99" t="n">
        <v>1.08</v>
      </c>
      <c r="J51" s="99" t="n">
        <v>1.11375</v>
      </c>
      <c r="K51" s="101" t="n">
        <v>1.1475</v>
      </c>
      <c r="L51" s="101" t="n">
        <v>1.18125</v>
      </c>
      <c r="M51" s="101" t="n">
        <v>1.215</v>
      </c>
      <c r="N51" s="101" t="n">
        <v>1.24875</v>
      </c>
      <c r="O51" s="102" t="n">
        <v>1.2825</v>
      </c>
      <c r="P51" s="102" t="n">
        <v>1.31625</v>
      </c>
      <c r="Q51" s="102" t="n">
        <v>1.35</v>
      </c>
      <c r="R51" s="102" t="n">
        <v>1.38375</v>
      </c>
      <c r="S51" s="102" t="n">
        <v>1.4175</v>
      </c>
      <c r="T51" s="0" t="n">
        <v>1.45125</v>
      </c>
      <c r="U51" s="38"/>
    </row>
    <row r="52" customFormat="false" ht="13.8" hidden="false" customHeight="false" outlineLevel="0" collapsed="false">
      <c r="A52" s="0" t="s">
        <v>1188</v>
      </c>
      <c r="B52" s="64" t="n">
        <v>3</v>
      </c>
      <c r="C52" s="98"/>
      <c r="D52" s="98"/>
      <c r="E52" s="98" t="n">
        <v>0.945</v>
      </c>
      <c r="F52" s="98" t="n">
        <v>0.97875</v>
      </c>
      <c r="G52" s="99" t="n">
        <v>1.0125</v>
      </c>
      <c r="H52" s="99" t="n">
        <v>1.04625</v>
      </c>
      <c r="I52" s="99" t="n">
        <v>1.08</v>
      </c>
      <c r="J52" s="99" t="n">
        <v>1.11375</v>
      </c>
      <c r="K52" s="101" t="n">
        <v>1.1475</v>
      </c>
      <c r="L52" s="101" t="n">
        <v>1.18125</v>
      </c>
      <c r="M52" s="101" t="n">
        <v>1.215</v>
      </c>
      <c r="N52" s="101" t="n">
        <v>1.24875</v>
      </c>
      <c r="O52" s="102" t="n">
        <v>1.2825</v>
      </c>
      <c r="P52" s="102" t="n">
        <v>1.31625</v>
      </c>
      <c r="Q52" s="102" t="n">
        <v>1.35</v>
      </c>
      <c r="R52" s="102" t="n">
        <v>1.38375</v>
      </c>
      <c r="S52" s="102" t="n">
        <v>1.4175</v>
      </c>
      <c r="T52" s="0" t="n">
        <v>1.45125</v>
      </c>
      <c r="U52" s="38"/>
    </row>
    <row r="53" customFormat="false" ht="13.8" hidden="false" customHeight="false" outlineLevel="0" collapsed="false">
      <c r="A53" s="0" t="s">
        <v>141</v>
      </c>
      <c r="B53" s="64" t="n">
        <v>3</v>
      </c>
      <c r="C53" s="98"/>
      <c r="D53" s="98"/>
      <c r="E53" s="98" t="n">
        <v>0.1365</v>
      </c>
      <c r="F53" s="98" t="n">
        <v>0.141375</v>
      </c>
      <c r="G53" s="99" t="n">
        <v>0.14625</v>
      </c>
      <c r="H53" s="99" t="n">
        <v>0.151125</v>
      </c>
      <c r="I53" s="99" t="n">
        <v>0.156</v>
      </c>
      <c r="J53" s="99" t="n">
        <v>0.160875</v>
      </c>
      <c r="K53" s="101" t="n">
        <v>0.16575</v>
      </c>
      <c r="L53" s="101" t="n">
        <v>0.170625</v>
      </c>
      <c r="M53" s="101" t="n">
        <v>0.1755</v>
      </c>
      <c r="N53" s="101" t="n">
        <v>0.180375</v>
      </c>
      <c r="O53" s="102" t="n">
        <v>0.18525</v>
      </c>
      <c r="P53" s="102" t="n">
        <v>0.190125</v>
      </c>
      <c r="Q53" s="102" t="n">
        <v>0.195</v>
      </c>
      <c r="R53" s="102" t="n">
        <v>0.199875</v>
      </c>
      <c r="S53" s="102" t="n">
        <v>0.20475</v>
      </c>
      <c r="T53" s="0" t="n">
        <v>0.209625</v>
      </c>
      <c r="U53" s="38"/>
    </row>
    <row r="54" customFormat="false" ht="13.8" hidden="false" customHeight="false" outlineLevel="0" collapsed="false">
      <c r="A54" s="0" t="s">
        <v>263</v>
      </c>
      <c r="B54" s="64" t="n">
        <v>3</v>
      </c>
      <c r="C54" s="98"/>
      <c r="D54" s="98"/>
      <c r="E54" s="98" t="n">
        <v>0.1365</v>
      </c>
      <c r="F54" s="98" t="n">
        <v>0.141375</v>
      </c>
      <c r="G54" s="99" t="n">
        <v>0.14625</v>
      </c>
      <c r="H54" s="99" t="n">
        <v>0.151125</v>
      </c>
      <c r="I54" s="99" t="n">
        <v>0.156</v>
      </c>
      <c r="J54" s="99" t="n">
        <v>0.160875</v>
      </c>
      <c r="K54" s="101" t="n">
        <v>0.16575</v>
      </c>
      <c r="L54" s="101" t="n">
        <v>0.170625</v>
      </c>
      <c r="M54" s="101" t="n">
        <v>0.1755</v>
      </c>
      <c r="N54" s="101" t="n">
        <v>0.180375</v>
      </c>
      <c r="O54" s="102" t="n">
        <v>0.18525</v>
      </c>
      <c r="P54" s="102" t="n">
        <v>0.190125</v>
      </c>
      <c r="Q54" s="102" t="n">
        <v>0.195</v>
      </c>
      <c r="R54" s="102" t="n">
        <v>0.199875</v>
      </c>
      <c r="S54" s="102" t="n">
        <v>0.20475</v>
      </c>
      <c r="T54" s="0" t="n">
        <v>0.209625</v>
      </c>
      <c r="U54" s="38"/>
    </row>
    <row r="55" customFormat="false" ht="13.8" hidden="false" customHeight="false" outlineLevel="0" collapsed="false">
      <c r="A55" s="0" t="s">
        <v>130</v>
      </c>
      <c r="B55" s="64" t="n">
        <v>1</v>
      </c>
      <c r="C55" s="98"/>
      <c r="D55" s="98"/>
      <c r="E55" s="98" t="n">
        <v>0.160567538584425</v>
      </c>
      <c r="F55" s="98" t="n">
        <v>0.166302093533869</v>
      </c>
      <c r="G55" s="99" t="n">
        <v>0.172036648483312</v>
      </c>
      <c r="H55" s="99" t="n">
        <v>0.177771203432756</v>
      </c>
      <c r="I55" s="99" t="n">
        <v>0.1835057583822</v>
      </c>
      <c r="J55" s="99" t="n">
        <v>0.189240313331644</v>
      </c>
      <c r="K55" s="101" t="n">
        <v>0.194974868281087</v>
      </c>
      <c r="L55" s="101" t="n">
        <v>0.200709423230531</v>
      </c>
      <c r="M55" s="101"/>
      <c r="N55" s="101"/>
      <c r="O55" s="102"/>
      <c r="P55" s="102"/>
      <c r="Q55" s="102"/>
      <c r="R55" s="102"/>
      <c r="S55" s="102"/>
      <c r="U55" s="38"/>
    </row>
    <row r="56" customFormat="false" ht="13.8" hidden="false" customHeight="false" outlineLevel="0" collapsed="false">
      <c r="A56" s="0" t="s">
        <v>249</v>
      </c>
      <c r="B56" s="64" t="n">
        <v>1</v>
      </c>
      <c r="C56" s="98"/>
      <c r="D56" s="98"/>
      <c r="E56" s="98" t="n">
        <v>0.160567538584425</v>
      </c>
      <c r="F56" s="98" t="n">
        <v>0.166302093533869</v>
      </c>
      <c r="G56" s="99" t="n">
        <v>0.172036648483312</v>
      </c>
      <c r="H56" s="99" t="n">
        <v>0.177771203432756</v>
      </c>
      <c r="I56" s="99" t="n">
        <v>0.1835057583822</v>
      </c>
      <c r="J56" s="99" t="n">
        <v>0.189240313331644</v>
      </c>
      <c r="K56" s="101" t="n">
        <v>0.194974868281087</v>
      </c>
      <c r="L56" s="101" t="n">
        <v>0.200709423230531</v>
      </c>
      <c r="M56" s="101"/>
      <c r="N56" s="101"/>
      <c r="O56" s="102"/>
      <c r="P56" s="102"/>
      <c r="Q56" s="102"/>
      <c r="R56" s="102"/>
      <c r="S56" s="102"/>
      <c r="U56" s="38"/>
    </row>
    <row r="57" customFormat="false" ht="13.8" hidden="false" customHeight="false" outlineLevel="0" collapsed="false">
      <c r="A57" s="0" t="s">
        <v>1097</v>
      </c>
      <c r="B57" s="64" t="n">
        <v>1</v>
      </c>
      <c r="C57" s="98"/>
      <c r="D57" s="98"/>
      <c r="E57" s="98" t="n">
        <v>0.160567538584425</v>
      </c>
      <c r="F57" s="98" t="n">
        <v>0.166302093533869</v>
      </c>
      <c r="G57" s="99" t="n">
        <v>0.172036648483312</v>
      </c>
      <c r="H57" s="99" t="n">
        <v>0.177771203432756</v>
      </c>
      <c r="I57" s="99" t="n">
        <v>0.1835057583822</v>
      </c>
      <c r="J57" s="99" t="n">
        <v>0.189240313331644</v>
      </c>
      <c r="K57" s="101" t="n">
        <v>0.194974868281087</v>
      </c>
      <c r="L57" s="101" t="n">
        <v>0.200709423230531</v>
      </c>
      <c r="M57" s="101" t="n">
        <v>0.206443978179975</v>
      </c>
      <c r="N57" s="101" t="n">
        <v>0.212178533129419</v>
      </c>
      <c r="O57" s="102" t="n">
        <v>0.217913088078862</v>
      </c>
      <c r="P57" s="102" t="n">
        <v>0.223647643028306</v>
      </c>
      <c r="Q57" s="102"/>
      <c r="R57" s="102"/>
      <c r="S57" s="102"/>
      <c r="U57" s="93"/>
    </row>
    <row r="58" customFormat="false" ht="13.8" hidden="false" customHeight="false" outlineLevel="0" collapsed="false">
      <c r="A58" s="0" t="s">
        <v>250</v>
      </c>
      <c r="B58" s="64" t="n">
        <v>1</v>
      </c>
      <c r="C58" s="98"/>
      <c r="D58" s="98"/>
      <c r="E58" s="98"/>
      <c r="F58" s="98"/>
      <c r="G58" s="99"/>
      <c r="H58" s="99"/>
      <c r="I58" s="99"/>
      <c r="J58" s="99"/>
      <c r="K58" s="101"/>
      <c r="L58" s="101"/>
      <c r="M58" s="101" t="n">
        <v>0.206443978179975</v>
      </c>
      <c r="N58" s="101" t="n">
        <v>0.212178533129419</v>
      </c>
      <c r="O58" s="102" t="n">
        <v>0.217913088078862</v>
      </c>
      <c r="P58" s="102" t="n">
        <v>0.223647643028306</v>
      </c>
      <c r="Q58" s="102" t="n">
        <v>0.234691098988875</v>
      </c>
      <c r="R58" s="102" t="n">
        <v>0.240558376463597</v>
      </c>
      <c r="S58" s="102" t="n">
        <v>0.246425653938319</v>
      </c>
      <c r="U58" s="93"/>
    </row>
    <row r="59" customFormat="false" ht="13.8" hidden="false" customHeight="false" outlineLevel="0" collapsed="false">
      <c r="A59" s="0" t="s">
        <v>131</v>
      </c>
      <c r="B59" s="64" t="n">
        <v>1</v>
      </c>
      <c r="C59" s="98"/>
      <c r="D59" s="98"/>
      <c r="E59" s="98"/>
      <c r="F59" s="98"/>
      <c r="G59" s="99"/>
      <c r="H59" s="99"/>
      <c r="I59" s="99"/>
      <c r="J59" s="99"/>
      <c r="K59" s="101"/>
      <c r="L59" s="101"/>
      <c r="M59" s="101" t="n">
        <v>0.206443978179975</v>
      </c>
      <c r="N59" s="101" t="n">
        <v>0.212178533129419</v>
      </c>
      <c r="O59" s="102" t="n">
        <v>0.217913088078862</v>
      </c>
      <c r="P59" s="102" t="n">
        <v>0.223647643028306</v>
      </c>
      <c r="Q59" s="102" t="n">
        <v>0.234691098988875</v>
      </c>
      <c r="R59" s="102" t="n">
        <v>0.240558376463597</v>
      </c>
      <c r="S59" s="102" t="n">
        <v>0.246425653938319</v>
      </c>
      <c r="T59" s="0" t="n">
        <v>0.252292931413041</v>
      </c>
      <c r="U59" s="93" t="n">
        <v>0.258160208887762</v>
      </c>
    </row>
    <row r="60" customFormat="false" ht="13.8" hidden="false" customHeight="false" outlineLevel="0" collapsed="false">
      <c r="A60" s="0" t="s">
        <v>251</v>
      </c>
      <c r="B60" s="64" t="n">
        <v>1</v>
      </c>
      <c r="C60" s="98"/>
      <c r="D60" s="98"/>
      <c r="E60" s="98"/>
      <c r="F60" s="98"/>
      <c r="G60" s="99"/>
      <c r="H60" s="99"/>
      <c r="I60" s="99"/>
      <c r="J60" s="99"/>
      <c r="K60" s="101"/>
      <c r="L60" s="101"/>
      <c r="M60" s="101" t="n">
        <v>0.206443978179975</v>
      </c>
      <c r="N60" s="101" t="n">
        <v>0.212178533129419</v>
      </c>
      <c r="O60" s="102" t="n">
        <v>0.217913088078862</v>
      </c>
      <c r="P60" s="102" t="n">
        <v>0.223647643028306</v>
      </c>
      <c r="Q60" s="102" t="n">
        <v>0.234691098988875</v>
      </c>
      <c r="R60" s="102" t="n">
        <v>0.240558376463597</v>
      </c>
      <c r="S60" s="102" t="n">
        <v>0.246425653938319</v>
      </c>
      <c r="T60" s="0" t="n">
        <v>0.252292931413041</v>
      </c>
      <c r="U60" s="93" t="n">
        <v>0.258160208887762</v>
      </c>
    </row>
    <row r="61" customFormat="false" ht="13.8" hidden="false" customHeight="false" outlineLevel="0" collapsed="false">
      <c r="A61" s="0" t="s">
        <v>496</v>
      </c>
      <c r="B61" s="64" t="n">
        <v>1</v>
      </c>
      <c r="C61" s="98"/>
      <c r="D61" s="98"/>
      <c r="E61" s="98"/>
      <c r="F61" s="98"/>
      <c r="G61" s="99"/>
      <c r="H61" s="99"/>
      <c r="I61" s="99"/>
      <c r="J61" s="99"/>
      <c r="K61" s="101"/>
      <c r="L61" s="101"/>
      <c r="M61" s="101" t="n">
        <v>0.206443978179975</v>
      </c>
      <c r="N61" s="101" t="n">
        <v>0.212178533129419</v>
      </c>
      <c r="O61" s="102" t="n">
        <v>0.217913088078862</v>
      </c>
      <c r="P61" s="102" t="n">
        <v>0.223647643028306</v>
      </c>
      <c r="Q61" s="102" t="n">
        <v>0.234691098988875</v>
      </c>
      <c r="R61" s="102" t="n">
        <v>0.240558376463597</v>
      </c>
      <c r="S61" s="102" t="n">
        <v>0.246425653938319</v>
      </c>
      <c r="T61" s="0" t="n">
        <v>0.252292931413041</v>
      </c>
      <c r="U61" s="93" t="n">
        <v>0.258160208887762</v>
      </c>
    </row>
    <row r="62" customFormat="false" ht="13.8" hidden="false" customHeight="false" outlineLevel="0" collapsed="false">
      <c r="A62" s="0" t="s">
        <v>252</v>
      </c>
      <c r="B62" s="64" t="n">
        <v>1</v>
      </c>
      <c r="C62" s="98"/>
      <c r="D62" s="98"/>
      <c r="E62" s="98"/>
      <c r="F62" s="98"/>
      <c r="G62" s="99"/>
      <c r="H62" s="99"/>
      <c r="I62" s="99"/>
      <c r="J62" s="99"/>
      <c r="K62" s="101"/>
      <c r="L62" s="101"/>
      <c r="M62" s="101" t="n">
        <v>0.206443978179975</v>
      </c>
      <c r="N62" s="101" t="n">
        <v>0.212178533129419</v>
      </c>
      <c r="O62" s="102" t="n">
        <v>0.217913088078862</v>
      </c>
      <c r="P62" s="102" t="n">
        <v>0.223647643028306</v>
      </c>
      <c r="Q62" s="102" t="n">
        <v>0.234691098988875</v>
      </c>
      <c r="R62" s="102" t="n">
        <v>0.240558376463597</v>
      </c>
      <c r="S62" s="102" t="n">
        <v>0.246425653938319</v>
      </c>
      <c r="T62" s="0" t="n">
        <v>0.252292931413041</v>
      </c>
      <c r="U62" s="93" t="n">
        <v>0.258160208887762</v>
      </c>
    </row>
    <row r="63" customFormat="false" ht="13.8" hidden="false" customHeight="false" outlineLevel="0" collapsed="false">
      <c r="A63" s="0" t="s">
        <v>248</v>
      </c>
      <c r="B63" s="64" t="n">
        <v>1</v>
      </c>
      <c r="C63" s="98"/>
      <c r="D63" s="98"/>
      <c r="E63" s="98"/>
      <c r="F63" s="98"/>
      <c r="G63" s="99"/>
      <c r="H63" s="99"/>
      <c r="I63" s="99" t="n">
        <v>0.1835057583822</v>
      </c>
      <c r="J63" s="99" t="n">
        <v>0.189240313331644</v>
      </c>
      <c r="K63" s="101" t="n">
        <v>0.194974868281087</v>
      </c>
      <c r="L63" s="101" t="n">
        <v>0.200709423230531</v>
      </c>
      <c r="M63" s="101" t="n">
        <v>0.206443978179975</v>
      </c>
      <c r="N63" s="101" t="n">
        <v>0.212178533129419</v>
      </c>
      <c r="O63" s="102" t="n">
        <v>0.217913088078862</v>
      </c>
      <c r="P63" s="102" t="n">
        <v>0.223647643028306</v>
      </c>
      <c r="Q63" s="102" t="n">
        <v>0.234691098988875</v>
      </c>
      <c r="R63" s="102" t="n">
        <v>0.240558376463597</v>
      </c>
      <c r="S63" s="102" t="n">
        <v>0.246425653938319</v>
      </c>
      <c r="T63" s="0" t="n">
        <v>0.252292931413041</v>
      </c>
      <c r="U63" s="93" t="n">
        <v>0.258160208887762</v>
      </c>
    </row>
    <row r="64" customFormat="false" ht="13.8" hidden="false" customHeight="false" outlineLevel="0" collapsed="false">
      <c r="A64" s="0" t="s">
        <v>1118</v>
      </c>
      <c r="B64" s="64" t="n">
        <v>1</v>
      </c>
      <c r="C64" s="98"/>
      <c r="D64" s="98"/>
      <c r="E64" s="98" t="n">
        <v>0.160567538584425</v>
      </c>
      <c r="F64" s="98" t="n">
        <v>0.166302093533869</v>
      </c>
      <c r="G64" s="99" t="n">
        <v>0.172036648483312</v>
      </c>
      <c r="H64" s="99" t="n">
        <v>0.177771203432756</v>
      </c>
      <c r="I64" s="99" t="n">
        <v>0.1835057583822</v>
      </c>
      <c r="J64" s="99" t="n">
        <v>0.189240313331644</v>
      </c>
      <c r="K64" s="101" t="n">
        <v>0.194974868281087</v>
      </c>
      <c r="L64" s="101" t="n">
        <v>0.200709423230531</v>
      </c>
      <c r="M64" s="101"/>
      <c r="N64" s="101"/>
      <c r="O64" s="102"/>
      <c r="P64" s="102"/>
      <c r="Q64" s="102"/>
      <c r="R64" s="102"/>
      <c r="S64" s="102"/>
      <c r="U64" s="93"/>
    </row>
    <row r="65" customFormat="false" ht="13.8" hidden="false" customHeight="false" outlineLevel="0" collapsed="false">
      <c r="A65" s="0" t="s">
        <v>1111</v>
      </c>
      <c r="B65" s="64" t="n">
        <v>1</v>
      </c>
      <c r="C65" s="98"/>
      <c r="D65" s="98"/>
      <c r="E65" s="98"/>
      <c r="F65" s="98"/>
      <c r="G65" s="99"/>
      <c r="H65" s="99"/>
      <c r="I65" s="99" t="n">
        <v>0.1835057583822</v>
      </c>
      <c r="J65" s="99" t="n">
        <v>0.189240313331644</v>
      </c>
      <c r="K65" s="101" t="n">
        <v>0.194974868281087</v>
      </c>
      <c r="L65" s="101" t="n">
        <v>0.200709423230531</v>
      </c>
      <c r="M65" s="101" t="n">
        <v>0.206443978179975</v>
      </c>
      <c r="N65" s="101" t="n">
        <v>0.212178533129419</v>
      </c>
      <c r="O65" s="102" t="n">
        <v>0.217913088078862</v>
      </c>
      <c r="P65" s="102" t="n">
        <v>0.223647643028306</v>
      </c>
      <c r="Q65" s="102" t="n">
        <v>0.234691098988875</v>
      </c>
      <c r="R65" s="102" t="n">
        <v>0.240558376463597</v>
      </c>
      <c r="S65" s="102" t="n">
        <v>0.246425653938319</v>
      </c>
      <c r="T65" s="0" t="n">
        <v>0.252292931413041</v>
      </c>
      <c r="U65" s="93" t="n">
        <v>0.258160208887762</v>
      </c>
    </row>
    <row r="66" customFormat="false" ht="13.8" hidden="false" customHeight="false" outlineLevel="0" collapsed="false">
      <c r="A66" s="0" t="s">
        <v>253</v>
      </c>
      <c r="B66" s="64" t="n">
        <v>1</v>
      </c>
      <c r="C66" s="98"/>
      <c r="D66" s="98"/>
      <c r="E66" s="98"/>
      <c r="F66" s="98"/>
      <c r="G66" s="99"/>
      <c r="H66" s="99"/>
      <c r="I66" s="99" t="n">
        <v>0.1835057583822</v>
      </c>
      <c r="J66" s="99" t="n">
        <v>0.189240313331644</v>
      </c>
      <c r="K66" s="101" t="n">
        <v>0.194974868281087</v>
      </c>
      <c r="L66" s="101" t="n">
        <v>0.200709423230531</v>
      </c>
      <c r="M66" s="101" t="n">
        <v>0.206443978179975</v>
      </c>
      <c r="N66" s="101" t="n">
        <v>0.212178533129419</v>
      </c>
      <c r="O66" s="102" t="n">
        <v>0.217913088078862</v>
      </c>
      <c r="P66" s="102" t="n">
        <v>0.223647643028306</v>
      </c>
      <c r="Q66" s="102" t="n">
        <v>0.234691098988875</v>
      </c>
      <c r="R66" s="102" t="n">
        <v>0.240558376463597</v>
      </c>
      <c r="S66" s="102" t="n">
        <v>0.246425653938319</v>
      </c>
      <c r="T66" s="0" t="n">
        <v>0.252292931413041</v>
      </c>
      <c r="U66" s="93" t="n">
        <v>0.258160208887762</v>
      </c>
    </row>
    <row r="67" customFormat="false" ht="13.8" hidden="false" customHeight="false" outlineLevel="0" collapsed="false">
      <c r="A67" s="0" t="s">
        <v>130</v>
      </c>
      <c r="B67" s="94" t="n">
        <v>2</v>
      </c>
      <c r="C67" s="98"/>
      <c r="D67" s="98"/>
      <c r="E67" s="98" t="n">
        <v>0.160567538584425</v>
      </c>
      <c r="F67" s="98" t="n">
        <v>0.166302093533869</v>
      </c>
      <c r="G67" s="99" t="n">
        <v>0.172036648483312</v>
      </c>
      <c r="H67" s="99" t="n">
        <v>0.177771203432756</v>
      </c>
      <c r="I67" s="99" t="n">
        <v>0.1835057583822</v>
      </c>
      <c r="J67" s="99" t="n">
        <v>0.189240313331644</v>
      </c>
      <c r="K67" s="101" t="n">
        <v>0.194974868281087</v>
      </c>
      <c r="L67" s="101" t="n">
        <v>0.200709423230531</v>
      </c>
      <c r="M67" s="101" t="n">
        <v>0.206443978179975</v>
      </c>
      <c r="N67" s="101" t="n">
        <v>0.212178533129419</v>
      </c>
      <c r="O67" s="102" t="n">
        <v>0.217913088078862</v>
      </c>
      <c r="P67" s="102" t="n">
        <v>0.223647643028306</v>
      </c>
      <c r="Q67" s="102"/>
      <c r="R67" s="102"/>
      <c r="S67" s="102"/>
      <c r="U67" s="93"/>
      <c r="AD67" s="94"/>
    </row>
    <row r="68" customFormat="false" ht="13.8" hidden="false" customHeight="false" outlineLevel="0" collapsed="false">
      <c r="A68" s="0" t="s">
        <v>249</v>
      </c>
      <c r="B68" s="94" t="n">
        <v>2</v>
      </c>
      <c r="C68" s="98"/>
      <c r="D68" s="98"/>
      <c r="E68" s="98" t="n">
        <v>0.160567538584425</v>
      </c>
      <c r="F68" s="98" t="n">
        <v>0.166302093533869</v>
      </c>
      <c r="G68" s="99" t="n">
        <v>0.172036648483312</v>
      </c>
      <c r="H68" s="99" t="n">
        <v>0.177771203432756</v>
      </c>
      <c r="I68" s="99" t="n">
        <v>0.1835057583822</v>
      </c>
      <c r="J68" s="99" t="n">
        <v>0.189240313331644</v>
      </c>
      <c r="K68" s="101" t="n">
        <v>0.194974868281087</v>
      </c>
      <c r="L68" s="101" t="n">
        <v>0.200709423230531</v>
      </c>
      <c r="M68" s="101" t="n">
        <v>0.206443978179975</v>
      </c>
      <c r="N68" s="101" t="n">
        <v>0.212178533129419</v>
      </c>
      <c r="O68" s="102" t="n">
        <v>0.217913088078862</v>
      </c>
      <c r="P68" s="102" t="n">
        <v>0.223647643028306</v>
      </c>
      <c r="Q68" s="102"/>
      <c r="R68" s="102"/>
      <c r="S68" s="102"/>
      <c r="U68" s="93"/>
      <c r="AD68" s="94"/>
    </row>
    <row r="69" customFormat="false" ht="13.8" hidden="false" customHeight="false" outlineLevel="0" collapsed="false">
      <c r="A69" s="0" t="s">
        <v>1097</v>
      </c>
      <c r="B69" s="94" t="n">
        <v>2</v>
      </c>
      <c r="C69" s="98"/>
      <c r="D69" s="98"/>
      <c r="E69" s="98" t="n">
        <v>0.160567538584425</v>
      </c>
      <c r="F69" s="98" t="n">
        <v>0.166302093533869</v>
      </c>
      <c r="G69" s="99" t="n">
        <v>0.172036648483312</v>
      </c>
      <c r="H69" s="99" t="n">
        <v>0.177771203432756</v>
      </c>
      <c r="I69" s="99" t="n">
        <v>0.1835057583822</v>
      </c>
      <c r="J69" s="99" t="n">
        <v>0.189240313331644</v>
      </c>
      <c r="K69" s="101" t="n">
        <v>0.194974868281087</v>
      </c>
      <c r="L69" s="101" t="n">
        <v>0.200709423230531</v>
      </c>
      <c r="M69" s="101" t="n">
        <v>0.206443978179975</v>
      </c>
      <c r="N69" s="101" t="n">
        <v>0.212178533129419</v>
      </c>
      <c r="O69" s="102" t="n">
        <v>0.217913088078862</v>
      </c>
      <c r="P69" s="102" t="n">
        <v>0.223647643028306</v>
      </c>
      <c r="Q69" s="102"/>
      <c r="R69" s="102"/>
      <c r="S69" s="102"/>
      <c r="U69" s="93"/>
      <c r="AD69" s="94"/>
    </row>
    <row r="70" customFormat="false" ht="13.8" hidden="false" customHeight="false" outlineLevel="0" collapsed="false">
      <c r="A70" s="0" t="s">
        <v>250</v>
      </c>
      <c r="B70" s="94" t="n">
        <v>2</v>
      </c>
      <c r="C70" s="98"/>
      <c r="D70" s="98"/>
      <c r="E70" s="98"/>
      <c r="F70" s="98"/>
      <c r="G70" s="99"/>
      <c r="H70" s="99"/>
      <c r="I70" s="99"/>
      <c r="J70" s="99"/>
      <c r="K70" s="101"/>
      <c r="L70" s="101"/>
      <c r="M70" s="101" t="n">
        <v>0.206443978179975</v>
      </c>
      <c r="N70" s="101" t="n">
        <v>0.212178533129419</v>
      </c>
      <c r="O70" s="102" t="n">
        <v>0.217913088078862</v>
      </c>
      <c r="P70" s="102" t="n">
        <v>0.223647643028306</v>
      </c>
      <c r="Q70" s="102" t="n">
        <v>0.234691098988875</v>
      </c>
      <c r="R70" s="102" t="n">
        <v>0.240558376463597</v>
      </c>
      <c r="S70" s="102" t="n">
        <v>0.246425653938319</v>
      </c>
      <c r="T70" s="0" t="n">
        <v>0.252292931413041</v>
      </c>
      <c r="U70" s="93" t="n">
        <v>0.258160208887762</v>
      </c>
      <c r="AD70" s="94"/>
    </row>
    <row r="71" customFormat="false" ht="13.8" hidden="false" customHeight="false" outlineLevel="0" collapsed="false">
      <c r="A71" s="93" t="s">
        <v>131</v>
      </c>
      <c r="B71" s="94" t="n">
        <v>2</v>
      </c>
      <c r="C71" s="98"/>
      <c r="D71" s="98"/>
      <c r="E71" s="98"/>
      <c r="F71" s="98"/>
      <c r="G71" s="99"/>
      <c r="H71" s="99"/>
      <c r="I71" s="99"/>
      <c r="J71" s="99"/>
      <c r="K71" s="101"/>
      <c r="L71" s="101"/>
      <c r="M71" s="101" t="n">
        <v>0.206443978179975</v>
      </c>
      <c r="N71" s="101" t="n">
        <v>0.212178533129419</v>
      </c>
      <c r="O71" s="102" t="n">
        <v>0.217913088078862</v>
      </c>
      <c r="P71" s="102" t="n">
        <v>0.223647643028306</v>
      </c>
      <c r="Q71" s="102" t="n">
        <v>0.234691098988875</v>
      </c>
      <c r="R71" s="102" t="n">
        <v>0.240558376463597</v>
      </c>
      <c r="S71" s="102" t="n">
        <v>0.246425653938319</v>
      </c>
      <c r="T71" s="0" t="n">
        <v>0.252292931413041</v>
      </c>
      <c r="U71" s="38" t="n">
        <v>0.258160208887762</v>
      </c>
      <c r="AD71" s="94"/>
    </row>
    <row r="72" customFormat="false" ht="13.8" hidden="false" customHeight="false" outlineLevel="0" collapsed="false">
      <c r="A72" s="93" t="s">
        <v>251</v>
      </c>
      <c r="B72" s="94" t="n">
        <v>2</v>
      </c>
      <c r="C72" s="98"/>
      <c r="D72" s="98"/>
      <c r="E72" s="98"/>
      <c r="F72" s="98"/>
      <c r="G72" s="99"/>
      <c r="H72" s="99"/>
      <c r="I72" s="99"/>
      <c r="J72" s="99"/>
      <c r="K72" s="101"/>
      <c r="L72" s="101"/>
      <c r="M72" s="101" t="n">
        <v>0.206443978179975</v>
      </c>
      <c r="N72" s="101" t="n">
        <v>0.212178533129419</v>
      </c>
      <c r="O72" s="102" t="n">
        <v>0.217913088078862</v>
      </c>
      <c r="P72" s="102" t="n">
        <v>0.223647643028306</v>
      </c>
      <c r="Q72" s="102" t="n">
        <v>0.234691098988875</v>
      </c>
      <c r="R72" s="102" t="n">
        <v>0.240558376463597</v>
      </c>
      <c r="S72" s="102" t="n">
        <v>0.246425653938319</v>
      </c>
      <c r="T72" s="0" t="n">
        <v>0.252292931413041</v>
      </c>
      <c r="U72" s="38" t="n">
        <v>0.258160208887762</v>
      </c>
      <c r="AD72" s="94"/>
    </row>
    <row r="73" customFormat="false" ht="13.8" hidden="false" customHeight="false" outlineLevel="0" collapsed="false">
      <c r="A73" s="93" t="s">
        <v>496</v>
      </c>
      <c r="B73" s="94" t="n">
        <v>2</v>
      </c>
      <c r="C73" s="98"/>
      <c r="D73" s="98"/>
      <c r="E73" s="98"/>
      <c r="F73" s="98"/>
      <c r="G73" s="99"/>
      <c r="H73" s="99"/>
      <c r="I73" s="99"/>
      <c r="J73" s="99"/>
      <c r="K73" s="101"/>
      <c r="L73" s="101"/>
      <c r="M73" s="101" t="n">
        <v>0.206443978179975</v>
      </c>
      <c r="N73" s="101" t="n">
        <v>0.212178533129419</v>
      </c>
      <c r="O73" s="102" t="n">
        <v>0.217913088078862</v>
      </c>
      <c r="P73" s="102" t="n">
        <v>0.223647643028306</v>
      </c>
      <c r="Q73" s="102" t="n">
        <v>0.234691098988875</v>
      </c>
      <c r="R73" s="102" t="n">
        <v>0.240558376463597</v>
      </c>
      <c r="S73" s="102" t="n">
        <v>0.246425653938319</v>
      </c>
      <c r="T73" s="0" t="n">
        <v>0.252292931413041</v>
      </c>
      <c r="U73" s="38" t="n">
        <v>0.258160208887762</v>
      </c>
      <c r="AD73" s="94"/>
    </row>
    <row r="74" customFormat="false" ht="13.8" hidden="false" customHeight="false" outlineLevel="0" collapsed="false">
      <c r="A74" s="93" t="s">
        <v>252</v>
      </c>
      <c r="B74" s="94" t="n">
        <v>2</v>
      </c>
      <c r="C74" s="98"/>
      <c r="D74" s="98"/>
      <c r="E74" s="98"/>
      <c r="F74" s="98"/>
      <c r="G74" s="99"/>
      <c r="H74" s="99"/>
      <c r="I74" s="99"/>
      <c r="J74" s="99"/>
      <c r="K74" s="101"/>
      <c r="L74" s="101"/>
      <c r="M74" s="101" t="n">
        <v>0.206443978179975</v>
      </c>
      <c r="N74" s="101" t="n">
        <v>0.212178533129419</v>
      </c>
      <c r="O74" s="102" t="n">
        <v>0.217913088078862</v>
      </c>
      <c r="P74" s="102" t="n">
        <v>0.223647643028306</v>
      </c>
      <c r="Q74" s="102" t="n">
        <v>0.234691098988875</v>
      </c>
      <c r="R74" s="102" t="n">
        <v>0.240558376463597</v>
      </c>
      <c r="S74" s="102" t="n">
        <v>0.246425653938319</v>
      </c>
      <c r="T74" s="0" t="n">
        <v>0.252292931413041</v>
      </c>
      <c r="U74" s="38" t="n">
        <v>0.258160208887762</v>
      </c>
      <c r="AD74" s="94"/>
    </row>
    <row r="75" customFormat="false" ht="13.8" hidden="false" customHeight="false" outlineLevel="0" collapsed="false">
      <c r="A75" s="93" t="s">
        <v>248</v>
      </c>
      <c r="B75" s="94" t="n">
        <v>2</v>
      </c>
      <c r="C75" s="98"/>
      <c r="D75" s="98"/>
      <c r="E75" s="98"/>
      <c r="F75" s="98"/>
      <c r="G75" s="99"/>
      <c r="H75" s="99"/>
      <c r="I75" s="99" t="n">
        <v>0.1835057583822</v>
      </c>
      <c r="J75" s="99" t="n">
        <v>0.189240313331644</v>
      </c>
      <c r="K75" s="101" t="n">
        <v>0.194974868281087</v>
      </c>
      <c r="L75" s="101" t="n">
        <v>0.200709423230531</v>
      </c>
      <c r="M75" s="101" t="n">
        <v>0.206443978179975</v>
      </c>
      <c r="N75" s="101" t="n">
        <v>0.212178533129419</v>
      </c>
      <c r="O75" s="102" t="n">
        <v>0.217913088078862</v>
      </c>
      <c r="P75" s="102" t="n">
        <v>0.223647643028306</v>
      </c>
      <c r="Q75" s="102" t="n">
        <v>0.234691098988875</v>
      </c>
      <c r="R75" s="102" t="n">
        <v>0.240558376463597</v>
      </c>
      <c r="S75" s="102" t="n">
        <v>0.246425653938319</v>
      </c>
      <c r="T75" s="0" t="n">
        <v>0.252292931413041</v>
      </c>
      <c r="U75" s="38" t="n">
        <v>0.258160208887762</v>
      </c>
      <c r="AD75" s="94"/>
    </row>
    <row r="76" customFormat="false" ht="13.8" hidden="false" customHeight="false" outlineLevel="0" collapsed="false">
      <c r="A76" s="93" t="s">
        <v>1118</v>
      </c>
      <c r="B76" s="94" t="n">
        <v>2</v>
      </c>
      <c r="C76" s="98"/>
      <c r="D76" s="98"/>
      <c r="E76" s="98"/>
      <c r="F76" s="98"/>
      <c r="G76" s="99"/>
      <c r="H76" s="99"/>
      <c r="I76" s="99" t="n">
        <v>0.1835057583822</v>
      </c>
      <c r="J76" s="99" t="n">
        <v>0.189240313331644</v>
      </c>
      <c r="K76" s="101" t="n">
        <v>0.194974868281087</v>
      </c>
      <c r="L76" s="101" t="n">
        <v>0.200709423230531</v>
      </c>
      <c r="M76" s="101"/>
      <c r="N76" s="101"/>
      <c r="O76" s="102"/>
      <c r="P76" s="102"/>
      <c r="Q76" s="102"/>
      <c r="R76" s="102"/>
      <c r="S76" s="102"/>
      <c r="U76" s="38"/>
      <c r="AD76" s="94"/>
    </row>
    <row r="77" customFormat="false" ht="13.8" hidden="false" customHeight="false" outlineLevel="0" collapsed="false">
      <c r="A77" s="93" t="s">
        <v>1111</v>
      </c>
      <c r="B77" s="94" t="n">
        <v>2</v>
      </c>
      <c r="C77" s="98"/>
      <c r="D77" s="98"/>
      <c r="E77" s="98"/>
      <c r="F77" s="98"/>
      <c r="G77" s="99"/>
      <c r="H77" s="99"/>
      <c r="I77" s="99" t="n">
        <v>0.1835057583822</v>
      </c>
      <c r="J77" s="99" t="n">
        <v>0.189240313331644</v>
      </c>
      <c r="K77" s="101" t="n">
        <v>0.194974868281087</v>
      </c>
      <c r="L77" s="101" t="n">
        <v>0.200709423230531</v>
      </c>
      <c r="M77" s="101" t="n">
        <v>0.206443978179975</v>
      </c>
      <c r="N77" s="101" t="n">
        <v>0.212178533129419</v>
      </c>
      <c r="O77" s="102" t="n">
        <v>0.217913088078862</v>
      </c>
      <c r="P77" s="102" t="n">
        <v>0.223647643028306</v>
      </c>
      <c r="Q77" s="102" t="n">
        <v>0.234691098988875</v>
      </c>
      <c r="R77" s="102" t="n">
        <v>0.240558376463597</v>
      </c>
      <c r="S77" s="102" t="n">
        <v>0.246425653938319</v>
      </c>
      <c r="T77" s="0" t="n">
        <v>0.252292931413041</v>
      </c>
      <c r="U77" s="38" t="n">
        <v>0.258160208887762</v>
      </c>
      <c r="AD77" s="94"/>
    </row>
    <row r="78" customFormat="false" ht="13.8" hidden="false" customHeight="false" outlineLevel="0" collapsed="false">
      <c r="A78" s="93" t="s">
        <v>253</v>
      </c>
      <c r="B78" s="94" t="n">
        <v>2</v>
      </c>
      <c r="C78" s="98"/>
      <c r="D78" s="98"/>
      <c r="E78" s="98"/>
      <c r="F78" s="98"/>
      <c r="G78" s="99"/>
      <c r="H78" s="99"/>
      <c r="I78" s="99" t="n">
        <v>0.1835057583822</v>
      </c>
      <c r="J78" s="99" t="n">
        <v>0.189240313331644</v>
      </c>
      <c r="K78" s="101" t="n">
        <v>0.194974868281087</v>
      </c>
      <c r="L78" s="101" t="n">
        <v>0.200709423230531</v>
      </c>
      <c r="M78" s="101" t="n">
        <v>0.206443978179975</v>
      </c>
      <c r="N78" s="101" t="n">
        <v>0.212178533129419</v>
      </c>
      <c r="O78" s="102" t="n">
        <v>0.217913088078862</v>
      </c>
      <c r="P78" s="102" t="n">
        <v>0.223647643028306</v>
      </c>
      <c r="Q78" s="102" t="n">
        <v>0.234691098988875</v>
      </c>
      <c r="R78" s="102" t="n">
        <v>0.240558376463597</v>
      </c>
      <c r="S78" s="102" t="n">
        <v>0.246425653938319</v>
      </c>
      <c r="T78" s="0" t="n">
        <v>0.252292931413041</v>
      </c>
      <c r="U78" s="38" t="n">
        <v>0.258160208887762</v>
      </c>
      <c r="AD78" s="94"/>
    </row>
    <row r="79" customFormat="false" ht="13.8" hidden="false" customHeight="false" outlineLevel="0" collapsed="false">
      <c r="A79" s="93" t="s">
        <v>130</v>
      </c>
      <c r="B79" s="94" t="n">
        <v>4</v>
      </c>
      <c r="C79" s="98"/>
      <c r="D79" s="98"/>
      <c r="E79" s="98" t="n">
        <v>0.160567538584425</v>
      </c>
      <c r="F79" s="98" t="n">
        <v>0.166302093533869</v>
      </c>
      <c r="G79" s="99" t="n">
        <v>0.172036648483312</v>
      </c>
      <c r="H79" s="99" t="n">
        <v>0.177771203432756</v>
      </c>
      <c r="I79" s="99" t="n">
        <v>0.1835057583822</v>
      </c>
      <c r="J79" s="99" t="n">
        <v>0.189240313331644</v>
      </c>
      <c r="K79" s="101" t="n">
        <v>0.194974868281087</v>
      </c>
      <c r="L79" s="101" t="n">
        <v>0.200709423230531</v>
      </c>
      <c r="M79" s="101" t="n">
        <v>0.206443978179975</v>
      </c>
      <c r="N79" s="101" t="n">
        <v>0.212178533129419</v>
      </c>
      <c r="O79" s="102" t="n">
        <v>0.217913088078862</v>
      </c>
      <c r="P79" s="102" t="n">
        <v>0.223647643028306</v>
      </c>
      <c r="Q79" s="102"/>
      <c r="R79" s="102"/>
      <c r="S79" s="102"/>
      <c r="U79" s="93"/>
      <c r="AD79" s="94"/>
    </row>
    <row r="80" customFormat="false" ht="13.8" hidden="false" customHeight="false" outlineLevel="0" collapsed="false">
      <c r="A80" s="93" t="s">
        <v>249</v>
      </c>
      <c r="B80" s="94" t="n">
        <v>4</v>
      </c>
      <c r="C80" s="98"/>
      <c r="D80" s="98"/>
      <c r="E80" s="98" t="n">
        <v>0.160567538584425</v>
      </c>
      <c r="F80" s="98" t="n">
        <v>0.166302093533869</v>
      </c>
      <c r="G80" s="99" t="n">
        <v>0.172036648483312</v>
      </c>
      <c r="H80" s="99" t="n">
        <v>0.177771203432756</v>
      </c>
      <c r="I80" s="99" t="n">
        <v>0.1835057583822</v>
      </c>
      <c r="J80" s="99" t="n">
        <v>0.189240313331644</v>
      </c>
      <c r="K80" s="101" t="n">
        <v>0.194974868281087</v>
      </c>
      <c r="L80" s="101" t="n">
        <v>0.200709423230531</v>
      </c>
      <c r="M80" s="101" t="n">
        <v>0.206443978179975</v>
      </c>
      <c r="N80" s="101" t="n">
        <v>0.212178533129419</v>
      </c>
      <c r="O80" s="102" t="n">
        <v>0.217913088078862</v>
      </c>
      <c r="P80" s="102" t="n">
        <v>0.223647643028306</v>
      </c>
      <c r="Q80" s="102"/>
      <c r="R80" s="102"/>
      <c r="S80" s="102"/>
      <c r="U80" s="38"/>
      <c r="AD80" s="94"/>
    </row>
    <row r="81" customFormat="false" ht="13.8" hidden="false" customHeight="false" outlineLevel="0" collapsed="false">
      <c r="A81" s="93" t="s">
        <v>1097</v>
      </c>
      <c r="B81" s="94" t="n">
        <v>4</v>
      </c>
      <c r="C81" s="98"/>
      <c r="D81" s="98"/>
      <c r="E81" s="98" t="n">
        <v>0.160567538584425</v>
      </c>
      <c r="F81" s="98" t="n">
        <v>0.166302093533869</v>
      </c>
      <c r="G81" s="99" t="n">
        <v>0.172036648483312</v>
      </c>
      <c r="H81" s="99" t="n">
        <v>0.177771203432756</v>
      </c>
      <c r="I81" s="99" t="n">
        <v>0.1835057583822</v>
      </c>
      <c r="J81" s="99" t="n">
        <v>0.189240313331644</v>
      </c>
      <c r="K81" s="101" t="n">
        <v>0.194974868281087</v>
      </c>
      <c r="L81" s="101" t="n">
        <v>0.200709423230531</v>
      </c>
      <c r="M81" s="101" t="n">
        <v>0.206443978179975</v>
      </c>
      <c r="N81" s="101" t="n">
        <v>0.212178533129419</v>
      </c>
      <c r="O81" s="102" t="n">
        <v>0.217913088078862</v>
      </c>
      <c r="P81" s="102" t="n">
        <v>0.223647643028306</v>
      </c>
      <c r="Q81" s="102"/>
      <c r="R81" s="102"/>
      <c r="S81" s="102"/>
      <c r="U81" s="38"/>
      <c r="AD81" s="94"/>
    </row>
    <row r="82" customFormat="false" ht="13.8" hidden="false" customHeight="false" outlineLevel="0" collapsed="false">
      <c r="A82" s="93" t="s">
        <v>250</v>
      </c>
      <c r="B82" s="94" t="n">
        <v>4</v>
      </c>
      <c r="C82" s="98"/>
      <c r="D82" s="98"/>
      <c r="E82" s="98"/>
      <c r="F82" s="98"/>
      <c r="G82" s="99"/>
      <c r="H82" s="99"/>
      <c r="I82" s="99"/>
      <c r="J82" s="99" t="n">
        <v>0.189240313331644</v>
      </c>
      <c r="K82" s="101" t="n">
        <v>0.194974868281087</v>
      </c>
      <c r="L82" s="101" t="n">
        <v>0.200709423230531</v>
      </c>
      <c r="M82" s="101" t="n">
        <v>0.206443978179975</v>
      </c>
      <c r="N82" s="101" t="n">
        <v>0.212178533129419</v>
      </c>
      <c r="O82" s="102" t="n">
        <v>0.217913088078862</v>
      </c>
      <c r="P82" s="102" t="n">
        <v>0.223647643028306</v>
      </c>
      <c r="Q82" s="102" t="n">
        <v>0.234691098988875</v>
      </c>
      <c r="R82" s="102" t="n">
        <v>0.240558376463597</v>
      </c>
      <c r="S82" s="102" t="n">
        <v>0.246425653938319</v>
      </c>
      <c r="T82" s="0" t="n">
        <v>0.252292931413041</v>
      </c>
      <c r="U82" s="38" t="n">
        <v>0.258160208887762</v>
      </c>
      <c r="AD82" s="94"/>
    </row>
    <row r="83" customFormat="false" ht="13.8" hidden="false" customHeight="false" outlineLevel="0" collapsed="false">
      <c r="A83" s="93" t="s">
        <v>131</v>
      </c>
      <c r="B83" s="94" t="n">
        <v>4</v>
      </c>
      <c r="C83" s="98"/>
      <c r="D83" s="98"/>
      <c r="E83" s="98"/>
      <c r="F83" s="98"/>
      <c r="G83" s="99"/>
      <c r="H83" s="99"/>
      <c r="I83" s="99"/>
      <c r="J83" s="99" t="n">
        <v>0.189240313331644</v>
      </c>
      <c r="K83" s="101" t="n">
        <v>0.194974868281087</v>
      </c>
      <c r="L83" s="101" t="n">
        <v>0.200709423230531</v>
      </c>
      <c r="M83" s="101" t="n">
        <v>0.206443978179975</v>
      </c>
      <c r="N83" s="101" t="n">
        <v>0.212178533129419</v>
      </c>
      <c r="O83" s="102" t="n">
        <v>0.217913088078862</v>
      </c>
      <c r="P83" s="102" t="n">
        <v>0.223647643028306</v>
      </c>
      <c r="Q83" s="102" t="n">
        <v>0.234691098988875</v>
      </c>
      <c r="R83" s="102" t="n">
        <v>0.240558376463597</v>
      </c>
      <c r="S83" s="102" t="n">
        <v>0.246425653938319</v>
      </c>
      <c r="T83" s="0" t="n">
        <v>0.252292931413041</v>
      </c>
      <c r="U83" s="93" t="n">
        <v>0.258160208887762</v>
      </c>
      <c r="AD83" s="94"/>
    </row>
    <row r="84" customFormat="false" ht="13.8" hidden="false" customHeight="false" outlineLevel="0" collapsed="false">
      <c r="A84" s="93" t="s">
        <v>251</v>
      </c>
      <c r="B84" s="94" t="n">
        <v>4</v>
      </c>
      <c r="C84" s="98"/>
      <c r="D84" s="98"/>
      <c r="E84" s="98"/>
      <c r="F84" s="98"/>
      <c r="G84" s="99"/>
      <c r="H84" s="99"/>
      <c r="I84" s="99"/>
      <c r="J84" s="99" t="n">
        <v>0.189240313331644</v>
      </c>
      <c r="K84" s="101" t="n">
        <v>0.194974868281087</v>
      </c>
      <c r="L84" s="101" t="n">
        <v>0.200709423230531</v>
      </c>
      <c r="M84" s="101" t="n">
        <v>0.206443978179975</v>
      </c>
      <c r="N84" s="101" t="n">
        <v>0.212178533129419</v>
      </c>
      <c r="O84" s="102" t="n">
        <v>0.217913088078862</v>
      </c>
      <c r="P84" s="102" t="n">
        <v>0.223647643028306</v>
      </c>
      <c r="Q84" s="102" t="n">
        <v>0.234691098988875</v>
      </c>
      <c r="R84" s="102" t="n">
        <v>0.240558376463597</v>
      </c>
      <c r="S84" s="102" t="n">
        <v>0.246425653938319</v>
      </c>
      <c r="T84" s="0" t="n">
        <v>0.252292931413041</v>
      </c>
      <c r="U84" s="93" t="n">
        <v>0.258160208887762</v>
      </c>
      <c r="AD84" s="94"/>
    </row>
    <row r="85" customFormat="false" ht="13.8" hidden="false" customHeight="false" outlineLevel="0" collapsed="false">
      <c r="A85" s="93" t="s">
        <v>496</v>
      </c>
      <c r="B85" s="94" t="n">
        <v>4</v>
      </c>
      <c r="C85" s="98"/>
      <c r="D85" s="98"/>
      <c r="E85" s="98"/>
      <c r="F85" s="98"/>
      <c r="G85" s="99"/>
      <c r="H85" s="99"/>
      <c r="I85" s="99"/>
      <c r="J85" s="99" t="n">
        <v>0.189240313331644</v>
      </c>
      <c r="K85" s="101" t="n">
        <v>0.194974868281087</v>
      </c>
      <c r="L85" s="101" t="n">
        <v>0.200709423230531</v>
      </c>
      <c r="M85" s="101" t="n">
        <v>0.206443978179975</v>
      </c>
      <c r="N85" s="101" t="n">
        <v>0.212178533129419</v>
      </c>
      <c r="O85" s="102" t="n">
        <v>0.217913088078862</v>
      </c>
      <c r="P85" s="102" t="n">
        <v>0.223647643028306</v>
      </c>
      <c r="Q85" s="102" t="n">
        <v>0.234691098988875</v>
      </c>
      <c r="R85" s="102" t="n">
        <v>0.240558376463597</v>
      </c>
      <c r="S85" s="102" t="n">
        <v>0.246425653938319</v>
      </c>
      <c r="T85" s="0" t="n">
        <v>0.252292931413041</v>
      </c>
      <c r="U85" s="93" t="n">
        <v>0.258160208887762</v>
      </c>
      <c r="AD85" s="94"/>
    </row>
    <row r="86" customFormat="false" ht="13.8" hidden="false" customHeight="false" outlineLevel="0" collapsed="false">
      <c r="A86" s="93" t="s">
        <v>252</v>
      </c>
      <c r="B86" s="94" t="n">
        <v>4</v>
      </c>
      <c r="C86" s="98"/>
      <c r="D86" s="98"/>
      <c r="E86" s="98"/>
      <c r="F86" s="98"/>
      <c r="G86" s="99"/>
      <c r="H86" s="99"/>
      <c r="I86" s="99"/>
      <c r="J86" s="99" t="n">
        <v>0.189240313331644</v>
      </c>
      <c r="K86" s="101" t="n">
        <v>0.194974868281087</v>
      </c>
      <c r="L86" s="101" t="n">
        <v>0.200709423230531</v>
      </c>
      <c r="M86" s="101" t="n">
        <v>0.206443978179975</v>
      </c>
      <c r="N86" s="101" t="n">
        <v>0.212178533129419</v>
      </c>
      <c r="O86" s="102" t="n">
        <v>0.217913088078862</v>
      </c>
      <c r="P86" s="102" t="n">
        <v>0.223647643028306</v>
      </c>
      <c r="Q86" s="102" t="n">
        <v>0.234691098988875</v>
      </c>
      <c r="R86" s="102" t="n">
        <v>0.240558376463597</v>
      </c>
      <c r="S86" s="102" t="n">
        <v>0.246425653938319</v>
      </c>
      <c r="T86" s="0" t="n">
        <v>0.252292931413041</v>
      </c>
      <c r="U86" s="93" t="n">
        <v>0.258160208887762</v>
      </c>
      <c r="AD86" s="94"/>
    </row>
    <row r="87" customFormat="false" ht="13.8" hidden="false" customHeight="false" outlineLevel="0" collapsed="false">
      <c r="A87" s="93" t="s">
        <v>248</v>
      </c>
      <c r="B87" s="94" t="n">
        <v>4</v>
      </c>
      <c r="C87" s="98"/>
      <c r="D87" s="98"/>
      <c r="E87" s="98"/>
      <c r="F87" s="98"/>
      <c r="G87" s="99"/>
      <c r="H87" s="99"/>
      <c r="I87" s="99" t="n">
        <v>0.1835057583822</v>
      </c>
      <c r="J87" s="99" t="n">
        <v>0.189240313331644</v>
      </c>
      <c r="K87" s="101" t="n">
        <v>0.194974868281087</v>
      </c>
      <c r="L87" s="101" t="n">
        <v>0.200709423230531</v>
      </c>
      <c r="M87" s="101" t="n">
        <v>0.206443978179975</v>
      </c>
      <c r="N87" s="101" t="n">
        <v>0.212178533129419</v>
      </c>
      <c r="O87" s="102" t="n">
        <v>0.217913088078862</v>
      </c>
      <c r="P87" s="102" t="n">
        <v>0.223647643028306</v>
      </c>
      <c r="Q87" s="102" t="n">
        <v>0.234691098988875</v>
      </c>
      <c r="R87" s="102" t="n">
        <v>0.240558376463597</v>
      </c>
      <c r="S87" s="102" t="n">
        <v>0.246425653938319</v>
      </c>
      <c r="T87" s="0" t="n">
        <v>0.252292931413041</v>
      </c>
      <c r="U87" s="38" t="n">
        <v>0.258160208887762</v>
      </c>
      <c r="AD87" s="94"/>
    </row>
    <row r="88" customFormat="false" ht="13.8" hidden="false" customHeight="false" outlineLevel="0" collapsed="false">
      <c r="A88" s="93" t="s">
        <v>1118</v>
      </c>
      <c r="B88" s="94" t="n">
        <v>4</v>
      </c>
      <c r="C88" s="98"/>
      <c r="D88" s="98"/>
      <c r="E88" s="98"/>
      <c r="F88" s="98"/>
      <c r="G88" s="99"/>
      <c r="H88" s="99"/>
      <c r="I88" s="99" t="n">
        <v>0.1835057583822</v>
      </c>
      <c r="J88" s="99" t="n">
        <v>0.189240313331644</v>
      </c>
      <c r="K88" s="101" t="n">
        <v>0.194974868281087</v>
      </c>
      <c r="L88" s="101" t="n">
        <v>0.200709423230531</v>
      </c>
      <c r="M88" s="101"/>
      <c r="N88" s="101"/>
      <c r="O88" s="102"/>
      <c r="P88" s="102"/>
      <c r="Q88" s="102"/>
      <c r="R88" s="102"/>
      <c r="S88" s="102"/>
      <c r="U88" s="38"/>
      <c r="AD88" s="94"/>
    </row>
    <row r="89" customFormat="false" ht="13.8" hidden="false" customHeight="false" outlineLevel="0" collapsed="false">
      <c r="A89" s="93" t="s">
        <v>1111</v>
      </c>
      <c r="B89" s="94" t="n">
        <v>4</v>
      </c>
      <c r="C89" s="98"/>
      <c r="D89" s="98"/>
      <c r="E89" s="98"/>
      <c r="F89" s="98"/>
      <c r="G89" s="99"/>
      <c r="H89" s="99"/>
      <c r="I89" s="99" t="n">
        <v>0.1835057583822</v>
      </c>
      <c r="J89" s="99" t="n">
        <v>0.189240313331644</v>
      </c>
      <c r="K89" s="101" t="n">
        <v>0.194974868281087</v>
      </c>
      <c r="L89" s="101" t="n">
        <v>0.200709423230531</v>
      </c>
      <c r="M89" s="101" t="n">
        <v>0.206443978179975</v>
      </c>
      <c r="N89" s="101" t="n">
        <v>0.212178533129419</v>
      </c>
      <c r="O89" s="102" t="n">
        <v>0.217913088078862</v>
      </c>
      <c r="P89" s="102" t="n">
        <v>0.223647643028306</v>
      </c>
      <c r="Q89" s="102" t="n">
        <v>0.234691098988875</v>
      </c>
      <c r="R89" s="102" t="n">
        <v>0.240558376463597</v>
      </c>
      <c r="S89" s="102" t="n">
        <v>0.246425653938319</v>
      </c>
      <c r="T89" s="0" t="n">
        <v>0.252292931413041</v>
      </c>
      <c r="U89" s="93" t="n">
        <v>0.258160208887762</v>
      </c>
      <c r="AD89" s="94"/>
    </row>
    <row r="90" customFormat="false" ht="13.8" hidden="false" customHeight="false" outlineLevel="0" collapsed="false">
      <c r="A90" s="93" t="s">
        <v>253</v>
      </c>
      <c r="B90" s="94" t="n">
        <v>4</v>
      </c>
      <c r="C90" s="98"/>
      <c r="D90" s="98"/>
      <c r="E90" s="98"/>
      <c r="F90" s="98"/>
      <c r="G90" s="99"/>
      <c r="H90" s="99"/>
      <c r="I90" s="99" t="n">
        <v>0.1835057583822</v>
      </c>
      <c r="J90" s="99" t="n">
        <v>0.189240313331644</v>
      </c>
      <c r="K90" s="101" t="n">
        <v>0.194974868281087</v>
      </c>
      <c r="L90" s="101" t="n">
        <v>0.200709423230531</v>
      </c>
      <c r="M90" s="101" t="n">
        <v>0.206443978179975</v>
      </c>
      <c r="N90" s="101" t="n">
        <v>0.212178533129419</v>
      </c>
      <c r="O90" s="102" t="n">
        <v>0.217913088078862</v>
      </c>
      <c r="P90" s="102" t="n">
        <v>0.223647643028306</v>
      </c>
      <c r="Q90" s="102" t="n">
        <v>0.234691098988875</v>
      </c>
      <c r="R90" s="102" t="n">
        <v>0.240558376463597</v>
      </c>
      <c r="S90" s="102" t="n">
        <v>0.246425653938319</v>
      </c>
      <c r="T90" s="0" t="n">
        <v>0.252292931413041</v>
      </c>
      <c r="U90" s="93" t="n">
        <v>0.258160208887762</v>
      </c>
      <c r="AD90" s="94"/>
    </row>
    <row r="91" customFormat="false" ht="13.8" hidden="false" customHeight="false" outlineLevel="0" collapsed="false">
      <c r="A91" s="93" t="s">
        <v>1238</v>
      </c>
      <c r="B91" s="94" t="n">
        <v>25</v>
      </c>
      <c r="C91" s="98"/>
      <c r="D91" s="98"/>
      <c r="E91" s="98"/>
      <c r="F91" s="98"/>
      <c r="G91" s="99"/>
      <c r="H91" s="99"/>
      <c r="I91" s="99" t="n">
        <v>0.4368</v>
      </c>
      <c r="J91" s="99" t="n">
        <v>0.45045</v>
      </c>
      <c r="K91" s="101" t="n">
        <v>0.4641</v>
      </c>
      <c r="L91" s="101" t="n">
        <v>0.47775</v>
      </c>
      <c r="M91" s="101" t="n">
        <v>0.4914</v>
      </c>
      <c r="N91" s="101" t="n">
        <v>0.50505</v>
      </c>
      <c r="O91" s="102" t="n">
        <v>0.5187</v>
      </c>
      <c r="P91" s="102" t="n">
        <v>0.53235</v>
      </c>
      <c r="Q91" s="102" t="n">
        <v>0.5805</v>
      </c>
      <c r="R91" s="102" t="n">
        <v>0.5950125</v>
      </c>
      <c r="S91" s="102" t="n">
        <v>0.609525</v>
      </c>
      <c r="T91" s="0" t="n">
        <v>0.6240375</v>
      </c>
      <c r="U91" s="93" t="n">
        <v>0.63855</v>
      </c>
      <c r="V91" s="0" t="n">
        <v>0.6530625</v>
      </c>
      <c r="AD91" s="94"/>
    </row>
    <row r="92" customFormat="false" ht="13.8" hidden="false" customHeight="false" outlineLevel="0" collapsed="false">
      <c r="A92" s="93" t="s">
        <v>143</v>
      </c>
      <c r="B92" s="94" t="n">
        <v>25</v>
      </c>
      <c r="C92" s="98"/>
      <c r="D92" s="98"/>
      <c r="E92" s="98"/>
      <c r="F92" s="98"/>
      <c r="G92" s="99"/>
      <c r="H92" s="99"/>
      <c r="I92" s="99"/>
      <c r="J92" s="99" t="n">
        <v>0.45045</v>
      </c>
      <c r="K92" s="101" t="n">
        <v>0.4641</v>
      </c>
      <c r="L92" s="101" t="n">
        <v>0.47775</v>
      </c>
      <c r="M92" s="101" t="n">
        <v>0.4914</v>
      </c>
      <c r="N92" s="101" t="n">
        <v>0.50505</v>
      </c>
      <c r="O92" s="102" t="n">
        <v>0.5187</v>
      </c>
      <c r="P92" s="102" t="n">
        <v>0.53235</v>
      </c>
      <c r="Q92" s="102"/>
      <c r="R92" s="102"/>
      <c r="S92" s="102"/>
      <c r="U92" s="93"/>
      <c r="AD92" s="94"/>
    </row>
    <row r="93" customFormat="false" ht="13.8" hidden="false" customHeight="false" outlineLevel="0" collapsed="false">
      <c r="A93" s="93" t="s">
        <v>268</v>
      </c>
      <c r="B93" s="94" t="n">
        <v>25</v>
      </c>
      <c r="C93" s="98"/>
      <c r="D93" s="98"/>
      <c r="E93" s="98"/>
      <c r="F93" s="98"/>
      <c r="G93" s="99"/>
      <c r="H93" s="99"/>
      <c r="I93" s="99"/>
      <c r="J93" s="99" t="n">
        <v>0.45045</v>
      </c>
      <c r="K93" s="101" t="n">
        <v>0.4641</v>
      </c>
      <c r="L93" s="101" t="n">
        <v>0.47775</v>
      </c>
      <c r="M93" s="101" t="n">
        <v>0.4914</v>
      </c>
      <c r="N93" s="101" t="n">
        <v>0.50505</v>
      </c>
      <c r="O93" s="102" t="n">
        <v>0.5187</v>
      </c>
      <c r="P93" s="102" t="n">
        <v>0.53235</v>
      </c>
      <c r="Q93" s="102"/>
      <c r="R93" s="102"/>
      <c r="S93" s="102"/>
      <c r="U93" s="93"/>
      <c r="AD93" s="94"/>
    </row>
    <row r="94" customFormat="false" ht="13.8" hidden="false" customHeight="false" outlineLevel="0" collapsed="false">
      <c r="A94" s="93" t="s">
        <v>144</v>
      </c>
      <c r="B94" s="94" t="n">
        <v>25</v>
      </c>
      <c r="C94" s="98"/>
      <c r="D94" s="98"/>
      <c r="E94" s="98"/>
      <c r="F94" s="98"/>
      <c r="G94" s="99"/>
      <c r="H94" s="99"/>
      <c r="I94" s="99"/>
      <c r="J94" s="99" t="n">
        <v>0.45045</v>
      </c>
      <c r="K94" s="101" t="n">
        <v>0.4641</v>
      </c>
      <c r="L94" s="101" t="n">
        <v>0.47775</v>
      </c>
      <c r="M94" s="101" t="n">
        <v>0.4914</v>
      </c>
      <c r="N94" s="101" t="n">
        <v>0.50505</v>
      </c>
      <c r="O94" s="102" t="n">
        <v>0.5187</v>
      </c>
      <c r="P94" s="102" t="n">
        <v>0.53235</v>
      </c>
      <c r="Q94" s="102"/>
      <c r="R94" s="102"/>
      <c r="S94" s="102"/>
      <c r="U94" s="93"/>
      <c r="AD94" s="94"/>
    </row>
    <row r="95" customFormat="false" ht="13.8" hidden="false" customHeight="false" outlineLevel="0" collapsed="false">
      <c r="A95" s="93" t="s">
        <v>269</v>
      </c>
      <c r="B95" s="94" t="n">
        <v>25</v>
      </c>
      <c r="C95" s="98"/>
      <c r="D95" s="98"/>
      <c r="E95" s="98"/>
      <c r="F95" s="98"/>
      <c r="G95" s="99"/>
      <c r="H95" s="99"/>
      <c r="I95" s="99"/>
      <c r="J95" s="99" t="n">
        <v>0.45045</v>
      </c>
      <c r="K95" s="101" t="n">
        <v>0.4641</v>
      </c>
      <c r="L95" s="101" t="n">
        <v>0.47775</v>
      </c>
      <c r="M95" s="101" t="n">
        <v>0.4914</v>
      </c>
      <c r="N95" s="101" t="n">
        <v>0.50505</v>
      </c>
      <c r="O95" s="102" t="n">
        <v>0.5187</v>
      </c>
      <c r="P95" s="102" t="n">
        <v>0.53235</v>
      </c>
      <c r="Q95" s="102"/>
      <c r="R95" s="102"/>
      <c r="S95" s="102"/>
      <c r="U95" s="38"/>
      <c r="AD95" s="94"/>
    </row>
    <row r="96" customFormat="false" ht="13.8" hidden="false" customHeight="false" outlineLevel="0" collapsed="false">
      <c r="A96" s="93" t="s">
        <v>145</v>
      </c>
      <c r="B96" s="94" t="n">
        <v>25</v>
      </c>
      <c r="C96" s="98"/>
      <c r="D96" s="98"/>
      <c r="E96" s="98"/>
      <c r="F96" s="98"/>
      <c r="G96" s="99"/>
      <c r="H96" s="99"/>
      <c r="I96" s="99"/>
      <c r="J96" s="99"/>
      <c r="K96" s="101"/>
      <c r="L96" s="101"/>
      <c r="M96" s="101"/>
      <c r="N96" s="101"/>
      <c r="O96" s="102" t="n">
        <v>0.5187</v>
      </c>
      <c r="P96" s="102" t="n">
        <v>0.53235</v>
      </c>
      <c r="Q96" s="102" t="n">
        <v>0.5805</v>
      </c>
      <c r="R96" s="102" t="n">
        <v>0.5950125</v>
      </c>
      <c r="S96" s="102" t="n">
        <v>0.609525</v>
      </c>
      <c r="T96" s="0" t="n">
        <v>0.6240375</v>
      </c>
      <c r="U96" s="38" t="n">
        <v>0.63855</v>
      </c>
      <c r="V96" s="0" t="n">
        <v>0.6530625</v>
      </c>
      <c r="AD96" s="94"/>
    </row>
    <row r="97" customFormat="false" ht="13.8" hidden="false" customHeight="false" outlineLevel="0" collapsed="false">
      <c r="A97" s="93" t="s">
        <v>270</v>
      </c>
      <c r="B97" s="94" t="n">
        <v>25</v>
      </c>
      <c r="C97" s="98"/>
      <c r="D97" s="98"/>
      <c r="E97" s="98"/>
      <c r="F97" s="98"/>
      <c r="G97" s="99"/>
      <c r="H97" s="99"/>
      <c r="I97" s="99"/>
      <c r="J97" s="99"/>
      <c r="K97" s="101"/>
      <c r="L97" s="101"/>
      <c r="M97" s="101"/>
      <c r="N97" s="101"/>
      <c r="O97" s="102" t="n">
        <v>0.5187</v>
      </c>
      <c r="P97" s="102" t="n">
        <v>0.53235</v>
      </c>
      <c r="Q97" s="102" t="n">
        <v>0.5805</v>
      </c>
      <c r="R97" s="102" t="n">
        <v>0.5950125</v>
      </c>
      <c r="S97" s="102" t="n">
        <v>0.609525</v>
      </c>
      <c r="T97" s="0" t="n">
        <v>0.6240375</v>
      </c>
      <c r="U97" s="38" t="n">
        <v>0.63855</v>
      </c>
      <c r="V97" s="0" t="n">
        <v>0.6530625</v>
      </c>
      <c r="AD97" s="94"/>
    </row>
    <row r="98" customFormat="false" ht="13.8" hidden="false" customHeight="false" outlineLevel="0" collapsed="false">
      <c r="A98" s="93" t="s">
        <v>1235</v>
      </c>
      <c r="B98" s="94" t="n">
        <v>25</v>
      </c>
      <c r="C98" s="98"/>
      <c r="D98" s="98"/>
      <c r="E98" s="98"/>
      <c r="F98" s="98"/>
      <c r="G98" s="99"/>
      <c r="H98" s="99"/>
      <c r="I98" s="99"/>
      <c r="J98" s="99"/>
      <c r="K98" s="101"/>
      <c r="L98" s="101"/>
      <c r="M98" s="101"/>
      <c r="N98" s="101"/>
      <c r="O98" s="102"/>
      <c r="P98" s="102"/>
      <c r="Q98" s="102"/>
      <c r="R98" s="102" t="n">
        <v>0.5950125</v>
      </c>
      <c r="S98" s="102" t="n">
        <v>0.609525</v>
      </c>
      <c r="T98" s="0" t="n">
        <v>0.6240375</v>
      </c>
      <c r="U98" s="38" t="n">
        <v>0.63855</v>
      </c>
      <c r="V98" s="0" t="n">
        <v>0.6530625</v>
      </c>
      <c r="AD98" s="94"/>
    </row>
    <row r="99" customFormat="false" ht="13.8" hidden="false" customHeight="false" outlineLevel="0" collapsed="false">
      <c r="A99" s="93" t="s">
        <v>1256</v>
      </c>
      <c r="B99" s="94" t="n">
        <v>25</v>
      </c>
      <c r="C99" s="98"/>
      <c r="D99" s="98"/>
      <c r="E99" s="98"/>
      <c r="F99" s="98"/>
      <c r="G99" s="99"/>
      <c r="H99" s="99"/>
      <c r="I99" s="99"/>
      <c r="J99" s="99" t="n">
        <v>0.45045</v>
      </c>
      <c r="K99" s="101" t="n">
        <v>0.4641</v>
      </c>
      <c r="L99" s="101" t="n">
        <v>0.47775</v>
      </c>
      <c r="M99" s="101" t="n">
        <v>0.4914</v>
      </c>
      <c r="N99" s="101" t="n">
        <v>0.50505</v>
      </c>
      <c r="O99" s="102" t="n">
        <v>0.5187</v>
      </c>
      <c r="P99" s="102" t="n">
        <v>0.53235</v>
      </c>
      <c r="Q99" s="102"/>
      <c r="R99" s="102"/>
      <c r="S99" s="102"/>
      <c r="U99" s="38"/>
      <c r="AD99" s="94"/>
    </row>
    <row r="100" customFormat="false" ht="13.8" hidden="false" customHeight="false" outlineLevel="0" collapsed="false">
      <c r="A100" s="93" t="s">
        <v>1250</v>
      </c>
      <c r="B100" s="94" t="n">
        <v>25</v>
      </c>
      <c r="C100" s="98"/>
      <c r="D100" s="98"/>
      <c r="E100" s="98"/>
      <c r="F100" s="98"/>
      <c r="G100" s="99"/>
      <c r="H100" s="99"/>
      <c r="I100" s="99"/>
      <c r="J100" s="99"/>
      <c r="K100" s="101"/>
      <c r="L100" s="101"/>
      <c r="M100" s="101"/>
      <c r="N100" s="101" t="n">
        <v>0.50505</v>
      </c>
      <c r="O100" s="102" t="n">
        <v>0.5187</v>
      </c>
      <c r="P100" s="102" t="n">
        <v>0.53235</v>
      </c>
      <c r="Q100" s="102"/>
      <c r="R100" s="102"/>
      <c r="S100" s="102"/>
      <c r="U100" s="38"/>
      <c r="AD100" s="94"/>
    </row>
    <row r="101" customFormat="false" ht="13.8" hidden="false" customHeight="false" outlineLevel="0" collapsed="false">
      <c r="A101" s="93" t="s">
        <v>1247</v>
      </c>
      <c r="B101" s="94" t="n">
        <v>25</v>
      </c>
      <c r="C101" s="98"/>
      <c r="D101" s="98"/>
      <c r="E101" s="98"/>
      <c r="F101" s="98"/>
      <c r="G101" s="99"/>
      <c r="H101" s="99"/>
      <c r="I101" s="99"/>
      <c r="J101" s="99" t="n">
        <v>0.45045</v>
      </c>
      <c r="K101" s="101" t="n">
        <v>0.4641</v>
      </c>
      <c r="L101" s="101" t="n">
        <v>0.47775</v>
      </c>
      <c r="M101" s="101" t="n">
        <v>0.4914</v>
      </c>
      <c r="N101" s="101" t="n">
        <v>0.50505</v>
      </c>
      <c r="O101" s="102" t="n">
        <v>0.5187</v>
      </c>
      <c r="P101" s="102" t="n">
        <v>0.53235</v>
      </c>
      <c r="Q101" s="102"/>
      <c r="R101" s="102"/>
      <c r="S101" s="102"/>
      <c r="U101" s="38"/>
      <c r="AD101" s="94"/>
    </row>
    <row r="102" customFormat="false" ht="13.8" hidden="false" customHeight="false" outlineLevel="0" collapsed="false">
      <c r="A102" s="93" t="s">
        <v>1277</v>
      </c>
      <c r="B102" s="94" t="n">
        <v>25</v>
      </c>
      <c r="C102" s="98"/>
      <c r="D102" s="98"/>
      <c r="E102" s="98"/>
      <c r="F102" s="98"/>
      <c r="G102" s="99"/>
      <c r="H102" s="99"/>
      <c r="I102" s="99"/>
      <c r="J102" s="99"/>
      <c r="K102" s="101"/>
      <c r="L102" s="101"/>
      <c r="M102" s="101"/>
      <c r="N102" s="101"/>
      <c r="O102" s="102" t="n">
        <v>0.5187</v>
      </c>
      <c r="P102" s="102" t="n">
        <v>0.53235</v>
      </c>
      <c r="Q102" s="102" t="n">
        <v>0.5805</v>
      </c>
      <c r="R102" s="102" t="n">
        <v>0.5950125</v>
      </c>
      <c r="S102" s="102" t="n">
        <v>0.609525</v>
      </c>
      <c r="T102" s="0" t="n">
        <v>0.6240375</v>
      </c>
      <c r="U102" s="38" t="n">
        <v>0.63855</v>
      </c>
      <c r="V102" s="0" t="n">
        <v>0.6530625</v>
      </c>
      <c r="AD102" s="94"/>
    </row>
    <row r="103" customFormat="false" ht="13.8" hidden="false" customHeight="false" outlineLevel="0" collapsed="false">
      <c r="A103" s="93" t="s">
        <v>1259</v>
      </c>
      <c r="B103" s="94" t="n">
        <v>1</v>
      </c>
      <c r="C103" s="98"/>
      <c r="D103" s="98"/>
      <c r="E103" s="98"/>
      <c r="F103" s="98" t="n">
        <v>0.301884266886326</v>
      </c>
      <c r="G103" s="99" t="n">
        <v>0.312294069192751</v>
      </c>
      <c r="H103" s="99" t="n">
        <v>0.322703871499176</v>
      </c>
      <c r="I103" s="99" t="n">
        <v>0.333113673805601</v>
      </c>
      <c r="J103" s="99" t="n">
        <v>0.343523476112026</v>
      </c>
      <c r="K103" s="101" t="n">
        <v>0.353933278418451</v>
      </c>
      <c r="L103" s="101" t="n">
        <v>0.364343080724876</v>
      </c>
      <c r="M103" s="101" t="n">
        <v>0.374752883031302</v>
      </c>
      <c r="N103" s="101" t="n">
        <v>0.385162685337727</v>
      </c>
      <c r="O103" s="102" t="n">
        <v>0.395572487644152</v>
      </c>
      <c r="P103" s="102" t="n">
        <v>0.405982289950577</v>
      </c>
      <c r="Q103" s="102" t="n">
        <v>0.425696046128501</v>
      </c>
      <c r="R103" s="102" t="n">
        <v>0.436338447281713</v>
      </c>
      <c r="S103" s="102" t="n">
        <v>0.446980848434926</v>
      </c>
      <c r="T103" s="0" t="n">
        <v>0.457623249588138</v>
      </c>
      <c r="U103" s="38" t="n">
        <v>0.468265650741351</v>
      </c>
      <c r="V103" s="0" t="n">
        <v>0.478908051894563</v>
      </c>
      <c r="AD103" s="94"/>
    </row>
    <row r="104" customFormat="false" ht="13.8" hidden="false" customHeight="false" outlineLevel="0" collapsed="false">
      <c r="A104" s="93" t="s">
        <v>146</v>
      </c>
      <c r="B104" s="94" t="n">
        <v>1</v>
      </c>
      <c r="C104" s="98"/>
      <c r="D104" s="98"/>
      <c r="E104" s="98"/>
      <c r="F104" s="98" t="n">
        <v>0.301884266886326</v>
      </c>
      <c r="G104" s="99" t="n">
        <v>0.312294069192751</v>
      </c>
      <c r="H104" s="99" t="n">
        <v>0.322703871499176</v>
      </c>
      <c r="I104" s="99" t="n">
        <v>0.333113673805601</v>
      </c>
      <c r="J104" s="99" t="n">
        <v>0.343523476112026</v>
      </c>
      <c r="K104" s="101" t="n">
        <v>0.353933278418451</v>
      </c>
      <c r="L104" s="101" t="n">
        <v>0.364343080724876</v>
      </c>
      <c r="M104" s="101" t="n">
        <v>0.374752883031302</v>
      </c>
      <c r="N104" s="101"/>
      <c r="O104" s="102"/>
      <c r="P104" s="102"/>
      <c r="Q104" s="102"/>
      <c r="R104" s="102"/>
      <c r="S104" s="102"/>
      <c r="U104" s="38"/>
      <c r="AD104" s="94"/>
    </row>
    <row r="105" customFormat="false" ht="13.8" hidden="false" customHeight="false" outlineLevel="0" collapsed="false">
      <c r="A105" s="93" t="s">
        <v>271</v>
      </c>
      <c r="B105" s="94" t="n">
        <v>1</v>
      </c>
      <c r="C105" s="98"/>
      <c r="D105" s="98"/>
      <c r="E105" s="98"/>
      <c r="F105" s="98" t="n">
        <v>0.301884266886326</v>
      </c>
      <c r="G105" s="99" t="n">
        <v>0.312294069192751</v>
      </c>
      <c r="H105" s="99" t="n">
        <v>0.322703871499176</v>
      </c>
      <c r="I105" s="99" t="n">
        <v>0.333113673805601</v>
      </c>
      <c r="J105" s="99" t="n">
        <v>0.343523476112026</v>
      </c>
      <c r="K105" s="101" t="n">
        <v>0.353933278418451</v>
      </c>
      <c r="L105" s="101" t="n">
        <v>0.364343080724876</v>
      </c>
      <c r="M105" s="101" t="n">
        <v>0.374752883031302</v>
      </c>
      <c r="N105" s="101"/>
      <c r="O105" s="102"/>
      <c r="P105" s="102"/>
      <c r="Q105" s="102"/>
      <c r="R105" s="102"/>
      <c r="S105" s="102"/>
      <c r="U105" s="104"/>
      <c r="AD105" s="94"/>
    </row>
    <row r="106" customFormat="false" ht="13.8" hidden="false" customHeight="false" outlineLevel="0" collapsed="false">
      <c r="A106" s="93" t="s">
        <v>148</v>
      </c>
      <c r="B106" s="94" t="n">
        <v>1</v>
      </c>
      <c r="C106" s="98"/>
      <c r="D106" s="98"/>
      <c r="E106" s="98"/>
      <c r="F106" s="98"/>
      <c r="G106" s="99"/>
      <c r="H106" s="99"/>
      <c r="I106" s="99"/>
      <c r="J106" s="99"/>
      <c r="K106" s="101"/>
      <c r="L106" s="101"/>
      <c r="M106" s="101"/>
      <c r="N106" s="101" t="n">
        <v>0.385162685337727</v>
      </c>
      <c r="O106" s="102" t="n">
        <v>0.395572487644152</v>
      </c>
      <c r="P106" s="102" t="n">
        <v>0.405982289950577</v>
      </c>
      <c r="Q106" s="102" t="n">
        <v>0.425696046128501</v>
      </c>
      <c r="R106" s="102" t="n">
        <v>0.436338447281713</v>
      </c>
      <c r="S106" s="102" t="n">
        <v>0.446980848434926</v>
      </c>
      <c r="T106" s="0" t="n">
        <v>0.457623249588138</v>
      </c>
      <c r="U106" s="104" t="n">
        <v>0.468265650741351</v>
      </c>
      <c r="V106" s="0" t="n">
        <v>0.478908051894563</v>
      </c>
      <c r="AD106" s="94"/>
    </row>
    <row r="107" customFormat="false" ht="13.8" hidden="false" customHeight="false" outlineLevel="0" collapsed="false">
      <c r="A107" s="93" t="s">
        <v>272</v>
      </c>
      <c r="B107" s="94" t="n">
        <v>1</v>
      </c>
      <c r="C107" s="98"/>
      <c r="D107" s="98"/>
      <c r="E107" s="98"/>
      <c r="F107" s="98"/>
      <c r="G107" s="99"/>
      <c r="H107" s="99"/>
      <c r="I107" s="99"/>
      <c r="J107" s="99"/>
      <c r="K107" s="101"/>
      <c r="L107" s="101"/>
      <c r="M107" s="101"/>
      <c r="N107" s="101" t="n">
        <v>0.385162685337727</v>
      </c>
      <c r="O107" s="102" t="n">
        <v>0.395572487644152</v>
      </c>
      <c r="P107" s="102" t="n">
        <v>0.405982289950577</v>
      </c>
      <c r="Q107" s="102" t="n">
        <v>0.425696046128501</v>
      </c>
      <c r="R107" s="102" t="n">
        <v>0.436338447281713</v>
      </c>
      <c r="S107" s="102" t="n">
        <v>0.446980848434926</v>
      </c>
      <c r="T107" s="0" t="n">
        <v>0.457623249588138</v>
      </c>
      <c r="U107" s="104" t="n">
        <v>0.468265650741351</v>
      </c>
      <c r="V107" s="0" t="n">
        <v>0.478908051894563</v>
      </c>
      <c r="AD107" s="94"/>
    </row>
    <row r="108" customFormat="false" ht="13.8" hidden="false" customHeight="false" outlineLevel="0" collapsed="false">
      <c r="A108" s="93" t="s">
        <v>542</v>
      </c>
      <c r="B108" s="94" t="n">
        <v>1</v>
      </c>
      <c r="C108" s="98"/>
      <c r="D108" s="98"/>
      <c r="E108" s="98"/>
      <c r="F108" s="98"/>
      <c r="G108" s="99"/>
      <c r="H108" s="99"/>
      <c r="I108" s="99"/>
      <c r="J108" s="99"/>
      <c r="K108" s="101"/>
      <c r="L108" s="101"/>
      <c r="M108" s="101"/>
      <c r="N108" s="101" t="n">
        <v>0.385162685337727</v>
      </c>
      <c r="O108" s="102" t="n">
        <v>0.395572487644152</v>
      </c>
      <c r="P108" s="102" t="n">
        <v>0.405982289950577</v>
      </c>
      <c r="Q108" s="102" t="n">
        <v>0.425696046128501</v>
      </c>
      <c r="R108" s="102" t="n">
        <v>0.436338447281713</v>
      </c>
      <c r="S108" s="102" t="n">
        <v>0.446980848434926</v>
      </c>
      <c r="T108" s="0" t="n">
        <v>0.457623249588138</v>
      </c>
      <c r="U108" s="104" t="n">
        <v>0.468265650741351</v>
      </c>
      <c r="V108" s="0" t="n">
        <v>0.478908051894563</v>
      </c>
      <c r="AD108" s="94"/>
    </row>
    <row r="109" customFormat="false" ht="13.8" hidden="false" customHeight="false" outlineLevel="0" collapsed="false">
      <c r="A109" s="93" t="s">
        <v>273</v>
      </c>
      <c r="B109" s="94" t="n">
        <v>1</v>
      </c>
      <c r="C109" s="98"/>
      <c r="D109" s="98"/>
      <c r="E109" s="98"/>
      <c r="F109" s="98"/>
      <c r="G109" s="99"/>
      <c r="H109" s="99"/>
      <c r="I109" s="99"/>
      <c r="J109" s="99"/>
      <c r="K109" s="101"/>
      <c r="L109" s="101"/>
      <c r="M109" s="101"/>
      <c r="N109" s="101" t="n">
        <v>0.385162685337727</v>
      </c>
      <c r="O109" s="102" t="n">
        <v>0.395572487644152</v>
      </c>
      <c r="P109" s="102" t="n">
        <v>0.405982289950577</v>
      </c>
      <c r="Q109" s="102" t="n">
        <v>0.425696046128501</v>
      </c>
      <c r="R109" s="102" t="n">
        <v>0.436338447281713</v>
      </c>
      <c r="S109" s="102" t="n">
        <v>0.446980848434926</v>
      </c>
      <c r="T109" s="0" t="n">
        <v>0.457623249588138</v>
      </c>
      <c r="U109" s="104" t="n">
        <v>0.468265650741351</v>
      </c>
      <c r="V109" s="0" t="n">
        <v>0.478908051894563</v>
      </c>
      <c r="AD109" s="94"/>
    </row>
    <row r="110" customFormat="false" ht="13.8" hidden="false" customHeight="false" outlineLevel="0" collapsed="false">
      <c r="A110" s="93" t="s">
        <v>147</v>
      </c>
      <c r="B110" s="94" t="n">
        <v>1</v>
      </c>
      <c r="C110" s="98"/>
      <c r="D110" s="98"/>
      <c r="E110" s="98"/>
      <c r="F110" s="98" t="n">
        <v>0.301884266886326</v>
      </c>
      <c r="G110" s="99" t="n">
        <v>0.312294069192751</v>
      </c>
      <c r="H110" s="99" t="n">
        <v>0.322703871499176</v>
      </c>
      <c r="I110" s="99" t="n">
        <v>0.333113673805601</v>
      </c>
      <c r="J110" s="99" t="n">
        <v>0.343523476112026</v>
      </c>
      <c r="K110" s="101" t="n">
        <v>0.353933278418451</v>
      </c>
      <c r="L110" s="101" t="n">
        <v>0.364343080724876</v>
      </c>
      <c r="M110" s="101" t="n">
        <v>0.374752883031302</v>
      </c>
      <c r="N110" s="101"/>
      <c r="O110" s="102"/>
      <c r="P110" s="102"/>
      <c r="Q110" s="102"/>
      <c r="R110" s="102"/>
      <c r="S110" s="102"/>
      <c r="U110" s="104"/>
      <c r="AD110" s="94"/>
    </row>
    <row r="111" customFormat="false" ht="13.8" hidden="false" customHeight="false" outlineLevel="0" collapsed="false">
      <c r="A111" s="93" t="s">
        <v>149</v>
      </c>
      <c r="B111" s="94" t="n">
        <v>1</v>
      </c>
      <c r="C111" s="98"/>
      <c r="D111" s="98"/>
      <c r="E111" s="98"/>
      <c r="F111" s="98" t="n">
        <v>0.301884266886326</v>
      </c>
      <c r="G111" s="99" t="n">
        <v>0.312294069192751</v>
      </c>
      <c r="H111" s="99" t="n">
        <v>0.322703871499176</v>
      </c>
      <c r="I111" s="99" t="n">
        <v>0.333113673805601</v>
      </c>
      <c r="J111" s="99" t="n">
        <v>0.343523476112026</v>
      </c>
      <c r="K111" s="101" t="n">
        <v>0.353933278418451</v>
      </c>
      <c r="L111" s="101" t="n">
        <v>0.364343080724876</v>
      </c>
      <c r="M111" s="101" t="n">
        <v>0.374752883031302</v>
      </c>
      <c r="N111" s="101"/>
      <c r="O111" s="102"/>
      <c r="P111" s="102"/>
      <c r="Q111" s="102"/>
      <c r="R111" s="102"/>
      <c r="S111" s="102"/>
      <c r="U111" s="104"/>
      <c r="AD111" s="94"/>
    </row>
    <row r="112" customFormat="false" ht="13.8" hidden="false" customHeight="false" outlineLevel="0" collapsed="false">
      <c r="A112" s="93" t="s">
        <v>135</v>
      </c>
      <c r="B112" s="94" t="n">
        <v>23</v>
      </c>
      <c r="C112" s="98"/>
      <c r="D112" s="98"/>
      <c r="E112" s="98"/>
      <c r="F112" s="98"/>
      <c r="G112" s="99"/>
      <c r="H112" s="99"/>
      <c r="I112" s="99"/>
      <c r="J112" s="99"/>
      <c r="K112" s="101"/>
      <c r="L112" s="101"/>
      <c r="M112" s="101" t="n">
        <v>0.5535</v>
      </c>
      <c r="N112" s="101" t="n">
        <v>0.568875</v>
      </c>
      <c r="O112" s="102" t="n">
        <v>0.58425</v>
      </c>
      <c r="P112" s="102" t="n">
        <v>0.599625</v>
      </c>
      <c r="Q112" s="102" t="n">
        <v>0.615</v>
      </c>
      <c r="R112" s="102" t="n">
        <v>0.630375</v>
      </c>
      <c r="S112" s="102" t="n">
        <v>0.64575</v>
      </c>
      <c r="T112" s="0" t="n">
        <v>0.661125</v>
      </c>
      <c r="U112" s="104" t="n">
        <v>0.6765</v>
      </c>
      <c r="V112" s="0" t="n">
        <v>0.691875</v>
      </c>
      <c r="AD112" s="94"/>
    </row>
    <row r="113" customFormat="false" ht="13.8" hidden="false" customHeight="false" outlineLevel="0" collapsed="false">
      <c r="A113" s="93" t="s">
        <v>257</v>
      </c>
      <c r="B113" s="94" t="n">
        <v>23</v>
      </c>
      <c r="C113" s="98"/>
      <c r="D113" s="98"/>
      <c r="E113" s="98"/>
      <c r="F113" s="98"/>
      <c r="G113" s="99"/>
      <c r="H113" s="99"/>
      <c r="I113" s="99"/>
      <c r="J113" s="99"/>
      <c r="K113" s="101"/>
      <c r="L113" s="101"/>
      <c r="M113" s="101" t="n">
        <v>0.5535</v>
      </c>
      <c r="N113" s="101" t="n">
        <v>0.568875</v>
      </c>
      <c r="O113" s="102" t="n">
        <v>0.58425</v>
      </c>
      <c r="P113" s="102" t="n">
        <v>0.599625</v>
      </c>
      <c r="Q113" s="102" t="n">
        <v>0.615</v>
      </c>
      <c r="R113" s="102" t="n">
        <v>0.630375</v>
      </c>
      <c r="S113" s="102" t="n">
        <v>0.64575</v>
      </c>
      <c r="T113" s="0" t="n">
        <v>0.661125</v>
      </c>
      <c r="U113" s="104" t="n">
        <v>0.6765</v>
      </c>
      <c r="V113" s="0" t="n">
        <v>0.691875</v>
      </c>
      <c r="AD113" s="94"/>
    </row>
    <row r="114" customFormat="false" ht="13.8" hidden="false" customHeight="false" outlineLevel="0" collapsed="false">
      <c r="A114" s="93" t="s">
        <v>1173</v>
      </c>
      <c r="B114" s="94" t="n">
        <v>23</v>
      </c>
      <c r="C114" s="98"/>
      <c r="D114" s="98"/>
      <c r="E114" s="98"/>
      <c r="F114" s="98"/>
      <c r="G114" s="99"/>
      <c r="H114" s="99"/>
      <c r="I114" s="99"/>
      <c r="J114" s="99"/>
      <c r="K114" s="101"/>
      <c r="L114" s="101"/>
      <c r="M114" s="101" t="n">
        <v>0.5535</v>
      </c>
      <c r="N114" s="101" t="n">
        <v>0.568875</v>
      </c>
      <c r="O114" s="102" t="n">
        <v>0.58425</v>
      </c>
      <c r="P114" s="102" t="n">
        <v>0.599625</v>
      </c>
      <c r="Q114" s="102" t="n">
        <v>0.615</v>
      </c>
      <c r="R114" s="102" t="n">
        <v>0.630375</v>
      </c>
      <c r="S114" s="102" t="n">
        <v>0.64575</v>
      </c>
      <c r="T114" s="0" t="n">
        <v>0.661125</v>
      </c>
      <c r="U114" s="104" t="n">
        <v>0.6765</v>
      </c>
      <c r="V114" s="0" t="n">
        <v>0.691875</v>
      </c>
      <c r="AD114" s="94"/>
    </row>
    <row r="115" customFormat="false" ht="13.8" hidden="false" customHeight="false" outlineLevel="0" collapsed="false">
      <c r="A115" s="93" t="s">
        <v>515</v>
      </c>
      <c r="B115" s="94" t="n">
        <v>23</v>
      </c>
      <c r="C115" s="98"/>
      <c r="D115" s="98"/>
      <c r="E115" s="98"/>
      <c r="F115" s="98"/>
      <c r="G115" s="99"/>
      <c r="H115" s="99"/>
      <c r="I115" s="99"/>
      <c r="J115" s="99"/>
      <c r="K115" s="101"/>
      <c r="L115" s="101"/>
      <c r="M115" s="101" t="n">
        <v>0.5535</v>
      </c>
      <c r="N115" s="101" t="n">
        <v>0.568875</v>
      </c>
      <c r="O115" s="102" t="n">
        <v>0.58425</v>
      </c>
      <c r="P115" s="102" t="n">
        <v>0.599625</v>
      </c>
      <c r="Q115" s="102" t="n">
        <v>0.615</v>
      </c>
      <c r="R115" s="102" t="n">
        <v>0.630375</v>
      </c>
      <c r="S115" s="102" t="n">
        <v>0.64575</v>
      </c>
      <c r="T115" s="0" t="n">
        <v>0.661125</v>
      </c>
      <c r="U115" s="104" t="n">
        <v>0.6765</v>
      </c>
      <c r="V115" s="0" t="n">
        <v>0.691875</v>
      </c>
      <c r="AD115" s="94"/>
    </row>
    <row r="116" customFormat="false" ht="13.8" hidden="false" customHeight="false" outlineLevel="0" collapsed="false">
      <c r="A116" s="93" t="s">
        <v>343</v>
      </c>
      <c r="B116" s="94" t="n">
        <v>23</v>
      </c>
      <c r="C116" s="98"/>
      <c r="D116" s="98"/>
      <c r="E116" s="98"/>
      <c r="F116" s="98"/>
      <c r="G116" s="99"/>
      <c r="H116" s="99"/>
      <c r="I116" s="99"/>
      <c r="J116" s="99"/>
      <c r="K116" s="101"/>
      <c r="L116" s="101"/>
      <c r="M116" s="101" t="n">
        <v>0.5535</v>
      </c>
      <c r="N116" s="101" t="n">
        <v>0.568875</v>
      </c>
      <c r="O116" s="102" t="n">
        <v>0.58425</v>
      </c>
      <c r="P116" s="102" t="n">
        <v>0.599625</v>
      </c>
      <c r="Q116" s="102" t="n">
        <v>0.615</v>
      </c>
      <c r="R116" s="102" t="n">
        <v>0.630375</v>
      </c>
      <c r="S116" s="102" t="n">
        <v>0.64575</v>
      </c>
      <c r="T116" s="0" t="n">
        <v>0.661125</v>
      </c>
      <c r="U116" s="104" t="n">
        <v>0.6765</v>
      </c>
      <c r="V116" s="0" t="n">
        <v>0.691875</v>
      </c>
      <c r="AD116" s="94"/>
    </row>
    <row r="117" customFormat="false" ht="13.8" hidden="false" customHeight="false" outlineLevel="0" collapsed="false">
      <c r="A117" s="93" t="s">
        <v>1280</v>
      </c>
      <c r="B117" s="94" t="n">
        <v>26</v>
      </c>
      <c r="C117" s="98"/>
      <c r="D117" s="98"/>
      <c r="E117" s="98"/>
      <c r="F117" s="98"/>
      <c r="G117" s="99"/>
      <c r="H117" s="99" t="n">
        <v>0.24645</v>
      </c>
      <c r="I117" s="99" t="n">
        <v>0.2544</v>
      </c>
      <c r="J117" s="99" t="n">
        <v>0.26235</v>
      </c>
      <c r="K117" s="101" t="n">
        <v>0.2703</v>
      </c>
      <c r="L117" s="101" t="n">
        <v>0.27825</v>
      </c>
      <c r="M117" s="101" t="n">
        <v>0.2862</v>
      </c>
      <c r="N117" s="101" t="n">
        <v>0.29415</v>
      </c>
      <c r="O117" s="102" t="n">
        <v>0.3021</v>
      </c>
      <c r="P117" s="102" t="n">
        <v>0.31005</v>
      </c>
      <c r="Q117" s="102" t="n">
        <v>0.3465</v>
      </c>
      <c r="R117" s="102" t="n">
        <v>0.3551625</v>
      </c>
      <c r="S117" s="102" t="n">
        <v>0.363825</v>
      </c>
      <c r="T117" s="0" t="n">
        <v>0.3724875</v>
      </c>
      <c r="U117" s="104" t="n">
        <v>0.38115</v>
      </c>
      <c r="V117" s="0" t="n">
        <v>0.3898125</v>
      </c>
      <c r="AD117" s="94"/>
    </row>
    <row r="118" customFormat="false" ht="13.8" hidden="false" customHeight="false" outlineLevel="0" collapsed="false">
      <c r="A118" s="93" t="s">
        <v>150</v>
      </c>
      <c r="B118" s="94" t="n">
        <v>26</v>
      </c>
      <c r="C118" s="98"/>
      <c r="D118" s="98"/>
      <c r="E118" s="98"/>
      <c r="F118" s="98"/>
      <c r="G118" s="99"/>
      <c r="H118" s="99" t="n">
        <v>0.24645</v>
      </c>
      <c r="I118" s="99" t="n">
        <v>0.2544</v>
      </c>
      <c r="J118" s="99" t="n">
        <v>0.26235</v>
      </c>
      <c r="K118" s="101" t="n">
        <v>0.2703</v>
      </c>
      <c r="L118" s="101" t="n">
        <v>0.27825</v>
      </c>
      <c r="M118" s="101" t="n">
        <v>0.2862</v>
      </c>
      <c r="N118" s="101" t="n">
        <v>0.29415</v>
      </c>
      <c r="O118" s="102" t="n">
        <v>0.3021</v>
      </c>
      <c r="P118" s="102" t="n">
        <v>0.31005</v>
      </c>
      <c r="Q118" s="102"/>
      <c r="R118" s="102"/>
      <c r="S118" s="102"/>
      <c r="U118" s="104"/>
      <c r="AD118" s="94"/>
    </row>
    <row r="119" customFormat="false" ht="13.8" hidden="false" customHeight="false" outlineLevel="0" collapsed="false">
      <c r="A119" s="93" t="s">
        <v>274</v>
      </c>
      <c r="B119" s="94" t="n">
        <v>26</v>
      </c>
      <c r="C119" s="98"/>
      <c r="D119" s="98"/>
      <c r="E119" s="98"/>
      <c r="F119" s="98"/>
      <c r="G119" s="99"/>
      <c r="H119" s="99" t="n">
        <v>0.24645</v>
      </c>
      <c r="I119" s="99" t="n">
        <v>0.2544</v>
      </c>
      <c r="J119" s="99" t="n">
        <v>0.26235</v>
      </c>
      <c r="K119" s="101" t="n">
        <v>0.2703</v>
      </c>
      <c r="L119" s="101" t="n">
        <v>0.27825</v>
      </c>
      <c r="M119" s="101" t="n">
        <v>0.2862</v>
      </c>
      <c r="N119" s="101" t="n">
        <v>0.29415</v>
      </c>
      <c r="O119" s="102" t="n">
        <v>0.3021</v>
      </c>
      <c r="P119" s="102" t="n">
        <v>0.31005</v>
      </c>
      <c r="Q119" s="102"/>
      <c r="R119" s="102"/>
      <c r="S119" s="102"/>
      <c r="U119" s="104"/>
      <c r="AD119" s="94"/>
    </row>
    <row r="120" customFormat="false" ht="13.8" hidden="false" customHeight="false" outlineLevel="0" collapsed="false">
      <c r="A120" s="93" t="s">
        <v>1284</v>
      </c>
      <c r="B120" s="94" t="n">
        <v>26</v>
      </c>
      <c r="C120" s="98"/>
      <c r="D120" s="98"/>
      <c r="E120" s="98"/>
      <c r="F120" s="98"/>
      <c r="G120" s="99"/>
      <c r="H120" s="99" t="n">
        <v>0.24645</v>
      </c>
      <c r="I120" s="99" t="n">
        <v>0.2544</v>
      </c>
      <c r="J120" s="99" t="n">
        <v>0.26235</v>
      </c>
      <c r="K120" s="101" t="n">
        <v>0.2703</v>
      </c>
      <c r="L120" s="101" t="n">
        <v>0.27825</v>
      </c>
      <c r="M120" s="101" t="n">
        <v>0.2862</v>
      </c>
      <c r="N120" s="101" t="n">
        <v>0.29415</v>
      </c>
      <c r="O120" s="102" t="n">
        <v>0.3021</v>
      </c>
      <c r="P120" s="102" t="n">
        <v>0.31005</v>
      </c>
      <c r="Q120" s="102"/>
      <c r="R120" s="102"/>
      <c r="S120" s="102"/>
      <c r="U120" s="104"/>
      <c r="AD120" s="94"/>
    </row>
    <row r="121" customFormat="false" ht="13.8" hidden="false" customHeight="false" outlineLevel="0" collapsed="false">
      <c r="A121" s="93" t="s">
        <v>275</v>
      </c>
      <c r="B121" s="94" t="n">
        <v>26</v>
      </c>
      <c r="C121" s="98"/>
      <c r="D121" s="98"/>
      <c r="E121" s="98"/>
      <c r="F121" s="98"/>
      <c r="G121" s="99"/>
      <c r="H121" s="99"/>
      <c r="I121" s="99"/>
      <c r="J121" s="99"/>
      <c r="K121" s="101"/>
      <c r="L121" s="101"/>
      <c r="M121" s="101"/>
      <c r="N121" s="101"/>
      <c r="O121" s="102" t="n">
        <v>0.3021</v>
      </c>
      <c r="P121" s="102" t="n">
        <v>0.31005</v>
      </c>
      <c r="Q121" s="102" t="n">
        <v>0.3465</v>
      </c>
      <c r="R121" s="102" t="n">
        <v>0.3551625</v>
      </c>
      <c r="S121" s="102" t="n">
        <v>0.363825</v>
      </c>
      <c r="T121" s="0" t="n">
        <v>0.3724875</v>
      </c>
      <c r="U121" s="104" t="n">
        <v>0.38115</v>
      </c>
      <c r="V121" s="0" t="n">
        <v>0.3898125</v>
      </c>
      <c r="AD121" s="94"/>
    </row>
    <row r="122" customFormat="false" ht="13.8" hidden="false" customHeight="false" outlineLevel="0" collapsed="false">
      <c r="A122" s="93" t="s">
        <v>276</v>
      </c>
      <c r="B122" s="94" t="n">
        <v>26</v>
      </c>
      <c r="C122" s="98"/>
      <c r="D122" s="98"/>
      <c r="E122" s="98"/>
      <c r="F122" s="98"/>
      <c r="G122" s="99"/>
      <c r="H122" s="99"/>
      <c r="I122" s="99"/>
      <c r="J122" s="99"/>
      <c r="K122" s="101"/>
      <c r="L122" s="101"/>
      <c r="M122" s="101"/>
      <c r="N122" s="101"/>
      <c r="O122" s="102"/>
      <c r="P122" s="102"/>
      <c r="Q122" s="102" t="n">
        <v>0.3465</v>
      </c>
      <c r="R122" s="102" t="n">
        <v>0.3551625</v>
      </c>
      <c r="S122" s="102" t="n">
        <v>0.363825</v>
      </c>
      <c r="T122" s="0" t="n">
        <v>0.3724875</v>
      </c>
      <c r="U122" s="104" t="n">
        <v>0.38115</v>
      </c>
      <c r="V122" s="0" t="n">
        <v>0.3898125</v>
      </c>
      <c r="AD122" s="94"/>
    </row>
    <row r="123" customFormat="false" ht="13.8" hidden="false" customHeight="false" outlineLevel="0" collapsed="false">
      <c r="A123" s="93" t="s">
        <v>151</v>
      </c>
      <c r="B123" s="94" t="n">
        <v>26</v>
      </c>
      <c r="C123" s="98"/>
      <c r="D123" s="98"/>
      <c r="E123" s="98"/>
      <c r="F123" s="98"/>
      <c r="G123" s="99"/>
      <c r="H123" s="99"/>
      <c r="I123" s="99"/>
      <c r="J123" s="99"/>
      <c r="K123" s="101"/>
      <c r="L123" s="101"/>
      <c r="M123" s="101"/>
      <c r="N123" s="101"/>
      <c r="O123" s="102"/>
      <c r="P123" s="102"/>
      <c r="Q123" s="102" t="n">
        <v>0.3465</v>
      </c>
      <c r="R123" s="102" t="n">
        <v>0.3551625</v>
      </c>
      <c r="S123" s="102" t="n">
        <v>0.363825</v>
      </c>
      <c r="T123" s="0" t="n">
        <v>0.3724875</v>
      </c>
      <c r="U123" s="104" t="n">
        <v>0.38115</v>
      </c>
      <c r="V123" s="0" t="n">
        <v>0.3898125</v>
      </c>
      <c r="AD123" s="94"/>
    </row>
    <row r="124" customFormat="false" ht="13.8" hidden="false" customHeight="false" outlineLevel="0" collapsed="false">
      <c r="A124" s="93" t="s">
        <v>277</v>
      </c>
      <c r="B124" s="94" t="n">
        <v>26</v>
      </c>
      <c r="C124" s="98"/>
      <c r="D124" s="98"/>
      <c r="E124" s="98"/>
      <c r="F124" s="98"/>
      <c r="G124" s="99"/>
      <c r="H124" s="99"/>
      <c r="I124" s="99"/>
      <c r="J124" s="99"/>
      <c r="K124" s="101"/>
      <c r="L124" s="101"/>
      <c r="M124" s="101"/>
      <c r="N124" s="101"/>
      <c r="O124" s="102"/>
      <c r="P124" s="102"/>
      <c r="Q124" s="102" t="n">
        <v>0.3465</v>
      </c>
      <c r="R124" s="102" t="n">
        <v>0.3551625</v>
      </c>
      <c r="S124" s="102" t="n">
        <v>0.363825</v>
      </c>
      <c r="T124" s="0" t="n">
        <v>0.3724875</v>
      </c>
      <c r="U124" s="104" t="n">
        <v>0.38115</v>
      </c>
      <c r="V124" s="0" t="n">
        <v>0.3898125</v>
      </c>
      <c r="AD124" s="94"/>
    </row>
    <row r="125" customFormat="false" ht="13.8" hidden="false" customHeight="false" outlineLevel="0" collapsed="false">
      <c r="A125" s="93" t="s">
        <v>1302</v>
      </c>
      <c r="B125" s="94" t="n">
        <v>26</v>
      </c>
      <c r="C125" s="98"/>
      <c r="D125" s="98"/>
      <c r="E125" s="98"/>
      <c r="F125" s="98"/>
      <c r="G125" s="99"/>
      <c r="H125" s="99"/>
      <c r="I125" s="99"/>
      <c r="J125" s="99"/>
      <c r="K125" s="101"/>
      <c r="L125" s="101"/>
      <c r="M125" s="101"/>
      <c r="N125" s="101"/>
      <c r="O125" s="102"/>
      <c r="P125" s="102"/>
      <c r="Q125" s="102" t="n">
        <v>0.3465</v>
      </c>
      <c r="R125" s="102" t="n">
        <v>0.3551625</v>
      </c>
      <c r="S125" s="102" t="n">
        <v>0.363825</v>
      </c>
      <c r="T125" s="0" t="n">
        <v>0.3724875</v>
      </c>
      <c r="U125" s="104" t="n">
        <v>0.38115</v>
      </c>
      <c r="V125" s="0" t="n">
        <v>0.3898125</v>
      </c>
      <c r="AD125" s="94"/>
    </row>
    <row r="126" customFormat="false" ht="13.8" hidden="false" customHeight="false" outlineLevel="0" collapsed="false">
      <c r="A126" s="93" t="s">
        <v>550</v>
      </c>
      <c r="B126" s="94" t="n">
        <v>26</v>
      </c>
      <c r="C126" s="98"/>
      <c r="D126" s="98"/>
      <c r="E126" s="98"/>
      <c r="F126" s="98"/>
      <c r="G126" s="99"/>
      <c r="H126" s="99"/>
      <c r="I126" s="99"/>
      <c r="J126" s="99"/>
      <c r="K126" s="101"/>
      <c r="L126" s="101"/>
      <c r="M126" s="101"/>
      <c r="N126" s="101"/>
      <c r="O126" s="102"/>
      <c r="P126" s="102"/>
      <c r="Q126" s="102" t="n">
        <v>0.3465</v>
      </c>
      <c r="R126" s="102" t="n">
        <v>0.3551625</v>
      </c>
      <c r="S126" s="102" t="n">
        <v>0.363825</v>
      </c>
      <c r="T126" s="0" t="n">
        <v>0.3724875</v>
      </c>
      <c r="U126" s="104" t="n">
        <v>0.38115</v>
      </c>
      <c r="V126" s="0" t="n">
        <v>0.3898125</v>
      </c>
      <c r="AD126" s="94"/>
    </row>
    <row r="127" customFormat="false" ht="13.8" hidden="false" customHeight="false" outlineLevel="0" collapsed="false">
      <c r="A127" s="93" t="s">
        <v>278</v>
      </c>
      <c r="B127" s="94" t="n">
        <v>26</v>
      </c>
      <c r="C127" s="98"/>
      <c r="D127" s="98"/>
      <c r="E127" s="98"/>
      <c r="F127" s="98"/>
      <c r="G127" s="99"/>
      <c r="H127" s="99"/>
      <c r="I127" s="99"/>
      <c r="J127" s="99"/>
      <c r="K127" s="101"/>
      <c r="L127" s="101"/>
      <c r="M127" s="101"/>
      <c r="N127" s="101"/>
      <c r="O127" s="102"/>
      <c r="P127" s="102"/>
      <c r="Q127" s="102" t="n">
        <v>0.3465</v>
      </c>
      <c r="R127" s="102" t="n">
        <v>0.3551625</v>
      </c>
      <c r="S127" s="102" t="n">
        <v>0.363825</v>
      </c>
      <c r="T127" s="0" t="n">
        <v>0.3724875</v>
      </c>
      <c r="U127" s="104" t="n">
        <v>0.38115</v>
      </c>
      <c r="V127" s="0" t="n">
        <v>0.3898125</v>
      </c>
      <c r="AD127" s="94"/>
    </row>
    <row r="128" customFormat="false" ht="13.8" hidden="false" customHeight="false" outlineLevel="0" collapsed="false">
      <c r="A128" s="93" t="s">
        <v>1287</v>
      </c>
      <c r="B128" s="94" t="n">
        <v>26</v>
      </c>
      <c r="C128" s="98"/>
      <c r="D128" s="98"/>
      <c r="E128" s="98"/>
      <c r="F128" s="98"/>
      <c r="G128" s="99"/>
      <c r="H128" s="99"/>
      <c r="I128" s="99"/>
      <c r="J128" s="99" t="n">
        <v>0.26235</v>
      </c>
      <c r="K128" s="101" t="n">
        <v>0.2703</v>
      </c>
      <c r="L128" s="101" t="n">
        <v>0.27825</v>
      </c>
      <c r="M128" s="101" t="n">
        <v>0.2862</v>
      </c>
      <c r="N128" s="101" t="n">
        <v>0.29415</v>
      </c>
      <c r="O128" s="102" t="n">
        <v>0.3021</v>
      </c>
      <c r="P128" s="102" t="n">
        <v>0.31005</v>
      </c>
      <c r="Q128" s="102"/>
      <c r="R128" s="102"/>
      <c r="S128" s="102"/>
      <c r="U128" s="104"/>
      <c r="AD128" s="94"/>
    </row>
    <row r="129" customFormat="false" ht="13.8" hidden="false" customHeight="false" outlineLevel="0" collapsed="false">
      <c r="A129" s="93" t="s">
        <v>1290</v>
      </c>
      <c r="B129" s="94" t="n">
        <v>26</v>
      </c>
      <c r="C129" s="98"/>
      <c r="D129" s="98"/>
      <c r="E129" s="98"/>
      <c r="F129" s="98"/>
      <c r="G129" s="99"/>
      <c r="H129" s="99"/>
      <c r="I129" s="99"/>
      <c r="J129" s="99" t="n">
        <v>0.26235</v>
      </c>
      <c r="K129" s="101" t="n">
        <v>0.2703</v>
      </c>
      <c r="L129" s="101" t="n">
        <v>0.27825</v>
      </c>
      <c r="M129" s="101" t="n">
        <v>0.2862</v>
      </c>
      <c r="N129" s="101" t="n">
        <v>0.29415</v>
      </c>
      <c r="O129" s="102" t="n">
        <v>0.3021</v>
      </c>
      <c r="P129" s="102" t="n">
        <v>0.31005</v>
      </c>
      <c r="Q129" s="102"/>
      <c r="R129" s="102"/>
      <c r="S129" s="102"/>
      <c r="U129" s="104"/>
      <c r="AD129" s="94"/>
    </row>
    <row r="130" customFormat="false" ht="13.8" hidden="false" customHeight="false" outlineLevel="0" collapsed="false">
      <c r="A130" s="93" t="s">
        <v>139</v>
      </c>
      <c r="B130" s="94" t="n">
        <v>26</v>
      </c>
      <c r="C130" s="98"/>
      <c r="D130" s="98"/>
      <c r="E130" s="98"/>
      <c r="F130" s="98"/>
      <c r="G130" s="99"/>
      <c r="H130" s="99"/>
      <c r="I130" s="99"/>
      <c r="J130" s="99"/>
      <c r="K130" s="101"/>
      <c r="L130" s="101"/>
      <c r="M130" s="101" t="n">
        <v>0.199952535109043</v>
      </c>
      <c r="N130" s="101" t="n">
        <v>0.205506772195405</v>
      </c>
      <c r="O130" s="102" t="n">
        <v>0.211061009281767</v>
      </c>
      <c r="P130" s="102" t="n">
        <v>0.216615246368129</v>
      </c>
      <c r="Q130" s="102" t="n">
        <v>0.231084741727246</v>
      </c>
      <c r="R130" s="102" t="n">
        <v>0.236861860270427</v>
      </c>
      <c r="S130" s="102" t="n">
        <v>0.242638978813608</v>
      </c>
      <c r="T130" s="0" t="n">
        <v>0.248416097356789</v>
      </c>
      <c r="U130" s="104" t="n">
        <v>0.25419321589997</v>
      </c>
      <c r="V130" s="0" t="n">
        <v>0.259970334443152</v>
      </c>
      <c r="AD130" s="94"/>
    </row>
    <row r="131" customFormat="false" ht="13.8" hidden="false" customHeight="false" outlineLevel="0" collapsed="false">
      <c r="A131" s="93" t="s">
        <v>260</v>
      </c>
      <c r="B131" s="94" t="n">
        <v>26</v>
      </c>
      <c r="C131" s="98"/>
      <c r="D131" s="98"/>
      <c r="E131" s="98"/>
      <c r="F131" s="98"/>
      <c r="G131" s="99"/>
      <c r="H131" s="99"/>
      <c r="I131" s="99"/>
      <c r="J131" s="99"/>
      <c r="K131" s="101"/>
      <c r="L131" s="101"/>
      <c r="M131" s="101" t="n">
        <v>0.199952535109043</v>
      </c>
      <c r="N131" s="101" t="n">
        <v>0.205506772195405</v>
      </c>
      <c r="O131" s="102" t="n">
        <v>0.211061009281767</v>
      </c>
      <c r="P131" s="102" t="n">
        <v>0.216615246368129</v>
      </c>
      <c r="Q131" s="102" t="n">
        <v>0.231084741727246</v>
      </c>
      <c r="R131" s="102" t="n">
        <v>0.236861860270427</v>
      </c>
      <c r="S131" s="102" t="n">
        <v>0.242638978813608</v>
      </c>
      <c r="T131" s="0" t="n">
        <v>0.248416097356789</v>
      </c>
      <c r="U131" s="104" t="n">
        <v>0.25419321589997</v>
      </c>
      <c r="V131" s="0" t="n">
        <v>0.259970334443151</v>
      </c>
      <c r="AD131" s="94"/>
    </row>
    <row r="132" customFormat="false" ht="13.8" hidden="false" customHeight="false" outlineLevel="0" collapsed="false">
      <c r="A132" s="93" t="s">
        <v>140</v>
      </c>
      <c r="B132" s="94" t="n">
        <v>26</v>
      </c>
      <c r="C132" s="98"/>
      <c r="D132" s="98"/>
      <c r="E132" s="98"/>
      <c r="F132" s="98"/>
      <c r="G132" s="99"/>
      <c r="H132" s="99"/>
      <c r="I132" s="99"/>
      <c r="J132" s="99"/>
      <c r="K132" s="101"/>
      <c r="L132" s="101"/>
      <c r="M132" s="101" t="n">
        <v>0.199952535109043</v>
      </c>
      <c r="N132" s="101" t="n">
        <v>0.205506772195405</v>
      </c>
      <c r="O132" s="102" t="n">
        <v>0.211061009281767</v>
      </c>
      <c r="P132" s="102" t="n">
        <v>0.216615246368129</v>
      </c>
      <c r="Q132" s="102" t="n">
        <v>0.231084741727246</v>
      </c>
      <c r="R132" s="102" t="n">
        <v>0.236861860270427</v>
      </c>
      <c r="S132" s="102" t="n">
        <v>0.242638978813608</v>
      </c>
      <c r="T132" s="0" t="n">
        <v>0.248416097356789</v>
      </c>
      <c r="U132" s="104" t="n">
        <v>0.25419321589997</v>
      </c>
      <c r="V132" s="0" t="n">
        <v>0.259970334443151</v>
      </c>
      <c r="AD132" s="94"/>
    </row>
    <row r="133" customFormat="false" ht="13.8" hidden="false" customHeight="false" outlineLevel="0" collapsed="false">
      <c r="A133" s="93" t="s">
        <v>261</v>
      </c>
      <c r="B133" s="94" t="n">
        <v>26</v>
      </c>
      <c r="C133" s="98"/>
      <c r="D133" s="98"/>
      <c r="E133" s="98"/>
      <c r="F133" s="98"/>
      <c r="G133" s="99"/>
      <c r="H133" s="99"/>
      <c r="I133" s="99"/>
      <c r="J133" s="99"/>
      <c r="K133" s="101"/>
      <c r="L133" s="101"/>
      <c r="M133" s="101" t="n">
        <v>0.199952535109043</v>
      </c>
      <c r="N133" s="101" t="n">
        <v>0.205506772195405</v>
      </c>
      <c r="O133" s="102" t="n">
        <v>0.211061009281767</v>
      </c>
      <c r="P133" s="102" t="n">
        <v>0.216615246368129</v>
      </c>
      <c r="Q133" s="102" t="n">
        <v>0.231084741727246</v>
      </c>
      <c r="R133" s="102" t="n">
        <v>0.236861860270427</v>
      </c>
      <c r="S133" s="102" t="n">
        <v>0.242638978813608</v>
      </c>
      <c r="T133" s="0" t="n">
        <v>0.248416097356789</v>
      </c>
      <c r="U133" s="93" t="n">
        <v>0.25419321589997</v>
      </c>
      <c r="V133" s="0" t="n">
        <v>0.259970334443151</v>
      </c>
      <c r="AD133" s="94"/>
    </row>
    <row r="134" customFormat="false" ht="13.8" hidden="false" customHeight="false" outlineLevel="0" collapsed="false">
      <c r="A134" s="93" t="s">
        <v>1216</v>
      </c>
      <c r="B134" s="94" t="n">
        <v>26</v>
      </c>
      <c r="C134" s="98"/>
      <c r="D134" s="98"/>
      <c r="E134" s="98"/>
      <c r="F134" s="98"/>
      <c r="G134" s="99"/>
      <c r="H134" s="99"/>
      <c r="I134" s="99" t="n">
        <v>0.177735586763593</v>
      </c>
      <c r="J134" s="99" t="n">
        <v>0.183289823849956</v>
      </c>
      <c r="K134" s="101" t="n">
        <v>0.188844060936318</v>
      </c>
      <c r="L134" s="101" t="n">
        <v>0.19439829802268</v>
      </c>
      <c r="M134" s="101" t="n">
        <v>0.199952535109043</v>
      </c>
      <c r="N134" s="101" t="n">
        <v>0.205506772195405</v>
      </c>
      <c r="O134" s="102" t="n">
        <v>0.211061009281767</v>
      </c>
      <c r="P134" s="102" t="n">
        <v>0.216615246368129</v>
      </c>
      <c r="Q134" s="102"/>
      <c r="R134" s="102"/>
      <c r="S134" s="102"/>
      <c r="U134" s="93"/>
      <c r="AD134" s="94"/>
    </row>
    <row r="135" customFormat="false" ht="13.8" hidden="false" customHeight="false" outlineLevel="0" collapsed="false">
      <c r="A135" s="93" t="s">
        <v>525</v>
      </c>
      <c r="B135" s="94" t="n">
        <v>26</v>
      </c>
      <c r="C135" s="98"/>
      <c r="D135" s="98"/>
      <c r="E135" s="98"/>
      <c r="F135" s="98"/>
      <c r="G135" s="99"/>
      <c r="H135" s="99"/>
      <c r="I135" s="99"/>
      <c r="J135" s="99"/>
      <c r="K135" s="101"/>
      <c r="L135" s="101"/>
      <c r="M135" s="101" t="n">
        <v>0.199952535109043</v>
      </c>
      <c r="N135" s="101" t="n">
        <v>0.205506772195405</v>
      </c>
      <c r="O135" s="102" t="n">
        <v>0.211061009281767</v>
      </c>
      <c r="P135" s="102" t="n">
        <v>0.216615246368129</v>
      </c>
      <c r="Q135" s="102" t="n">
        <v>0.231084741727246</v>
      </c>
      <c r="R135" s="102" t="n">
        <v>0.236861860270427</v>
      </c>
      <c r="S135" s="102" t="n">
        <v>0.242638978813608</v>
      </c>
      <c r="T135" s="0" t="n">
        <v>0.248416097356789</v>
      </c>
      <c r="U135" s="93" t="n">
        <v>0.25419321589997</v>
      </c>
      <c r="V135" s="0" t="n">
        <v>0.259970334443151</v>
      </c>
      <c r="AD135" s="94"/>
    </row>
    <row r="136" customFormat="false" ht="13.8" hidden="false" customHeight="false" outlineLevel="0" collapsed="false">
      <c r="A136" s="93" t="s">
        <v>262</v>
      </c>
      <c r="B136" s="94" t="n">
        <v>26</v>
      </c>
      <c r="C136" s="98"/>
      <c r="D136" s="98"/>
      <c r="E136" s="98"/>
      <c r="F136" s="98"/>
      <c r="G136" s="99"/>
      <c r="H136" s="99"/>
      <c r="I136" s="99"/>
      <c r="J136" s="99"/>
      <c r="K136" s="101"/>
      <c r="L136" s="101"/>
      <c r="M136" s="101" t="n">
        <v>0.199952535109043</v>
      </c>
      <c r="N136" s="101" t="n">
        <v>0.205506772195405</v>
      </c>
      <c r="O136" s="102" t="n">
        <v>0.211061009281767</v>
      </c>
      <c r="P136" s="102" t="n">
        <v>0.216615246368129</v>
      </c>
      <c r="Q136" s="102" t="n">
        <v>0.231084741727246</v>
      </c>
      <c r="R136" s="102" t="n">
        <v>0.236861860270427</v>
      </c>
      <c r="S136" s="102" t="n">
        <v>0.242638978813608</v>
      </c>
      <c r="T136" s="0" t="n">
        <v>0.248416097356789</v>
      </c>
      <c r="U136" s="93" t="n">
        <v>0.25419321589997</v>
      </c>
      <c r="V136" s="0" t="n">
        <v>0.259970334443151</v>
      </c>
      <c r="AD136" s="94"/>
    </row>
    <row r="137" customFormat="false" ht="13.8" hidden="false" customHeight="false" outlineLevel="0" collapsed="false">
      <c r="A137" s="93" t="s">
        <v>138</v>
      </c>
      <c r="B137" s="94" t="n">
        <v>26</v>
      </c>
      <c r="C137" s="98"/>
      <c r="D137" s="98"/>
      <c r="E137" s="98"/>
      <c r="F137" s="98"/>
      <c r="G137" s="99"/>
      <c r="H137" s="99"/>
      <c r="I137" s="99" t="n">
        <v>0.177735586763593</v>
      </c>
      <c r="J137" s="99" t="n">
        <v>0.183289823849956</v>
      </c>
      <c r="K137" s="101" t="n">
        <v>0.188844060936318</v>
      </c>
      <c r="L137" s="101" t="n">
        <v>0.19439829802268</v>
      </c>
      <c r="M137" s="101" t="n">
        <v>0.199952535109043</v>
      </c>
      <c r="N137" s="101" t="n">
        <v>0.205506772195405</v>
      </c>
      <c r="O137" s="102" t="n">
        <v>0.211061009281767</v>
      </c>
      <c r="P137" s="102" t="n">
        <v>0.216615246368129</v>
      </c>
      <c r="Q137" s="102"/>
      <c r="R137" s="102"/>
      <c r="S137" s="102"/>
      <c r="U137" s="93"/>
      <c r="AD137" s="94"/>
    </row>
    <row r="138" customFormat="false" ht="13.8" hidden="false" customHeight="false" outlineLevel="0" collapsed="false">
      <c r="A138" s="93" t="s">
        <v>259</v>
      </c>
      <c r="B138" s="94" t="n">
        <v>26</v>
      </c>
      <c r="C138" s="98"/>
      <c r="D138" s="98"/>
      <c r="E138" s="98"/>
      <c r="F138" s="98"/>
      <c r="G138" s="99"/>
      <c r="H138" s="99"/>
      <c r="I138" s="99" t="n">
        <v>0.177735586763593</v>
      </c>
      <c r="J138" s="99" t="n">
        <v>0.183289823849956</v>
      </c>
      <c r="K138" s="101" t="n">
        <v>0.188844060936318</v>
      </c>
      <c r="L138" s="101" t="n">
        <v>0.19439829802268</v>
      </c>
      <c r="M138" s="101" t="n">
        <v>0.199952535109043</v>
      </c>
      <c r="N138" s="101" t="n">
        <v>0.205506772195405</v>
      </c>
      <c r="O138" s="102" t="n">
        <v>0.211061009281767</v>
      </c>
      <c r="P138" s="102" t="n">
        <v>0.216615246368129</v>
      </c>
      <c r="Q138" s="102"/>
      <c r="R138" s="102"/>
      <c r="S138" s="102"/>
      <c r="U138" s="93"/>
      <c r="AD138" s="94"/>
    </row>
    <row r="139" customFormat="false" ht="13.8" hidden="false" customHeight="false" outlineLevel="0" collapsed="false">
      <c r="A139" s="93" t="s">
        <v>1214</v>
      </c>
      <c r="B139" s="94" t="n">
        <v>26</v>
      </c>
      <c r="C139" s="98"/>
      <c r="D139" s="98"/>
      <c r="E139" s="98"/>
      <c r="F139" s="98"/>
      <c r="G139" s="99"/>
      <c r="H139" s="99"/>
      <c r="I139" s="99"/>
      <c r="J139" s="99"/>
      <c r="K139" s="101"/>
      <c r="L139" s="101"/>
      <c r="M139" s="101" t="n">
        <v>0.199952535109043</v>
      </c>
      <c r="N139" s="101" t="n">
        <v>0.205506772195405</v>
      </c>
      <c r="O139" s="102" t="n">
        <v>0.211061009281767</v>
      </c>
      <c r="P139" s="102" t="n">
        <v>0.216615246368129</v>
      </c>
      <c r="Q139" s="102" t="n">
        <v>0.231084741727246</v>
      </c>
      <c r="R139" s="102" t="n">
        <v>0.236861860270427</v>
      </c>
      <c r="S139" s="102" t="n">
        <v>0.242638978813608</v>
      </c>
      <c r="T139" s="0" t="n">
        <v>0.248416097356789</v>
      </c>
      <c r="U139" s="93" t="n">
        <v>0.25419321589997</v>
      </c>
      <c r="V139" s="0" t="n">
        <v>0.259970334443151</v>
      </c>
      <c r="AD139" s="94"/>
    </row>
    <row r="140" customFormat="false" ht="13.8" hidden="false" customHeight="false" outlineLevel="0" collapsed="false">
      <c r="A140" s="93" t="s">
        <v>1196</v>
      </c>
      <c r="B140" s="94" t="n">
        <v>26</v>
      </c>
      <c r="C140" s="98"/>
      <c r="D140" s="98"/>
      <c r="E140" s="98"/>
      <c r="F140" s="98"/>
      <c r="G140" s="99"/>
      <c r="H140" s="99"/>
      <c r="I140" s="99" t="n">
        <v>0.177735586763593</v>
      </c>
      <c r="J140" s="99" t="n">
        <v>0.183289823849956</v>
      </c>
      <c r="K140" s="101" t="n">
        <v>0.188844060936318</v>
      </c>
      <c r="L140" s="101" t="n">
        <v>0.19439829802268</v>
      </c>
      <c r="M140" s="101" t="n">
        <v>0.199952535109043</v>
      </c>
      <c r="N140" s="101" t="n">
        <v>0.205506772195405</v>
      </c>
      <c r="O140" s="102" t="n">
        <v>0.211061009281767</v>
      </c>
      <c r="P140" s="102" t="n">
        <v>0.216615246368129</v>
      </c>
      <c r="Q140" s="102" t="n">
        <v>0.231084741727246</v>
      </c>
      <c r="R140" s="102" t="n">
        <v>0.236861860270427</v>
      </c>
      <c r="S140" s="102" t="n">
        <v>0.242638978813608</v>
      </c>
      <c r="T140" s="0" t="n">
        <v>0.248416097356789</v>
      </c>
      <c r="U140" s="93" t="n">
        <v>0.25419321589997</v>
      </c>
      <c r="V140" s="0" t="n">
        <v>0.259970334443151</v>
      </c>
      <c r="AD140" s="94"/>
    </row>
    <row r="141" customFormat="false" ht="13.8" hidden="false" customHeight="false" outlineLevel="0" collapsed="false">
      <c r="A141" s="93" t="s">
        <v>530</v>
      </c>
      <c r="B141" s="94" t="n">
        <v>26</v>
      </c>
      <c r="C141" s="98"/>
      <c r="D141" s="98" t="n">
        <v>0.149964401331782</v>
      </c>
      <c r="E141" s="98" t="n">
        <v>0.155518638418144</v>
      </c>
      <c r="F141" s="98" t="n">
        <v>0.161072875504506</v>
      </c>
      <c r="G141" s="99" t="n">
        <v>0.166627112590869</v>
      </c>
      <c r="H141" s="99" t="n">
        <v>0.172181349677231</v>
      </c>
      <c r="I141" s="99" t="n">
        <v>0.177735586763593</v>
      </c>
      <c r="J141" s="99" t="n">
        <v>0.183289823849956</v>
      </c>
      <c r="K141" s="101"/>
      <c r="L141" s="101"/>
      <c r="M141" s="101"/>
      <c r="N141" s="101"/>
      <c r="O141" s="102"/>
      <c r="P141" s="102"/>
      <c r="Q141" s="102"/>
      <c r="R141" s="102"/>
      <c r="S141" s="102"/>
      <c r="U141" s="93"/>
      <c r="AD141" s="94"/>
    </row>
    <row r="142" customFormat="false" ht="13.8" hidden="false" customHeight="false" outlineLevel="0" collapsed="false">
      <c r="A142" s="93" t="s">
        <v>265</v>
      </c>
      <c r="B142" s="94" t="n">
        <v>26</v>
      </c>
      <c r="C142" s="98"/>
      <c r="D142" s="98" t="n">
        <v>0.149964401331782</v>
      </c>
      <c r="E142" s="98" t="n">
        <v>0.155518638418144</v>
      </c>
      <c r="F142" s="98" t="n">
        <v>0.161072875504506</v>
      </c>
      <c r="G142" s="99" t="n">
        <v>0.166627112590869</v>
      </c>
      <c r="H142" s="99" t="n">
        <v>0.172181349677231</v>
      </c>
      <c r="I142" s="99" t="n">
        <v>0.177735586763593</v>
      </c>
      <c r="J142" s="99" t="n">
        <v>0.183289823849956</v>
      </c>
      <c r="K142" s="101"/>
      <c r="L142" s="101"/>
      <c r="M142" s="101"/>
      <c r="N142" s="101"/>
      <c r="O142" s="102"/>
      <c r="P142" s="102"/>
      <c r="Q142" s="102"/>
      <c r="R142" s="102"/>
      <c r="S142" s="102"/>
      <c r="U142" s="93"/>
      <c r="AD142" s="94"/>
    </row>
    <row r="143" customFormat="false" ht="13.8" hidden="false" customHeight="false" outlineLevel="0" collapsed="false">
      <c r="A143" s="93" t="s">
        <v>264</v>
      </c>
      <c r="B143" s="94" t="n">
        <v>26</v>
      </c>
      <c r="C143" s="98"/>
      <c r="D143" s="98"/>
      <c r="E143" s="98"/>
      <c r="F143" s="98"/>
      <c r="G143" s="99"/>
      <c r="H143" s="99"/>
      <c r="I143" s="99"/>
      <c r="J143" s="99"/>
      <c r="K143" s="101"/>
      <c r="L143" s="101"/>
      <c r="M143" s="101" t="n">
        <v>0.199952535109043</v>
      </c>
      <c r="N143" s="101" t="n">
        <v>0.205506772195405</v>
      </c>
      <c r="O143" s="102" t="n">
        <v>0.211061009281767</v>
      </c>
      <c r="P143" s="102" t="n">
        <v>0.216615246368129</v>
      </c>
      <c r="Q143" s="102" t="n">
        <v>0.231084741727246</v>
      </c>
      <c r="R143" s="102" t="n">
        <v>0.236861860270427</v>
      </c>
      <c r="S143" s="102" t="n">
        <v>0.242638978813608</v>
      </c>
      <c r="T143" s="0" t="n">
        <v>0.248416097356789</v>
      </c>
      <c r="U143" s="93" t="n">
        <v>0.25419321589997</v>
      </c>
      <c r="V143" s="0" t="n">
        <v>0.259970334443151</v>
      </c>
      <c r="AD143" s="94"/>
    </row>
    <row r="144" customFormat="false" ht="13.8" hidden="false" customHeight="false" outlineLevel="0" collapsed="false">
      <c r="A144" s="93" t="s">
        <v>139</v>
      </c>
      <c r="B144" s="94" t="n">
        <v>30</v>
      </c>
      <c r="C144" s="98"/>
      <c r="D144" s="98"/>
      <c r="E144" s="98"/>
      <c r="F144" s="98"/>
      <c r="G144" s="99"/>
      <c r="H144" s="99"/>
      <c r="I144" s="99"/>
      <c r="J144" s="99"/>
      <c r="K144" s="101"/>
      <c r="L144" s="101"/>
      <c r="M144" s="101" t="n">
        <v>0.199952535109043</v>
      </c>
      <c r="N144" s="101" t="n">
        <v>0.205506772195405</v>
      </c>
      <c r="O144" s="102" t="n">
        <v>0.211061009281767</v>
      </c>
      <c r="P144" s="102" t="n">
        <v>0.216615246368129</v>
      </c>
      <c r="Q144" s="102" t="n">
        <v>0.231084741727246</v>
      </c>
      <c r="R144" s="102" t="n">
        <v>0.236861860270427</v>
      </c>
      <c r="S144" s="102" t="n">
        <v>0.242638978813608</v>
      </c>
      <c r="T144" s="0" t="n">
        <v>0.248416097356789</v>
      </c>
      <c r="U144" s="93" t="n">
        <v>0.25419321589997</v>
      </c>
      <c r="V144" s="0" t="n">
        <v>0.259970334443151</v>
      </c>
      <c r="AD144" s="94"/>
    </row>
    <row r="145" customFormat="false" ht="13.8" hidden="false" customHeight="false" outlineLevel="0" collapsed="false">
      <c r="A145" s="93" t="s">
        <v>260</v>
      </c>
      <c r="B145" s="94" t="n">
        <v>30</v>
      </c>
      <c r="C145" s="98"/>
      <c r="D145" s="98"/>
      <c r="E145" s="98"/>
      <c r="F145" s="98"/>
      <c r="G145" s="99"/>
      <c r="H145" s="99"/>
      <c r="I145" s="99"/>
      <c r="J145" s="99"/>
      <c r="K145" s="101"/>
      <c r="L145" s="101"/>
      <c r="M145" s="101" t="n">
        <v>0.199952535109043</v>
      </c>
      <c r="N145" s="101" t="n">
        <v>0.205506772195405</v>
      </c>
      <c r="O145" s="102" t="n">
        <v>0.211061009281767</v>
      </c>
      <c r="P145" s="102" t="n">
        <v>0.216615246368129</v>
      </c>
      <c r="Q145" s="102" t="n">
        <v>0.231084741727246</v>
      </c>
      <c r="R145" s="102" t="n">
        <v>0.236861860270427</v>
      </c>
      <c r="S145" s="102" t="n">
        <v>0.242638978813608</v>
      </c>
      <c r="T145" s="0" t="n">
        <v>0.248416097356789</v>
      </c>
      <c r="U145" s="93" t="n">
        <v>0.25419321589997</v>
      </c>
      <c r="V145" s="0" t="n">
        <v>0.259970334443151</v>
      </c>
      <c r="AD145" s="94"/>
    </row>
    <row r="146" customFormat="false" ht="13.8" hidden="false" customHeight="false" outlineLevel="0" collapsed="false">
      <c r="A146" s="93" t="s">
        <v>140</v>
      </c>
      <c r="B146" s="94" t="n">
        <v>30</v>
      </c>
      <c r="C146" s="98"/>
      <c r="D146" s="98"/>
      <c r="E146" s="98"/>
      <c r="F146" s="98"/>
      <c r="G146" s="99"/>
      <c r="H146" s="99"/>
      <c r="I146" s="99"/>
      <c r="J146" s="99"/>
      <c r="K146" s="101"/>
      <c r="L146" s="101"/>
      <c r="M146" s="101" t="n">
        <v>0.199952535109043</v>
      </c>
      <c r="N146" s="101" t="n">
        <v>0.205506772195405</v>
      </c>
      <c r="O146" s="102" t="n">
        <v>0.211061009281767</v>
      </c>
      <c r="P146" s="102" t="n">
        <v>0.216615246368129</v>
      </c>
      <c r="Q146" s="102" t="n">
        <v>0.231084741727246</v>
      </c>
      <c r="R146" s="102" t="n">
        <v>0.236861860270427</v>
      </c>
      <c r="S146" s="102" t="n">
        <v>0.242638978813608</v>
      </c>
      <c r="T146" s="0" t="n">
        <v>0.248416097356789</v>
      </c>
      <c r="U146" s="93" t="n">
        <v>0.25419321589997</v>
      </c>
      <c r="V146" s="0" t="n">
        <v>0.259970334443151</v>
      </c>
      <c r="AD146" s="94"/>
    </row>
    <row r="147" customFormat="false" ht="13.8" hidden="false" customHeight="false" outlineLevel="0" collapsed="false">
      <c r="A147" s="93" t="s">
        <v>261</v>
      </c>
      <c r="B147" s="94" t="n">
        <v>30</v>
      </c>
      <c r="C147" s="98"/>
      <c r="D147" s="98"/>
      <c r="E147" s="98"/>
      <c r="F147" s="98"/>
      <c r="G147" s="99"/>
      <c r="H147" s="99"/>
      <c r="I147" s="99"/>
      <c r="J147" s="99"/>
      <c r="K147" s="101"/>
      <c r="L147" s="101"/>
      <c r="M147" s="101" t="n">
        <v>0.199952535109043</v>
      </c>
      <c r="N147" s="101" t="n">
        <v>0.205506772195405</v>
      </c>
      <c r="O147" s="102" t="n">
        <v>0.211061009281767</v>
      </c>
      <c r="P147" s="102" t="n">
        <v>0.216615246368129</v>
      </c>
      <c r="Q147" s="102" t="n">
        <v>0.231084741727246</v>
      </c>
      <c r="R147" s="102" t="n">
        <v>0.236861860270427</v>
      </c>
      <c r="S147" s="102" t="n">
        <v>0.242638978813608</v>
      </c>
      <c r="T147" s="0" t="n">
        <v>0.248416097356789</v>
      </c>
      <c r="U147" s="93" t="n">
        <v>0.25419321589997</v>
      </c>
      <c r="V147" s="0" t="n">
        <v>0.259970334443151</v>
      </c>
      <c r="AD147" s="94"/>
    </row>
    <row r="148" customFormat="false" ht="13.8" hidden="false" customHeight="false" outlineLevel="0" collapsed="false">
      <c r="A148" s="93" t="s">
        <v>1216</v>
      </c>
      <c r="B148" s="94" t="n">
        <v>30</v>
      </c>
      <c r="C148" s="98"/>
      <c r="D148" s="98"/>
      <c r="E148" s="98"/>
      <c r="F148" s="98"/>
      <c r="G148" s="99"/>
      <c r="H148" s="99"/>
      <c r="I148" s="99" t="n">
        <v>0.177735586763593</v>
      </c>
      <c r="J148" s="99" t="n">
        <v>0.183289823849956</v>
      </c>
      <c r="K148" s="101" t="n">
        <v>0.188844060936318</v>
      </c>
      <c r="L148" s="101" t="n">
        <v>0.19439829802268</v>
      </c>
      <c r="M148" s="101" t="n">
        <v>0.199952535109043</v>
      </c>
      <c r="N148" s="101" t="n">
        <v>0.205506772195405</v>
      </c>
      <c r="O148" s="102" t="n">
        <v>0.211061009281767</v>
      </c>
      <c r="P148" s="102" t="n">
        <v>0.216615246368129</v>
      </c>
      <c r="Q148" s="102"/>
      <c r="R148" s="102"/>
      <c r="S148" s="102"/>
      <c r="U148" s="93"/>
      <c r="AD148" s="94"/>
    </row>
    <row r="149" customFormat="false" ht="13.8" hidden="false" customHeight="false" outlineLevel="0" collapsed="false">
      <c r="A149" s="93" t="s">
        <v>525</v>
      </c>
      <c r="B149" s="94" t="n">
        <v>30</v>
      </c>
      <c r="C149" s="98"/>
      <c r="D149" s="98"/>
      <c r="E149" s="98"/>
      <c r="F149" s="98"/>
      <c r="G149" s="99"/>
      <c r="H149" s="99"/>
      <c r="I149" s="99"/>
      <c r="J149" s="99"/>
      <c r="K149" s="101"/>
      <c r="L149" s="101"/>
      <c r="M149" s="101" t="n">
        <v>0.199952535109043</v>
      </c>
      <c r="N149" s="101" t="n">
        <v>0.205506772195405</v>
      </c>
      <c r="O149" s="102" t="n">
        <v>0.211061009281767</v>
      </c>
      <c r="P149" s="102" t="n">
        <v>0.216615246368129</v>
      </c>
      <c r="Q149" s="102" t="n">
        <v>0.231084741727246</v>
      </c>
      <c r="R149" s="102" t="n">
        <v>0.236861860270427</v>
      </c>
      <c r="S149" s="102" t="n">
        <v>0.242638978813608</v>
      </c>
      <c r="T149" s="0" t="n">
        <v>0.248416097356789</v>
      </c>
      <c r="U149" s="93" t="n">
        <v>0.25419321589997</v>
      </c>
      <c r="V149" s="0" t="n">
        <v>0.259970334443151</v>
      </c>
      <c r="AD149" s="94"/>
    </row>
    <row r="150" customFormat="false" ht="13.8" hidden="false" customHeight="false" outlineLevel="0" collapsed="false">
      <c r="A150" s="93" t="s">
        <v>262</v>
      </c>
      <c r="B150" s="94" t="n">
        <v>30</v>
      </c>
      <c r="C150" s="98"/>
      <c r="D150" s="98"/>
      <c r="E150" s="98"/>
      <c r="F150" s="98"/>
      <c r="G150" s="99"/>
      <c r="H150" s="99"/>
      <c r="I150" s="99"/>
      <c r="J150" s="99"/>
      <c r="K150" s="101"/>
      <c r="L150" s="101"/>
      <c r="M150" s="101" t="n">
        <v>0.199952535109043</v>
      </c>
      <c r="N150" s="101" t="n">
        <v>0.205506772195405</v>
      </c>
      <c r="O150" s="102" t="n">
        <v>0.211061009281767</v>
      </c>
      <c r="P150" s="102" t="n">
        <v>0.216615246368129</v>
      </c>
      <c r="Q150" s="102" t="n">
        <v>0.231084741727246</v>
      </c>
      <c r="R150" s="102" t="n">
        <v>0.236861860270427</v>
      </c>
      <c r="S150" s="102" t="n">
        <v>0.242638978813608</v>
      </c>
      <c r="T150" s="0" t="n">
        <v>0.248416097356789</v>
      </c>
      <c r="U150" s="93" t="n">
        <v>0.25419321589997</v>
      </c>
      <c r="V150" s="0" t="n">
        <v>0.259970334443151</v>
      </c>
      <c r="AD150" s="94"/>
    </row>
    <row r="151" customFormat="false" ht="13.8" hidden="false" customHeight="false" outlineLevel="0" collapsed="false">
      <c r="A151" s="93" t="s">
        <v>138</v>
      </c>
      <c r="B151" s="94" t="n">
        <v>30</v>
      </c>
      <c r="C151" s="98"/>
      <c r="D151" s="98"/>
      <c r="E151" s="98"/>
      <c r="F151" s="98"/>
      <c r="G151" s="99"/>
      <c r="H151" s="99"/>
      <c r="I151" s="99" t="n">
        <v>0.177735586763593</v>
      </c>
      <c r="J151" s="99" t="n">
        <v>0.183289823849956</v>
      </c>
      <c r="K151" s="101" t="n">
        <v>0.188844060936318</v>
      </c>
      <c r="L151" s="101" t="n">
        <v>0.19439829802268</v>
      </c>
      <c r="M151" s="101" t="n">
        <v>0.199952535109043</v>
      </c>
      <c r="N151" s="101" t="n">
        <v>0.205506772195405</v>
      </c>
      <c r="O151" s="102" t="n">
        <v>0.211061009281767</v>
      </c>
      <c r="P151" s="102" t="n">
        <v>0.216615246368129</v>
      </c>
      <c r="Q151" s="102"/>
      <c r="R151" s="102"/>
      <c r="S151" s="102"/>
      <c r="U151" s="93"/>
      <c r="AD151" s="94"/>
    </row>
    <row r="152" customFormat="false" ht="13.8" hidden="false" customHeight="false" outlineLevel="0" collapsed="false">
      <c r="A152" s="93" t="s">
        <v>259</v>
      </c>
      <c r="B152" s="94" t="n">
        <v>30</v>
      </c>
      <c r="C152" s="98"/>
      <c r="D152" s="98"/>
      <c r="E152" s="98"/>
      <c r="F152" s="98"/>
      <c r="G152" s="99"/>
      <c r="H152" s="99"/>
      <c r="I152" s="99" t="n">
        <v>0.177735586763593</v>
      </c>
      <c r="J152" s="99" t="n">
        <v>0.183289823849956</v>
      </c>
      <c r="K152" s="101" t="n">
        <v>0.188844060936318</v>
      </c>
      <c r="L152" s="101" t="n">
        <v>0.19439829802268</v>
      </c>
      <c r="M152" s="101" t="n">
        <v>0.199952535109043</v>
      </c>
      <c r="N152" s="101" t="n">
        <v>0.205506772195405</v>
      </c>
      <c r="O152" s="102" t="n">
        <v>0.211061009281767</v>
      </c>
      <c r="P152" s="102" t="n">
        <v>0.216615246368129</v>
      </c>
      <c r="Q152" s="102"/>
      <c r="R152" s="102"/>
      <c r="S152" s="102"/>
      <c r="U152" s="93"/>
      <c r="AD152" s="94"/>
    </row>
    <row r="153" customFormat="false" ht="13.8" hidden="false" customHeight="false" outlineLevel="0" collapsed="false">
      <c r="A153" s="93" t="s">
        <v>1214</v>
      </c>
      <c r="B153" s="94" t="n">
        <v>30</v>
      </c>
      <c r="C153" s="98"/>
      <c r="D153" s="98"/>
      <c r="E153" s="98"/>
      <c r="F153" s="98"/>
      <c r="G153" s="99"/>
      <c r="H153" s="99"/>
      <c r="I153" s="99"/>
      <c r="J153" s="99"/>
      <c r="K153" s="101"/>
      <c r="L153" s="101"/>
      <c r="M153" s="101"/>
      <c r="N153" s="101"/>
      <c r="O153" s="102"/>
      <c r="P153" s="102"/>
      <c r="Q153" s="102" t="n">
        <v>0.231084741727246</v>
      </c>
      <c r="R153" s="102" t="n">
        <v>0.236861860270427</v>
      </c>
      <c r="S153" s="102" t="n">
        <v>0.242638978813608</v>
      </c>
      <c r="T153" s="0" t="n">
        <v>0.248416097356789</v>
      </c>
      <c r="U153" s="93" t="n">
        <v>0.25419321589997</v>
      </c>
      <c r="V153" s="0" t="n">
        <v>0.259970334443151</v>
      </c>
      <c r="AD153" s="94"/>
    </row>
    <row r="154" customFormat="false" ht="13.8" hidden="false" customHeight="false" outlineLevel="0" collapsed="false">
      <c r="A154" s="93" t="s">
        <v>1196</v>
      </c>
      <c r="B154" s="94" t="n">
        <v>30</v>
      </c>
      <c r="C154" s="98"/>
      <c r="D154" s="98"/>
      <c r="E154" s="98"/>
      <c r="F154" s="98"/>
      <c r="G154" s="99"/>
      <c r="H154" s="99"/>
      <c r="I154" s="99" t="n">
        <v>0.177735586763593</v>
      </c>
      <c r="J154" s="99" t="n">
        <v>0.183289823849956</v>
      </c>
      <c r="K154" s="101" t="n">
        <v>0.188844060936318</v>
      </c>
      <c r="L154" s="101" t="n">
        <v>0.19439829802268</v>
      </c>
      <c r="M154" s="101" t="n">
        <v>0.199952535109043</v>
      </c>
      <c r="N154" s="101" t="n">
        <v>0.205506772195405</v>
      </c>
      <c r="O154" s="102" t="n">
        <v>0.211061009281767</v>
      </c>
      <c r="P154" s="102" t="n">
        <v>0.216615246368129</v>
      </c>
      <c r="Q154" s="102" t="n">
        <v>0.231084741727246</v>
      </c>
      <c r="R154" s="102" t="n">
        <v>0.236861860270427</v>
      </c>
      <c r="S154" s="102" t="n">
        <v>0.242638978813608</v>
      </c>
      <c r="T154" s="0" t="n">
        <v>0.248416097356789</v>
      </c>
      <c r="U154" s="93" t="n">
        <v>0.25419321589997</v>
      </c>
      <c r="V154" s="0" t="n">
        <v>0.259970334443151</v>
      </c>
      <c r="AD154" s="94"/>
    </row>
    <row r="155" customFormat="false" ht="13.8" hidden="false" customHeight="false" outlineLevel="0" collapsed="false">
      <c r="A155" s="93" t="s">
        <v>530</v>
      </c>
      <c r="B155" s="94" t="n">
        <v>30</v>
      </c>
      <c r="C155" s="98"/>
      <c r="D155" s="98" t="n">
        <v>0.149964401331782</v>
      </c>
      <c r="E155" s="98" t="n">
        <v>0.155518638418144</v>
      </c>
      <c r="F155" s="98" t="n">
        <v>0.161072875504506</v>
      </c>
      <c r="G155" s="99" t="n">
        <v>0.166627112590869</v>
      </c>
      <c r="H155" s="99" t="n">
        <v>0.172181349677231</v>
      </c>
      <c r="I155" s="99" t="n">
        <v>0.177735586763593</v>
      </c>
      <c r="J155" s="99" t="n">
        <v>0.183289823849956</v>
      </c>
      <c r="K155" s="101"/>
      <c r="L155" s="101"/>
      <c r="M155" s="101"/>
      <c r="N155" s="101"/>
      <c r="O155" s="102"/>
      <c r="P155" s="102"/>
      <c r="Q155" s="102"/>
      <c r="R155" s="102"/>
      <c r="S155" s="102"/>
      <c r="U155" s="93"/>
      <c r="AD155" s="94"/>
    </row>
    <row r="156" customFormat="false" ht="13.8" hidden="false" customHeight="false" outlineLevel="0" collapsed="false">
      <c r="A156" s="93" t="s">
        <v>265</v>
      </c>
      <c r="B156" s="94" t="n">
        <v>30</v>
      </c>
      <c r="C156" s="98"/>
      <c r="D156" s="98" t="n">
        <v>0.149964401331782</v>
      </c>
      <c r="E156" s="98" t="n">
        <v>0.155518638418144</v>
      </c>
      <c r="F156" s="98" t="n">
        <v>0.161072875504506</v>
      </c>
      <c r="G156" s="99" t="n">
        <v>0.166627112590869</v>
      </c>
      <c r="H156" s="99" t="n">
        <v>0.172181349677231</v>
      </c>
      <c r="I156" s="99" t="n">
        <v>0.177735586763593</v>
      </c>
      <c r="J156" s="99" t="n">
        <v>0.183289823849956</v>
      </c>
      <c r="K156" s="101"/>
      <c r="L156" s="101"/>
      <c r="M156" s="101"/>
      <c r="N156" s="101"/>
      <c r="O156" s="102"/>
      <c r="P156" s="102"/>
      <c r="Q156" s="102"/>
      <c r="R156" s="102"/>
      <c r="S156" s="102"/>
      <c r="U156" s="93"/>
      <c r="AD156" s="94"/>
    </row>
    <row r="157" customFormat="false" ht="13.8" hidden="false" customHeight="false" outlineLevel="0" collapsed="false">
      <c r="A157" s="93" t="s">
        <v>264</v>
      </c>
      <c r="B157" s="94" t="n">
        <v>30</v>
      </c>
      <c r="C157" s="98"/>
      <c r="D157" s="98" t="n">
        <v>0.149964401331782</v>
      </c>
      <c r="E157" s="98" t="n">
        <v>0.155518638418144</v>
      </c>
      <c r="F157" s="98" t="n">
        <v>0.161072875504506</v>
      </c>
      <c r="G157" s="99" t="n">
        <v>0.166627112590869</v>
      </c>
      <c r="H157" s="99" t="n">
        <v>0.172181349677231</v>
      </c>
      <c r="I157" s="99"/>
      <c r="J157" s="99"/>
      <c r="K157" s="101"/>
      <c r="L157" s="101"/>
      <c r="M157" s="101"/>
      <c r="N157" s="101"/>
      <c r="O157" s="102"/>
      <c r="P157" s="102"/>
      <c r="Q157" s="102"/>
      <c r="R157" s="102"/>
      <c r="S157" s="102"/>
      <c r="U157" s="93"/>
      <c r="AD157" s="94"/>
    </row>
    <row r="158" customFormat="false" ht="13.8" hidden="false" customHeight="false" outlineLevel="0" collapsed="false">
      <c r="A158" s="93" t="s">
        <v>139</v>
      </c>
      <c r="B158" s="94" t="n">
        <v>31</v>
      </c>
      <c r="C158" s="98"/>
      <c r="D158" s="98"/>
      <c r="E158" s="98"/>
      <c r="F158" s="98"/>
      <c r="G158" s="99"/>
      <c r="H158" s="99"/>
      <c r="I158" s="99"/>
      <c r="J158" s="99"/>
      <c r="K158" s="101"/>
      <c r="L158" s="101"/>
      <c r="M158" s="101" t="n">
        <v>0.199952535109043</v>
      </c>
      <c r="N158" s="101" t="n">
        <v>0.205506772195405</v>
      </c>
      <c r="O158" s="102" t="n">
        <v>0.211061009281767</v>
      </c>
      <c r="P158" s="102" t="n">
        <v>0.216615246368129</v>
      </c>
      <c r="Q158" s="102" t="n">
        <v>0.231084741727246</v>
      </c>
      <c r="R158" s="102" t="n">
        <v>0.236861860270427</v>
      </c>
      <c r="S158" s="102" t="n">
        <v>0.242638978813608</v>
      </c>
      <c r="T158" s="0" t="n">
        <v>0.248416097356789</v>
      </c>
      <c r="U158" s="93" t="n">
        <v>0.25419321589997</v>
      </c>
      <c r="V158" s="0" t="n">
        <v>0.259970334443151</v>
      </c>
      <c r="AD158" s="94"/>
    </row>
    <row r="159" customFormat="false" ht="13.8" hidden="false" customHeight="false" outlineLevel="0" collapsed="false">
      <c r="A159" s="93" t="s">
        <v>260</v>
      </c>
      <c r="B159" s="94" t="n">
        <v>31</v>
      </c>
      <c r="C159" s="98"/>
      <c r="D159" s="98"/>
      <c r="E159" s="98"/>
      <c r="F159" s="98"/>
      <c r="G159" s="99"/>
      <c r="H159" s="99"/>
      <c r="I159" s="99"/>
      <c r="J159" s="99"/>
      <c r="K159" s="101"/>
      <c r="L159" s="101"/>
      <c r="M159" s="101" t="n">
        <v>0.199952535109043</v>
      </c>
      <c r="N159" s="101" t="n">
        <v>0.205506772195405</v>
      </c>
      <c r="O159" s="102" t="n">
        <v>0.211061009281767</v>
      </c>
      <c r="P159" s="102" t="n">
        <v>0.216615246368129</v>
      </c>
      <c r="Q159" s="102" t="n">
        <v>0.231084741727246</v>
      </c>
      <c r="R159" s="102" t="n">
        <v>0.236861860270427</v>
      </c>
      <c r="S159" s="102" t="n">
        <v>0.242638978813608</v>
      </c>
      <c r="T159" s="0" t="n">
        <v>0.248416097356789</v>
      </c>
      <c r="U159" s="93" t="n">
        <v>0.25419321589997</v>
      </c>
      <c r="V159" s="0" t="n">
        <v>0.259970334443151</v>
      </c>
      <c r="AD159" s="94"/>
    </row>
    <row r="160" customFormat="false" ht="13.8" hidden="false" customHeight="false" outlineLevel="0" collapsed="false">
      <c r="A160" s="93" t="s">
        <v>140</v>
      </c>
      <c r="B160" s="94" t="n">
        <v>31</v>
      </c>
      <c r="C160" s="98"/>
      <c r="D160" s="98"/>
      <c r="E160" s="98"/>
      <c r="F160" s="98"/>
      <c r="G160" s="99"/>
      <c r="H160" s="99"/>
      <c r="I160" s="99"/>
      <c r="J160" s="99"/>
      <c r="K160" s="101"/>
      <c r="L160" s="101"/>
      <c r="M160" s="101" t="n">
        <v>0.199952535109043</v>
      </c>
      <c r="N160" s="101" t="n">
        <v>0.205506772195405</v>
      </c>
      <c r="O160" s="102" t="n">
        <v>0.211061009281767</v>
      </c>
      <c r="P160" s="102" t="n">
        <v>0.216615246368129</v>
      </c>
      <c r="Q160" s="102" t="n">
        <v>0.231084741727246</v>
      </c>
      <c r="R160" s="102" t="n">
        <v>0.236861860270427</v>
      </c>
      <c r="S160" s="102" t="n">
        <v>0.242638978813608</v>
      </c>
      <c r="T160" s="0" t="n">
        <v>0.248416097356789</v>
      </c>
      <c r="U160" s="93" t="n">
        <v>0.25419321589997</v>
      </c>
      <c r="V160" s="0" t="n">
        <v>0.259970334443151</v>
      </c>
      <c r="AD160" s="94"/>
    </row>
    <row r="161" customFormat="false" ht="13.8" hidden="false" customHeight="false" outlineLevel="0" collapsed="false">
      <c r="A161" s="93" t="s">
        <v>261</v>
      </c>
      <c r="B161" s="94" t="n">
        <v>31</v>
      </c>
      <c r="C161" s="98"/>
      <c r="D161" s="98"/>
      <c r="E161" s="98"/>
      <c r="F161" s="98"/>
      <c r="G161" s="99"/>
      <c r="H161" s="99"/>
      <c r="I161" s="99"/>
      <c r="J161" s="99"/>
      <c r="K161" s="101"/>
      <c r="L161" s="101"/>
      <c r="M161" s="101" t="n">
        <v>0.199952535109043</v>
      </c>
      <c r="N161" s="101" t="n">
        <v>0.205506772195405</v>
      </c>
      <c r="O161" s="102" t="n">
        <v>0.211061009281767</v>
      </c>
      <c r="P161" s="102" t="n">
        <v>0.216615246368129</v>
      </c>
      <c r="Q161" s="102" t="n">
        <v>0.231084741727246</v>
      </c>
      <c r="R161" s="102" t="n">
        <v>0.236861860270427</v>
      </c>
      <c r="S161" s="102" t="n">
        <v>0.242638978813608</v>
      </c>
      <c r="T161" s="0" t="n">
        <v>0.248416097356789</v>
      </c>
      <c r="U161" s="93" t="n">
        <v>0.25419321589997</v>
      </c>
      <c r="V161" s="0" t="n">
        <v>0.259970334443151</v>
      </c>
      <c r="AD161" s="94"/>
    </row>
    <row r="162" customFormat="false" ht="13.8" hidden="false" customHeight="false" outlineLevel="0" collapsed="false">
      <c r="A162" s="93" t="s">
        <v>1216</v>
      </c>
      <c r="B162" s="94" t="n">
        <v>31</v>
      </c>
      <c r="C162" s="98"/>
      <c r="D162" s="98"/>
      <c r="E162" s="98"/>
      <c r="F162" s="98"/>
      <c r="G162" s="99"/>
      <c r="H162" s="99"/>
      <c r="I162" s="99" t="n">
        <v>0.177735586763593</v>
      </c>
      <c r="J162" s="99" t="n">
        <v>0.183289823849956</v>
      </c>
      <c r="K162" s="101" t="n">
        <v>0.188844060936318</v>
      </c>
      <c r="L162" s="101" t="n">
        <v>0.19439829802268</v>
      </c>
      <c r="M162" s="101" t="n">
        <v>0.199952535109043</v>
      </c>
      <c r="N162" s="101" t="n">
        <v>0.205506772195405</v>
      </c>
      <c r="O162" s="102" t="n">
        <v>0.211061009281767</v>
      </c>
      <c r="P162" s="102" t="n">
        <v>0.216615246368129</v>
      </c>
      <c r="Q162" s="102"/>
      <c r="R162" s="102"/>
      <c r="S162" s="102"/>
      <c r="U162" s="93"/>
      <c r="AD162" s="94"/>
    </row>
    <row r="163" customFormat="false" ht="13.8" hidden="false" customHeight="false" outlineLevel="0" collapsed="false">
      <c r="A163" s="93" t="s">
        <v>525</v>
      </c>
      <c r="B163" s="94" t="n">
        <v>31</v>
      </c>
      <c r="C163" s="98"/>
      <c r="D163" s="98"/>
      <c r="E163" s="98"/>
      <c r="F163" s="98"/>
      <c r="G163" s="99"/>
      <c r="H163" s="99"/>
      <c r="I163" s="99"/>
      <c r="J163" s="99"/>
      <c r="K163" s="101"/>
      <c r="L163" s="101"/>
      <c r="M163" s="101" t="n">
        <v>0.199952535109043</v>
      </c>
      <c r="N163" s="101" t="n">
        <v>0.205506772195405</v>
      </c>
      <c r="O163" s="102" t="n">
        <v>0.211061009281767</v>
      </c>
      <c r="P163" s="102" t="n">
        <v>0.216615246368129</v>
      </c>
      <c r="Q163" s="102" t="n">
        <v>0.231084741727246</v>
      </c>
      <c r="R163" s="102" t="n">
        <v>0.236861860270427</v>
      </c>
      <c r="S163" s="102" t="n">
        <v>0.242638978813608</v>
      </c>
      <c r="T163" s="0" t="n">
        <v>0.248416097356789</v>
      </c>
      <c r="U163" s="93" t="n">
        <v>0.25419321589997</v>
      </c>
      <c r="V163" s="0" t="n">
        <v>0.259970334443151</v>
      </c>
      <c r="AD163" s="94"/>
    </row>
    <row r="164" customFormat="false" ht="13.8" hidden="false" customHeight="false" outlineLevel="0" collapsed="false">
      <c r="A164" s="93" t="s">
        <v>262</v>
      </c>
      <c r="B164" s="94" t="n">
        <v>31</v>
      </c>
      <c r="C164" s="98"/>
      <c r="D164" s="98"/>
      <c r="E164" s="98"/>
      <c r="F164" s="98"/>
      <c r="G164" s="99"/>
      <c r="H164" s="99"/>
      <c r="I164" s="99"/>
      <c r="J164" s="99"/>
      <c r="K164" s="101"/>
      <c r="L164" s="101"/>
      <c r="M164" s="101" t="n">
        <v>0.199952535109043</v>
      </c>
      <c r="N164" s="101" t="n">
        <v>0.205506772195405</v>
      </c>
      <c r="O164" s="102" t="n">
        <v>0.211061009281767</v>
      </c>
      <c r="P164" s="102" t="n">
        <v>0.216615246368129</v>
      </c>
      <c r="Q164" s="102" t="n">
        <v>0.231084741727246</v>
      </c>
      <c r="R164" s="102" t="n">
        <v>0.236861860270427</v>
      </c>
      <c r="S164" s="102" t="n">
        <v>0.242638978813608</v>
      </c>
      <c r="T164" s="0" t="n">
        <v>0.248416097356789</v>
      </c>
      <c r="U164" s="93" t="n">
        <v>0.25419321589997</v>
      </c>
      <c r="V164" s="0" t="n">
        <v>0.259970334443151</v>
      </c>
      <c r="AD164" s="94"/>
    </row>
    <row r="165" customFormat="false" ht="13.8" hidden="false" customHeight="false" outlineLevel="0" collapsed="false">
      <c r="A165" s="93" t="s">
        <v>138</v>
      </c>
      <c r="B165" s="94" t="n">
        <v>31</v>
      </c>
      <c r="C165" s="98"/>
      <c r="D165" s="98"/>
      <c r="E165" s="98"/>
      <c r="F165" s="98"/>
      <c r="G165" s="99"/>
      <c r="H165" s="99"/>
      <c r="I165" s="99" t="n">
        <v>0.177735586763593</v>
      </c>
      <c r="J165" s="99" t="n">
        <v>0.183289823849956</v>
      </c>
      <c r="K165" s="101" t="n">
        <v>0.188844060936318</v>
      </c>
      <c r="L165" s="101" t="n">
        <v>0.19439829802268</v>
      </c>
      <c r="M165" s="101" t="n">
        <v>0.199952535109043</v>
      </c>
      <c r="N165" s="101" t="n">
        <v>0.205506772195405</v>
      </c>
      <c r="O165" s="102" t="n">
        <v>0.211061009281767</v>
      </c>
      <c r="P165" s="102" t="n">
        <v>0.216615246368129</v>
      </c>
      <c r="Q165" s="102"/>
      <c r="R165" s="102"/>
      <c r="S165" s="102"/>
      <c r="U165" s="93"/>
      <c r="AD165" s="94"/>
    </row>
    <row r="166" customFormat="false" ht="13.8" hidden="false" customHeight="false" outlineLevel="0" collapsed="false">
      <c r="A166" s="93" t="s">
        <v>259</v>
      </c>
      <c r="B166" s="94" t="n">
        <v>31</v>
      </c>
      <c r="C166" s="98"/>
      <c r="D166" s="98"/>
      <c r="E166" s="98"/>
      <c r="F166" s="98"/>
      <c r="G166" s="99"/>
      <c r="H166" s="99"/>
      <c r="I166" s="99" t="n">
        <v>0.177735586763593</v>
      </c>
      <c r="J166" s="99" t="n">
        <v>0.183289823849956</v>
      </c>
      <c r="K166" s="101" t="n">
        <v>0.188844060936318</v>
      </c>
      <c r="L166" s="101" t="n">
        <v>0.19439829802268</v>
      </c>
      <c r="M166" s="101" t="n">
        <v>0.199952535109043</v>
      </c>
      <c r="N166" s="101" t="n">
        <v>0.205506772195405</v>
      </c>
      <c r="O166" s="102" t="n">
        <v>0.211061009281767</v>
      </c>
      <c r="P166" s="102" t="n">
        <v>0.216615246368129</v>
      </c>
      <c r="Q166" s="102"/>
      <c r="R166" s="102"/>
      <c r="S166" s="102"/>
      <c r="U166" s="93"/>
      <c r="AD166" s="94"/>
    </row>
    <row r="167" customFormat="false" ht="13.8" hidden="false" customHeight="false" outlineLevel="0" collapsed="false">
      <c r="A167" s="93" t="s">
        <v>1214</v>
      </c>
      <c r="B167" s="94" t="n">
        <v>31</v>
      </c>
      <c r="C167" s="98"/>
      <c r="D167" s="98"/>
      <c r="E167" s="98"/>
      <c r="F167" s="98"/>
      <c r="G167" s="99"/>
      <c r="H167" s="99"/>
      <c r="I167" s="99"/>
      <c r="J167" s="99"/>
      <c r="K167" s="101"/>
      <c r="L167" s="101"/>
      <c r="M167" s="101" t="n">
        <v>0.199952535109043</v>
      </c>
      <c r="N167" s="101" t="n">
        <v>0.205506772195405</v>
      </c>
      <c r="O167" s="102" t="n">
        <v>0.211061009281767</v>
      </c>
      <c r="P167" s="102" t="n">
        <v>0.216615246368129</v>
      </c>
      <c r="Q167" s="102" t="n">
        <v>0.231084741727246</v>
      </c>
      <c r="R167" s="102" t="n">
        <v>0.236861860270427</v>
      </c>
      <c r="S167" s="102" t="n">
        <v>0.242638978813608</v>
      </c>
      <c r="T167" s="0" t="n">
        <v>0.248416097356789</v>
      </c>
      <c r="U167" s="93" t="n">
        <v>0.25419321589997</v>
      </c>
      <c r="V167" s="0" t="n">
        <v>0.259970334443151</v>
      </c>
      <c r="AD167" s="94"/>
    </row>
    <row r="168" customFormat="false" ht="13.8" hidden="false" customHeight="false" outlineLevel="0" collapsed="false">
      <c r="A168" s="93" t="s">
        <v>1196</v>
      </c>
      <c r="B168" s="94" t="n">
        <v>31</v>
      </c>
      <c r="C168" s="98"/>
      <c r="D168" s="98"/>
      <c r="E168" s="98"/>
      <c r="F168" s="98"/>
      <c r="G168" s="99"/>
      <c r="H168" s="99"/>
      <c r="I168" s="99" t="n">
        <v>0.0888677933817967</v>
      </c>
      <c r="J168" s="99" t="n">
        <v>0.0916449119249778</v>
      </c>
      <c r="K168" s="101" t="n">
        <v>0.094422030468159</v>
      </c>
      <c r="L168" s="101" t="n">
        <v>0.0971991490113401</v>
      </c>
      <c r="M168" s="101" t="n">
        <v>0.0999762675545213</v>
      </c>
      <c r="N168" s="101" t="n">
        <v>0.102753386097702</v>
      </c>
      <c r="O168" s="102" t="n">
        <v>0.105530504640884</v>
      </c>
      <c r="P168" s="102" t="n">
        <v>0.108307623184065</v>
      </c>
      <c r="Q168" s="102" t="n">
        <v>0.115542370863623</v>
      </c>
      <c r="R168" s="102" t="n">
        <v>0.118430930135213</v>
      </c>
      <c r="S168" s="102" t="n">
        <v>0.121319489406804</v>
      </c>
      <c r="T168" s="0" t="n">
        <v>0.124208048678395</v>
      </c>
      <c r="U168" s="104" t="n">
        <v>0.127096607949985</v>
      </c>
      <c r="V168" s="0" t="n">
        <v>0.129985167221576</v>
      </c>
      <c r="W168" s="0" t="n">
        <v>0.132873726493166</v>
      </c>
      <c r="X168" s="0" t="n">
        <v>0.135762285764757</v>
      </c>
      <c r="Y168" s="0" t="n">
        <v>0.138650845036347</v>
      </c>
      <c r="Z168" s="0" t="n">
        <v>0.141539404307938</v>
      </c>
      <c r="AA168" s="0" t="n">
        <v>0.144427963579529</v>
      </c>
      <c r="AB168" s="0" t="n">
        <v>0.147316522851119</v>
      </c>
      <c r="AC168" s="0" t="n">
        <v>0.15020508212271</v>
      </c>
      <c r="AD168" s="94"/>
    </row>
    <row r="169" customFormat="false" ht="13.8" hidden="false" customHeight="false" outlineLevel="0" collapsed="false">
      <c r="A169" s="93" t="s">
        <v>530</v>
      </c>
      <c r="B169" s="94" t="n">
        <v>31</v>
      </c>
      <c r="C169" s="98"/>
      <c r="D169" s="98" t="n">
        <v>0.149964401331782</v>
      </c>
      <c r="E169" s="98" t="n">
        <v>0.155518638418144</v>
      </c>
      <c r="F169" s="98" t="n">
        <v>0.161072875504506</v>
      </c>
      <c r="G169" s="99" t="n">
        <v>0.166627112590869</v>
      </c>
      <c r="H169" s="99" t="n">
        <v>0.172181349677231</v>
      </c>
      <c r="I169" s="99" t="n">
        <v>0.177735586763593</v>
      </c>
      <c r="J169" s="99" t="n">
        <v>0.183289823849956</v>
      </c>
      <c r="K169" s="101"/>
      <c r="L169" s="101"/>
      <c r="M169" s="101"/>
      <c r="N169" s="101"/>
      <c r="O169" s="102"/>
      <c r="P169" s="102"/>
      <c r="Q169" s="102"/>
      <c r="R169" s="102"/>
      <c r="S169" s="102"/>
      <c r="T169" s="0" t="n">
        <v>0.248416097356789</v>
      </c>
      <c r="U169" s="104" t="n">
        <v>0.25419321589997</v>
      </c>
      <c r="V169" s="0" t="n">
        <v>0.259970334443151</v>
      </c>
      <c r="AD169" s="94"/>
    </row>
    <row r="170" customFormat="false" ht="13.8" hidden="false" customHeight="false" outlineLevel="0" collapsed="false">
      <c r="A170" s="93" t="s">
        <v>265</v>
      </c>
      <c r="B170" s="94" t="n">
        <v>31</v>
      </c>
      <c r="C170" s="98"/>
      <c r="D170" s="98" t="n">
        <v>0.149964401331782</v>
      </c>
      <c r="E170" s="98" t="n">
        <v>0.155518638418144</v>
      </c>
      <c r="F170" s="98" t="n">
        <v>0.161072875504506</v>
      </c>
      <c r="G170" s="99" t="n">
        <v>0.166627112590869</v>
      </c>
      <c r="H170" s="99" t="n">
        <v>0.172181349677231</v>
      </c>
      <c r="I170" s="99" t="n">
        <v>0.177735586763593</v>
      </c>
      <c r="J170" s="99" t="n">
        <v>0.183289823849956</v>
      </c>
      <c r="K170" s="101"/>
      <c r="L170" s="101"/>
      <c r="M170" s="101"/>
      <c r="N170" s="101"/>
      <c r="O170" s="102"/>
      <c r="P170" s="102"/>
      <c r="Q170" s="102"/>
      <c r="R170" s="102"/>
      <c r="S170" s="102"/>
      <c r="T170" s="0" t="n">
        <v>0.248416097356789</v>
      </c>
      <c r="U170" s="104" t="n">
        <v>0.25419321589997</v>
      </c>
      <c r="V170" s="0" t="n">
        <v>0.259970334443151</v>
      </c>
      <c r="AD170" s="94"/>
    </row>
    <row r="171" customFormat="false" ht="13.8" hidden="false" customHeight="false" outlineLevel="0" collapsed="false">
      <c r="A171" s="93" t="s">
        <v>264</v>
      </c>
      <c r="B171" s="94" t="n">
        <v>31</v>
      </c>
      <c r="C171" s="98"/>
      <c r="D171" s="98"/>
      <c r="E171" s="98"/>
      <c r="F171" s="98"/>
      <c r="G171" s="99"/>
      <c r="H171" s="99"/>
      <c r="I171" s="99"/>
      <c r="J171" s="99"/>
      <c r="K171" s="101"/>
      <c r="L171" s="101"/>
      <c r="M171" s="101"/>
      <c r="N171" s="101"/>
      <c r="O171" s="102"/>
      <c r="P171" s="102"/>
      <c r="Q171" s="102"/>
      <c r="R171" s="102"/>
      <c r="S171" s="102"/>
      <c r="U171" s="104"/>
      <c r="X171" s="0" t="n">
        <v>0.271524571529514</v>
      </c>
      <c r="Y171" s="0" t="n">
        <v>0.277301690072695</v>
      </c>
      <c r="Z171" s="0" t="n">
        <v>0.283078808615876</v>
      </c>
      <c r="AA171" s="0" t="n">
        <v>0.288855927159057</v>
      </c>
      <c r="AB171" s="0" t="n">
        <v>0.294633045702238</v>
      </c>
      <c r="AC171" s="0" t="n">
        <v>0.300410164245419</v>
      </c>
      <c r="AD171" s="94"/>
    </row>
    <row r="172" customFormat="false" ht="13.8" hidden="false" customHeight="false" outlineLevel="0" collapsed="false">
      <c r="A172" s="93" t="s">
        <v>1233</v>
      </c>
      <c r="B172" s="94" t="n">
        <v>1</v>
      </c>
      <c r="C172" s="98"/>
      <c r="D172" s="98" t="n">
        <v>0.121855375370099</v>
      </c>
      <c r="E172" s="98" t="n">
        <v>0.126368537420844</v>
      </c>
      <c r="F172" s="98" t="n">
        <v>0.130881699471588</v>
      </c>
      <c r="G172" s="99" t="n">
        <v>0.135394861522333</v>
      </c>
      <c r="H172" s="99" t="n">
        <v>0.139908023573077</v>
      </c>
      <c r="I172" s="99" t="n">
        <v>0.144421185623822</v>
      </c>
      <c r="J172" s="99" t="n">
        <v>0.148934347674566</v>
      </c>
      <c r="K172" s="101" t="n">
        <v>0.15344750972531</v>
      </c>
      <c r="L172" s="101" t="n">
        <v>0.157960671776055</v>
      </c>
      <c r="M172" s="101" t="n">
        <v>0.162473833826799</v>
      </c>
      <c r="N172" s="101" t="n">
        <v>0.166986995877544</v>
      </c>
      <c r="O172" s="102" t="n">
        <v>0.171500157928288</v>
      </c>
      <c r="P172" s="102" t="n">
        <v>0.176013319979033</v>
      </c>
      <c r="Q172" s="102" t="n">
        <v>0.180526482029777</v>
      </c>
      <c r="R172" s="102" t="n">
        <v>0.185039644080521</v>
      </c>
      <c r="S172" s="102" t="n">
        <v>0.189552806131266</v>
      </c>
      <c r="T172" s="0" t="n">
        <v>0.19406596818201</v>
      </c>
      <c r="U172" s="104" t="n">
        <v>0.198579130232755</v>
      </c>
      <c r="V172" s="0" t="n">
        <v>0.203092292283499</v>
      </c>
      <c r="AD172" s="94"/>
    </row>
    <row r="173" customFormat="false" ht="13.8" hidden="false" customHeight="false" outlineLevel="0" collapsed="false">
      <c r="A173" s="93" t="s">
        <v>142</v>
      </c>
      <c r="B173" s="94" t="n">
        <v>1</v>
      </c>
      <c r="C173" s="98"/>
      <c r="D173" s="98" t="n">
        <v>0.121855375370099</v>
      </c>
      <c r="E173" s="98" t="n">
        <v>0.126368537420844</v>
      </c>
      <c r="F173" s="98" t="n">
        <v>0.130881699471588</v>
      </c>
      <c r="G173" s="99" t="n">
        <v>0.135394861522333</v>
      </c>
      <c r="H173" s="99" t="n">
        <v>0.139908023573077</v>
      </c>
      <c r="I173" s="99" t="n">
        <v>0.144421185623822</v>
      </c>
      <c r="J173" s="99" t="n">
        <v>0.148934347674566</v>
      </c>
      <c r="K173" s="101" t="n">
        <v>0.15344750972531</v>
      </c>
      <c r="L173" s="101" t="n">
        <v>0.157960671776055</v>
      </c>
      <c r="M173" s="101" t="n">
        <v>0.162473833826799</v>
      </c>
      <c r="N173" s="101" t="n">
        <v>0.166986995877544</v>
      </c>
      <c r="O173" s="102" t="n">
        <v>0.171500157928288</v>
      </c>
      <c r="P173" s="102" t="n">
        <v>0.176013319979033</v>
      </c>
      <c r="Q173" s="102" t="n">
        <v>0.180526482029777</v>
      </c>
      <c r="R173" s="102" t="n">
        <v>0.185039644080521</v>
      </c>
      <c r="S173" s="102" t="n">
        <v>0.189552806131266</v>
      </c>
      <c r="T173" s="0" t="n">
        <v>0.19406596818201</v>
      </c>
      <c r="U173" s="104" t="n">
        <v>0.198579130232755</v>
      </c>
      <c r="V173" s="0" t="n">
        <v>0.203092292283499</v>
      </c>
      <c r="AD173" s="94"/>
    </row>
    <row r="174" customFormat="false" ht="13.8" hidden="false" customHeight="false" outlineLevel="0" collapsed="false">
      <c r="A174" s="93" t="s">
        <v>267</v>
      </c>
      <c r="B174" s="94" t="n">
        <v>1</v>
      </c>
      <c r="C174" s="98"/>
      <c r="D174" s="98" t="n">
        <v>0.121855375370099</v>
      </c>
      <c r="E174" s="98" t="n">
        <v>0.126368537420844</v>
      </c>
      <c r="F174" s="98" t="n">
        <v>0.130881699471588</v>
      </c>
      <c r="G174" s="99" t="n">
        <v>0.135394861522333</v>
      </c>
      <c r="H174" s="99" t="n">
        <v>0.139908023573077</v>
      </c>
      <c r="I174" s="99" t="n">
        <v>0.144421185623822</v>
      </c>
      <c r="J174" s="99" t="n">
        <v>0.148934347674566</v>
      </c>
      <c r="K174" s="101" t="n">
        <v>0.15344750972531</v>
      </c>
      <c r="L174" s="101" t="n">
        <v>0.157960671776055</v>
      </c>
      <c r="M174" s="101" t="n">
        <v>0.162473833826799</v>
      </c>
      <c r="N174" s="101" t="n">
        <v>0.166986995877544</v>
      </c>
      <c r="O174" s="102" t="n">
        <v>0.171500157928288</v>
      </c>
      <c r="P174" s="102" t="n">
        <v>0.176013319979033</v>
      </c>
      <c r="Q174" s="102" t="n">
        <v>0.180526482029777</v>
      </c>
      <c r="R174" s="102" t="n">
        <v>0.185039644080521</v>
      </c>
      <c r="S174" s="102" t="n">
        <v>0.189552806131266</v>
      </c>
      <c r="T174" s="0" t="n">
        <v>0.19406596818201</v>
      </c>
      <c r="U174" s="104" t="n">
        <v>0.198579130232755</v>
      </c>
      <c r="V174" s="0" t="n">
        <v>0.203092292283499</v>
      </c>
      <c r="AD174" s="94"/>
    </row>
    <row r="175" customFormat="false" ht="13.8" hidden="false" customHeight="false" outlineLevel="0" collapsed="false">
      <c r="A175" s="93" t="s">
        <v>532</v>
      </c>
      <c r="B175" s="94" t="n">
        <v>1</v>
      </c>
      <c r="C175" s="98"/>
      <c r="D175" s="98"/>
      <c r="E175" s="98"/>
      <c r="F175" s="98"/>
      <c r="G175" s="99"/>
      <c r="H175" s="99"/>
      <c r="I175" s="99" t="n">
        <v>0.144421185623822</v>
      </c>
      <c r="J175" s="99" t="n">
        <v>0.148934347674566</v>
      </c>
      <c r="K175" s="101" t="n">
        <v>0.15344750972531</v>
      </c>
      <c r="L175" s="101" t="n">
        <v>0.157960671776055</v>
      </c>
      <c r="M175" s="101" t="n">
        <v>0.162473833826799</v>
      </c>
      <c r="N175" s="101" t="n">
        <v>0.166986995877544</v>
      </c>
      <c r="O175" s="102" t="n">
        <v>0.171500157928288</v>
      </c>
      <c r="P175" s="102" t="n">
        <v>0.176013319979033</v>
      </c>
      <c r="Q175" s="102" t="n">
        <v>0.180526482029777</v>
      </c>
      <c r="R175" s="102"/>
      <c r="S175" s="102"/>
      <c r="U175" s="104"/>
      <c r="AD175" s="94"/>
    </row>
    <row r="176" customFormat="false" ht="13.8" hidden="false" customHeight="false" outlineLevel="0" collapsed="false">
      <c r="A176" s="93" t="s">
        <v>266</v>
      </c>
      <c r="B176" s="94" t="n">
        <v>1</v>
      </c>
      <c r="C176" s="98"/>
      <c r="D176" s="98"/>
      <c r="E176" s="98"/>
      <c r="F176" s="98"/>
      <c r="G176" s="99"/>
      <c r="H176" s="99"/>
      <c r="I176" s="99" t="n">
        <v>0.144421185623822</v>
      </c>
      <c r="J176" s="99" t="n">
        <v>0.148934347674566</v>
      </c>
      <c r="K176" s="101" t="n">
        <v>0.15344750972531</v>
      </c>
      <c r="L176" s="101" t="n">
        <v>0.157960671776055</v>
      </c>
      <c r="M176" s="101" t="n">
        <v>0.162473833826799</v>
      </c>
      <c r="N176" s="101" t="n">
        <v>0.166986995877544</v>
      </c>
      <c r="O176" s="102" t="n">
        <v>0.171500157928288</v>
      </c>
      <c r="P176" s="102" t="n">
        <v>0.176013319979033</v>
      </c>
      <c r="Q176" s="102" t="n">
        <v>0.180526482029777</v>
      </c>
      <c r="R176" s="102"/>
      <c r="S176" s="102"/>
      <c r="U176" s="104"/>
      <c r="AD176" s="94"/>
    </row>
    <row r="177" customFormat="false" ht="13.8" hidden="false" customHeight="false" outlineLevel="0" collapsed="false">
      <c r="A177" s="93" t="s">
        <v>1223</v>
      </c>
      <c r="B177" s="94" t="n">
        <v>1</v>
      </c>
      <c r="C177" s="98"/>
      <c r="D177" s="98" t="n">
        <v>0.121855375370099</v>
      </c>
      <c r="E177" s="98" t="n">
        <v>0.126368537420844</v>
      </c>
      <c r="F177" s="98" t="n">
        <v>0.130881699471588</v>
      </c>
      <c r="G177" s="99" t="n">
        <v>0.135394861522333</v>
      </c>
      <c r="H177" s="99" t="n">
        <v>0.139908023573077</v>
      </c>
      <c r="I177" s="99" t="n">
        <v>0.144421185623822</v>
      </c>
      <c r="J177" s="99" t="n">
        <v>0.148934347674566</v>
      </c>
      <c r="K177" s="101" t="n">
        <v>0.15344750972531</v>
      </c>
      <c r="L177" s="101" t="n">
        <v>0.157960671776055</v>
      </c>
      <c r="M177" s="101" t="n">
        <v>0.162473833826799</v>
      </c>
      <c r="N177" s="101" t="n">
        <v>0.166986995877544</v>
      </c>
      <c r="O177" s="102" t="n">
        <v>0.171500157928288</v>
      </c>
      <c r="P177" s="102" t="n">
        <v>0.176013319979033</v>
      </c>
      <c r="Q177" s="102" t="n">
        <v>0.180526482029777</v>
      </c>
      <c r="R177" s="102" t="n">
        <v>0.185039644080521</v>
      </c>
      <c r="S177" s="102" t="n">
        <v>0.189552806131266</v>
      </c>
      <c r="T177" s="0" t="n">
        <v>0.19406596818201</v>
      </c>
      <c r="U177" s="104" t="n">
        <v>0.198579130232755</v>
      </c>
      <c r="V177" s="0" t="n">
        <v>0.203092292283499</v>
      </c>
      <c r="AD177" s="94"/>
    </row>
    <row r="178" customFormat="false" ht="13.8" hidden="false" customHeight="false" outlineLevel="0" collapsed="false">
      <c r="A178" s="93" t="s">
        <v>120</v>
      </c>
      <c r="B178" s="94" t="n">
        <v>9</v>
      </c>
      <c r="C178" s="98"/>
      <c r="D178" s="98"/>
      <c r="E178" s="98"/>
      <c r="F178" s="98"/>
      <c r="G178" s="99"/>
      <c r="H178" s="99"/>
      <c r="I178" s="99" t="n">
        <v>0.158401541226588</v>
      </c>
      <c r="J178" s="99" t="n">
        <v>0.163351589389919</v>
      </c>
      <c r="K178" s="101" t="n">
        <v>0.16830163755325</v>
      </c>
      <c r="L178" s="101" t="n">
        <v>0.173251685716581</v>
      </c>
      <c r="M178" s="101" t="n">
        <v>0.185499864630098</v>
      </c>
      <c r="N178" s="101" t="n">
        <v>0.190652638647601</v>
      </c>
      <c r="O178" s="102" t="n">
        <v>0.195805412665104</v>
      </c>
      <c r="P178" s="102" t="n">
        <v>0.200958186682607</v>
      </c>
      <c r="Q178" s="102" t="n">
        <v>0.214219994866983</v>
      </c>
      <c r="R178" s="102" t="n">
        <v>0.219575494738658</v>
      </c>
      <c r="S178" s="102" t="n">
        <v>0.224930994610332</v>
      </c>
      <c r="T178" s="0" t="n">
        <v>0.230286494482007</v>
      </c>
      <c r="U178" s="104" t="n">
        <v>0.220063530926192</v>
      </c>
      <c r="V178" s="0" t="n">
        <v>0.225064974810878</v>
      </c>
      <c r="W178" s="0" t="n">
        <v>0.230066418695565</v>
      </c>
      <c r="X178" s="0" t="n">
        <v>0.235067862580251</v>
      </c>
      <c r="Y178" s="0" t="n">
        <v>0.240069306464937</v>
      </c>
      <c r="Z178" s="0" t="n">
        <v>0.245070750349623</v>
      </c>
      <c r="AA178" s="0" t="n">
        <v>0.250072194234309</v>
      </c>
      <c r="AB178" s="0" t="n">
        <v>0.255073638118995</v>
      </c>
      <c r="AC178" s="0" t="n">
        <v>0.260075082003682</v>
      </c>
      <c r="AD178" s="94"/>
    </row>
    <row r="179" customFormat="false" ht="13.8" hidden="false" customHeight="false" outlineLevel="0" collapsed="false">
      <c r="A179" s="93" t="s">
        <v>225</v>
      </c>
      <c r="B179" s="94" t="n">
        <v>9</v>
      </c>
      <c r="C179" s="98"/>
      <c r="D179" s="98"/>
      <c r="E179" s="98"/>
      <c r="F179" s="98"/>
      <c r="G179" s="99"/>
      <c r="H179" s="99"/>
      <c r="I179" s="99" t="n">
        <v>0.158401541226588</v>
      </c>
      <c r="J179" s="99" t="n">
        <v>0.163351589389919</v>
      </c>
      <c r="K179" s="101" t="n">
        <v>0.16830163755325</v>
      </c>
      <c r="L179" s="101" t="n">
        <v>0.173251685716581</v>
      </c>
      <c r="M179" s="101" t="n">
        <v>0.185499864630098</v>
      </c>
      <c r="N179" s="101" t="n">
        <v>0.190652638647601</v>
      </c>
      <c r="O179" s="102" t="n">
        <v>0.195805412665104</v>
      </c>
      <c r="P179" s="102" t="n">
        <v>0.200958186682607</v>
      </c>
      <c r="Q179" s="102" t="n">
        <v>0.214219994866983</v>
      </c>
      <c r="R179" s="102" t="n">
        <v>0.219575494738658</v>
      </c>
      <c r="S179" s="102" t="n">
        <v>0.224930994610332</v>
      </c>
      <c r="T179" s="0" t="n">
        <v>0.230286494482007</v>
      </c>
      <c r="U179" s="104" t="n">
        <v>0.220063530926192</v>
      </c>
      <c r="V179" s="0" t="n">
        <v>0.225064974810878</v>
      </c>
      <c r="W179" s="0" t="n">
        <v>0.230066418695565</v>
      </c>
      <c r="X179" s="0" t="n">
        <v>0.235067862580251</v>
      </c>
      <c r="Y179" s="0" t="n">
        <v>0.240069306464937</v>
      </c>
      <c r="Z179" s="0" t="n">
        <v>0.245070750349623</v>
      </c>
      <c r="AA179" s="0" t="n">
        <v>0.250072194234309</v>
      </c>
      <c r="AB179" s="0" t="n">
        <v>0.255073638118995</v>
      </c>
      <c r="AC179" s="0" t="n">
        <v>0.260075082003682</v>
      </c>
      <c r="AD179" s="94"/>
    </row>
    <row r="180" customFormat="false" ht="13.8" hidden="false" customHeight="false" outlineLevel="0" collapsed="false">
      <c r="A180" s="93" t="s">
        <v>866</v>
      </c>
      <c r="B180" s="94" t="n">
        <v>9</v>
      </c>
      <c r="C180" s="98"/>
      <c r="D180" s="98"/>
      <c r="E180" s="98"/>
      <c r="F180" s="98"/>
      <c r="G180" s="99"/>
      <c r="H180" s="99"/>
      <c r="I180" s="99" t="n">
        <v>0.158401541226588</v>
      </c>
      <c r="J180" s="99" t="n">
        <v>0.163351589389919</v>
      </c>
      <c r="K180" s="101" t="n">
        <v>0.16830163755325</v>
      </c>
      <c r="L180" s="101" t="n">
        <v>0.173251685716581</v>
      </c>
      <c r="M180" s="101" t="n">
        <v>0.185499864630098</v>
      </c>
      <c r="N180" s="101" t="n">
        <v>0.190652638647601</v>
      </c>
      <c r="O180" s="102" t="n">
        <v>0.195805412665104</v>
      </c>
      <c r="P180" s="102" t="n">
        <v>0.200958186682607</v>
      </c>
      <c r="Q180" s="102" t="n">
        <v>0.214219994866983</v>
      </c>
      <c r="R180" s="102" t="n">
        <v>0.219575494738658</v>
      </c>
      <c r="S180" s="102" t="n">
        <v>0.224930994610332</v>
      </c>
      <c r="T180" s="0" t="n">
        <v>0.230286494482007</v>
      </c>
      <c r="U180" s="104" t="n">
        <v>0.220063530926192</v>
      </c>
      <c r="V180" s="0" t="n">
        <v>0.225064974810878</v>
      </c>
      <c r="W180" s="0" t="n">
        <v>0.230066418695565</v>
      </c>
      <c r="X180" s="0" t="n">
        <v>0.235067862580251</v>
      </c>
      <c r="Y180" s="0" t="n">
        <v>0.240069306464937</v>
      </c>
      <c r="Z180" s="0" t="n">
        <v>0.245070750349623</v>
      </c>
      <c r="AA180" s="0" t="n">
        <v>0.250072194234309</v>
      </c>
      <c r="AB180" s="0" t="n">
        <v>0.255073638118995</v>
      </c>
      <c r="AC180" s="0" t="n">
        <v>0.260075082003682</v>
      </c>
      <c r="AD180" s="94"/>
    </row>
    <row r="181" customFormat="false" ht="13.8" hidden="false" customHeight="false" outlineLevel="0" collapsed="false">
      <c r="A181" s="93" t="s">
        <v>120</v>
      </c>
      <c r="B181" s="94" t="n">
        <v>16</v>
      </c>
      <c r="C181" s="98"/>
      <c r="D181" s="98"/>
      <c r="E181" s="98"/>
      <c r="F181" s="98"/>
      <c r="G181" s="99"/>
      <c r="H181" s="99"/>
      <c r="I181" s="99" t="n">
        <v>0.158401541226588</v>
      </c>
      <c r="J181" s="99" t="n">
        <v>0.163351589389919</v>
      </c>
      <c r="K181" s="101" t="n">
        <v>0.16830163755325</v>
      </c>
      <c r="L181" s="101" t="n">
        <v>0.173251685716581</v>
      </c>
      <c r="M181" s="101" t="n">
        <v>0.185499864630098</v>
      </c>
      <c r="N181" s="101" t="n">
        <v>0.190652638647601</v>
      </c>
      <c r="O181" s="102" t="n">
        <v>0.195805412665104</v>
      </c>
      <c r="P181" s="102" t="n">
        <v>0.200958186682607</v>
      </c>
      <c r="Q181" s="102" t="n">
        <v>0.214219994866983</v>
      </c>
      <c r="R181" s="102" t="n">
        <v>0.219575494738658</v>
      </c>
      <c r="S181" s="102" t="n">
        <v>0.224930994610332</v>
      </c>
      <c r="T181" s="0" t="n">
        <v>0.230286494482007</v>
      </c>
      <c r="U181" s="104" t="n">
        <v>0.220063530926192</v>
      </c>
      <c r="V181" s="0" t="n">
        <v>0.225064974810878</v>
      </c>
      <c r="W181" s="0" t="n">
        <v>0.230066418695565</v>
      </c>
      <c r="X181" s="0" t="n">
        <v>0.235067862580251</v>
      </c>
      <c r="Y181" s="0" t="n">
        <v>0.240069306464937</v>
      </c>
      <c r="Z181" s="0" t="n">
        <v>0.245070750349623</v>
      </c>
      <c r="AA181" s="0" t="n">
        <v>0.250072194234309</v>
      </c>
      <c r="AB181" s="0" t="n">
        <v>0.255073638118995</v>
      </c>
      <c r="AC181" s="0" t="n">
        <v>0.260075082003682</v>
      </c>
      <c r="AD181" s="94"/>
    </row>
    <row r="182" customFormat="false" ht="13.8" hidden="false" customHeight="false" outlineLevel="0" collapsed="false">
      <c r="A182" s="93" t="s">
        <v>225</v>
      </c>
      <c r="B182" s="94" t="n">
        <v>16</v>
      </c>
      <c r="C182" s="98"/>
      <c r="D182" s="98"/>
      <c r="E182" s="98"/>
      <c r="F182" s="98"/>
      <c r="G182" s="99"/>
      <c r="H182" s="99"/>
      <c r="I182" s="99" t="n">
        <v>0.158401541226588</v>
      </c>
      <c r="J182" s="99" t="n">
        <v>0.163351589389919</v>
      </c>
      <c r="K182" s="101" t="n">
        <v>0.16830163755325</v>
      </c>
      <c r="L182" s="101" t="n">
        <v>0.173251685716581</v>
      </c>
      <c r="M182" s="101" t="n">
        <v>0.185499864630098</v>
      </c>
      <c r="N182" s="101" t="n">
        <v>0.190652638647601</v>
      </c>
      <c r="O182" s="102" t="n">
        <v>0.195805412665104</v>
      </c>
      <c r="P182" s="102" t="n">
        <v>0.200958186682607</v>
      </c>
      <c r="Q182" s="102" t="n">
        <v>0.214219994866983</v>
      </c>
      <c r="R182" s="102" t="n">
        <v>0.219575494738658</v>
      </c>
      <c r="S182" s="102" t="n">
        <v>0.224930994610332</v>
      </c>
      <c r="T182" s="0" t="n">
        <v>0.230286494482007</v>
      </c>
      <c r="U182" s="104" t="n">
        <v>0.220063530926192</v>
      </c>
      <c r="V182" s="0" t="n">
        <v>0.225064974810878</v>
      </c>
      <c r="W182" s="0" t="n">
        <v>0.230066418695565</v>
      </c>
      <c r="X182" s="0" t="n">
        <v>0.235067862580251</v>
      </c>
      <c r="Y182" s="0" t="n">
        <v>0.240069306464937</v>
      </c>
      <c r="Z182" s="0" t="n">
        <v>0.245070750349623</v>
      </c>
      <c r="AA182" s="0" t="n">
        <v>0.250072194234309</v>
      </c>
      <c r="AB182" s="0" t="n">
        <v>0.255073638118995</v>
      </c>
      <c r="AC182" s="0" t="n">
        <v>0.260075082003682</v>
      </c>
      <c r="AD182" s="94"/>
    </row>
    <row r="183" customFormat="false" ht="13.8" hidden="false" customHeight="false" outlineLevel="0" collapsed="false">
      <c r="A183" s="93" t="s">
        <v>866</v>
      </c>
      <c r="B183" s="94" t="n">
        <v>16</v>
      </c>
      <c r="C183" s="98"/>
      <c r="D183" s="98"/>
      <c r="E183" s="98"/>
      <c r="F183" s="98"/>
      <c r="G183" s="99"/>
      <c r="H183" s="99"/>
      <c r="I183" s="99" t="n">
        <v>0.158401541226588</v>
      </c>
      <c r="J183" s="99" t="n">
        <v>0.163351589389919</v>
      </c>
      <c r="K183" s="101" t="n">
        <v>0.16830163755325</v>
      </c>
      <c r="L183" s="101" t="n">
        <v>0.173251685716581</v>
      </c>
      <c r="M183" s="101" t="n">
        <v>0.185499864630098</v>
      </c>
      <c r="N183" s="101" t="n">
        <v>0.190652638647601</v>
      </c>
      <c r="O183" s="102" t="n">
        <v>0.195805412665104</v>
      </c>
      <c r="P183" s="102" t="n">
        <v>0.200958186682607</v>
      </c>
      <c r="Q183" s="102" t="n">
        <v>0.214219994866983</v>
      </c>
      <c r="R183" s="102" t="n">
        <v>0.219575494738658</v>
      </c>
      <c r="S183" s="102" t="n">
        <v>0.224930994610332</v>
      </c>
      <c r="T183" s="0" t="n">
        <v>0.230286494482007</v>
      </c>
      <c r="U183" s="104" t="n">
        <v>0.220063530926192</v>
      </c>
      <c r="V183" s="0" t="n">
        <v>0.225064974810878</v>
      </c>
      <c r="W183" s="0" t="n">
        <v>0.230066418695565</v>
      </c>
      <c r="X183" s="0" t="n">
        <v>0.235067862580251</v>
      </c>
      <c r="Y183" s="0" t="n">
        <v>0.240069306464937</v>
      </c>
      <c r="Z183" s="0" t="n">
        <v>0.245070750349623</v>
      </c>
      <c r="AA183" s="0" t="n">
        <v>0.250072194234309</v>
      </c>
      <c r="AB183" s="0" t="n">
        <v>0.255073638118995</v>
      </c>
      <c r="AC183" s="0" t="n">
        <v>0.260075082003682</v>
      </c>
      <c r="AD183" s="94"/>
    </row>
    <row r="184" customFormat="false" ht="13.8" hidden="false" customHeight="false" outlineLevel="0" collapsed="false">
      <c r="A184" s="93" t="s">
        <v>857</v>
      </c>
      <c r="B184" s="94" t="n">
        <v>11</v>
      </c>
      <c r="C184" s="98"/>
      <c r="D184" s="98"/>
      <c r="E184" s="98"/>
      <c r="F184" s="98"/>
      <c r="G184" s="99"/>
      <c r="H184" s="99"/>
      <c r="I184" s="99" t="n">
        <v>0.307558800533424</v>
      </c>
      <c r="J184" s="99" t="n">
        <v>0.317170013050093</v>
      </c>
      <c r="K184" s="101" t="n">
        <v>0.326781225566763</v>
      </c>
      <c r="L184" s="101"/>
      <c r="M184" s="101"/>
      <c r="N184" s="101"/>
      <c r="O184" s="102"/>
      <c r="P184" s="102"/>
      <c r="Q184" s="102"/>
      <c r="R184" s="102"/>
      <c r="S184" s="102"/>
      <c r="U184" s="104"/>
      <c r="AD184" s="94"/>
    </row>
    <row r="185" customFormat="false" ht="13.8" hidden="false" customHeight="false" outlineLevel="0" collapsed="false">
      <c r="A185" s="93" t="s">
        <v>857</v>
      </c>
      <c r="B185" s="94" t="n">
        <v>18</v>
      </c>
      <c r="C185" s="98"/>
      <c r="D185" s="98"/>
      <c r="E185" s="98"/>
      <c r="F185" s="98"/>
      <c r="G185" s="99"/>
      <c r="H185" s="99"/>
      <c r="I185" s="99" t="n">
        <v>0.307558800533424</v>
      </c>
      <c r="J185" s="99" t="n">
        <v>0.317170013050093</v>
      </c>
      <c r="K185" s="101" t="n">
        <v>0.326781225566763</v>
      </c>
      <c r="L185" s="101"/>
      <c r="M185" s="101"/>
      <c r="N185" s="101"/>
      <c r="O185" s="102"/>
      <c r="P185" s="102"/>
      <c r="Q185" s="102"/>
      <c r="R185" s="102"/>
      <c r="S185" s="102"/>
      <c r="U185" s="104"/>
      <c r="AD185" s="94"/>
    </row>
    <row r="186" customFormat="false" ht="13.8" hidden="false" customHeight="false" outlineLevel="0" collapsed="false">
      <c r="A186" s="93" t="s">
        <v>913</v>
      </c>
      <c r="B186" s="94" t="n">
        <v>10</v>
      </c>
      <c r="C186" s="98"/>
      <c r="D186" s="98"/>
      <c r="E186" s="98"/>
      <c r="F186" s="98"/>
      <c r="G186" s="99"/>
      <c r="H186" s="99"/>
      <c r="I186" s="99" t="n">
        <v>0.136457100223242</v>
      </c>
      <c r="J186" s="99" t="n">
        <v>0.140721384605218</v>
      </c>
      <c r="K186" s="101" t="n">
        <v>0.144985668987195</v>
      </c>
      <c r="L186" s="101" t="n">
        <v>0.149249953369171</v>
      </c>
      <c r="M186" s="101" t="n">
        <v>0.163288100948675</v>
      </c>
      <c r="N186" s="101" t="n">
        <v>0.167823881530582</v>
      </c>
      <c r="O186" s="102" t="n">
        <v>0.17235966211249</v>
      </c>
      <c r="P186" s="102" t="n">
        <v>0.176895442694398</v>
      </c>
      <c r="Q186" s="102" t="n">
        <v>0.192291071273558</v>
      </c>
      <c r="R186" s="102" t="n">
        <v>0.197098348055397</v>
      </c>
      <c r="S186" s="102" t="n">
        <v>0.201905624837236</v>
      </c>
      <c r="T186" s="0" t="n">
        <v>0.206712901619075</v>
      </c>
      <c r="U186" s="104" t="n">
        <v>0.189921701038172</v>
      </c>
      <c r="V186" s="0" t="n">
        <v>0.194238103334494</v>
      </c>
      <c r="W186" s="0" t="n">
        <v>0.198554505630816</v>
      </c>
      <c r="X186" s="0" t="n">
        <v>0.202870907927138</v>
      </c>
      <c r="Y186" s="0" t="n">
        <v>0.20718731022346</v>
      </c>
      <c r="Z186" s="0" t="n">
        <v>0.211503712519782</v>
      </c>
      <c r="AA186" s="0" t="n">
        <v>0.215820114816105</v>
      </c>
      <c r="AB186" s="0" t="n">
        <v>0.220136517112427</v>
      </c>
      <c r="AC186" s="0" t="n">
        <v>0.224452919408749</v>
      </c>
      <c r="AD186" s="94"/>
    </row>
    <row r="187" customFormat="false" ht="13.8" hidden="false" customHeight="false" outlineLevel="0" collapsed="false">
      <c r="A187" s="119" t="s">
        <v>917</v>
      </c>
      <c r="B187" s="94" t="n">
        <v>10</v>
      </c>
      <c r="C187" s="98"/>
      <c r="D187" s="98"/>
      <c r="E187" s="98"/>
      <c r="F187" s="98"/>
      <c r="G187" s="99"/>
      <c r="H187" s="99"/>
      <c r="I187" s="99" t="n">
        <v>0.136457100223242</v>
      </c>
      <c r="J187" s="99" t="n">
        <v>0.140721384605218</v>
      </c>
      <c r="K187" s="101" t="n">
        <v>0.144985668987195</v>
      </c>
      <c r="L187" s="101" t="n">
        <v>0.149249953369171</v>
      </c>
      <c r="M187" s="101" t="n">
        <v>0.163288100948675</v>
      </c>
      <c r="N187" s="101" t="n">
        <v>0.167823881530582</v>
      </c>
      <c r="O187" s="102" t="n">
        <v>0.17235966211249</v>
      </c>
      <c r="P187" s="102" t="n">
        <v>0.176895442694398</v>
      </c>
      <c r="Q187" s="102" t="n">
        <v>0.192291071273558</v>
      </c>
      <c r="R187" s="102" t="n">
        <v>0.197098348055397</v>
      </c>
      <c r="S187" s="102" t="n">
        <v>0.201905624837236</v>
      </c>
      <c r="T187" s="0" t="n">
        <v>0.206712901619075</v>
      </c>
      <c r="U187" s="104" t="n">
        <v>0.189921701038172</v>
      </c>
      <c r="V187" s="0" t="n">
        <v>0.194238103334494</v>
      </c>
      <c r="W187" s="0" t="n">
        <v>0.198554505630816</v>
      </c>
      <c r="X187" s="0" t="n">
        <v>0.202870907927138</v>
      </c>
      <c r="Y187" s="0" t="n">
        <v>0.20718731022346</v>
      </c>
      <c r="Z187" s="0" t="n">
        <v>0.211503712519782</v>
      </c>
      <c r="AA187" s="0" t="n">
        <v>0.215820114816105</v>
      </c>
      <c r="AB187" s="0" t="n">
        <v>0.220136517112427</v>
      </c>
      <c r="AC187" s="0" t="n">
        <v>0.224452919408749</v>
      </c>
      <c r="AD187" s="94"/>
    </row>
    <row r="188" customFormat="false" ht="13.8" hidden="false" customHeight="false" outlineLevel="0" collapsed="false">
      <c r="A188" s="119" t="s">
        <v>120</v>
      </c>
      <c r="B188" s="94" t="n">
        <v>10</v>
      </c>
      <c r="C188" s="98"/>
      <c r="D188" s="98"/>
      <c r="E188" s="98"/>
      <c r="F188" s="98"/>
      <c r="G188" s="99"/>
      <c r="H188" s="99"/>
      <c r="I188" s="99" t="n">
        <v>0.136457100223242</v>
      </c>
      <c r="J188" s="99" t="n">
        <v>0.140721384605218</v>
      </c>
      <c r="K188" s="101" t="n">
        <v>0.144985668987195</v>
      </c>
      <c r="L188" s="101" t="n">
        <v>0.149249953369171</v>
      </c>
      <c r="M188" s="101" t="n">
        <v>0.163288100948675</v>
      </c>
      <c r="N188" s="101" t="n">
        <v>0.167823881530582</v>
      </c>
      <c r="O188" s="102" t="n">
        <v>0.17235966211249</v>
      </c>
      <c r="P188" s="102" t="n">
        <v>0.176895442694398</v>
      </c>
      <c r="Q188" s="102" t="n">
        <v>0.192291071273558</v>
      </c>
      <c r="R188" s="102" t="n">
        <v>0.197098348055397</v>
      </c>
      <c r="S188" s="102" t="n">
        <v>0.201905624837236</v>
      </c>
      <c r="T188" s="0" t="n">
        <v>0.206712901619075</v>
      </c>
      <c r="U188" s="104" t="n">
        <v>0.189921701038172</v>
      </c>
      <c r="V188" s="0" t="n">
        <v>0.194238103334494</v>
      </c>
      <c r="W188" s="0" t="n">
        <v>0.198554505630816</v>
      </c>
      <c r="X188" s="0" t="n">
        <v>0.202870907927138</v>
      </c>
      <c r="Y188" s="0" t="n">
        <v>0.20718731022346</v>
      </c>
      <c r="Z188" s="0" t="n">
        <v>0.211503712519782</v>
      </c>
      <c r="AA188" s="0" t="n">
        <v>0.215820114816105</v>
      </c>
      <c r="AB188" s="0" t="n">
        <v>0.220136517112427</v>
      </c>
      <c r="AC188" s="0" t="n">
        <v>0.224452919408749</v>
      </c>
      <c r="AD188" s="94"/>
    </row>
    <row r="189" customFormat="false" ht="13.8" hidden="false" customHeight="false" outlineLevel="0" collapsed="false">
      <c r="A189" s="119" t="s">
        <v>225</v>
      </c>
      <c r="B189" s="94" t="n">
        <v>10</v>
      </c>
      <c r="C189" s="98"/>
      <c r="D189" s="98"/>
      <c r="E189" s="98"/>
      <c r="F189" s="98"/>
      <c r="G189" s="99"/>
      <c r="H189" s="99"/>
      <c r="I189" s="99" t="n">
        <v>0.136457100223242</v>
      </c>
      <c r="J189" s="99" t="n">
        <v>0.140721384605218</v>
      </c>
      <c r="K189" s="101" t="n">
        <v>0.144985668987195</v>
      </c>
      <c r="L189" s="101" t="n">
        <v>0.149249953369171</v>
      </c>
      <c r="M189" s="101" t="n">
        <v>0.163288100948675</v>
      </c>
      <c r="N189" s="101" t="n">
        <v>0.167823881530582</v>
      </c>
      <c r="O189" s="102" t="n">
        <v>0.17235966211249</v>
      </c>
      <c r="P189" s="102" t="n">
        <v>0.176895442694398</v>
      </c>
      <c r="Q189" s="102" t="n">
        <v>0.192291071273558</v>
      </c>
      <c r="R189" s="102" t="n">
        <v>0.197098348055397</v>
      </c>
      <c r="S189" s="102" t="n">
        <v>0.201905624837236</v>
      </c>
      <c r="T189" s="0" t="n">
        <v>0.206712901619075</v>
      </c>
      <c r="U189" s="104" t="n">
        <v>0.189921701038172</v>
      </c>
      <c r="V189" s="0" t="n">
        <v>0.194238103334494</v>
      </c>
      <c r="W189" s="0" t="n">
        <v>0.198554505630816</v>
      </c>
      <c r="X189" s="0" t="n">
        <v>0.202870907927138</v>
      </c>
      <c r="Y189" s="0" t="n">
        <v>0.20718731022346</v>
      </c>
      <c r="Z189" s="0" t="n">
        <v>0.211503712519782</v>
      </c>
      <c r="AA189" s="0" t="n">
        <v>0.215820114816105</v>
      </c>
      <c r="AB189" s="0" t="n">
        <v>0.220136517112427</v>
      </c>
      <c r="AC189" s="0" t="n">
        <v>0.224452919408749</v>
      </c>
      <c r="AD189" s="94"/>
    </row>
    <row r="190" customFormat="false" ht="13.8" hidden="false" customHeight="false" outlineLevel="0" collapsed="false">
      <c r="A190" s="119" t="s">
        <v>903</v>
      </c>
      <c r="B190" s="94" t="n">
        <v>10</v>
      </c>
      <c r="C190" s="98"/>
      <c r="D190" s="98"/>
      <c r="E190" s="98"/>
      <c r="F190" s="98"/>
      <c r="G190" s="99"/>
      <c r="H190" s="99"/>
      <c r="I190" s="99" t="n">
        <v>0.136457100223242</v>
      </c>
      <c r="J190" s="99" t="n">
        <v>0.140721384605218</v>
      </c>
      <c r="K190" s="101" t="n">
        <v>0.144985668987195</v>
      </c>
      <c r="L190" s="101" t="n">
        <v>0.149249953369171</v>
      </c>
      <c r="M190" s="101" t="n">
        <v>0.163288100948675</v>
      </c>
      <c r="N190" s="101" t="n">
        <v>0.167823881530582</v>
      </c>
      <c r="O190" s="102" t="n">
        <v>0.17235966211249</v>
      </c>
      <c r="P190" s="102" t="n">
        <v>0.176895442694398</v>
      </c>
      <c r="Q190" s="102" t="n">
        <v>0.192291071273558</v>
      </c>
      <c r="R190" s="102" t="n">
        <v>0.197098348055397</v>
      </c>
      <c r="S190" s="102" t="n">
        <v>0.201905624837236</v>
      </c>
      <c r="T190" s="0" t="n">
        <v>0.206712901619075</v>
      </c>
      <c r="U190" s="104" t="n">
        <v>0.189921701038172</v>
      </c>
      <c r="V190" s="0" t="n">
        <v>0.194238103334494</v>
      </c>
      <c r="W190" s="0" t="n">
        <v>0.198554505630816</v>
      </c>
      <c r="X190" s="0" t="n">
        <v>0.202870907927138</v>
      </c>
      <c r="Y190" s="0" t="n">
        <v>0.20718731022346</v>
      </c>
      <c r="Z190" s="0" t="n">
        <v>0.211503712519782</v>
      </c>
      <c r="AA190" s="0" t="n">
        <v>0.215820114816105</v>
      </c>
      <c r="AB190" s="0" t="n">
        <v>0.220136517112427</v>
      </c>
      <c r="AC190" s="0" t="n">
        <v>0.224452919408749</v>
      </c>
      <c r="AD190" s="94"/>
    </row>
    <row r="191" customFormat="false" ht="13.8" hidden="false" customHeight="false" outlineLevel="0" collapsed="false">
      <c r="A191" s="119" t="s">
        <v>866</v>
      </c>
      <c r="B191" s="94" t="n">
        <v>10</v>
      </c>
      <c r="C191" s="98"/>
      <c r="D191" s="98"/>
      <c r="E191" s="98"/>
      <c r="F191" s="98"/>
      <c r="G191" s="99"/>
      <c r="H191" s="99"/>
      <c r="I191" s="99" t="n">
        <v>0.136457100223242</v>
      </c>
      <c r="J191" s="99" t="n">
        <v>0.140721384605218</v>
      </c>
      <c r="K191" s="101" t="n">
        <v>0.144985668987195</v>
      </c>
      <c r="L191" s="101" t="n">
        <v>0.149249953369171</v>
      </c>
      <c r="M191" s="101" t="n">
        <v>0.163288100948675</v>
      </c>
      <c r="N191" s="101" t="n">
        <v>0.167823881530582</v>
      </c>
      <c r="O191" s="102" t="n">
        <v>0.17235966211249</v>
      </c>
      <c r="P191" s="102" t="n">
        <v>0.176895442694398</v>
      </c>
      <c r="Q191" s="102" t="n">
        <v>0.192291071273558</v>
      </c>
      <c r="R191" s="102" t="n">
        <v>0.197098348055397</v>
      </c>
      <c r="S191" s="102" t="n">
        <v>0.201905624837236</v>
      </c>
      <c r="T191" s="0" t="n">
        <v>0.206712901619075</v>
      </c>
      <c r="U191" s="104" t="n">
        <v>0.189921701038172</v>
      </c>
      <c r="V191" s="0" t="n">
        <v>0.194238103334494</v>
      </c>
      <c r="W191" s="0" t="n">
        <v>0.198554505630816</v>
      </c>
      <c r="X191" s="0" t="n">
        <v>0.202870907927138</v>
      </c>
      <c r="Y191" s="0" t="n">
        <v>0.20718731022346</v>
      </c>
      <c r="Z191" s="0" t="n">
        <v>0.211503712519782</v>
      </c>
      <c r="AA191" s="0" t="n">
        <v>0.215820114816105</v>
      </c>
      <c r="AB191" s="0" t="n">
        <v>0.220136517112427</v>
      </c>
      <c r="AC191" s="0" t="n">
        <v>0.224452919408749</v>
      </c>
      <c r="AD191" s="94"/>
    </row>
    <row r="192" customFormat="false" ht="13.8" hidden="false" customHeight="false" outlineLevel="0" collapsed="false">
      <c r="A192" s="119" t="s">
        <v>871</v>
      </c>
      <c r="B192" s="94" t="n">
        <v>10</v>
      </c>
      <c r="C192" s="98"/>
      <c r="D192" s="98"/>
      <c r="E192" s="98"/>
      <c r="F192" s="98"/>
      <c r="G192" s="99"/>
      <c r="H192" s="99"/>
      <c r="I192" s="99" t="n">
        <v>0.136457100223242</v>
      </c>
      <c r="J192" s="99" t="n">
        <v>0.140721384605218</v>
      </c>
      <c r="K192" s="101" t="n">
        <v>0.144985668987195</v>
      </c>
      <c r="L192" s="101" t="n">
        <v>0.149249953369171</v>
      </c>
      <c r="M192" s="101" t="n">
        <v>0.163288100948675</v>
      </c>
      <c r="N192" s="101" t="n">
        <v>0.167823881530582</v>
      </c>
      <c r="O192" s="102" t="n">
        <v>0.17235966211249</v>
      </c>
      <c r="P192" s="102" t="n">
        <v>0.176895442694398</v>
      </c>
      <c r="Q192" s="102" t="n">
        <v>0.192291071273558</v>
      </c>
      <c r="R192" s="102" t="n">
        <v>0.197098348055397</v>
      </c>
      <c r="S192" s="102" t="n">
        <v>0.201905624837236</v>
      </c>
      <c r="T192" s="0" t="n">
        <v>0.206712901619075</v>
      </c>
      <c r="U192" s="104" t="n">
        <v>0.189921701038172</v>
      </c>
      <c r="V192" s="0" t="n">
        <v>0.194238103334494</v>
      </c>
      <c r="W192" s="0" t="n">
        <v>0.198554505630816</v>
      </c>
      <c r="X192" s="0" t="n">
        <v>0.202870907927138</v>
      </c>
      <c r="Y192" s="0" t="n">
        <v>0.20718731022346</v>
      </c>
      <c r="Z192" s="0" t="n">
        <v>0.211503712519782</v>
      </c>
      <c r="AA192" s="0" t="n">
        <v>0.215820114816105</v>
      </c>
      <c r="AB192" s="0" t="n">
        <v>0.220136517112427</v>
      </c>
      <c r="AC192" s="0" t="n">
        <v>0.224452919408749</v>
      </c>
      <c r="AD192" s="94"/>
    </row>
    <row r="193" customFormat="false" ht="13.8" hidden="false" customHeight="false" outlineLevel="0" collapsed="false">
      <c r="A193" s="119" t="s">
        <v>436</v>
      </c>
      <c r="B193" s="94" t="n">
        <v>10</v>
      </c>
      <c r="C193" s="98"/>
      <c r="D193" s="98"/>
      <c r="E193" s="98"/>
      <c r="F193" s="98"/>
      <c r="G193" s="99"/>
      <c r="H193" s="99"/>
      <c r="I193" s="99" t="n">
        <v>0.136457100223242</v>
      </c>
      <c r="J193" s="99" t="n">
        <v>0.140721384605218</v>
      </c>
      <c r="K193" s="101" t="n">
        <v>0.144985668987195</v>
      </c>
      <c r="L193" s="101" t="n">
        <v>0.149249953369171</v>
      </c>
      <c r="M193" s="101" t="n">
        <v>0.163288100948675</v>
      </c>
      <c r="N193" s="101" t="n">
        <v>0.167823881530582</v>
      </c>
      <c r="O193" s="102" t="n">
        <v>0.17235966211249</v>
      </c>
      <c r="P193" s="102" t="n">
        <v>0.176895442694398</v>
      </c>
      <c r="Q193" s="102" t="n">
        <v>0.192291071273558</v>
      </c>
      <c r="R193" s="102" t="n">
        <v>0.197098348055397</v>
      </c>
      <c r="S193" s="102" t="n">
        <v>0.201905624837236</v>
      </c>
      <c r="T193" s="0" t="n">
        <v>0.206712901619075</v>
      </c>
      <c r="U193" s="104" t="n">
        <v>0.189921701038172</v>
      </c>
      <c r="V193" s="0" t="n">
        <v>0.194238103334494</v>
      </c>
      <c r="W193" s="0" t="n">
        <v>0.198554505630816</v>
      </c>
      <c r="X193" s="0" t="n">
        <v>0.202870907927138</v>
      </c>
      <c r="Y193" s="0" t="n">
        <v>0.20718731022346</v>
      </c>
      <c r="Z193" s="0" t="n">
        <v>0.211503712519782</v>
      </c>
      <c r="AA193" s="0" t="n">
        <v>0.215820114816105</v>
      </c>
      <c r="AB193" s="0" t="n">
        <v>0.220136517112427</v>
      </c>
      <c r="AC193" s="0" t="n">
        <v>0.224452919408749</v>
      </c>
      <c r="AD193" s="94"/>
    </row>
    <row r="194" customFormat="false" ht="13.8" hidden="false" customHeight="false" outlineLevel="0" collapsed="false">
      <c r="A194" s="119" t="s">
        <v>434</v>
      </c>
      <c r="B194" s="94" t="n">
        <v>10</v>
      </c>
      <c r="C194" s="98"/>
      <c r="D194" s="98"/>
      <c r="E194" s="98"/>
      <c r="F194" s="98"/>
      <c r="G194" s="99"/>
      <c r="H194" s="99"/>
      <c r="I194" s="99" t="n">
        <v>0.136457100223242</v>
      </c>
      <c r="J194" s="99" t="n">
        <v>0.140721384605218</v>
      </c>
      <c r="K194" s="101" t="n">
        <v>0.144985668987195</v>
      </c>
      <c r="L194" s="101" t="n">
        <v>0.149249953369171</v>
      </c>
      <c r="M194" s="101" t="n">
        <v>0.163288100948675</v>
      </c>
      <c r="N194" s="101" t="n">
        <v>0.167823881530582</v>
      </c>
      <c r="O194" s="102" t="n">
        <v>0.17235966211249</v>
      </c>
      <c r="P194" s="102" t="n">
        <v>0.176895442694398</v>
      </c>
      <c r="Q194" s="102" t="n">
        <v>0.192291071273558</v>
      </c>
      <c r="R194" s="102" t="n">
        <v>0.197098348055397</v>
      </c>
      <c r="S194" s="102" t="n">
        <v>0.201905624837236</v>
      </c>
      <c r="T194" s="0" t="n">
        <v>0.206712901619075</v>
      </c>
      <c r="U194" s="104" t="n">
        <v>0.189921701038172</v>
      </c>
      <c r="V194" s="0" t="n">
        <v>0.194238103334494</v>
      </c>
      <c r="W194" s="0" t="n">
        <v>0.198554505630816</v>
      </c>
      <c r="X194" s="0" t="n">
        <v>0.202870907927138</v>
      </c>
      <c r="Y194" s="0" t="n">
        <v>0.20718731022346</v>
      </c>
      <c r="Z194" s="0" t="n">
        <v>0.211503712519782</v>
      </c>
      <c r="AA194" s="0" t="n">
        <v>0.215820114816105</v>
      </c>
      <c r="AB194" s="0" t="n">
        <v>0.220136517112427</v>
      </c>
      <c r="AC194" s="0" t="n">
        <v>0.224452919408749</v>
      </c>
      <c r="AD194" s="94"/>
    </row>
    <row r="195" customFormat="false" ht="13.8" hidden="false" customHeight="false" outlineLevel="0" collapsed="false">
      <c r="A195" s="119" t="s">
        <v>344</v>
      </c>
      <c r="B195" s="94" t="n">
        <v>10</v>
      </c>
      <c r="C195" s="98"/>
      <c r="D195" s="98"/>
      <c r="E195" s="98"/>
      <c r="F195" s="98"/>
      <c r="G195" s="99"/>
      <c r="H195" s="99"/>
      <c r="I195" s="99" t="n">
        <v>0.136457100223242</v>
      </c>
      <c r="J195" s="99" t="n">
        <v>0.140721384605218</v>
      </c>
      <c r="K195" s="101" t="n">
        <v>0.144985668987195</v>
      </c>
      <c r="L195" s="101" t="n">
        <v>0.149249953369171</v>
      </c>
      <c r="M195" s="101" t="n">
        <v>0.163288100948675</v>
      </c>
      <c r="N195" s="101" t="n">
        <v>0.167823881530582</v>
      </c>
      <c r="O195" s="102" t="n">
        <v>0.17235966211249</v>
      </c>
      <c r="P195" s="102" t="n">
        <v>0.176895442694398</v>
      </c>
      <c r="Q195" s="102" t="n">
        <v>0.192291071273558</v>
      </c>
      <c r="R195" s="102" t="n">
        <v>0.197098348055397</v>
      </c>
      <c r="S195" s="102" t="n">
        <v>0.201905624837236</v>
      </c>
      <c r="T195" s="0" t="n">
        <v>0.206712901619075</v>
      </c>
      <c r="U195" s="104" t="n">
        <v>0.189921701038172</v>
      </c>
      <c r="V195" s="0" t="n">
        <v>0.194238103334494</v>
      </c>
      <c r="W195" s="0" t="n">
        <v>0.198554505630816</v>
      </c>
      <c r="X195" s="0" t="n">
        <v>0.202870907927138</v>
      </c>
      <c r="Y195" s="0" t="n">
        <v>0.20718731022346</v>
      </c>
      <c r="Z195" s="0" t="n">
        <v>0.211503712519782</v>
      </c>
      <c r="AA195" s="0" t="n">
        <v>0.215820114816105</v>
      </c>
      <c r="AB195" s="0" t="n">
        <v>0.220136517112427</v>
      </c>
      <c r="AC195" s="0" t="n">
        <v>0.224452919408749</v>
      </c>
      <c r="AD195" s="94"/>
    </row>
    <row r="196" customFormat="false" ht="13.8" hidden="false" customHeight="false" outlineLevel="0" collapsed="false">
      <c r="A196" s="119" t="s">
        <v>232</v>
      </c>
      <c r="B196" s="94" t="n">
        <v>10</v>
      </c>
      <c r="C196" s="98"/>
      <c r="D196" s="98"/>
      <c r="E196" s="98"/>
      <c r="F196" s="98"/>
      <c r="G196" s="99"/>
      <c r="H196" s="99"/>
      <c r="I196" s="99" t="n">
        <v>0.136457100223242</v>
      </c>
      <c r="J196" s="99" t="n">
        <v>0.140721384605218</v>
      </c>
      <c r="K196" s="101" t="n">
        <v>0.144985668987195</v>
      </c>
      <c r="L196" s="101" t="n">
        <v>0.149249953369171</v>
      </c>
      <c r="M196" s="101" t="n">
        <v>0.163288100948675</v>
      </c>
      <c r="N196" s="101" t="n">
        <v>0.167823881530582</v>
      </c>
      <c r="O196" s="102" t="n">
        <v>0.17235966211249</v>
      </c>
      <c r="P196" s="102" t="n">
        <v>0.176895442694398</v>
      </c>
      <c r="Q196" s="102" t="n">
        <v>0.192291071273558</v>
      </c>
      <c r="R196" s="102" t="n">
        <v>0.197098348055397</v>
      </c>
      <c r="S196" s="102" t="n">
        <v>0.201905624837236</v>
      </c>
      <c r="T196" s="0" t="n">
        <v>0.206712901619075</v>
      </c>
      <c r="U196" s="104" t="n">
        <v>0.189921701038172</v>
      </c>
      <c r="V196" s="0" t="n">
        <v>0.194238103334494</v>
      </c>
      <c r="W196" s="0" t="n">
        <v>0.198554505630816</v>
      </c>
      <c r="X196" s="0" t="n">
        <v>0.202870907927138</v>
      </c>
      <c r="Y196" s="0" t="n">
        <v>0.20718731022346</v>
      </c>
      <c r="Z196" s="0" t="n">
        <v>0.211503712519782</v>
      </c>
      <c r="AA196" s="0" t="n">
        <v>0.215820114816105</v>
      </c>
      <c r="AB196" s="0" t="n">
        <v>0.220136517112427</v>
      </c>
      <c r="AC196" s="0" t="n">
        <v>0.224452919408749</v>
      </c>
      <c r="AD196" s="94"/>
    </row>
    <row r="197" customFormat="false" ht="13.8" hidden="false" customHeight="false" outlineLevel="0" collapsed="false">
      <c r="A197" s="119" t="s">
        <v>121</v>
      </c>
      <c r="B197" s="94" t="n">
        <v>10</v>
      </c>
      <c r="C197" s="98"/>
      <c r="D197" s="98"/>
      <c r="E197" s="98"/>
      <c r="F197" s="98"/>
      <c r="G197" s="99"/>
      <c r="H197" s="99"/>
      <c r="I197" s="99" t="n">
        <v>0.136457100223242</v>
      </c>
      <c r="J197" s="99" t="n">
        <v>0.140721384605218</v>
      </c>
      <c r="K197" s="101" t="n">
        <v>0.144985668987195</v>
      </c>
      <c r="L197" s="101" t="n">
        <v>0.149249953369171</v>
      </c>
      <c r="M197" s="101" t="n">
        <v>0.163288100948675</v>
      </c>
      <c r="N197" s="101" t="n">
        <v>0.167823881530582</v>
      </c>
      <c r="O197" s="102" t="n">
        <v>0.17235966211249</v>
      </c>
      <c r="P197" s="102" t="n">
        <v>0.176895442694398</v>
      </c>
      <c r="Q197" s="102" t="n">
        <v>0.192291071273558</v>
      </c>
      <c r="R197" s="102" t="n">
        <v>0.197098348055397</v>
      </c>
      <c r="S197" s="102" t="n">
        <v>0.201905624837236</v>
      </c>
      <c r="T197" s="0" t="n">
        <v>0.206712901619075</v>
      </c>
      <c r="U197" s="104" t="n">
        <v>0.189921701038172</v>
      </c>
      <c r="V197" s="0" t="n">
        <v>0.194238103334494</v>
      </c>
      <c r="W197" s="0" t="n">
        <v>0.198554505630816</v>
      </c>
      <c r="X197" s="0" t="n">
        <v>0.202870907927138</v>
      </c>
      <c r="Y197" s="0" t="n">
        <v>0.20718731022346</v>
      </c>
      <c r="Z197" s="0" t="n">
        <v>0.211503712519782</v>
      </c>
      <c r="AA197" s="0" t="n">
        <v>0.215820114816105</v>
      </c>
      <c r="AB197" s="0" t="n">
        <v>0.220136517112427</v>
      </c>
      <c r="AC197" s="0" t="n">
        <v>0.224452919408749</v>
      </c>
      <c r="AD197" s="94"/>
    </row>
    <row r="198" customFormat="false" ht="13.8" hidden="false" customHeight="false" outlineLevel="0" collapsed="false">
      <c r="A198" s="119" t="s">
        <v>231</v>
      </c>
      <c r="B198" s="94" t="n">
        <v>10</v>
      </c>
      <c r="C198" s="98"/>
      <c r="D198" s="98"/>
      <c r="E198" s="98"/>
      <c r="F198" s="98"/>
      <c r="G198" s="99"/>
      <c r="H198" s="99"/>
      <c r="I198" s="99" t="n">
        <v>0.136457100223242</v>
      </c>
      <c r="J198" s="99" t="n">
        <v>0.140721384605218</v>
      </c>
      <c r="K198" s="101" t="n">
        <v>0.144985668987195</v>
      </c>
      <c r="L198" s="101" t="n">
        <v>0.149249953369171</v>
      </c>
      <c r="M198" s="101" t="n">
        <v>0.163288100948675</v>
      </c>
      <c r="N198" s="101" t="n">
        <v>0.167823881530582</v>
      </c>
      <c r="O198" s="102" t="n">
        <v>0.17235966211249</v>
      </c>
      <c r="P198" s="102" t="n">
        <v>0.176895442694398</v>
      </c>
      <c r="Q198" s="102" t="n">
        <v>0.192291071273558</v>
      </c>
      <c r="R198" s="102" t="n">
        <v>0.197098348055397</v>
      </c>
      <c r="S198" s="102" t="n">
        <v>0.201905624837236</v>
      </c>
      <c r="T198" s="0" t="n">
        <v>0.206712901619075</v>
      </c>
      <c r="U198" s="104" t="n">
        <v>0.189921701038172</v>
      </c>
      <c r="V198" s="0" t="n">
        <v>0.194238103334494</v>
      </c>
      <c r="W198" s="0" t="n">
        <v>0.198554505630816</v>
      </c>
      <c r="X198" s="0" t="n">
        <v>0.202870907927138</v>
      </c>
      <c r="Y198" s="0" t="n">
        <v>0.20718731022346</v>
      </c>
      <c r="Z198" s="0" t="n">
        <v>0.211503712519782</v>
      </c>
      <c r="AA198" s="0" t="n">
        <v>0.215820114816105</v>
      </c>
      <c r="AB198" s="0" t="n">
        <v>0.220136517112427</v>
      </c>
      <c r="AC198" s="0" t="n">
        <v>0.224452919408749</v>
      </c>
      <c r="AD198" s="94"/>
    </row>
    <row r="199" customFormat="false" ht="13.8" hidden="false" customHeight="false" outlineLevel="0" collapsed="false">
      <c r="A199" s="119" t="s">
        <v>214</v>
      </c>
      <c r="B199" s="94" t="n">
        <v>10</v>
      </c>
      <c r="C199" s="98"/>
      <c r="D199" s="98"/>
      <c r="E199" s="98"/>
      <c r="F199" s="98"/>
      <c r="G199" s="99"/>
      <c r="H199" s="99"/>
      <c r="I199" s="99" t="n">
        <v>0.136457100223242</v>
      </c>
      <c r="J199" s="99" t="n">
        <v>0.140721384605218</v>
      </c>
      <c r="K199" s="101" t="n">
        <v>0.144985668987195</v>
      </c>
      <c r="L199" s="101" t="n">
        <v>0.149249953369171</v>
      </c>
      <c r="M199" s="101" t="n">
        <v>0.163288100948675</v>
      </c>
      <c r="N199" s="101" t="n">
        <v>0.167823881530582</v>
      </c>
      <c r="O199" s="102" t="n">
        <v>0.17235966211249</v>
      </c>
      <c r="P199" s="102" t="n">
        <v>0.176895442694398</v>
      </c>
      <c r="Q199" s="102" t="n">
        <v>0.192291071273558</v>
      </c>
      <c r="R199" s="102" t="n">
        <v>0.197098348055397</v>
      </c>
      <c r="S199" s="102" t="n">
        <v>0.201905624837236</v>
      </c>
      <c r="T199" s="0" t="n">
        <v>0.206712901619075</v>
      </c>
      <c r="U199" s="104" t="n">
        <v>0.189921701038172</v>
      </c>
      <c r="V199" s="0" t="n">
        <v>0.194238103334494</v>
      </c>
      <c r="W199" s="0" t="n">
        <v>0.198554505630816</v>
      </c>
      <c r="X199" s="0" t="n">
        <v>0.202870907927138</v>
      </c>
      <c r="Y199" s="0" t="n">
        <v>0.20718731022346</v>
      </c>
      <c r="Z199" s="0" t="n">
        <v>0.211503712519782</v>
      </c>
      <c r="AA199" s="0" t="n">
        <v>0.215820114816105</v>
      </c>
      <c r="AB199" s="0" t="n">
        <v>0.220136517112427</v>
      </c>
      <c r="AC199" s="0" t="n">
        <v>0.224452919408749</v>
      </c>
      <c r="AD199" s="94"/>
    </row>
    <row r="200" customFormat="false" ht="13.8" hidden="false" customHeight="false" outlineLevel="0" collapsed="false">
      <c r="A200" s="119" t="s">
        <v>944</v>
      </c>
      <c r="B200" s="94" t="n">
        <v>10</v>
      </c>
      <c r="C200" s="98"/>
      <c r="D200" s="98"/>
      <c r="E200" s="98"/>
      <c r="F200" s="98"/>
      <c r="G200" s="99"/>
      <c r="H200" s="99"/>
      <c r="I200" s="99" t="n">
        <v>0.136457100223242</v>
      </c>
      <c r="J200" s="99" t="n">
        <v>0.140721384605218</v>
      </c>
      <c r="K200" s="101" t="n">
        <v>0.144985668987195</v>
      </c>
      <c r="L200" s="101" t="n">
        <v>0.149249953369171</v>
      </c>
      <c r="M200" s="101" t="n">
        <v>0.163288100948675</v>
      </c>
      <c r="N200" s="101" t="n">
        <v>0.167823881530582</v>
      </c>
      <c r="O200" s="102" t="n">
        <v>0.17235966211249</v>
      </c>
      <c r="P200" s="102" t="n">
        <v>0.176895442694398</v>
      </c>
      <c r="Q200" s="102" t="n">
        <v>0.192291071273558</v>
      </c>
      <c r="R200" s="102" t="n">
        <v>0.197098348055397</v>
      </c>
      <c r="S200" s="102" t="n">
        <v>0.201905624837236</v>
      </c>
      <c r="T200" s="0" t="n">
        <v>0.206712901619075</v>
      </c>
      <c r="U200" s="104" t="n">
        <v>0.189921701038172</v>
      </c>
      <c r="V200" s="0" t="n">
        <v>0.194238103334494</v>
      </c>
      <c r="W200" s="0" t="n">
        <v>0.198554505630816</v>
      </c>
      <c r="X200" s="0" t="n">
        <v>0.202870907927138</v>
      </c>
      <c r="Y200" s="0" t="n">
        <v>0.20718731022346</v>
      </c>
      <c r="Z200" s="0" t="n">
        <v>0.211503712519782</v>
      </c>
      <c r="AA200" s="0" t="n">
        <v>0.215820114816105</v>
      </c>
      <c r="AB200" s="0" t="n">
        <v>0.220136517112427</v>
      </c>
      <c r="AC200" s="0" t="n">
        <v>0.224452919408749</v>
      </c>
      <c r="AD200" s="94"/>
    </row>
    <row r="201" customFormat="false" ht="13.8" hidden="false" customHeight="false" outlineLevel="0" collapsed="false">
      <c r="A201" s="119" t="s">
        <v>122</v>
      </c>
      <c r="B201" s="94" t="n">
        <v>10</v>
      </c>
      <c r="C201" s="98"/>
      <c r="D201" s="98"/>
      <c r="E201" s="98"/>
      <c r="F201" s="98"/>
      <c r="G201" s="99"/>
      <c r="H201" s="99"/>
      <c r="I201" s="99" t="n">
        <v>0.136457100223242</v>
      </c>
      <c r="J201" s="99" t="n">
        <v>0.140721384605218</v>
      </c>
      <c r="K201" s="101" t="n">
        <v>0.144985668987195</v>
      </c>
      <c r="L201" s="101" t="n">
        <v>0.149249953369171</v>
      </c>
      <c r="M201" s="101" t="n">
        <v>0.163288100948675</v>
      </c>
      <c r="N201" s="101" t="n">
        <v>0.167823881530582</v>
      </c>
      <c r="O201" s="102" t="n">
        <v>0.17235966211249</v>
      </c>
      <c r="P201" s="102" t="n">
        <v>0.176895442694398</v>
      </c>
      <c r="Q201" s="102" t="n">
        <v>0.192291071273558</v>
      </c>
      <c r="R201" s="102" t="n">
        <v>0.197098348055397</v>
      </c>
      <c r="S201" s="102" t="n">
        <v>0.201905624837236</v>
      </c>
      <c r="T201" s="0" t="n">
        <v>0.206712901619075</v>
      </c>
      <c r="U201" s="104" t="n">
        <v>0.189921701038172</v>
      </c>
      <c r="V201" s="0" t="n">
        <v>0.194238103334494</v>
      </c>
      <c r="W201" s="0" t="n">
        <v>0.198554505630816</v>
      </c>
      <c r="X201" s="0" t="n">
        <v>0.202870907927138</v>
      </c>
      <c r="Y201" s="0" t="n">
        <v>0.20718731022346</v>
      </c>
      <c r="Z201" s="0" t="n">
        <v>0.211503712519782</v>
      </c>
      <c r="AA201" s="0" t="n">
        <v>0.215820114816105</v>
      </c>
      <c r="AB201" s="0" t="n">
        <v>0.220136517112427</v>
      </c>
      <c r="AC201" s="0" t="n">
        <v>0.224452919408749</v>
      </c>
      <c r="AD201" s="94"/>
    </row>
    <row r="202" customFormat="false" ht="13.8" hidden="false" customHeight="false" outlineLevel="0" collapsed="false">
      <c r="A202" s="119" t="s">
        <v>938</v>
      </c>
      <c r="B202" s="94" t="n">
        <v>10</v>
      </c>
      <c r="C202" s="98"/>
      <c r="D202" s="98"/>
      <c r="E202" s="98"/>
      <c r="F202" s="98"/>
      <c r="G202" s="99"/>
      <c r="H202" s="99"/>
      <c r="I202" s="99" t="n">
        <v>0.136457100223242</v>
      </c>
      <c r="J202" s="99" t="n">
        <v>0.140721384605218</v>
      </c>
      <c r="K202" s="101" t="n">
        <v>0.144985668987195</v>
      </c>
      <c r="L202" s="101" t="n">
        <v>0.149249953369171</v>
      </c>
      <c r="M202" s="101" t="n">
        <v>0.163288100948675</v>
      </c>
      <c r="N202" s="101" t="n">
        <v>0.167823881530582</v>
      </c>
      <c r="O202" s="102" t="n">
        <v>0.17235966211249</v>
      </c>
      <c r="P202" s="102" t="n">
        <v>0.176895442694398</v>
      </c>
      <c r="Q202" s="102" t="n">
        <v>0.192291071273558</v>
      </c>
      <c r="R202" s="102" t="n">
        <v>0.197098348055397</v>
      </c>
      <c r="S202" s="102" t="n">
        <v>0.201905624837236</v>
      </c>
      <c r="T202" s="0" t="n">
        <v>0.206712901619075</v>
      </c>
      <c r="U202" s="104" t="n">
        <v>0.189921701038172</v>
      </c>
      <c r="V202" s="0" t="n">
        <v>0.194238103334494</v>
      </c>
      <c r="W202" s="0" t="n">
        <v>0.198554505630816</v>
      </c>
      <c r="X202" s="0" t="n">
        <v>0.202870907927138</v>
      </c>
      <c r="Y202" s="0" t="n">
        <v>0.20718731022346</v>
      </c>
      <c r="Z202" s="0" t="n">
        <v>0.211503712519782</v>
      </c>
      <c r="AA202" s="0" t="n">
        <v>0.215820114816105</v>
      </c>
      <c r="AB202" s="0" t="n">
        <v>0.220136517112427</v>
      </c>
      <c r="AC202" s="0" t="n">
        <v>0.224452919408749</v>
      </c>
      <c r="AD202" s="94"/>
    </row>
    <row r="203" customFormat="false" ht="13.8" hidden="false" customHeight="false" outlineLevel="0" collapsed="false">
      <c r="A203" s="119" t="s">
        <v>948</v>
      </c>
      <c r="B203" s="94" t="n">
        <v>10</v>
      </c>
      <c r="C203" s="98"/>
      <c r="D203" s="98"/>
      <c r="E203" s="98"/>
      <c r="F203" s="98"/>
      <c r="G203" s="99"/>
      <c r="H203" s="99"/>
      <c r="I203" s="99" t="n">
        <v>0.136457100223242</v>
      </c>
      <c r="J203" s="99" t="n">
        <v>0.140721384605218</v>
      </c>
      <c r="K203" s="101" t="n">
        <v>0.144985668987195</v>
      </c>
      <c r="L203" s="101" t="n">
        <v>0.149249953369171</v>
      </c>
      <c r="M203" s="101" t="n">
        <v>0.163288100948675</v>
      </c>
      <c r="N203" s="101" t="n">
        <v>0.167823881530582</v>
      </c>
      <c r="O203" s="102" t="n">
        <v>0.17235966211249</v>
      </c>
      <c r="P203" s="102" t="n">
        <v>0.176895442694398</v>
      </c>
      <c r="Q203" s="102" t="n">
        <v>0.192291071273558</v>
      </c>
      <c r="R203" s="102" t="n">
        <v>0.197098348055397</v>
      </c>
      <c r="S203" s="102" t="n">
        <v>0.201905624837236</v>
      </c>
      <c r="T203" s="0" t="n">
        <v>0.206712901619075</v>
      </c>
      <c r="U203" s="104" t="n">
        <v>0.189921701038172</v>
      </c>
      <c r="V203" s="0" t="n">
        <v>0.194238103334494</v>
      </c>
      <c r="W203" s="0" t="n">
        <v>0.198554505630816</v>
      </c>
      <c r="X203" s="0" t="n">
        <v>0.202870907927138</v>
      </c>
      <c r="Y203" s="0" t="n">
        <v>0.20718731022346</v>
      </c>
      <c r="Z203" s="0" t="n">
        <v>0.211503712519782</v>
      </c>
      <c r="AA203" s="0" t="n">
        <v>0.215820114816105</v>
      </c>
      <c r="AB203" s="0" t="n">
        <v>0.220136517112427</v>
      </c>
      <c r="AC203" s="0" t="n">
        <v>0.224452919408749</v>
      </c>
      <c r="AD203" s="94"/>
    </row>
    <row r="204" customFormat="false" ht="13.8" hidden="false" customHeight="false" outlineLevel="0" collapsed="false">
      <c r="A204" s="119" t="s">
        <v>910</v>
      </c>
      <c r="B204" s="94" t="n">
        <v>10</v>
      </c>
      <c r="C204" s="98"/>
      <c r="D204" s="98"/>
      <c r="E204" s="98"/>
      <c r="F204" s="98"/>
      <c r="G204" s="99"/>
      <c r="H204" s="99"/>
      <c r="I204" s="99" t="n">
        <v>0.136457100223242</v>
      </c>
      <c r="J204" s="99" t="n">
        <v>0.140721384605218</v>
      </c>
      <c r="K204" s="101" t="n">
        <v>0.144985668987195</v>
      </c>
      <c r="L204" s="101" t="n">
        <v>0.149249953369171</v>
      </c>
      <c r="M204" s="101" t="n">
        <v>0.163288100948675</v>
      </c>
      <c r="N204" s="101" t="n">
        <v>0.167823881530582</v>
      </c>
      <c r="O204" s="102" t="n">
        <v>0.17235966211249</v>
      </c>
      <c r="P204" s="102" t="n">
        <v>0.176895442694398</v>
      </c>
      <c r="Q204" s="102" t="n">
        <v>0.192291071273558</v>
      </c>
      <c r="R204" s="102" t="n">
        <v>0.197098348055397</v>
      </c>
      <c r="S204" s="102" t="n">
        <v>0.201905624837236</v>
      </c>
      <c r="T204" s="0" t="n">
        <v>0.206712901619075</v>
      </c>
      <c r="U204" s="104" t="n">
        <v>0.189921701038172</v>
      </c>
      <c r="V204" s="0" t="n">
        <v>0.194238103334494</v>
      </c>
      <c r="W204" s="0" t="n">
        <v>0.198554505630816</v>
      </c>
      <c r="X204" s="0" t="n">
        <v>0.202870907927138</v>
      </c>
      <c r="Y204" s="0" t="n">
        <v>0.20718731022346</v>
      </c>
      <c r="Z204" s="0" t="n">
        <v>0.211503712519782</v>
      </c>
      <c r="AA204" s="0" t="n">
        <v>0.215820114816105</v>
      </c>
      <c r="AB204" s="0" t="n">
        <v>0.220136517112427</v>
      </c>
      <c r="AC204" s="0" t="n">
        <v>0.224452919408749</v>
      </c>
      <c r="AD204" s="94"/>
    </row>
    <row r="205" customFormat="false" ht="13.8" hidden="false" customHeight="false" outlineLevel="0" collapsed="false">
      <c r="A205" s="119" t="s">
        <v>883</v>
      </c>
      <c r="B205" s="94" t="n">
        <v>10</v>
      </c>
      <c r="C205" s="98"/>
      <c r="D205" s="98"/>
      <c r="E205" s="98"/>
      <c r="F205" s="98"/>
      <c r="G205" s="99"/>
      <c r="H205" s="99"/>
      <c r="I205" s="99" t="n">
        <v>0.136457100223242</v>
      </c>
      <c r="J205" s="99" t="n">
        <v>0.140721384605218</v>
      </c>
      <c r="K205" s="101" t="n">
        <v>0.144985668987195</v>
      </c>
      <c r="L205" s="101" t="n">
        <v>0.149249953369171</v>
      </c>
      <c r="M205" s="101" t="n">
        <v>0.163288100948675</v>
      </c>
      <c r="N205" s="101" t="n">
        <v>0.167823881530582</v>
      </c>
      <c r="O205" s="102" t="n">
        <v>0.17235966211249</v>
      </c>
      <c r="P205" s="102" t="n">
        <v>0.176895442694398</v>
      </c>
      <c r="Q205" s="102" t="n">
        <v>0.192291071273558</v>
      </c>
      <c r="R205" s="102" t="n">
        <v>0.197098348055397</v>
      </c>
      <c r="S205" s="102" t="n">
        <v>0.201905624837236</v>
      </c>
      <c r="T205" s="0" t="n">
        <v>0.206712901619075</v>
      </c>
      <c r="U205" s="104" t="n">
        <v>0.189921701038172</v>
      </c>
      <c r="V205" s="0" t="n">
        <v>0.194238103334494</v>
      </c>
      <c r="W205" s="0" t="n">
        <v>0.198554505630816</v>
      </c>
      <c r="X205" s="0" t="n">
        <v>0.202870907927138</v>
      </c>
      <c r="Y205" s="0" t="n">
        <v>0.20718731022346</v>
      </c>
      <c r="Z205" s="0" t="n">
        <v>0.211503712519782</v>
      </c>
      <c r="AA205" s="0" t="n">
        <v>0.215820114816105</v>
      </c>
      <c r="AB205" s="0" t="n">
        <v>0.220136517112427</v>
      </c>
      <c r="AC205" s="0" t="n">
        <v>0.224452919408749</v>
      </c>
      <c r="AD205" s="94"/>
    </row>
    <row r="206" customFormat="false" ht="13.8" hidden="false" customHeight="false" outlineLevel="0" collapsed="false">
      <c r="A206" s="119" t="s">
        <v>886</v>
      </c>
      <c r="B206" s="94" t="n">
        <v>10</v>
      </c>
      <c r="C206" s="98"/>
      <c r="D206" s="98"/>
      <c r="E206" s="98"/>
      <c r="F206" s="98"/>
      <c r="G206" s="99"/>
      <c r="H206" s="99"/>
      <c r="I206" s="99" t="n">
        <v>0.136457100223242</v>
      </c>
      <c r="J206" s="99" t="n">
        <v>0.140721384605218</v>
      </c>
      <c r="K206" s="101" t="n">
        <v>0.144985668987195</v>
      </c>
      <c r="L206" s="101" t="n">
        <v>0.149249953369171</v>
      </c>
      <c r="M206" s="101" t="n">
        <v>0.163288100948675</v>
      </c>
      <c r="N206" s="101" t="n">
        <v>0.167823881530582</v>
      </c>
      <c r="O206" s="102" t="n">
        <v>0.17235966211249</v>
      </c>
      <c r="P206" s="102" t="n">
        <v>0.176895442694398</v>
      </c>
      <c r="Q206" s="102" t="n">
        <v>0.192291071273558</v>
      </c>
      <c r="R206" s="102" t="n">
        <v>0.197098348055397</v>
      </c>
      <c r="S206" s="102" t="n">
        <v>0.201905624837236</v>
      </c>
      <c r="T206" s="0" t="n">
        <v>0.206712901619075</v>
      </c>
      <c r="U206" s="104" t="n">
        <v>0.189921701038172</v>
      </c>
      <c r="V206" s="0" t="n">
        <v>0.194238103334494</v>
      </c>
      <c r="W206" s="0" t="n">
        <v>0.198554505630816</v>
      </c>
      <c r="X206" s="0" t="n">
        <v>0.202870907927138</v>
      </c>
      <c r="Y206" s="0" t="n">
        <v>0.20718731022346</v>
      </c>
      <c r="Z206" s="0" t="n">
        <v>0.211503712519782</v>
      </c>
      <c r="AA206" s="0" t="n">
        <v>0.215820114816105</v>
      </c>
      <c r="AB206" s="0" t="n">
        <v>0.220136517112427</v>
      </c>
      <c r="AC206" s="0" t="n">
        <v>0.224452919408749</v>
      </c>
      <c r="AD206" s="94"/>
    </row>
    <row r="207" customFormat="false" ht="13.8" hidden="false" customHeight="false" outlineLevel="0" collapsed="false">
      <c r="A207" s="119" t="s">
        <v>226</v>
      </c>
      <c r="B207" s="94" t="n">
        <v>10</v>
      </c>
      <c r="C207" s="98"/>
      <c r="D207" s="98"/>
      <c r="E207" s="98"/>
      <c r="F207" s="98"/>
      <c r="G207" s="99"/>
      <c r="H207" s="99"/>
      <c r="I207" s="99" t="n">
        <v>0.136457100223242</v>
      </c>
      <c r="J207" s="99" t="n">
        <v>0.140721384605218</v>
      </c>
      <c r="K207" s="101" t="n">
        <v>0.144985668987195</v>
      </c>
      <c r="L207" s="101" t="n">
        <v>0.149249953369171</v>
      </c>
      <c r="M207" s="101" t="n">
        <v>0.163288100948675</v>
      </c>
      <c r="N207" s="101" t="n">
        <v>0.167823881530582</v>
      </c>
      <c r="O207" s="102" t="n">
        <v>0.17235966211249</v>
      </c>
      <c r="P207" s="102" t="n">
        <v>0.176895442694398</v>
      </c>
      <c r="Q207" s="102" t="n">
        <v>0.192291071273558</v>
      </c>
      <c r="R207" s="102" t="n">
        <v>0.197098348055397</v>
      </c>
      <c r="S207" s="102" t="n">
        <v>0.201905624837236</v>
      </c>
      <c r="T207" s="0" t="n">
        <v>0.206712901619075</v>
      </c>
      <c r="U207" s="104" t="n">
        <v>0.189921701038172</v>
      </c>
      <c r="V207" s="0" t="n">
        <v>0.194238103334494</v>
      </c>
      <c r="W207" s="0" t="n">
        <v>0.198554505630816</v>
      </c>
      <c r="X207" s="0" t="n">
        <v>0.202870907927138</v>
      </c>
      <c r="Y207" s="0" t="n">
        <v>0.20718731022346</v>
      </c>
      <c r="Z207" s="0" t="n">
        <v>0.211503712519782</v>
      </c>
      <c r="AA207" s="0" t="n">
        <v>0.215820114816105</v>
      </c>
      <c r="AB207" s="0" t="n">
        <v>0.220136517112427</v>
      </c>
      <c r="AC207" s="0" t="n">
        <v>0.224452919408749</v>
      </c>
      <c r="AD207" s="94"/>
    </row>
    <row r="208" customFormat="false" ht="13.8" hidden="false" customHeight="false" outlineLevel="0" collapsed="false">
      <c r="A208" s="119" t="s">
        <v>913</v>
      </c>
      <c r="B208" s="94" t="n">
        <v>17</v>
      </c>
      <c r="C208" s="98"/>
      <c r="D208" s="98"/>
      <c r="E208" s="98"/>
      <c r="F208" s="98"/>
      <c r="G208" s="99"/>
      <c r="H208" s="99"/>
      <c r="I208" s="99" t="n">
        <v>0.136457100223242</v>
      </c>
      <c r="J208" s="99" t="n">
        <v>0.140721384605218</v>
      </c>
      <c r="K208" s="101" t="n">
        <v>0.144985668987195</v>
      </c>
      <c r="L208" s="101" t="n">
        <v>0.149249953369171</v>
      </c>
      <c r="M208" s="101" t="n">
        <v>0.163288100948675</v>
      </c>
      <c r="N208" s="101" t="n">
        <v>0.167823881530582</v>
      </c>
      <c r="O208" s="102" t="n">
        <v>0.17235966211249</v>
      </c>
      <c r="P208" s="102" t="n">
        <v>0.176895442694398</v>
      </c>
      <c r="Q208" s="102" t="n">
        <v>0.192291071273558</v>
      </c>
      <c r="R208" s="102" t="n">
        <v>0.197098348055397</v>
      </c>
      <c r="S208" s="102" t="n">
        <v>0.201905624837236</v>
      </c>
      <c r="T208" s="0" t="n">
        <v>0.206712901619075</v>
      </c>
      <c r="U208" s="104" t="n">
        <v>0.189921701038172</v>
      </c>
      <c r="V208" s="0" t="n">
        <v>0.194238103334494</v>
      </c>
      <c r="W208" s="0" t="n">
        <v>0.198554505630816</v>
      </c>
      <c r="X208" s="0" t="n">
        <v>0.202870907927138</v>
      </c>
      <c r="Y208" s="0" t="n">
        <v>0.20718731022346</v>
      </c>
      <c r="Z208" s="0" t="n">
        <v>0.211503712519782</v>
      </c>
      <c r="AA208" s="0" t="n">
        <v>0.215820114816105</v>
      </c>
      <c r="AB208" s="0" t="n">
        <v>0.220136517112427</v>
      </c>
      <c r="AC208" s="0" t="n">
        <v>0.224452919408749</v>
      </c>
      <c r="AD208" s="94"/>
    </row>
    <row r="209" customFormat="false" ht="13.8" hidden="false" customHeight="false" outlineLevel="0" collapsed="false">
      <c r="A209" s="119" t="s">
        <v>917</v>
      </c>
      <c r="B209" s="94" t="n">
        <v>17</v>
      </c>
      <c r="C209" s="98"/>
      <c r="D209" s="98"/>
      <c r="E209" s="98"/>
      <c r="F209" s="98"/>
      <c r="G209" s="99"/>
      <c r="H209" s="99"/>
      <c r="I209" s="99" t="n">
        <v>0.136457100223242</v>
      </c>
      <c r="J209" s="99" t="n">
        <v>0.140721384605218</v>
      </c>
      <c r="K209" s="101" t="n">
        <v>0.144985668987195</v>
      </c>
      <c r="L209" s="101" t="n">
        <v>0.149249953369171</v>
      </c>
      <c r="M209" s="101" t="n">
        <v>0.163288100948675</v>
      </c>
      <c r="N209" s="101" t="n">
        <v>0.167823881530582</v>
      </c>
      <c r="O209" s="102" t="n">
        <v>0.17235966211249</v>
      </c>
      <c r="P209" s="102" t="n">
        <v>0.176895442694398</v>
      </c>
      <c r="Q209" s="102" t="n">
        <v>0.192291071273558</v>
      </c>
      <c r="R209" s="102" t="n">
        <v>0.197098348055397</v>
      </c>
      <c r="S209" s="102" t="n">
        <v>0.201905624837236</v>
      </c>
      <c r="T209" s="0" t="n">
        <v>0.206712901619075</v>
      </c>
      <c r="U209" s="104" t="n">
        <v>0.189921701038172</v>
      </c>
      <c r="V209" s="0" t="n">
        <v>0.194238103334494</v>
      </c>
      <c r="W209" s="0" t="n">
        <v>0.198554505630816</v>
      </c>
      <c r="X209" s="0" t="n">
        <v>0.202870907927138</v>
      </c>
      <c r="Y209" s="0" t="n">
        <v>0.20718731022346</v>
      </c>
      <c r="Z209" s="0" t="n">
        <v>0.211503712519782</v>
      </c>
      <c r="AA209" s="0" t="n">
        <v>0.215820114816105</v>
      </c>
      <c r="AB209" s="0" t="n">
        <v>0.220136517112427</v>
      </c>
      <c r="AC209" s="0" t="n">
        <v>0.224452919408749</v>
      </c>
      <c r="AD209" s="94"/>
    </row>
    <row r="210" customFormat="false" ht="13.8" hidden="false" customHeight="false" outlineLevel="0" collapsed="false">
      <c r="A210" s="119" t="s">
        <v>120</v>
      </c>
      <c r="B210" s="94" t="n">
        <v>17</v>
      </c>
      <c r="C210" s="98"/>
      <c r="D210" s="98"/>
      <c r="E210" s="98"/>
      <c r="F210" s="98"/>
      <c r="G210" s="99"/>
      <c r="H210" s="99"/>
      <c r="I210" s="99" t="n">
        <v>0.136457100223242</v>
      </c>
      <c r="J210" s="99" t="n">
        <v>0.140721384605218</v>
      </c>
      <c r="K210" s="101" t="n">
        <v>0.144985668987195</v>
      </c>
      <c r="L210" s="101" t="n">
        <v>0.149249953369171</v>
      </c>
      <c r="M210" s="101" t="n">
        <v>0.163288100948675</v>
      </c>
      <c r="N210" s="101" t="n">
        <v>0.167823881530582</v>
      </c>
      <c r="O210" s="102" t="n">
        <v>0.17235966211249</v>
      </c>
      <c r="P210" s="102" t="n">
        <v>0.176895442694398</v>
      </c>
      <c r="Q210" s="102" t="n">
        <v>0.192291071273558</v>
      </c>
      <c r="R210" s="102" t="n">
        <v>0.197098348055397</v>
      </c>
      <c r="S210" s="102" t="n">
        <v>0.201905624837236</v>
      </c>
      <c r="T210" s="0" t="n">
        <v>0.206712901619075</v>
      </c>
      <c r="U210" s="104" t="n">
        <v>0.189921701038172</v>
      </c>
      <c r="V210" s="0" t="n">
        <v>0.194238103334494</v>
      </c>
      <c r="W210" s="0" t="n">
        <v>0.198554505630816</v>
      </c>
      <c r="X210" s="0" t="n">
        <v>0.202870907927138</v>
      </c>
      <c r="Y210" s="0" t="n">
        <v>0.20718731022346</v>
      </c>
      <c r="Z210" s="0" t="n">
        <v>0.211503712519782</v>
      </c>
      <c r="AA210" s="0" t="n">
        <v>0.215820114816105</v>
      </c>
      <c r="AB210" s="0" t="n">
        <v>0.220136517112427</v>
      </c>
      <c r="AC210" s="0" t="n">
        <v>0.224452919408749</v>
      </c>
      <c r="AD210" s="94"/>
    </row>
    <row r="211" customFormat="false" ht="13.8" hidden="false" customHeight="false" outlineLevel="0" collapsed="false">
      <c r="A211" s="119" t="s">
        <v>225</v>
      </c>
      <c r="B211" s="94" t="n">
        <v>17</v>
      </c>
      <c r="C211" s="98"/>
      <c r="D211" s="98"/>
      <c r="E211" s="98"/>
      <c r="F211" s="98"/>
      <c r="G211" s="99"/>
      <c r="H211" s="99"/>
      <c r="I211" s="99" t="n">
        <v>0.136457100223242</v>
      </c>
      <c r="J211" s="99" t="n">
        <v>0.140721384605218</v>
      </c>
      <c r="K211" s="101" t="n">
        <v>0.144985668987195</v>
      </c>
      <c r="L211" s="101" t="n">
        <v>0.149249953369171</v>
      </c>
      <c r="M211" s="101" t="n">
        <v>0.163288100948675</v>
      </c>
      <c r="N211" s="101" t="n">
        <v>0.167823881530582</v>
      </c>
      <c r="O211" s="102" t="n">
        <v>0.17235966211249</v>
      </c>
      <c r="P211" s="102" t="n">
        <v>0.176895442694398</v>
      </c>
      <c r="Q211" s="102" t="n">
        <v>0.192291071273558</v>
      </c>
      <c r="R211" s="102" t="n">
        <v>0.197098348055397</v>
      </c>
      <c r="S211" s="102" t="n">
        <v>0.201905624837236</v>
      </c>
      <c r="T211" s="0" t="n">
        <v>0.206712901619075</v>
      </c>
      <c r="U211" s="104" t="n">
        <v>0.189921701038172</v>
      </c>
      <c r="V211" s="0" t="n">
        <v>0.194238103334494</v>
      </c>
      <c r="W211" s="0" t="n">
        <v>0.198554505630816</v>
      </c>
      <c r="X211" s="0" t="n">
        <v>0.202870907927138</v>
      </c>
      <c r="Y211" s="0" t="n">
        <v>0.20718731022346</v>
      </c>
      <c r="Z211" s="0" t="n">
        <v>0.211503712519782</v>
      </c>
      <c r="AA211" s="0" t="n">
        <v>0.215820114816105</v>
      </c>
      <c r="AB211" s="0" t="n">
        <v>0.220136517112427</v>
      </c>
      <c r="AC211" s="0" t="n">
        <v>0.224452919408749</v>
      </c>
      <c r="AD211" s="94"/>
    </row>
    <row r="212" customFormat="false" ht="13.8" hidden="false" customHeight="false" outlineLevel="0" collapsed="false">
      <c r="A212" s="119" t="s">
        <v>903</v>
      </c>
      <c r="B212" s="94" t="n">
        <v>17</v>
      </c>
      <c r="C212" s="98"/>
      <c r="D212" s="98"/>
      <c r="E212" s="98"/>
      <c r="F212" s="98"/>
      <c r="G212" s="99"/>
      <c r="H212" s="99"/>
      <c r="I212" s="99" t="n">
        <v>0.136457100223242</v>
      </c>
      <c r="J212" s="99" t="n">
        <v>0.140721384605218</v>
      </c>
      <c r="K212" s="101" t="n">
        <v>0.144985668987195</v>
      </c>
      <c r="L212" s="101" t="n">
        <v>0.149249953369171</v>
      </c>
      <c r="M212" s="101" t="n">
        <v>0.163288100948675</v>
      </c>
      <c r="N212" s="101" t="n">
        <v>0.167823881530582</v>
      </c>
      <c r="O212" s="102" t="n">
        <v>0.17235966211249</v>
      </c>
      <c r="P212" s="102" t="n">
        <v>0.176895442694398</v>
      </c>
      <c r="Q212" s="102" t="n">
        <v>0.192291071273558</v>
      </c>
      <c r="R212" s="102" t="n">
        <v>0.197098348055397</v>
      </c>
      <c r="S212" s="102" t="n">
        <v>0.201905624837236</v>
      </c>
      <c r="T212" s="0" t="n">
        <v>0.206712901619075</v>
      </c>
      <c r="U212" s="104" t="n">
        <v>0.189921701038172</v>
      </c>
      <c r="V212" s="0" t="n">
        <v>0.194238103334494</v>
      </c>
      <c r="W212" s="0" t="n">
        <v>0.198554505630816</v>
      </c>
      <c r="X212" s="0" t="n">
        <v>0.202870907927138</v>
      </c>
      <c r="Y212" s="0" t="n">
        <v>0.20718731022346</v>
      </c>
      <c r="Z212" s="0" t="n">
        <v>0.211503712519782</v>
      </c>
      <c r="AA212" s="0" t="n">
        <v>0.215820114816105</v>
      </c>
      <c r="AB212" s="0" t="n">
        <v>0.220136517112427</v>
      </c>
      <c r="AC212" s="0" t="n">
        <v>0.224452919408749</v>
      </c>
      <c r="AD212" s="94"/>
    </row>
    <row r="213" customFormat="false" ht="13.8" hidden="false" customHeight="false" outlineLevel="0" collapsed="false">
      <c r="A213" s="119" t="s">
        <v>866</v>
      </c>
      <c r="B213" s="94" t="n">
        <v>17</v>
      </c>
      <c r="C213" s="98"/>
      <c r="D213" s="98"/>
      <c r="E213" s="98"/>
      <c r="F213" s="98"/>
      <c r="G213" s="99"/>
      <c r="H213" s="99"/>
      <c r="I213" s="99" t="n">
        <v>0.136457100223242</v>
      </c>
      <c r="J213" s="99" t="n">
        <v>0.140721384605218</v>
      </c>
      <c r="K213" s="101" t="n">
        <v>0.144985668987195</v>
      </c>
      <c r="L213" s="101" t="n">
        <v>0.149249953369171</v>
      </c>
      <c r="M213" s="101" t="n">
        <v>0.163288100948675</v>
      </c>
      <c r="N213" s="101" t="n">
        <v>0.167823881530582</v>
      </c>
      <c r="O213" s="102" t="n">
        <v>0.17235966211249</v>
      </c>
      <c r="P213" s="102" t="n">
        <v>0.176895442694398</v>
      </c>
      <c r="Q213" s="102" t="n">
        <v>0.192291071273558</v>
      </c>
      <c r="R213" s="102" t="n">
        <v>0.197098348055397</v>
      </c>
      <c r="S213" s="102" t="n">
        <v>0.201905624837236</v>
      </c>
      <c r="T213" s="0" t="n">
        <v>0.206712901619075</v>
      </c>
      <c r="U213" s="104" t="n">
        <v>0.189921701038172</v>
      </c>
      <c r="V213" s="0" t="n">
        <v>0.194238103334494</v>
      </c>
      <c r="W213" s="0" t="n">
        <v>0.198554505630816</v>
      </c>
      <c r="X213" s="0" t="n">
        <v>0.202870907927138</v>
      </c>
      <c r="Y213" s="0" t="n">
        <v>0.20718731022346</v>
      </c>
      <c r="Z213" s="0" t="n">
        <v>0.211503712519782</v>
      </c>
      <c r="AA213" s="0" t="n">
        <v>0.215820114816105</v>
      </c>
      <c r="AB213" s="0" t="n">
        <v>0.220136517112427</v>
      </c>
      <c r="AC213" s="0" t="n">
        <v>0.224452919408749</v>
      </c>
      <c r="AD213" s="94"/>
    </row>
    <row r="214" customFormat="false" ht="13.8" hidden="false" customHeight="false" outlineLevel="0" collapsed="false">
      <c r="A214" s="119" t="s">
        <v>871</v>
      </c>
      <c r="B214" s="94" t="n">
        <v>17</v>
      </c>
      <c r="C214" s="98"/>
      <c r="D214" s="98"/>
      <c r="E214" s="98"/>
      <c r="F214" s="98"/>
      <c r="G214" s="99"/>
      <c r="H214" s="99"/>
      <c r="I214" s="99" t="n">
        <v>0.136457100223242</v>
      </c>
      <c r="J214" s="99" t="n">
        <v>0.140721384605218</v>
      </c>
      <c r="K214" s="101" t="n">
        <v>0.144985668987195</v>
      </c>
      <c r="L214" s="101" t="n">
        <v>0.149249953369171</v>
      </c>
      <c r="M214" s="101" t="n">
        <v>0.163288100948675</v>
      </c>
      <c r="N214" s="101" t="n">
        <v>0.167823881530582</v>
      </c>
      <c r="O214" s="102" t="n">
        <v>0.17235966211249</v>
      </c>
      <c r="P214" s="102" t="n">
        <v>0.176895442694398</v>
      </c>
      <c r="Q214" s="102" t="n">
        <v>0.192291071273558</v>
      </c>
      <c r="R214" s="102" t="n">
        <v>0.197098348055397</v>
      </c>
      <c r="S214" s="102" t="n">
        <v>0.201905624837236</v>
      </c>
      <c r="T214" s="0" t="n">
        <v>0.206712901619075</v>
      </c>
      <c r="U214" s="104" t="n">
        <v>0.189921701038172</v>
      </c>
      <c r="V214" s="0" t="n">
        <v>0.194238103334494</v>
      </c>
      <c r="W214" s="0" t="n">
        <v>0.198554505630816</v>
      </c>
      <c r="X214" s="0" t="n">
        <v>0.202870907927138</v>
      </c>
      <c r="Y214" s="0" t="n">
        <v>0.20718731022346</v>
      </c>
      <c r="Z214" s="0" t="n">
        <v>0.211503712519782</v>
      </c>
      <c r="AA214" s="0" t="n">
        <v>0.215820114816105</v>
      </c>
      <c r="AB214" s="0" t="n">
        <v>0.220136517112427</v>
      </c>
      <c r="AC214" s="0" t="n">
        <v>0.224452919408749</v>
      </c>
      <c r="AD214" s="94"/>
    </row>
    <row r="215" customFormat="false" ht="13.8" hidden="false" customHeight="false" outlineLevel="0" collapsed="false">
      <c r="A215" s="119" t="s">
        <v>436</v>
      </c>
      <c r="B215" s="94" t="n">
        <v>17</v>
      </c>
      <c r="C215" s="98"/>
      <c r="D215" s="98"/>
      <c r="E215" s="98"/>
      <c r="F215" s="98"/>
      <c r="G215" s="99"/>
      <c r="H215" s="99"/>
      <c r="I215" s="99" t="n">
        <v>0.136457100223242</v>
      </c>
      <c r="J215" s="99" t="n">
        <v>0.140721384605218</v>
      </c>
      <c r="K215" s="101" t="n">
        <v>0.144985668987195</v>
      </c>
      <c r="L215" s="101" t="n">
        <v>0.149249953369171</v>
      </c>
      <c r="M215" s="101" t="n">
        <v>0.163288100948675</v>
      </c>
      <c r="N215" s="101" t="n">
        <v>0.167823881530582</v>
      </c>
      <c r="O215" s="102" t="n">
        <v>0.17235966211249</v>
      </c>
      <c r="P215" s="102" t="n">
        <v>0.176895442694398</v>
      </c>
      <c r="Q215" s="102" t="n">
        <v>0.192291071273558</v>
      </c>
      <c r="R215" s="102" t="n">
        <v>0.197098348055397</v>
      </c>
      <c r="S215" s="102" t="n">
        <v>0.201905624837236</v>
      </c>
      <c r="T215" s="0" t="n">
        <v>0.206712901619075</v>
      </c>
      <c r="U215" s="104" t="n">
        <v>0.189921701038172</v>
      </c>
      <c r="V215" s="0" t="n">
        <v>0.194238103334494</v>
      </c>
      <c r="W215" s="0" t="n">
        <v>0.198554505630816</v>
      </c>
      <c r="X215" s="0" t="n">
        <v>0.202870907927138</v>
      </c>
      <c r="Y215" s="0" t="n">
        <v>0.20718731022346</v>
      </c>
      <c r="Z215" s="0" t="n">
        <v>0.211503712519782</v>
      </c>
      <c r="AA215" s="0" t="n">
        <v>0.215820114816105</v>
      </c>
      <c r="AB215" s="0" t="n">
        <v>0.220136517112427</v>
      </c>
      <c r="AC215" s="0" t="n">
        <v>0.224452919408749</v>
      </c>
      <c r="AD215" s="94"/>
    </row>
    <row r="216" customFormat="false" ht="13.8" hidden="false" customHeight="false" outlineLevel="0" collapsed="false">
      <c r="A216" s="119" t="s">
        <v>434</v>
      </c>
      <c r="B216" s="94" t="n">
        <v>17</v>
      </c>
      <c r="C216" s="98"/>
      <c r="D216" s="98"/>
      <c r="E216" s="98"/>
      <c r="F216" s="98"/>
      <c r="G216" s="99"/>
      <c r="H216" s="99"/>
      <c r="I216" s="99" t="n">
        <v>0.136457100223242</v>
      </c>
      <c r="J216" s="99" t="n">
        <v>0.140721384605218</v>
      </c>
      <c r="K216" s="101" t="n">
        <v>0.144985668987195</v>
      </c>
      <c r="L216" s="101" t="n">
        <v>0.149249953369171</v>
      </c>
      <c r="M216" s="101" t="n">
        <v>0.163288100948675</v>
      </c>
      <c r="N216" s="101" t="n">
        <v>0.167823881530582</v>
      </c>
      <c r="O216" s="102" t="n">
        <v>0.17235966211249</v>
      </c>
      <c r="P216" s="102" t="n">
        <v>0.176895442694398</v>
      </c>
      <c r="Q216" s="102" t="n">
        <v>0.192291071273558</v>
      </c>
      <c r="R216" s="102" t="n">
        <v>0.197098348055397</v>
      </c>
      <c r="S216" s="102" t="n">
        <v>0.201905624837236</v>
      </c>
      <c r="T216" s="0" t="n">
        <v>0.206712901619075</v>
      </c>
      <c r="U216" s="104" t="n">
        <v>0.189921701038172</v>
      </c>
      <c r="V216" s="0" t="n">
        <v>0.194238103334494</v>
      </c>
      <c r="W216" s="0" t="n">
        <v>0.198554505630816</v>
      </c>
      <c r="X216" s="0" t="n">
        <v>0.202870907927138</v>
      </c>
      <c r="Y216" s="0" t="n">
        <v>0.20718731022346</v>
      </c>
      <c r="Z216" s="0" t="n">
        <v>0.211503712519782</v>
      </c>
      <c r="AA216" s="0" t="n">
        <v>0.215820114816105</v>
      </c>
      <c r="AB216" s="0" t="n">
        <v>0.220136517112427</v>
      </c>
      <c r="AC216" s="0" t="n">
        <v>0.224452919408749</v>
      </c>
      <c r="AD216" s="94"/>
    </row>
    <row r="217" customFormat="false" ht="13.8" hidden="false" customHeight="false" outlineLevel="0" collapsed="false">
      <c r="A217" s="119" t="s">
        <v>344</v>
      </c>
      <c r="B217" s="94" t="n">
        <v>17</v>
      </c>
      <c r="C217" s="98"/>
      <c r="D217" s="98"/>
      <c r="E217" s="98"/>
      <c r="F217" s="98"/>
      <c r="G217" s="99"/>
      <c r="H217" s="99"/>
      <c r="I217" s="99" t="n">
        <v>0.136457100223242</v>
      </c>
      <c r="J217" s="99" t="n">
        <v>0.140721384605218</v>
      </c>
      <c r="K217" s="101" t="n">
        <v>0.144985668987195</v>
      </c>
      <c r="L217" s="101" t="n">
        <v>0.149249953369171</v>
      </c>
      <c r="M217" s="101" t="n">
        <v>0.163288100948675</v>
      </c>
      <c r="N217" s="101" t="n">
        <v>0.167823881530582</v>
      </c>
      <c r="O217" s="102" t="n">
        <v>0.17235966211249</v>
      </c>
      <c r="P217" s="102" t="n">
        <v>0.176895442694398</v>
      </c>
      <c r="Q217" s="102" t="n">
        <v>0.192291071273558</v>
      </c>
      <c r="R217" s="102" t="n">
        <v>0.197098348055397</v>
      </c>
      <c r="S217" s="102" t="n">
        <v>0.201905624837236</v>
      </c>
      <c r="T217" s="0" t="n">
        <v>0.206712901619075</v>
      </c>
      <c r="U217" s="104" t="n">
        <v>0.189921701038172</v>
      </c>
      <c r="V217" s="0" t="n">
        <v>0.194238103334494</v>
      </c>
      <c r="W217" s="0" t="n">
        <v>0.198554505630816</v>
      </c>
      <c r="X217" s="0" t="n">
        <v>0.202870907927138</v>
      </c>
      <c r="Y217" s="0" t="n">
        <v>0.20718731022346</v>
      </c>
      <c r="Z217" s="0" t="n">
        <v>0.211503712519782</v>
      </c>
      <c r="AA217" s="0" t="n">
        <v>0.215820114816105</v>
      </c>
      <c r="AB217" s="0" t="n">
        <v>0.220136517112427</v>
      </c>
      <c r="AC217" s="0" t="n">
        <v>0.224452919408749</v>
      </c>
      <c r="AD217" s="94"/>
    </row>
    <row r="218" customFormat="false" ht="13.8" hidden="false" customHeight="false" outlineLevel="0" collapsed="false">
      <c r="A218" s="119" t="s">
        <v>232</v>
      </c>
      <c r="B218" s="94" t="n">
        <v>17</v>
      </c>
      <c r="C218" s="98"/>
      <c r="D218" s="98"/>
      <c r="E218" s="98"/>
      <c r="F218" s="98"/>
      <c r="G218" s="99"/>
      <c r="H218" s="99"/>
      <c r="I218" s="99" t="n">
        <v>0.136457100223242</v>
      </c>
      <c r="J218" s="99" t="n">
        <v>0.140721384605218</v>
      </c>
      <c r="K218" s="101" t="n">
        <v>0.144985668987195</v>
      </c>
      <c r="L218" s="101" t="n">
        <v>0.149249953369171</v>
      </c>
      <c r="M218" s="101" t="n">
        <v>0.163288100948675</v>
      </c>
      <c r="N218" s="101" t="n">
        <v>0.167823881530582</v>
      </c>
      <c r="O218" s="102" t="n">
        <v>0.17235966211249</v>
      </c>
      <c r="P218" s="102" t="n">
        <v>0.176895442694398</v>
      </c>
      <c r="Q218" s="102" t="n">
        <v>0.192291071273558</v>
      </c>
      <c r="R218" s="102" t="n">
        <v>0.197098348055397</v>
      </c>
      <c r="S218" s="102" t="n">
        <v>0.201905624837236</v>
      </c>
      <c r="T218" s="0" t="n">
        <v>0.206712901619075</v>
      </c>
      <c r="U218" s="104" t="n">
        <v>0.189921701038172</v>
      </c>
      <c r="V218" s="0" t="n">
        <v>0.194238103334494</v>
      </c>
      <c r="W218" s="0" t="n">
        <v>0.198554505630816</v>
      </c>
      <c r="X218" s="0" t="n">
        <v>0.202870907927138</v>
      </c>
      <c r="Y218" s="0" t="n">
        <v>0.20718731022346</v>
      </c>
      <c r="Z218" s="0" t="n">
        <v>0.211503712519782</v>
      </c>
      <c r="AA218" s="0" t="n">
        <v>0.215820114816105</v>
      </c>
      <c r="AB218" s="0" t="n">
        <v>0.220136517112427</v>
      </c>
      <c r="AC218" s="0" t="n">
        <v>0.224452919408749</v>
      </c>
      <c r="AD218" s="94"/>
    </row>
    <row r="219" customFormat="false" ht="13.8" hidden="false" customHeight="false" outlineLevel="0" collapsed="false">
      <c r="A219" s="119" t="s">
        <v>121</v>
      </c>
      <c r="B219" s="94" t="n">
        <v>17</v>
      </c>
      <c r="C219" s="98"/>
      <c r="D219" s="98"/>
      <c r="E219" s="98"/>
      <c r="F219" s="98"/>
      <c r="G219" s="99"/>
      <c r="H219" s="99"/>
      <c r="I219" s="99" t="n">
        <v>0.136457100223242</v>
      </c>
      <c r="J219" s="99" t="n">
        <v>0.140721384605218</v>
      </c>
      <c r="K219" s="101" t="n">
        <v>0.144985668987195</v>
      </c>
      <c r="L219" s="101" t="n">
        <v>0.149249953369171</v>
      </c>
      <c r="M219" s="101" t="n">
        <v>0.163288100948675</v>
      </c>
      <c r="N219" s="101" t="n">
        <v>0.167823881530582</v>
      </c>
      <c r="O219" s="102" t="n">
        <v>0.17235966211249</v>
      </c>
      <c r="P219" s="102" t="n">
        <v>0.176895442694398</v>
      </c>
      <c r="Q219" s="102" t="n">
        <v>0.192291071273558</v>
      </c>
      <c r="R219" s="102" t="n">
        <v>0.197098348055397</v>
      </c>
      <c r="S219" s="102" t="n">
        <v>0.201905624837236</v>
      </c>
      <c r="T219" s="0" t="n">
        <v>0.206712901619075</v>
      </c>
      <c r="U219" s="104" t="n">
        <v>0.189921701038172</v>
      </c>
      <c r="V219" s="0" t="n">
        <v>0.194238103334494</v>
      </c>
      <c r="W219" s="0" t="n">
        <v>0.198554505630816</v>
      </c>
      <c r="X219" s="0" t="n">
        <v>0.202870907927138</v>
      </c>
      <c r="Y219" s="0" t="n">
        <v>0.20718731022346</v>
      </c>
      <c r="Z219" s="0" t="n">
        <v>0.211503712519782</v>
      </c>
      <c r="AA219" s="0" t="n">
        <v>0.215820114816105</v>
      </c>
      <c r="AB219" s="0" t="n">
        <v>0.220136517112427</v>
      </c>
      <c r="AC219" s="0" t="n">
        <v>0.224452919408749</v>
      </c>
      <c r="AD219" s="94"/>
    </row>
    <row r="220" customFormat="false" ht="13.8" hidden="false" customHeight="false" outlineLevel="0" collapsed="false">
      <c r="A220" s="119" t="s">
        <v>231</v>
      </c>
      <c r="B220" s="94" t="n">
        <v>17</v>
      </c>
      <c r="C220" s="98"/>
      <c r="D220" s="98"/>
      <c r="E220" s="98"/>
      <c r="F220" s="98"/>
      <c r="G220" s="99"/>
      <c r="H220" s="99"/>
      <c r="I220" s="99" t="n">
        <v>0.136457100223242</v>
      </c>
      <c r="J220" s="99" t="n">
        <v>0.140721384605218</v>
      </c>
      <c r="K220" s="101" t="n">
        <v>0.144985668987195</v>
      </c>
      <c r="L220" s="101" t="n">
        <v>0.149249953369171</v>
      </c>
      <c r="M220" s="101" t="n">
        <v>0.163288100948675</v>
      </c>
      <c r="N220" s="101" t="n">
        <v>0.167823881530582</v>
      </c>
      <c r="O220" s="102" t="n">
        <v>0.17235966211249</v>
      </c>
      <c r="P220" s="102" t="n">
        <v>0.176895442694398</v>
      </c>
      <c r="Q220" s="102" t="n">
        <v>0.192291071273558</v>
      </c>
      <c r="R220" s="102" t="n">
        <v>0.197098348055397</v>
      </c>
      <c r="S220" s="102" t="n">
        <v>0.201905624837236</v>
      </c>
      <c r="T220" s="0" t="n">
        <v>0.206712901619075</v>
      </c>
      <c r="U220" s="104" t="n">
        <v>0.189921701038172</v>
      </c>
      <c r="V220" s="0" t="n">
        <v>0.194238103334494</v>
      </c>
      <c r="W220" s="0" t="n">
        <v>0.198554505630816</v>
      </c>
      <c r="X220" s="0" t="n">
        <v>0.202870907927138</v>
      </c>
      <c r="Y220" s="0" t="n">
        <v>0.20718731022346</v>
      </c>
      <c r="Z220" s="0" t="n">
        <v>0.211503712519782</v>
      </c>
      <c r="AA220" s="0" t="n">
        <v>0.215820114816105</v>
      </c>
      <c r="AB220" s="0" t="n">
        <v>0.220136517112427</v>
      </c>
      <c r="AC220" s="0" t="n">
        <v>0.224452919408749</v>
      </c>
      <c r="AD220" s="94"/>
    </row>
    <row r="221" customFormat="false" ht="13.8" hidden="false" customHeight="false" outlineLevel="0" collapsed="false">
      <c r="A221" s="119" t="s">
        <v>214</v>
      </c>
      <c r="B221" s="94" t="n">
        <v>17</v>
      </c>
      <c r="C221" s="98"/>
      <c r="D221" s="98"/>
      <c r="E221" s="98"/>
      <c r="F221" s="98"/>
      <c r="G221" s="99"/>
      <c r="H221" s="99"/>
      <c r="I221" s="99" t="n">
        <v>0.136457100223242</v>
      </c>
      <c r="J221" s="99" t="n">
        <v>0.140721384605218</v>
      </c>
      <c r="K221" s="101" t="n">
        <v>0.144985668987195</v>
      </c>
      <c r="L221" s="101" t="n">
        <v>0.149249953369171</v>
      </c>
      <c r="M221" s="101" t="n">
        <v>0.163288100948675</v>
      </c>
      <c r="N221" s="101" t="n">
        <v>0.167823881530582</v>
      </c>
      <c r="O221" s="102" t="n">
        <v>0.17235966211249</v>
      </c>
      <c r="P221" s="102" t="n">
        <v>0.176895442694398</v>
      </c>
      <c r="Q221" s="102" t="n">
        <v>0.192291071273558</v>
      </c>
      <c r="R221" s="102" t="n">
        <v>0.197098348055397</v>
      </c>
      <c r="S221" s="102" t="n">
        <v>0.201905624837236</v>
      </c>
      <c r="T221" s="0" t="n">
        <v>0.206712901619075</v>
      </c>
      <c r="U221" s="104" t="n">
        <v>0.189921701038172</v>
      </c>
      <c r="V221" s="0" t="n">
        <v>0.194238103334494</v>
      </c>
      <c r="W221" s="0" t="n">
        <v>0.198554505630816</v>
      </c>
      <c r="X221" s="0" t="n">
        <v>0.202870907927138</v>
      </c>
      <c r="Y221" s="0" t="n">
        <v>0.20718731022346</v>
      </c>
      <c r="Z221" s="0" t="n">
        <v>0.211503712519782</v>
      </c>
      <c r="AA221" s="0" t="n">
        <v>0.215820114816105</v>
      </c>
      <c r="AB221" s="0" t="n">
        <v>0.220136517112427</v>
      </c>
      <c r="AC221" s="0" t="n">
        <v>0.224452919408749</v>
      </c>
      <c r="AD221" s="94"/>
    </row>
    <row r="222" customFormat="false" ht="13.8" hidden="false" customHeight="false" outlineLevel="0" collapsed="false">
      <c r="A222" s="119" t="s">
        <v>944</v>
      </c>
      <c r="B222" s="94" t="n">
        <v>17</v>
      </c>
      <c r="C222" s="98"/>
      <c r="D222" s="98"/>
      <c r="E222" s="98"/>
      <c r="F222" s="98"/>
      <c r="G222" s="99"/>
      <c r="H222" s="99"/>
      <c r="I222" s="99" t="n">
        <v>0.136457100223242</v>
      </c>
      <c r="J222" s="99" t="n">
        <v>0.140721384605218</v>
      </c>
      <c r="K222" s="101" t="n">
        <v>0.144985668987195</v>
      </c>
      <c r="L222" s="101" t="n">
        <v>0.149249953369171</v>
      </c>
      <c r="M222" s="101" t="n">
        <v>0.163288100948675</v>
      </c>
      <c r="N222" s="101" t="n">
        <v>0.167823881530582</v>
      </c>
      <c r="O222" s="102" t="n">
        <v>0.17235966211249</v>
      </c>
      <c r="P222" s="102" t="n">
        <v>0.176895442694398</v>
      </c>
      <c r="Q222" s="102" t="n">
        <v>0.192291071273558</v>
      </c>
      <c r="R222" s="102" t="n">
        <v>0.197098348055397</v>
      </c>
      <c r="S222" s="102" t="n">
        <v>0.201905624837236</v>
      </c>
      <c r="T222" s="0" t="n">
        <v>0.206712901619075</v>
      </c>
      <c r="U222" s="104" t="n">
        <v>0.189921701038172</v>
      </c>
      <c r="V222" s="0" t="n">
        <v>0.194238103334494</v>
      </c>
      <c r="W222" s="0" t="n">
        <v>0.198554505630816</v>
      </c>
      <c r="X222" s="0" t="n">
        <v>0.202870907927138</v>
      </c>
      <c r="Y222" s="0" t="n">
        <v>0.20718731022346</v>
      </c>
      <c r="Z222" s="0" t="n">
        <v>0.211503712519782</v>
      </c>
      <c r="AA222" s="0" t="n">
        <v>0.215820114816105</v>
      </c>
      <c r="AB222" s="0" t="n">
        <v>0.220136517112427</v>
      </c>
      <c r="AC222" s="0" t="n">
        <v>0.224452919408749</v>
      </c>
      <c r="AD222" s="94"/>
    </row>
    <row r="223" customFormat="false" ht="13.8" hidden="false" customHeight="false" outlineLevel="0" collapsed="false">
      <c r="A223" s="119" t="s">
        <v>122</v>
      </c>
      <c r="B223" s="94" t="n">
        <v>17</v>
      </c>
      <c r="C223" s="98"/>
      <c r="D223" s="98"/>
      <c r="E223" s="98"/>
      <c r="F223" s="98"/>
      <c r="G223" s="99"/>
      <c r="H223" s="99"/>
      <c r="I223" s="99" t="n">
        <v>0.136457100223242</v>
      </c>
      <c r="J223" s="99" t="n">
        <v>0.140721384605218</v>
      </c>
      <c r="K223" s="101" t="n">
        <v>0.144985668987195</v>
      </c>
      <c r="L223" s="101" t="n">
        <v>0.149249953369171</v>
      </c>
      <c r="M223" s="101" t="n">
        <v>0.163288100948675</v>
      </c>
      <c r="N223" s="101" t="n">
        <v>0.167823881530582</v>
      </c>
      <c r="O223" s="102" t="n">
        <v>0.17235966211249</v>
      </c>
      <c r="P223" s="102" t="n">
        <v>0.176895442694398</v>
      </c>
      <c r="Q223" s="102" t="n">
        <v>0.192291071273558</v>
      </c>
      <c r="R223" s="102" t="n">
        <v>0.197098348055397</v>
      </c>
      <c r="S223" s="102" t="n">
        <v>0.201905624837236</v>
      </c>
      <c r="T223" s="0" t="n">
        <v>0.206712901619075</v>
      </c>
      <c r="U223" s="104" t="n">
        <v>0.189921701038172</v>
      </c>
      <c r="V223" s="0" t="n">
        <v>0.194238103334494</v>
      </c>
      <c r="W223" s="0" t="n">
        <v>0.198554505630816</v>
      </c>
      <c r="X223" s="0" t="n">
        <v>0.202870907927138</v>
      </c>
      <c r="Y223" s="0" t="n">
        <v>0.20718731022346</v>
      </c>
      <c r="Z223" s="0" t="n">
        <v>0.211503712519782</v>
      </c>
      <c r="AA223" s="0" t="n">
        <v>0.215820114816105</v>
      </c>
      <c r="AB223" s="0" t="n">
        <v>0.220136517112427</v>
      </c>
      <c r="AC223" s="0" t="n">
        <v>0.224452919408749</v>
      </c>
      <c r="AD223" s="94"/>
    </row>
    <row r="224" customFormat="false" ht="13.8" hidden="false" customHeight="false" outlineLevel="0" collapsed="false">
      <c r="A224" s="119" t="s">
        <v>938</v>
      </c>
      <c r="B224" s="94" t="n">
        <v>17</v>
      </c>
      <c r="C224" s="98"/>
      <c r="D224" s="98"/>
      <c r="E224" s="98"/>
      <c r="F224" s="98"/>
      <c r="G224" s="99"/>
      <c r="H224" s="99"/>
      <c r="I224" s="99" t="n">
        <v>0.136457100223242</v>
      </c>
      <c r="J224" s="99" t="n">
        <v>0.140721384605218</v>
      </c>
      <c r="K224" s="101" t="n">
        <v>0.144985668987195</v>
      </c>
      <c r="L224" s="101" t="n">
        <v>0.149249953369171</v>
      </c>
      <c r="M224" s="101" t="n">
        <v>0.163288100948675</v>
      </c>
      <c r="N224" s="101" t="n">
        <v>0.167823881530582</v>
      </c>
      <c r="O224" s="102" t="n">
        <v>0.17235966211249</v>
      </c>
      <c r="P224" s="102" t="n">
        <v>0.176895442694398</v>
      </c>
      <c r="Q224" s="102" t="n">
        <v>0.192291071273558</v>
      </c>
      <c r="R224" s="102" t="n">
        <v>0.197098348055397</v>
      </c>
      <c r="S224" s="102" t="n">
        <v>0.201905624837236</v>
      </c>
      <c r="T224" s="0" t="n">
        <v>0.206712901619075</v>
      </c>
      <c r="U224" s="104" t="n">
        <v>0.189921701038172</v>
      </c>
      <c r="V224" s="0" t="n">
        <v>0.194238103334494</v>
      </c>
      <c r="W224" s="0" t="n">
        <v>0.198554505630816</v>
      </c>
      <c r="X224" s="0" t="n">
        <v>0.202870907927138</v>
      </c>
      <c r="Y224" s="0" t="n">
        <v>0.20718731022346</v>
      </c>
      <c r="Z224" s="0" t="n">
        <v>0.211503712519782</v>
      </c>
      <c r="AA224" s="0" t="n">
        <v>0.215820114816105</v>
      </c>
      <c r="AB224" s="0" t="n">
        <v>0.220136517112427</v>
      </c>
      <c r="AC224" s="0" t="n">
        <v>0.224452919408749</v>
      </c>
      <c r="AD224" s="94"/>
    </row>
    <row r="225" customFormat="false" ht="13.8" hidden="false" customHeight="false" outlineLevel="0" collapsed="false">
      <c r="A225" s="119" t="s">
        <v>948</v>
      </c>
      <c r="B225" s="94" t="n">
        <v>17</v>
      </c>
      <c r="C225" s="98"/>
      <c r="D225" s="98"/>
      <c r="E225" s="98"/>
      <c r="F225" s="98"/>
      <c r="G225" s="99"/>
      <c r="H225" s="99"/>
      <c r="I225" s="99" t="n">
        <v>0.136457100223242</v>
      </c>
      <c r="J225" s="99" t="n">
        <v>0.140721384605218</v>
      </c>
      <c r="K225" s="101" t="n">
        <v>0.144985668987195</v>
      </c>
      <c r="L225" s="101" t="n">
        <v>0.149249953369171</v>
      </c>
      <c r="M225" s="101" t="n">
        <v>0.163288100948675</v>
      </c>
      <c r="N225" s="101" t="n">
        <v>0.167823881530582</v>
      </c>
      <c r="O225" s="102" t="n">
        <v>0.17235966211249</v>
      </c>
      <c r="P225" s="102" t="n">
        <v>0.176895442694398</v>
      </c>
      <c r="Q225" s="102" t="n">
        <v>0.192291071273558</v>
      </c>
      <c r="R225" s="102" t="n">
        <v>0.197098348055397</v>
      </c>
      <c r="S225" s="102" t="n">
        <v>0.201905624837236</v>
      </c>
      <c r="T225" s="0" t="n">
        <v>0.206712901619075</v>
      </c>
      <c r="U225" s="104" t="n">
        <v>0.189921701038172</v>
      </c>
      <c r="V225" s="0" t="n">
        <v>0.194238103334494</v>
      </c>
      <c r="W225" s="0" t="n">
        <v>0.198554505630816</v>
      </c>
      <c r="X225" s="0" t="n">
        <v>0.202870907927138</v>
      </c>
      <c r="Y225" s="0" t="n">
        <v>0.20718731022346</v>
      </c>
      <c r="Z225" s="0" t="n">
        <v>0.211503712519782</v>
      </c>
      <c r="AA225" s="0" t="n">
        <v>0.215820114816105</v>
      </c>
      <c r="AB225" s="0" t="n">
        <v>0.220136517112427</v>
      </c>
      <c r="AC225" s="0" t="n">
        <v>0.224452919408749</v>
      </c>
      <c r="AD225" s="94"/>
    </row>
    <row r="226" customFormat="false" ht="13.8" hidden="false" customHeight="false" outlineLevel="0" collapsed="false">
      <c r="A226" s="119" t="s">
        <v>910</v>
      </c>
      <c r="B226" s="94" t="n">
        <v>17</v>
      </c>
      <c r="C226" s="98"/>
      <c r="D226" s="98"/>
      <c r="E226" s="98"/>
      <c r="F226" s="98"/>
      <c r="G226" s="99"/>
      <c r="H226" s="99"/>
      <c r="I226" s="99" t="n">
        <v>0.136457100223242</v>
      </c>
      <c r="J226" s="99" t="n">
        <v>0.140721384605218</v>
      </c>
      <c r="K226" s="101" t="n">
        <v>0.144985668987195</v>
      </c>
      <c r="L226" s="101" t="n">
        <v>0.149249953369171</v>
      </c>
      <c r="M226" s="101" t="n">
        <v>0.163288100948675</v>
      </c>
      <c r="N226" s="101" t="n">
        <v>0.167823881530582</v>
      </c>
      <c r="O226" s="102" t="n">
        <v>0.17235966211249</v>
      </c>
      <c r="P226" s="102" t="n">
        <v>0.176895442694398</v>
      </c>
      <c r="Q226" s="102" t="n">
        <v>0.192291071273558</v>
      </c>
      <c r="R226" s="102" t="n">
        <v>0.197098348055397</v>
      </c>
      <c r="S226" s="102" t="n">
        <v>0.201905624837236</v>
      </c>
      <c r="T226" s="0" t="n">
        <v>0.206712901619075</v>
      </c>
      <c r="U226" s="104" t="n">
        <v>0.189921701038172</v>
      </c>
      <c r="V226" s="0" t="n">
        <v>0.194238103334494</v>
      </c>
      <c r="W226" s="0" t="n">
        <v>0.198554505630816</v>
      </c>
      <c r="X226" s="0" t="n">
        <v>0.202870907927138</v>
      </c>
      <c r="Y226" s="0" t="n">
        <v>0.20718731022346</v>
      </c>
      <c r="Z226" s="0" t="n">
        <v>0.211503712519782</v>
      </c>
      <c r="AA226" s="0" t="n">
        <v>0.215820114816105</v>
      </c>
      <c r="AB226" s="0" t="n">
        <v>0.220136517112427</v>
      </c>
      <c r="AC226" s="0" t="n">
        <v>0.224452919408749</v>
      </c>
      <c r="AD226" s="94"/>
    </row>
    <row r="227" customFormat="false" ht="13.8" hidden="false" customHeight="false" outlineLevel="0" collapsed="false">
      <c r="A227" s="119" t="s">
        <v>883</v>
      </c>
      <c r="B227" s="94" t="n">
        <v>17</v>
      </c>
      <c r="C227" s="98"/>
      <c r="D227" s="98"/>
      <c r="E227" s="98"/>
      <c r="F227" s="98"/>
      <c r="G227" s="99"/>
      <c r="H227" s="99"/>
      <c r="I227" s="99" t="n">
        <v>0.272914200446484</v>
      </c>
      <c r="J227" s="99" t="n">
        <v>0.281442769210436</v>
      </c>
      <c r="K227" s="101" t="n">
        <v>0.289971337974389</v>
      </c>
      <c r="L227" s="101" t="n">
        <v>0.298499906738342</v>
      </c>
      <c r="M227" s="101"/>
      <c r="N227" s="101"/>
      <c r="O227" s="102"/>
      <c r="P227" s="102"/>
      <c r="Q227" s="102"/>
      <c r="R227" s="102"/>
      <c r="S227" s="102"/>
      <c r="U227" s="104"/>
      <c r="AD227" s="94"/>
    </row>
    <row r="228" customFormat="false" ht="13.8" hidden="false" customHeight="false" outlineLevel="0" collapsed="false">
      <c r="A228" s="119" t="s">
        <v>886</v>
      </c>
      <c r="B228" s="94" t="n">
        <v>17</v>
      </c>
      <c r="C228" s="98"/>
      <c r="D228" s="98"/>
      <c r="E228" s="98"/>
      <c r="F228" s="98"/>
      <c r="G228" s="99"/>
      <c r="H228" s="99"/>
      <c r="I228" s="99" t="n">
        <v>0.272914200446484</v>
      </c>
      <c r="J228" s="99" t="n">
        <v>0.281442769210436</v>
      </c>
      <c r="K228" s="101" t="n">
        <v>0.289971337974389</v>
      </c>
      <c r="L228" s="101" t="n">
        <v>0.298499906738342</v>
      </c>
      <c r="M228" s="101"/>
      <c r="N228" s="101"/>
      <c r="O228" s="102"/>
      <c r="P228" s="102"/>
      <c r="Q228" s="102"/>
      <c r="R228" s="102"/>
      <c r="S228" s="102"/>
      <c r="U228" s="104"/>
      <c r="AD228" s="94"/>
    </row>
    <row r="229" customFormat="false" ht="13.8" hidden="false" customHeight="false" outlineLevel="0" collapsed="false">
      <c r="A229" s="119" t="s">
        <v>226</v>
      </c>
      <c r="B229" s="94" t="n">
        <v>17</v>
      </c>
      <c r="C229" s="107"/>
      <c r="D229" s="107"/>
      <c r="E229" s="107"/>
      <c r="F229" s="108"/>
      <c r="G229" s="109"/>
      <c r="H229" s="109"/>
      <c r="I229" s="109" t="n">
        <v>0.272914200446484</v>
      </c>
      <c r="J229" s="109" t="n">
        <v>0.281442769210436</v>
      </c>
      <c r="K229" s="101" t="n">
        <v>0.289971337974389</v>
      </c>
      <c r="L229" s="86" t="n">
        <v>0.298499906738342</v>
      </c>
      <c r="M229" s="86"/>
      <c r="N229" s="86"/>
      <c r="O229" s="83"/>
      <c r="P229" s="83"/>
      <c r="Q229" s="83"/>
      <c r="R229" s="83"/>
      <c r="S229" s="83"/>
      <c r="AD229" s="94"/>
    </row>
    <row r="230" customFormat="false" ht="13.8" hidden="false" customHeight="false" outlineLevel="0" collapsed="false">
      <c r="A230" s="0" t="s">
        <v>441</v>
      </c>
      <c r="B230" s="94" t="n">
        <v>12</v>
      </c>
      <c r="C230" s="98"/>
      <c r="D230" s="98"/>
      <c r="E230" s="98"/>
      <c r="F230" s="98"/>
      <c r="G230" s="99"/>
      <c r="H230" s="99"/>
      <c r="I230" s="99" t="n">
        <v>0.272914200446484</v>
      </c>
      <c r="J230" s="99" t="n">
        <v>0.281442769210436</v>
      </c>
      <c r="K230" s="101" t="n">
        <v>0.289971337974389</v>
      </c>
      <c r="L230" s="101" t="n">
        <v>0.298499906738342</v>
      </c>
      <c r="M230" s="101"/>
      <c r="N230" s="101"/>
      <c r="O230" s="102"/>
      <c r="P230" s="102"/>
      <c r="Q230" s="83"/>
      <c r="R230" s="83"/>
      <c r="S230" s="83"/>
      <c r="AD230" s="94"/>
    </row>
    <row r="231" customFormat="false" ht="13.8" hidden="false" customHeight="false" outlineLevel="0" collapsed="false">
      <c r="A231" s="0" t="s">
        <v>228</v>
      </c>
      <c r="B231" s="94" t="n">
        <v>12</v>
      </c>
      <c r="C231" s="98"/>
      <c r="D231" s="98"/>
      <c r="E231" s="98"/>
      <c r="F231" s="98"/>
      <c r="G231" s="99"/>
      <c r="H231" s="99"/>
      <c r="I231" s="99" t="n">
        <v>0.272914200446484</v>
      </c>
      <c r="J231" s="99" t="n">
        <v>0.281442769210436</v>
      </c>
      <c r="K231" s="86" t="n">
        <v>0.289971337974389</v>
      </c>
      <c r="L231" s="86" t="n">
        <v>0.298499906738342</v>
      </c>
      <c r="M231" s="86"/>
      <c r="N231" s="86"/>
      <c r="O231" s="83"/>
      <c r="P231" s="83"/>
      <c r="Q231" s="83"/>
      <c r="R231" s="83"/>
      <c r="S231" s="83"/>
      <c r="AD231" s="94"/>
    </row>
    <row r="232" customFormat="false" ht="13.8" hidden="false" customHeight="false" outlineLevel="0" collapsed="false">
      <c r="A232" s="0" t="s">
        <v>445</v>
      </c>
      <c r="B232" s="94" t="n">
        <v>12</v>
      </c>
      <c r="C232" s="98"/>
      <c r="D232" s="98"/>
      <c r="E232" s="98"/>
      <c r="F232" s="98"/>
      <c r="G232" s="99"/>
      <c r="H232" s="99"/>
      <c r="I232" s="99" t="n">
        <v>0.272914200446484</v>
      </c>
      <c r="J232" s="99" t="n">
        <v>0.281442769210436</v>
      </c>
      <c r="K232" s="86" t="n">
        <v>0.289971337974389</v>
      </c>
      <c r="L232" s="86" t="n">
        <v>0.298499906738342</v>
      </c>
      <c r="M232" s="86"/>
      <c r="N232" s="86"/>
      <c r="O232" s="83"/>
      <c r="P232" s="83"/>
      <c r="Q232" s="83"/>
      <c r="R232" s="83"/>
      <c r="S232" s="83"/>
      <c r="AD232" s="94"/>
    </row>
    <row r="233" customFormat="false" ht="13.8" hidden="false" customHeight="false" outlineLevel="0" collapsed="false">
      <c r="A233" s="0" t="s">
        <v>230</v>
      </c>
      <c r="B233" s="94" t="n">
        <v>12</v>
      </c>
      <c r="C233" s="98"/>
      <c r="D233" s="98"/>
      <c r="E233" s="98"/>
      <c r="F233" s="98"/>
      <c r="G233" s="99"/>
      <c r="H233" s="99"/>
      <c r="I233" s="99" t="n">
        <v>0.272914200446484</v>
      </c>
      <c r="J233" s="99" t="n">
        <v>0.281442769210436</v>
      </c>
      <c r="K233" s="86" t="n">
        <v>0.289971337974389</v>
      </c>
      <c r="L233" s="86" t="n">
        <v>0.298499906738342</v>
      </c>
      <c r="M233" s="86"/>
      <c r="N233" s="86"/>
      <c r="O233" s="83"/>
      <c r="P233" s="83"/>
      <c r="Q233" s="83"/>
      <c r="R233" s="83"/>
      <c r="S233" s="83"/>
      <c r="AD233" s="94"/>
    </row>
    <row r="234" customFormat="false" ht="13.8" hidden="false" customHeight="false" outlineLevel="0" collapsed="false">
      <c r="A234" s="0" t="s">
        <v>229</v>
      </c>
      <c r="B234" s="94" t="n">
        <v>12</v>
      </c>
      <c r="C234" s="98"/>
      <c r="D234" s="98"/>
      <c r="E234" s="98"/>
      <c r="F234" s="98"/>
      <c r="G234" s="99"/>
      <c r="H234" s="99"/>
      <c r="I234" s="99" t="n">
        <v>0.272914200446484</v>
      </c>
      <c r="J234" s="99" t="n">
        <v>0.281442769210436</v>
      </c>
      <c r="K234" s="101" t="n">
        <v>0.289971337974389</v>
      </c>
      <c r="L234" s="101" t="n">
        <v>0.298499906738342</v>
      </c>
      <c r="M234" s="101"/>
      <c r="N234" s="101"/>
      <c r="O234" s="102"/>
      <c r="P234" s="102"/>
      <c r="Q234" s="83"/>
      <c r="R234" s="83"/>
      <c r="S234" s="83"/>
      <c r="AD234" s="94"/>
    </row>
    <row r="235" customFormat="false" ht="13.8" hidden="false" customHeight="false" outlineLevel="0" collapsed="false">
      <c r="A235" s="0" t="s">
        <v>441</v>
      </c>
      <c r="B235" s="94" t="n">
        <v>19</v>
      </c>
      <c r="C235" s="98"/>
      <c r="D235" s="98"/>
      <c r="E235" s="98"/>
      <c r="F235" s="98"/>
      <c r="G235" s="99"/>
      <c r="H235" s="99"/>
      <c r="I235" s="99" t="n">
        <v>0.272914200446484</v>
      </c>
      <c r="J235" s="99" t="n">
        <v>0.281442769210436</v>
      </c>
      <c r="K235" s="101" t="n">
        <v>0.289971337974389</v>
      </c>
      <c r="L235" s="101" t="n">
        <v>0.298499906738342</v>
      </c>
      <c r="M235" s="101"/>
      <c r="N235" s="101"/>
      <c r="O235" s="102"/>
      <c r="P235" s="102"/>
      <c r="Q235" s="83"/>
      <c r="R235" s="83"/>
      <c r="S235" s="83"/>
      <c r="AD235" s="94"/>
    </row>
    <row r="236" customFormat="false" ht="13.8" hidden="false" customHeight="false" outlineLevel="0" collapsed="false">
      <c r="A236" s="0" t="s">
        <v>228</v>
      </c>
      <c r="B236" s="94" t="n">
        <v>19</v>
      </c>
      <c r="C236" s="98"/>
      <c r="D236" s="98"/>
      <c r="E236" s="98"/>
      <c r="F236" s="98"/>
      <c r="G236" s="99"/>
      <c r="H236" s="99"/>
      <c r="I236" s="99" t="n">
        <v>0.272914200446484</v>
      </c>
      <c r="J236" s="99" t="n">
        <v>0.281442769210436</v>
      </c>
      <c r="K236" s="101" t="n">
        <v>0.289971337974389</v>
      </c>
      <c r="L236" s="101" t="n">
        <v>0.298499906738342</v>
      </c>
      <c r="M236" s="101"/>
      <c r="N236" s="101"/>
      <c r="O236" s="102"/>
      <c r="P236" s="102"/>
      <c r="Q236" s="83"/>
      <c r="R236" s="83"/>
      <c r="S236" s="83"/>
      <c r="AD236" s="94"/>
    </row>
    <row r="237" customFormat="false" ht="13.8" hidden="false" customHeight="false" outlineLevel="0" collapsed="false">
      <c r="A237" s="0" t="s">
        <v>445</v>
      </c>
      <c r="B237" s="94" t="n">
        <v>19</v>
      </c>
      <c r="C237" s="98"/>
      <c r="D237" s="98"/>
      <c r="E237" s="98"/>
      <c r="F237" s="98"/>
      <c r="G237" s="99"/>
      <c r="H237" s="99"/>
      <c r="I237" s="99" t="n">
        <v>0.272914200446484</v>
      </c>
      <c r="J237" s="99" t="n">
        <v>0.281442769210436</v>
      </c>
      <c r="K237" s="101" t="n">
        <v>0.289971337974389</v>
      </c>
      <c r="L237" s="101" t="n">
        <v>0.298499906738342</v>
      </c>
      <c r="M237" s="101"/>
      <c r="N237" s="101"/>
      <c r="O237" s="102"/>
      <c r="P237" s="102"/>
      <c r="Q237" s="83"/>
      <c r="R237" s="83"/>
      <c r="S237" s="83"/>
      <c r="AD237" s="94"/>
    </row>
    <row r="238" customFormat="false" ht="13.8" hidden="false" customHeight="false" outlineLevel="0" collapsed="false">
      <c r="A238" s="0" t="s">
        <v>230</v>
      </c>
      <c r="B238" s="94" t="n">
        <v>19</v>
      </c>
      <c r="C238" s="98"/>
      <c r="D238" s="98"/>
      <c r="E238" s="98"/>
      <c r="F238" s="98"/>
      <c r="G238" s="99"/>
      <c r="H238" s="99"/>
      <c r="I238" s="99" t="n">
        <v>0.272914200446484</v>
      </c>
      <c r="J238" s="99" t="n">
        <v>0.281442769210436</v>
      </c>
      <c r="K238" s="101" t="n">
        <v>0.289971337974389</v>
      </c>
      <c r="L238" s="101" t="n">
        <v>0.298499906738342</v>
      </c>
      <c r="M238" s="101"/>
      <c r="N238" s="101"/>
      <c r="O238" s="102"/>
      <c r="P238" s="102"/>
      <c r="Q238" s="83"/>
      <c r="R238" s="83"/>
      <c r="S238" s="83"/>
      <c r="AD238" s="94"/>
    </row>
    <row r="239" customFormat="false" ht="13.8" hidden="false" customHeight="false" outlineLevel="0" collapsed="false">
      <c r="A239" s="0" t="s">
        <v>229</v>
      </c>
      <c r="B239" s="94" t="n">
        <v>19</v>
      </c>
      <c r="C239" s="98"/>
      <c r="D239" s="98"/>
      <c r="E239" s="98"/>
      <c r="F239" s="98"/>
      <c r="G239" s="99"/>
      <c r="H239" s="99"/>
      <c r="I239" s="99" t="n">
        <v>0.272914200446484</v>
      </c>
      <c r="J239" s="99" t="n">
        <v>0.281442769210436</v>
      </c>
      <c r="K239" s="101" t="n">
        <v>0.289971337974389</v>
      </c>
      <c r="L239" s="101" t="n">
        <v>0.298499906738342</v>
      </c>
      <c r="M239" s="101"/>
      <c r="N239" s="101"/>
      <c r="O239" s="102"/>
      <c r="P239" s="102"/>
      <c r="Q239" s="83"/>
      <c r="R239" s="83"/>
      <c r="S239" s="83"/>
      <c r="AD239" s="94"/>
    </row>
    <row r="240" customFormat="false" ht="13.8" hidden="false" customHeight="false" outlineLevel="0" collapsed="false">
      <c r="A240" s="0" t="s">
        <v>215</v>
      </c>
      <c r="B240" s="94" t="n">
        <v>13</v>
      </c>
      <c r="C240" s="98"/>
      <c r="D240" s="98"/>
      <c r="E240" s="98"/>
      <c r="F240" s="98"/>
      <c r="G240" s="99"/>
      <c r="H240" s="99"/>
      <c r="I240" s="99"/>
      <c r="J240" s="99"/>
      <c r="K240" s="101"/>
      <c r="L240" s="101"/>
      <c r="M240" s="101" t="n">
        <v>0.326576201897349</v>
      </c>
      <c r="N240" s="101" t="n">
        <v>0.335647763061165</v>
      </c>
      <c r="O240" s="102" t="n">
        <v>0.34471932422498</v>
      </c>
      <c r="P240" s="102" t="n">
        <v>0.353790885388795</v>
      </c>
      <c r="Q240" s="83" t="n">
        <v>0.384582142547116</v>
      </c>
      <c r="R240" s="83"/>
      <c r="S240" s="83"/>
      <c r="AD240" s="94"/>
    </row>
    <row r="241" customFormat="false" ht="13.8" hidden="false" customHeight="false" outlineLevel="0" collapsed="false">
      <c r="A241" s="0" t="s">
        <v>227</v>
      </c>
      <c r="B241" s="94" t="n">
        <v>13</v>
      </c>
      <c r="C241" s="98"/>
      <c r="D241" s="98"/>
      <c r="E241" s="98"/>
      <c r="F241" s="98"/>
      <c r="G241" s="99"/>
      <c r="H241" s="99"/>
      <c r="I241" s="99"/>
      <c r="J241" s="99"/>
      <c r="K241" s="101"/>
      <c r="L241" s="101"/>
      <c r="M241" s="101" t="n">
        <v>0.326576201897349</v>
      </c>
      <c r="N241" s="101" t="n">
        <v>0.335647763061165</v>
      </c>
      <c r="O241" s="102" t="n">
        <v>0.34471932422498</v>
      </c>
      <c r="P241" s="102" t="n">
        <v>0.353790885388795</v>
      </c>
      <c r="Q241" s="83" t="n">
        <v>0.384582142547116</v>
      </c>
      <c r="R241" s="83"/>
      <c r="S241" s="83"/>
      <c r="AD241" s="94"/>
    </row>
    <row r="242" customFormat="false" ht="13.8" hidden="false" customHeight="false" outlineLevel="0" collapsed="false">
      <c r="A242" s="0" t="s">
        <v>920</v>
      </c>
      <c r="B242" s="94" t="n">
        <v>13</v>
      </c>
      <c r="C242" s="108"/>
      <c r="D242" s="108"/>
      <c r="E242" s="108"/>
      <c r="F242" s="108"/>
      <c r="G242" s="85"/>
      <c r="H242" s="85"/>
      <c r="I242" s="85" t="n">
        <v>0.272914200446484</v>
      </c>
      <c r="J242" s="85" t="n">
        <v>0.281442769210436</v>
      </c>
      <c r="K242" s="86" t="n">
        <v>0.289971337974389</v>
      </c>
      <c r="L242" s="86" t="n">
        <v>0.298499906738342</v>
      </c>
      <c r="M242" s="86"/>
      <c r="N242" s="86"/>
      <c r="O242" s="83"/>
      <c r="P242" s="83"/>
      <c r="Q242" s="83"/>
      <c r="R242" s="83"/>
      <c r="S242" s="83"/>
      <c r="AD242" s="94"/>
    </row>
    <row r="243" customFormat="false" ht="13.8" hidden="false" customHeight="false" outlineLevel="0" collapsed="false">
      <c r="A243" s="0" t="s">
        <v>215</v>
      </c>
      <c r="B243" s="94" t="n">
        <v>20</v>
      </c>
      <c r="C243" s="108"/>
      <c r="D243" s="108"/>
      <c r="E243" s="108"/>
      <c r="F243" s="108"/>
      <c r="G243" s="109"/>
      <c r="H243" s="109"/>
      <c r="I243" s="109"/>
      <c r="J243" s="67"/>
      <c r="K243" s="110"/>
      <c r="L243" s="110"/>
      <c r="M243" s="110" t="n">
        <v>0.326576201897349</v>
      </c>
      <c r="N243" s="110" t="n">
        <v>0.335647763061165</v>
      </c>
      <c r="O243" s="111" t="n">
        <v>0.34471932422498</v>
      </c>
      <c r="P243" s="111" t="n">
        <v>0.353790885388795</v>
      </c>
      <c r="Q243" s="111" t="n">
        <v>0.384582142547116</v>
      </c>
      <c r="R243" s="111"/>
      <c r="S243" s="111"/>
      <c r="U243" s="38"/>
      <c r="AD243" s="94"/>
    </row>
    <row r="244" customFormat="false" ht="13.8" hidden="false" customHeight="false" outlineLevel="0" collapsed="false">
      <c r="A244" s="0" t="s">
        <v>227</v>
      </c>
      <c r="B244" s="94" t="n">
        <v>20</v>
      </c>
      <c r="C244" s="98"/>
      <c r="D244" s="98"/>
      <c r="E244" s="98"/>
      <c r="F244" s="98"/>
      <c r="G244" s="99"/>
      <c r="H244" s="99"/>
      <c r="I244" s="99"/>
      <c r="J244" s="85"/>
      <c r="K244" s="86"/>
      <c r="L244" s="86"/>
      <c r="M244" s="86" t="n">
        <v>0.326576201897349</v>
      </c>
      <c r="N244" s="86" t="n">
        <v>0.335647763061165</v>
      </c>
      <c r="O244" s="83" t="n">
        <v>0.34471932422498</v>
      </c>
      <c r="P244" s="83" t="n">
        <v>0.353790885388795</v>
      </c>
      <c r="Q244" s="83" t="n">
        <v>0.384582142547116</v>
      </c>
      <c r="R244" s="83"/>
      <c r="S244" s="83"/>
      <c r="AD244" s="94"/>
    </row>
    <row r="245" customFormat="false" ht="13.8" hidden="false" customHeight="false" outlineLevel="0" collapsed="false">
      <c r="A245" s="0" t="s">
        <v>920</v>
      </c>
      <c r="B245" s="94" t="n">
        <v>20</v>
      </c>
      <c r="C245" s="98"/>
      <c r="D245" s="98"/>
      <c r="E245" s="98"/>
      <c r="F245" s="98"/>
      <c r="G245" s="99"/>
      <c r="H245" s="99"/>
      <c r="I245" s="99" t="n">
        <v>0.272914200446484</v>
      </c>
      <c r="J245" s="99" t="n">
        <v>0.281442769210436</v>
      </c>
      <c r="K245" s="101" t="n">
        <v>0.289971337974389</v>
      </c>
      <c r="L245" s="101" t="n">
        <v>0.298499906738342</v>
      </c>
      <c r="M245" s="101"/>
      <c r="N245" s="101"/>
      <c r="O245" s="102"/>
      <c r="P245" s="102"/>
      <c r="Q245" s="102"/>
      <c r="R245" s="102"/>
      <c r="S245" s="102"/>
      <c r="AD245" s="94"/>
    </row>
    <row r="246" customFormat="false" ht="13.8" hidden="false" customHeight="false" outlineLevel="0" collapsed="false">
      <c r="A246" s="0" t="s">
        <v>232</v>
      </c>
      <c r="B246" s="94" t="n">
        <v>14</v>
      </c>
      <c r="C246" s="98"/>
      <c r="D246" s="98"/>
      <c r="E246" s="98"/>
      <c r="F246" s="98"/>
      <c r="G246" s="99"/>
      <c r="H246" s="99"/>
      <c r="I246" s="99" t="n">
        <v>0.122811390200918</v>
      </c>
      <c r="J246" s="99" t="n">
        <v>0.126649246144696</v>
      </c>
      <c r="K246" s="101" t="n">
        <v>0.130487102088475</v>
      </c>
      <c r="L246" s="101" t="n">
        <v>0.134324958032254</v>
      </c>
      <c r="M246" s="101" t="n">
        <v>0.146959290853807</v>
      </c>
      <c r="N246" s="101" t="n">
        <v>0.151041493377524</v>
      </c>
      <c r="O246" s="102" t="n">
        <v>0.155123695901241</v>
      </c>
      <c r="P246" s="102" t="n">
        <v>0.159205898424958</v>
      </c>
      <c r="Q246" s="102" t="n">
        <v>0.173061964146202</v>
      </c>
      <c r="R246" s="102" t="n">
        <v>0.177388513249857</v>
      </c>
      <c r="S246" s="102" t="n">
        <v>0.181715062353512</v>
      </c>
      <c r="T246" s="0" t="n">
        <v>0.186041611457167</v>
      </c>
      <c r="U246" s="0" t="n">
        <v>0.170929530934355</v>
      </c>
      <c r="V246" s="0" t="n">
        <v>0.174814293001045</v>
      </c>
      <c r="W246" s="0" t="n">
        <v>0.178699055067735</v>
      </c>
      <c r="X246" s="0" t="n">
        <v>0.182583817134424</v>
      </c>
      <c r="Y246" s="0" t="n">
        <v>0.186468579201114</v>
      </c>
      <c r="Z246" s="0" t="n">
        <v>0.190353341267804</v>
      </c>
      <c r="AA246" s="0" t="n">
        <v>0.194238103334494</v>
      </c>
      <c r="AB246" s="0" t="n">
        <v>0.198122865401184</v>
      </c>
      <c r="AC246" s="0" t="n">
        <v>0.202007627467874</v>
      </c>
      <c r="AD246" s="94"/>
    </row>
    <row r="247" customFormat="false" ht="13.8" hidden="false" customHeight="false" outlineLevel="0" collapsed="false">
      <c r="A247" s="0" t="s">
        <v>928</v>
      </c>
      <c r="B247" s="94" t="n">
        <v>14</v>
      </c>
      <c r="C247" s="98"/>
      <c r="D247" s="98"/>
      <c r="E247" s="98"/>
      <c r="F247" s="98"/>
      <c r="G247" s="99"/>
      <c r="H247" s="99"/>
      <c r="I247" s="99" t="n">
        <v>0.122811390200918</v>
      </c>
      <c r="J247" s="99" t="n">
        <v>0.126649246144696</v>
      </c>
      <c r="K247" s="101" t="n">
        <v>0.130487102088475</v>
      </c>
      <c r="L247" s="101" t="n">
        <v>0.134324958032254</v>
      </c>
      <c r="M247" s="101" t="n">
        <v>0.146959290853807</v>
      </c>
      <c r="N247" s="101" t="n">
        <v>0.151041493377524</v>
      </c>
      <c r="O247" s="102" t="n">
        <v>0.155123695901241</v>
      </c>
      <c r="P247" s="102" t="n">
        <v>0.159205898424958</v>
      </c>
      <c r="Q247" s="102" t="n">
        <v>0.173061964146202</v>
      </c>
      <c r="R247" s="102" t="n">
        <v>0.177388513249857</v>
      </c>
      <c r="S247" s="102" t="n">
        <v>0.181715062353512</v>
      </c>
      <c r="T247" s="0" t="n">
        <v>0.186041611457167</v>
      </c>
      <c r="U247" s="0" t="n">
        <v>0.170929530934355</v>
      </c>
      <c r="V247" s="0" t="n">
        <v>0.174814293001045</v>
      </c>
      <c r="W247" s="0" t="n">
        <v>0.178699055067735</v>
      </c>
      <c r="X247" s="0" t="n">
        <v>0.182583817134424</v>
      </c>
      <c r="Y247" s="0" t="n">
        <v>0.186468579201114</v>
      </c>
      <c r="Z247" s="0" t="n">
        <v>0.190353341267804</v>
      </c>
      <c r="AA247" s="0" t="n">
        <v>0.194238103334494</v>
      </c>
      <c r="AB247" s="0" t="n">
        <v>0.198122865401184</v>
      </c>
      <c r="AC247" s="0" t="n">
        <v>0.202007627467874</v>
      </c>
      <c r="AD247" s="94"/>
    </row>
    <row r="248" customFormat="false" ht="13.8" hidden="false" customHeight="false" outlineLevel="0" collapsed="false">
      <c r="A248" s="0" t="s">
        <v>232</v>
      </c>
      <c r="B248" s="94" t="n">
        <v>21</v>
      </c>
      <c r="C248" s="98"/>
      <c r="D248" s="98"/>
      <c r="E248" s="98"/>
      <c r="F248" s="98"/>
      <c r="G248" s="99"/>
      <c r="H248" s="99"/>
      <c r="I248" s="99" t="n">
        <v>0.122811390200918</v>
      </c>
      <c r="J248" s="99" t="n">
        <v>0.126649246144696</v>
      </c>
      <c r="K248" s="101" t="n">
        <v>0.130487102088475</v>
      </c>
      <c r="L248" s="101" t="n">
        <v>0.134324958032254</v>
      </c>
      <c r="M248" s="101" t="n">
        <v>0.146959290853807</v>
      </c>
      <c r="N248" s="101" t="n">
        <v>0.151041493377524</v>
      </c>
      <c r="O248" s="102" t="n">
        <v>0.155123695901241</v>
      </c>
      <c r="P248" s="102" t="n">
        <v>0.159205898424958</v>
      </c>
      <c r="Q248" s="102" t="n">
        <v>0.173061964146202</v>
      </c>
      <c r="R248" s="102" t="n">
        <v>0.177388513249857</v>
      </c>
      <c r="S248" s="102" t="n">
        <v>0.181715062353512</v>
      </c>
      <c r="T248" s="0" t="n">
        <v>0.186041611457167</v>
      </c>
      <c r="U248" s="0" t="n">
        <v>0.170929530934355</v>
      </c>
      <c r="V248" s="0" t="n">
        <v>0.174814293001045</v>
      </c>
      <c r="W248" s="0" t="n">
        <v>0.178699055067735</v>
      </c>
      <c r="X248" s="0" t="n">
        <v>0.182583817134424</v>
      </c>
      <c r="Y248" s="0" t="n">
        <v>0.186468579201114</v>
      </c>
      <c r="Z248" s="0" t="n">
        <v>0.190353341267804</v>
      </c>
      <c r="AA248" s="0" t="n">
        <v>0.194238103334494</v>
      </c>
      <c r="AB248" s="0" t="n">
        <v>0.198122865401184</v>
      </c>
      <c r="AC248" s="0" t="n">
        <v>0.202007627467874</v>
      </c>
      <c r="AD248" s="94"/>
    </row>
    <row r="249" customFormat="false" ht="13.8" hidden="false" customHeight="false" outlineLevel="0" collapsed="false">
      <c r="A249" s="0" t="s">
        <v>928</v>
      </c>
      <c r="B249" s="94" t="n">
        <v>21</v>
      </c>
      <c r="C249" s="98"/>
      <c r="D249" s="98"/>
      <c r="E249" s="98"/>
      <c r="F249" s="98"/>
      <c r="G249" s="99"/>
      <c r="H249" s="99"/>
      <c r="I249" s="99" t="n">
        <v>0.122811390200918</v>
      </c>
      <c r="J249" s="99" t="n">
        <v>0.126649246144696</v>
      </c>
      <c r="K249" s="101" t="n">
        <v>0.130487102088475</v>
      </c>
      <c r="L249" s="101" t="n">
        <v>0.134324958032254</v>
      </c>
      <c r="M249" s="101" t="n">
        <v>0.146959290853807</v>
      </c>
      <c r="N249" s="101" t="n">
        <v>0.151041493377524</v>
      </c>
      <c r="O249" s="102" t="n">
        <v>0.155123695901241</v>
      </c>
      <c r="P249" s="102" t="n">
        <v>0.159205898424958</v>
      </c>
      <c r="Q249" s="102" t="n">
        <v>0.173061964146202</v>
      </c>
      <c r="R249" s="102" t="n">
        <v>0.177388513249857</v>
      </c>
      <c r="S249" s="102" t="n">
        <v>0.181715062353512</v>
      </c>
      <c r="T249" s="0" t="n">
        <v>0.186041611457167</v>
      </c>
      <c r="U249" s="0" t="n">
        <v>0.170929530934355</v>
      </c>
      <c r="V249" s="0" t="n">
        <v>0.174814293001045</v>
      </c>
      <c r="W249" s="0" t="n">
        <v>0.178699055067735</v>
      </c>
      <c r="X249" s="0" t="n">
        <v>0.182583817134424</v>
      </c>
      <c r="Y249" s="0" t="n">
        <v>0.186468579201114</v>
      </c>
      <c r="Z249" s="0" t="n">
        <v>0.190353341267804</v>
      </c>
      <c r="AA249" s="0" t="n">
        <v>0.194238103334494</v>
      </c>
      <c r="AB249" s="0" t="n">
        <v>0.198122865401184</v>
      </c>
      <c r="AC249" s="0" t="n">
        <v>0.202007627467874</v>
      </c>
      <c r="AD249" s="94"/>
    </row>
    <row r="250" customFormat="false" ht="13.8" hidden="false" customHeight="false" outlineLevel="0" collapsed="false">
      <c r="A250" s="0" t="s">
        <v>933</v>
      </c>
      <c r="B250" s="94" t="n">
        <v>15</v>
      </c>
      <c r="C250" s="98"/>
      <c r="D250" s="98"/>
      <c r="E250" s="98"/>
      <c r="F250" s="98"/>
      <c r="G250" s="99"/>
      <c r="H250" s="99"/>
      <c r="I250" s="99" t="n">
        <v>0.136457100223242</v>
      </c>
      <c r="J250" s="99" t="n">
        <v>0.140721384605218</v>
      </c>
      <c r="K250" s="101" t="n">
        <v>0.144985668987195</v>
      </c>
      <c r="L250" s="101" t="n">
        <v>0.149249953369171</v>
      </c>
      <c r="M250" s="101" t="n">
        <v>0.163288100948675</v>
      </c>
      <c r="N250" s="101" t="n">
        <v>0.167823881530582</v>
      </c>
      <c r="O250" s="102" t="n">
        <v>0.17235966211249</v>
      </c>
      <c r="P250" s="102" t="n">
        <v>0.176895442694398</v>
      </c>
      <c r="Q250" s="102" t="n">
        <v>0.192291071273558</v>
      </c>
      <c r="R250" s="102" t="n">
        <v>0.197098348055397</v>
      </c>
      <c r="S250" s="102" t="n">
        <v>0.201905624837236</v>
      </c>
      <c r="T250" s="0" t="n">
        <v>0.206712901619075</v>
      </c>
      <c r="U250" s="0" t="n">
        <v>0.189921701038172</v>
      </c>
      <c r="V250" s="0" t="n">
        <v>0.194238103334494</v>
      </c>
      <c r="W250" s="0" t="n">
        <v>0.198554505630816</v>
      </c>
      <c r="X250" s="0" t="n">
        <v>0.202870907927138</v>
      </c>
      <c r="Y250" s="0" t="n">
        <v>0.20718731022346</v>
      </c>
      <c r="Z250" s="0" t="n">
        <v>0.211503712519782</v>
      </c>
      <c r="AA250" s="0" t="n">
        <v>0.215820114816105</v>
      </c>
      <c r="AB250" s="0" t="n">
        <v>0.220136517112427</v>
      </c>
      <c r="AC250" s="0" t="n">
        <v>0.224452919408749</v>
      </c>
      <c r="AD250" s="94"/>
    </row>
    <row r="251" customFormat="false" ht="13.8" hidden="false" customHeight="false" outlineLevel="0" collapsed="false">
      <c r="A251" s="0" t="s">
        <v>923</v>
      </c>
      <c r="B251" s="94" t="n">
        <v>15</v>
      </c>
      <c r="C251" s="98"/>
      <c r="D251" s="98"/>
      <c r="E251" s="98"/>
      <c r="F251" s="98"/>
      <c r="G251" s="99"/>
      <c r="H251" s="99"/>
      <c r="I251" s="99" t="n">
        <v>0.136457100223242</v>
      </c>
      <c r="J251" s="99" t="n">
        <v>0.140721384605218</v>
      </c>
      <c r="K251" s="101" t="n">
        <v>0.144985668987195</v>
      </c>
      <c r="L251" s="101" t="n">
        <v>0.149249953369171</v>
      </c>
      <c r="M251" s="101" t="n">
        <v>0.163288100948675</v>
      </c>
      <c r="N251" s="101" t="n">
        <v>0.167823881530582</v>
      </c>
      <c r="O251" s="102" t="n">
        <v>0.17235966211249</v>
      </c>
      <c r="P251" s="102" t="n">
        <v>0.176895442694398</v>
      </c>
      <c r="Q251" s="102" t="n">
        <v>0.192291071273558</v>
      </c>
      <c r="R251" s="102" t="n">
        <v>0.197098348055397</v>
      </c>
      <c r="S251" s="102" t="n">
        <v>0.201905624837236</v>
      </c>
      <c r="T251" s="0" t="n">
        <v>0.206712901619075</v>
      </c>
      <c r="U251" s="0" t="n">
        <v>0.189921701038172</v>
      </c>
      <c r="V251" s="0" t="n">
        <v>0.194238103334494</v>
      </c>
      <c r="W251" s="0" t="n">
        <v>0.198554505630816</v>
      </c>
      <c r="X251" s="0" t="n">
        <v>0.202870907927138</v>
      </c>
      <c r="Y251" s="0" t="n">
        <v>0.20718731022346</v>
      </c>
      <c r="Z251" s="0" t="n">
        <v>0.211503712519782</v>
      </c>
      <c r="AA251" s="0" t="n">
        <v>0.215820114816105</v>
      </c>
      <c r="AB251" s="0" t="n">
        <v>0.220136517112427</v>
      </c>
      <c r="AC251" s="0" t="n">
        <v>0.224452919408749</v>
      </c>
      <c r="AD251" s="94"/>
    </row>
    <row r="252" customFormat="false" ht="13.8" hidden="false" customHeight="false" outlineLevel="0" collapsed="false">
      <c r="A252" s="0" t="s">
        <v>933</v>
      </c>
      <c r="B252" s="94" t="n">
        <v>22</v>
      </c>
      <c r="C252" s="98"/>
      <c r="D252" s="98"/>
      <c r="E252" s="98"/>
      <c r="F252" s="98"/>
      <c r="G252" s="99"/>
      <c r="H252" s="99"/>
      <c r="I252" s="99" t="n">
        <v>0.136457100223242</v>
      </c>
      <c r="J252" s="99" t="n">
        <v>0.140721384605218</v>
      </c>
      <c r="K252" s="101" t="n">
        <v>0.144985668987195</v>
      </c>
      <c r="L252" s="101" t="n">
        <v>0.149249953369171</v>
      </c>
      <c r="M252" s="101" t="n">
        <v>0.163288100948675</v>
      </c>
      <c r="N252" s="101" t="n">
        <v>0.167823881530582</v>
      </c>
      <c r="O252" s="102" t="n">
        <v>0.17235966211249</v>
      </c>
      <c r="P252" s="102" t="n">
        <v>0.176895442694398</v>
      </c>
      <c r="Q252" s="102" t="n">
        <v>0.192291071273558</v>
      </c>
      <c r="R252" s="102" t="n">
        <v>0.197098348055397</v>
      </c>
      <c r="S252" s="102" t="n">
        <v>0.201905624837236</v>
      </c>
      <c r="T252" s="0" t="n">
        <v>0.206712901619075</v>
      </c>
      <c r="U252" s="0" t="n">
        <v>0.189921701038172</v>
      </c>
      <c r="V252" s="0" t="n">
        <v>0.194238103334494</v>
      </c>
      <c r="W252" s="0" t="n">
        <v>0.198554505630816</v>
      </c>
      <c r="X252" s="0" t="n">
        <v>0.202870907927138</v>
      </c>
      <c r="Y252" s="0" t="n">
        <v>0.20718731022346</v>
      </c>
      <c r="Z252" s="0" t="n">
        <v>0.211503712519782</v>
      </c>
      <c r="AA252" s="0" t="n">
        <v>0.215820114816105</v>
      </c>
      <c r="AB252" s="0" t="n">
        <v>0.220136517112427</v>
      </c>
      <c r="AC252" s="0" t="n">
        <v>0.224452919408749</v>
      </c>
      <c r="AD252" s="94"/>
    </row>
    <row r="253" customFormat="false" ht="13.8" hidden="false" customHeight="false" outlineLevel="0" collapsed="false">
      <c r="A253" s="0" t="s">
        <v>923</v>
      </c>
      <c r="B253" s="94" t="n">
        <v>22</v>
      </c>
      <c r="C253" s="98"/>
      <c r="D253" s="98"/>
      <c r="E253" s="98"/>
      <c r="F253" s="98"/>
      <c r="G253" s="99"/>
      <c r="H253" s="99"/>
      <c r="I253" s="99" t="n">
        <v>0.136457100223242</v>
      </c>
      <c r="J253" s="99" t="n">
        <v>0.140721384605218</v>
      </c>
      <c r="K253" s="101" t="n">
        <v>0.144985668987195</v>
      </c>
      <c r="L253" s="101" t="n">
        <v>0.149249953369171</v>
      </c>
      <c r="M253" s="101" t="n">
        <v>0.163288100948675</v>
      </c>
      <c r="N253" s="101" t="n">
        <v>0.167823881530582</v>
      </c>
      <c r="O253" s="102" t="n">
        <v>0.17235966211249</v>
      </c>
      <c r="P253" s="102" t="n">
        <v>0.176895442694398</v>
      </c>
      <c r="Q253" s="102" t="n">
        <v>0.192291071273558</v>
      </c>
      <c r="R253" s="102" t="n">
        <v>0.197098348055397</v>
      </c>
      <c r="S253" s="102" t="n">
        <v>0.201905624837236</v>
      </c>
      <c r="T253" s="0" t="n">
        <v>0.206712901619075</v>
      </c>
      <c r="U253" s="0" t="n">
        <v>0.189921701038172</v>
      </c>
      <c r="V253" s="0" t="n">
        <v>0.194238103334494</v>
      </c>
      <c r="W253" s="0" t="n">
        <v>0.198554505630816</v>
      </c>
      <c r="X253" s="0" t="n">
        <v>0.202870907927138</v>
      </c>
      <c r="Y253" s="0" t="n">
        <v>0.20718731022346</v>
      </c>
      <c r="Z253" s="0" t="n">
        <v>0.211503712519782</v>
      </c>
      <c r="AA253" s="0" t="n">
        <v>0.215820114816105</v>
      </c>
      <c r="AB253" s="0" t="n">
        <v>0.220136517112427</v>
      </c>
      <c r="AC253" s="0" t="n">
        <v>0.224452919408749</v>
      </c>
      <c r="AD253" s="94"/>
    </row>
    <row r="254" customFormat="false" ht="13.8" hidden="false" customHeight="false" outlineLevel="0" collapsed="false">
      <c r="A254" s="0" t="s">
        <v>1332</v>
      </c>
      <c r="B254" s="94" t="n">
        <v>6</v>
      </c>
      <c r="C254" s="98"/>
      <c r="D254" s="98"/>
      <c r="E254" s="98"/>
      <c r="F254" s="98"/>
      <c r="G254" s="99"/>
      <c r="H254" s="99"/>
      <c r="I254" s="99"/>
      <c r="J254" s="99"/>
      <c r="K254" s="101"/>
      <c r="L254" s="101"/>
      <c r="M254" s="101"/>
      <c r="N254" s="101"/>
      <c r="O254" s="102"/>
      <c r="P254" s="102"/>
      <c r="Q254" s="102"/>
      <c r="R254" s="102"/>
      <c r="S254" s="102"/>
      <c r="U254" s="0" t="n">
        <v>0.168727702187407</v>
      </c>
      <c r="V254" s="0" t="n">
        <v>0.172562422691667</v>
      </c>
      <c r="W254" s="0" t="n">
        <v>0.176397143195926</v>
      </c>
      <c r="X254" s="0" t="n">
        <v>0.180231863700185</v>
      </c>
      <c r="Y254" s="0" t="n">
        <v>0.184066584204444</v>
      </c>
      <c r="Z254" s="0" t="n">
        <v>0.187901304708704</v>
      </c>
      <c r="AA254" s="0" t="n">
        <v>0.191736025212963</v>
      </c>
      <c r="AB254" s="0" t="n">
        <v>0.195570745717222</v>
      </c>
      <c r="AC254" s="0" t="n">
        <v>0.199405466221481</v>
      </c>
      <c r="AD254" s="94"/>
    </row>
    <row r="255" customFormat="false" ht="13.8" hidden="false" customHeight="false" outlineLevel="0" collapsed="false">
      <c r="A255" s="0" t="s">
        <v>1316</v>
      </c>
      <c r="B255" s="94" t="n">
        <v>6</v>
      </c>
      <c r="C255" s="98"/>
      <c r="D255" s="98"/>
      <c r="E255" s="98"/>
      <c r="F255" s="98"/>
      <c r="G255" s="99"/>
      <c r="H255" s="99"/>
      <c r="I255" s="99" t="n">
        <v>0.128025144619629</v>
      </c>
      <c r="J255" s="99" t="n">
        <v>0.132025930388993</v>
      </c>
      <c r="K255" s="101" t="n">
        <v>0.136026716158356</v>
      </c>
      <c r="L255" s="101" t="n">
        <v>0.14002750192772</v>
      </c>
      <c r="M255" s="101" t="n">
        <v>0.14035470155211</v>
      </c>
      <c r="N255" s="101" t="n">
        <v>0.144253443261891</v>
      </c>
      <c r="O255" s="102" t="n">
        <v>0.148152184971672</v>
      </c>
      <c r="P255" s="102" t="n">
        <v>0.152050926681453</v>
      </c>
      <c r="Q255" s="102" t="n">
        <v>0.151867906007931</v>
      </c>
      <c r="R255" s="102" t="n">
        <v>0.155664603658129</v>
      </c>
      <c r="S255" s="102" t="n">
        <v>0.159461301308327</v>
      </c>
      <c r="T255" s="0" t="n">
        <v>0.163257998958525</v>
      </c>
      <c r="U255" s="0" t="n">
        <v>0.168727702187407</v>
      </c>
      <c r="V255" s="0" t="n">
        <v>0.172562422691667</v>
      </c>
      <c r="W255" s="0" t="n">
        <v>0.176397143195926</v>
      </c>
      <c r="X255" s="0" t="n">
        <v>0.180231863700185</v>
      </c>
      <c r="AD255" s="94"/>
    </row>
    <row r="256" customFormat="false" ht="13.8" hidden="false" customHeight="false" outlineLevel="0" collapsed="false">
      <c r="A256" s="0" t="s">
        <v>197</v>
      </c>
      <c r="B256" s="94" t="n">
        <v>6</v>
      </c>
      <c r="C256" s="98"/>
      <c r="D256" s="98"/>
      <c r="E256" s="98"/>
      <c r="F256" s="98"/>
      <c r="G256" s="99"/>
      <c r="H256" s="99"/>
      <c r="I256" s="99"/>
      <c r="J256" s="99"/>
      <c r="K256" s="101"/>
      <c r="L256" s="101"/>
      <c r="M256" s="101"/>
      <c r="N256" s="101" t="n">
        <v>0.144253443261891</v>
      </c>
      <c r="O256" s="102" t="n">
        <v>0.148152184971672</v>
      </c>
      <c r="P256" s="102" t="n">
        <v>0.152050926681453</v>
      </c>
      <c r="Q256" s="102" t="n">
        <v>0.151867906007931</v>
      </c>
      <c r="R256" s="102" t="n">
        <v>0.155664603658129</v>
      </c>
      <c r="S256" s="102" t="n">
        <v>0.159461301308327</v>
      </c>
      <c r="T256" s="0" t="n">
        <v>0.163257998958525</v>
      </c>
      <c r="U256" s="0" t="n">
        <v>0.168727702187407</v>
      </c>
      <c r="V256" s="0" t="n">
        <v>0.172562422691667</v>
      </c>
      <c r="W256" s="0" t="n">
        <v>0.176397143195926</v>
      </c>
      <c r="X256" s="0" t="n">
        <v>0.180231863700185</v>
      </c>
      <c r="AD256" s="94"/>
    </row>
    <row r="257" customFormat="false" ht="13.8" hidden="false" customHeight="false" outlineLevel="0" collapsed="false">
      <c r="A257" s="0" t="s">
        <v>327</v>
      </c>
      <c r="B257" s="94" t="n">
        <v>6</v>
      </c>
      <c r="C257" s="98"/>
      <c r="D257" s="98"/>
      <c r="E257" s="98"/>
      <c r="F257" s="98"/>
      <c r="G257" s="99"/>
      <c r="H257" s="99"/>
      <c r="I257" s="99"/>
      <c r="J257" s="99"/>
      <c r="K257" s="101"/>
      <c r="L257" s="101"/>
      <c r="M257" s="101"/>
      <c r="N257" s="101" t="n">
        <v>0.144253443261891</v>
      </c>
      <c r="O257" s="102" t="n">
        <v>0.148152184971672</v>
      </c>
      <c r="P257" s="102" t="n">
        <v>0.152050926681453</v>
      </c>
      <c r="Q257" s="102" t="n">
        <v>0.151867906007931</v>
      </c>
      <c r="R257" s="102" t="n">
        <v>0.155664603658129</v>
      </c>
      <c r="S257" s="102" t="n">
        <v>0.159461301308327</v>
      </c>
      <c r="T257" s="0" t="n">
        <v>0.163257998958525</v>
      </c>
      <c r="U257" s="0" t="n">
        <v>0.168727702187407</v>
      </c>
      <c r="V257" s="0" t="n">
        <v>0.172562422691667</v>
      </c>
      <c r="W257" s="0" t="n">
        <v>0.176397143195926</v>
      </c>
      <c r="X257" s="0" t="n">
        <v>0.180231863700185</v>
      </c>
      <c r="AD257" s="94"/>
    </row>
    <row r="258" customFormat="false" ht="13.8" hidden="false" customHeight="false" outlineLevel="0" collapsed="false">
      <c r="A258" s="0" t="s">
        <v>198</v>
      </c>
      <c r="B258" s="94" t="n">
        <v>6</v>
      </c>
      <c r="C258" s="98"/>
      <c r="D258" s="98"/>
      <c r="E258" s="98"/>
      <c r="F258" s="98"/>
      <c r="G258" s="99"/>
      <c r="H258" s="99"/>
      <c r="I258" s="99"/>
      <c r="J258" s="99"/>
      <c r="K258" s="101"/>
      <c r="L258" s="101"/>
      <c r="M258" s="101"/>
      <c r="N258" s="101"/>
      <c r="O258" s="102"/>
      <c r="P258" s="102"/>
      <c r="Q258" s="102"/>
      <c r="R258" s="102" t="n">
        <v>0.155664603658129</v>
      </c>
      <c r="S258" s="102" t="n">
        <v>0.159461301308327</v>
      </c>
      <c r="T258" s="0" t="n">
        <v>0.163257998958525</v>
      </c>
      <c r="U258" s="0" t="n">
        <v>0.168727702187407</v>
      </c>
      <c r="V258" s="0" t="n">
        <v>0.172562422691667</v>
      </c>
      <c r="W258" s="0" t="n">
        <v>0.176397143195926</v>
      </c>
      <c r="X258" s="0" t="n">
        <v>0.180231863700185</v>
      </c>
      <c r="Y258" s="0" t="n">
        <v>0.184066584204444</v>
      </c>
      <c r="Z258" s="0" t="n">
        <v>0.187901304708704</v>
      </c>
      <c r="AA258" s="0" t="n">
        <v>0.191736025212963</v>
      </c>
      <c r="AB258" s="0" t="n">
        <v>0.195570745717222</v>
      </c>
      <c r="AC258" s="0" t="n">
        <v>0.199405466221481</v>
      </c>
      <c r="AD258" s="94"/>
    </row>
    <row r="259" customFormat="false" ht="13.8" hidden="false" customHeight="false" outlineLevel="0" collapsed="false">
      <c r="A259" s="0" t="s">
        <v>328</v>
      </c>
      <c r="B259" s="94" t="n">
        <v>6</v>
      </c>
      <c r="C259" s="98"/>
      <c r="D259" s="98"/>
      <c r="E259" s="98"/>
      <c r="F259" s="98"/>
      <c r="G259" s="99"/>
      <c r="H259" s="99"/>
      <c r="I259" s="99"/>
      <c r="J259" s="99"/>
      <c r="K259" s="101"/>
      <c r="L259" s="101"/>
      <c r="M259" s="101"/>
      <c r="N259" s="101"/>
      <c r="O259" s="102"/>
      <c r="P259" s="102"/>
      <c r="Q259" s="83"/>
      <c r="R259" s="83" t="n">
        <v>0.155664603658129</v>
      </c>
      <c r="S259" s="83" t="n">
        <v>0.159461301308327</v>
      </c>
      <c r="T259" s="0" t="n">
        <v>0.163257998958525</v>
      </c>
      <c r="U259" s="93" t="n">
        <v>0.168727702187407</v>
      </c>
      <c r="V259" s="0" t="n">
        <v>0.172562422691667</v>
      </c>
      <c r="W259" s="0" t="n">
        <v>0.176397143195926</v>
      </c>
      <c r="X259" s="0" t="n">
        <v>0.180231863700185</v>
      </c>
      <c r="Y259" s="0" t="n">
        <v>0.184066584204444</v>
      </c>
      <c r="Z259" s="0" t="n">
        <v>0.187901304708704</v>
      </c>
      <c r="AA259" s="0" t="n">
        <v>0.191736025212963</v>
      </c>
      <c r="AB259" s="0" t="n">
        <v>0.195570745717222</v>
      </c>
      <c r="AC259" s="0" t="n">
        <v>0.199405466221481</v>
      </c>
      <c r="AD259" s="94"/>
    </row>
    <row r="260" customFormat="false" ht="13.8" hidden="false" customHeight="false" outlineLevel="0" collapsed="false">
      <c r="A260" s="0" t="s">
        <v>794</v>
      </c>
      <c r="B260" s="94" t="n">
        <v>6</v>
      </c>
      <c r="C260" s="98"/>
      <c r="D260" s="98"/>
      <c r="E260" s="98"/>
      <c r="F260" s="98"/>
      <c r="G260" s="99"/>
      <c r="H260" s="99"/>
      <c r="I260" s="99" t="n">
        <v>0.128025144619629</v>
      </c>
      <c r="J260" s="99" t="n">
        <v>0.132025930388993</v>
      </c>
      <c r="K260" s="101" t="n">
        <v>0.136026716158356</v>
      </c>
      <c r="L260" s="101" t="n">
        <v>0.14002750192772</v>
      </c>
      <c r="M260" s="101"/>
      <c r="N260" s="101"/>
      <c r="O260" s="102"/>
      <c r="P260" s="102"/>
      <c r="Q260" s="83"/>
      <c r="R260" s="83"/>
      <c r="S260" s="83"/>
      <c r="U260" s="93"/>
      <c r="AD260" s="94"/>
    </row>
    <row r="261" customFormat="false" ht="13.8" hidden="false" customHeight="false" outlineLevel="0" collapsed="false">
      <c r="A261" s="0" t="s">
        <v>345</v>
      </c>
      <c r="B261" s="94" t="n">
        <v>6</v>
      </c>
      <c r="C261" s="98"/>
      <c r="D261" s="98"/>
      <c r="E261" s="98"/>
      <c r="F261" s="98"/>
      <c r="G261" s="99"/>
      <c r="H261" s="99"/>
      <c r="I261" s="99" t="n">
        <v>0.128025144619629</v>
      </c>
      <c r="J261" s="99" t="n">
        <v>0.132025930388993</v>
      </c>
      <c r="K261" s="101" t="n">
        <v>0.136026716158356</v>
      </c>
      <c r="L261" s="101" t="n">
        <v>0.14002750192772</v>
      </c>
      <c r="M261" s="101"/>
      <c r="N261" s="101"/>
      <c r="O261" s="102"/>
      <c r="P261" s="102"/>
      <c r="Q261" s="83"/>
      <c r="R261" s="83"/>
      <c r="S261" s="83"/>
      <c r="U261" s="93"/>
      <c r="AD261" s="94"/>
    </row>
    <row r="262" customFormat="false" ht="13.8" hidden="false" customHeight="false" outlineLevel="0" collapsed="false">
      <c r="A262" s="0" t="s">
        <v>1335</v>
      </c>
      <c r="B262" s="94" t="n">
        <v>6</v>
      </c>
      <c r="C262" s="98"/>
      <c r="D262" s="98"/>
      <c r="E262" s="98"/>
      <c r="F262" s="98"/>
      <c r="G262" s="99"/>
      <c r="H262" s="99"/>
      <c r="I262" s="99" t="n">
        <v>0.0640125723098147</v>
      </c>
      <c r="J262" s="99" t="n">
        <v>0.0660129651944965</v>
      </c>
      <c r="K262" s="101" t="n">
        <v>0.0680133580791782</v>
      </c>
      <c r="L262" s="101" t="n">
        <v>0.0700137509638599</v>
      </c>
      <c r="M262" s="101" t="n">
        <v>0.0701773507760552</v>
      </c>
      <c r="N262" s="101" t="n">
        <v>0.0721267216309456</v>
      </c>
      <c r="O262" s="102" t="n">
        <v>0.074076092485836</v>
      </c>
      <c r="P262" s="102" t="n">
        <v>0.0760254633407264</v>
      </c>
      <c r="Q262" s="83" t="n">
        <v>0.0759339530039653</v>
      </c>
      <c r="R262" s="83" t="n">
        <v>0.0778323018290644</v>
      </c>
      <c r="S262" s="83" t="n">
        <v>0.0797306506541635</v>
      </c>
      <c r="T262" s="0" t="n">
        <v>0.0816289994792626</v>
      </c>
      <c r="U262" s="93" t="n">
        <v>0.0843638510937037</v>
      </c>
      <c r="V262" s="0" t="n">
        <v>0.0862812113458334</v>
      </c>
      <c r="W262" s="0" t="n">
        <v>0.088198571597963</v>
      </c>
      <c r="X262" s="0" t="n">
        <v>0.0901159318500926</v>
      </c>
      <c r="Y262" s="0" t="n">
        <v>0.0920332921022222</v>
      </c>
      <c r="Z262" s="0" t="n">
        <v>0.0939506523543519</v>
      </c>
      <c r="AA262" s="0" t="n">
        <v>0.0958680126064815</v>
      </c>
      <c r="AB262" s="0" t="n">
        <v>0.0977853728586111</v>
      </c>
      <c r="AC262" s="0" t="n">
        <v>0.0997027331107407</v>
      </c>
      <c r="AD262" s="94"/>
    </row>
    <row r="263" customFormat="false" ht="13.8" hidden="false" customHeight="false" outlineLevel="0" collapsed="false">
      <c r="A263" s="0" t="s">
        <v>796</v>
      </c>
      <c r="B263" s="94" t="n">
        <v>6</v>
      </c>
      <c r="C263" s="98"/>
      <c r="D263" s="98"/>
      <c r="E263" s="98"/>
      <c r="F263" s="98"/>
      <c r="G263" s="99"/>
      <c r="H263" s="99"/>
      <c r="I263" s="99" t="n">
        <v>0.0640125723098147</v>
      </c>
      <c r="J263" s="99" t="n">
        <v>0.0660129651944965</v>
      </c>
      <c r="K263" s="101" t="n">
        <v>0.0680133580791782</v>
      </c>
      <c r="L263" s="101" t="n">
        <v>0.0700137509638599</v>
      </c>
      <c r="M263" s="101" t="n">
        <v>0.0701773507760552</v>
      </c>
      <c r="N263" s="101" t="n">
        <v>0.0721267216309456</v>
      </c>
      <c r="O263" s="102" t="n">
        <v>0.074076092485836</v>
      </c>
      <c r="P263" s="102" t="n">
        <v>0.0760254633407264</v>
      </c>
      <c r="Q263" s="83" t="n">
        <v>0.0759339530039653</v>
      </c>
      <c r="R263" s="83" t="n">
        <v>0.0778323018290644</v>
      </c>
      <c r="S263" s="83" t="n">
        <v>0.0797306506541635</v>
      </c>
      <c r="T263" s="0" t="n">
        <v>0.0816289994792626</v>
      </c>
      <c r="U263" s="93" t="n">
        <v>0.0843638510937037</v>
      </c>
      <c r="V263" s="0" t="n">
        <v>0.0862812113458334</v>
      </c>
      <c r="W263" s="0" t="n">
        <v>0.088198571597963</v>
      </c>
      <c r="X263" s="0" t="n">
        <v>0.0901159318500926</v>
      </c>
      <c r="Y263" s="0" t="n">
        <v>0.0920332921022222</v>
      </c>
      <c r="Z263" s="0" t="n">
        <v>0.0939506523543519</v>
      </c>
      <c r="AA263" s="0" t="n">
        <v>0.0958680126064815</v>
      </c>
      <c r="AB263" s="0" t="n">
        <v>0.0977853728586111</v>
      </c>
      <c r="AC263" s="0" t="n">
        <v>0.0997027331107407</v>
      </c>
      <c r="AD263" s="94"/>
    </row>
    <row r="264" customFormat="false" ht="13.8" hidden="false" customHeight="false" outlineLevel="0" collapsed="false">
      <c r="A264" s="0" t="s">
        <v>326</v>
      </c>
      <c r="B264" s="94" t="n">
        <v>6</v>
      </c>
      <c r="C264" s="98"/>
      <c r="D264" s="98"/>
      <c r="E264" s="98"/>
      <c r="F264" s="98"/>
      <c r="G264" s="99"/>
      <c r="H264" s="99"/>
      <c r="I264" s="99" t="n">
        <v>0.0640125723098147</v>
      </c>
      <c r="J264" s="99" t="n">
        <v>0.0660129651944965</v>
      </c>
      <c r="K264" s="101" t="n">
        <v>0.0680133580791782</v>
      </c>
      <c r="L264" s="101" t="n">
        <v>0.0700137509638599</v>
      </c>
      <c r="M264" s="101" t="n">
        <v>0.0701773507760552</v>
      </c>
      <c r="N264" s="101" t="n">
        <v>0.0721267216309456</v>
      </c>
      <c r="O264" s="83" t="n">
        <v>0.074076092485836</v>
      </c>
      <c r="P264" s="83" t="n">
        <v>0.0760254633407264</v>
      </c>
      <c r="Q264" s="83" t="n">
        <v>0.0759339530039653</v>
      </c>
      <c r="R264" s="83" t="n">
        <v>0.0778323018290644</v>
      </c>
      <c r="S264" s="83" t="n">
        <v>0.0797306506541635</v>
      </c>
      <c r="T264" s="0" t="n">
        <v>0.0816289994792626</v>
      </c>
      <c r="U264" s="0" t="n">
        <v>0.0843638510937037</v>
      </c>
      <c r="V264" s="0" t="n">
        <v>0.0862812113458334</v>
      </c>
      <c r="W264" s="0" t="n">
        <v>0.088198571597963</v>
      </c>
      <c r="X264" s="0" t="n">
        <v>0.0901159318500926</v>
      </c>
      <c r="Y264" s="0" t="n">
        <v>0.0920332921022222</v>
      </c>
      <c r="Z264" s="0" t="n">
        <v>0.0939506523543519</v>
      </c>
      <c r="AA264" s="0" t="n">
        <v>0.0958680126064815</v>
      </c>
      <c r="AB264" s="0" t="n">
        <v>0.0977853728586111</v>
      </c>
      <c r="AC264" s="0" t="n">
        <v>0.0997027331107407</v>
      </c>
      <c r="AD264" s="94"/>
    </row>
    <row r="265" customFormat="false" ht="13.8" hidden="false" customHeight="false" outlineLevel="0" collapsed="false">
      <c r="A265" s="0" t="s">
        <v>1318</v>
      </c>
      <c r="B265" s="94" t="n">
        <v>6</v>
      </c>
      <c r="C265" s="98"/>
      <c r="D265" s="98"/>
      <c r="E265" s="98"/>
      <c r="F265" s="98"/>
      <c r="G265" s="99"/>
      <c r="H265" s="99"/>
      <c r="I265" s="99" t="n">
        <v>0.0640125723098147</v>
      </c>
      <c r="J265" s="99" t="n">
        <v>0.0660129651944965</v>
      </c>
      <c r="K265" s="101" t="n">
        <v>0.0680133580791782</v>
      </c>
      <c r="L265" s="101" t="n">
        <v>0.0700137509638599</v>
      </c>
      <c r="M265" s="101" t="n">
        <v>0.0701773507760552</v>
      </c>
      <c r="N265" s="101" t="n">
        <v>0.0721267216309456</v>
      </c>
      <c r="O265" s="83" t="n">
        <v>0.074076092485836</v>
      </c>
      <c r="P265" s="83" t="n">
        <v>0.0760254633407264</v>
      </c>
      <c r="Q265" s="83" t="n">
        <v>0.0759339530039653</v>
      </c>
      <c r="R265" s="83" t="n">
        <v>0.0778323018290644</v>
      </c>
      <c r="S265" s="83" t="n">
        <v>0.0797306506541635</v>
      </c>
      <c r="T265" s="0" t="n">
        <v>0.0816289994792626</v>
      </c>
      <c r="U265" s="0" t="n">
        <v>0.0843638510937037</v>
      </c>
      <c r="V265" s="0" t="n">
        <v>0.0862812113458334</v>
      </c>
      <c r="W265" s="0" t="n">
        <v>0.088198571597963</v>
      </c>
      <c r="X265" s="0" t="n">
        <v>0.0901159318500926</v>
      </c>
      <c r="Y265" s="0" t="n">
        <v>0.0920332921022222</v>
      </c>
      <c r="Z265" s="0" t="n">
        <v>0.0939506523543519</v>
      </c>
      <c r="AA265" s="0" t="n">
        <v>0.0958680126064815</v>
      </c>
      <c r="AB265" s="0" t="n">
        <v>0.0977853728586111</v>
      </c>
      <c r="AC265" s="0" t="n">
        <v>0.0997027331107407</v>
      </c>
      <c r="AD265" s="94"/>
    </row>
    <row r="266" customFormat="false" ht="13.8" hidden="false" customHeight="false" outlineLevel="0" collapsed="false">
      <c r="A266" s="0" t="s">
        <v>217</v>
      </c>
      <c r="B266" s="94" t="n">
        <v>7</v>
      </c>
      <c r="C266" s="98"/>
      <c r="D266" s="98"/>
      <c r="E266" s="98"/>
      <c r="F266" s="98"/>
      <c r="G266" s="99"/>
      <c r="H266" s="99"/>
      <c r="I266" s="99" t="n">
        <v>0.0576</v>
      </c>
      <c r="J266" s="99" t="n">
        <v>0.0594</v>
      </c>
      <c r="K266" s="101" t="n">
        <v>0.0612</v>
      </c>
      <c r="L266" s="101" t="n">
        <v>0.063</v>
      </c>
      <c r="M266" s="101" t="n">
        <v>0.064125</v>
      </c>
      <c r="N266" s="101" t="n">
        <v>0.06590625</v>
      </c>
      <c r="O266" s="83" t="n">
        <v>0.0676875</v>
      </c>
      <c r="P266" s="83" t="n">
        <v>0.06946875</v>
      </c>
      <c r="Q266" s="83"/>
      <c r="R266" s="83"/>
      <c r="S266" s="83"/>
      <c r="AD266" s="94"/>
    </row>
    <row r="267" customFormat="false" ht="13.8" hidden="false" customHeight="false" outlineLevel="0" collapsed="false">
      <c r="A267" s="0" t="s">
        <v>346</v>
      </c>
      <c r="B267" s="94" t="n">
        <v>7</v>
      </c>
      <c r="C267" s="98"/>
      <c r="D267" s="98"/>
      <c r="E267" s="98"/>
      <c r="F267" s="98"/>
      <c r="G267" s="99"/>
      <c r="H267" s="99"/>
      <c r="I267" s="99" t="n">
        <v>0.0576</v>
      </c>
      <c r="J267" s="99" t="n">
        <v>0.0594</v>
      </c>
      <c r="K267" s="101" t="n">
        <v>0.0612</v>
      </c>
      <c r="L267" s="101" t="n">
        <v>0.063</v>
      </c>
      <c r="M267" s="101" t="n">
        <v>0.064125</v>
      </c>
      <c r="N267" s="101" t="n">
        <v>0.06590625</v>
      </c>
      <c r="O267" s="83" t="n">
        <v>0.0676875</v>
      </c>
      <c r="P267" s="83" t="n">
        <v>0.06946875</v>
      </c>
      <c r="Q267" s="83"/>
      <c r="R267" s="83"/>
      <c r="S267" s="83"/>
      <c r="AD267" s="94"/>
    </row>
    <row r="268" customFormat="false" ht="13.8" hidden="false" customHeight="false" outlineLevel="0" collapsed="false">
      <c r="A268" s="0" t="s">
        <v>1313</v>
      </c>
      <c r="B268" s="94" t="n">
        <v>7</v>
      </c>
      <c r="C268" s="98"/>
      <c r="D268" s="98"/>
      <c r="E268" s="98"/>
      <c r="F268" s="98"/>
      <c r="G268" s="99"/>
      <c r="H268" s="99"/>
      <c r="I268" s="99" t="n">
        <v>0.0576</v>
      </c>
      <c r="J268" s="99" t="n">
        <v>0.0594</v>
      </c>
      <c r="K268" s="101" t="n">
        <v>0.0612</v>
      </c>
      <c r="L268" s="101" t="n">
        <v>0.063</v>
      </c>
      <c r="M268" s="101" t="n">
        <v>0.064125</v>
      </c>
      <c r="N268" s="101" t="n">
        <v>0.06590625</v>
      </c>
      <c r="O268" s="83" t="n">
        <v>0.0676875</v>
      </c>
      <c r="P268" s="83" t="n">
        <v>0.06946875</v>
      </c>
      <c r="Q268" s="83"/>
      <c r="R268" s="83"/>
      <c r="S268" s="83"/>
      <c r="AD268" s="94"/>
    </row>
    <row r="269" customFormat="false" ht="13.8" hidden="false" customHeight="false" outlineLevel="0" collapsed="false">
      <c r="A269" s="0" t="s">
        <v>199</v>
      </c>
      <c r="B269" s="94" t="n">
        <v>7</v>
      </c>
      <c r="C269" s="98"/>
      <c r="D269" s="98"/>
      <c r="E269" s="98"/>
      <c r="F269" s="98"/>
      <c r="G269" s="99"/>
      <c r="H269" s="99"/>
      <c r="I269" s="99" t="n">
        <v>0.0348902072574849</v>
      </c>
      <c r="J269" s="99" t="n">
        <v>0.0359805262342813</v>
      </c>
      <c r="K269" s="101" t="n">
        <v>0.0370708452110777</v>
      </c>
      <c r="L269" s="101" t="n">
        <v>0.0381611641878741</v>
      </c>
      <c r="M269" s="101" t="n">
        <v>0.0379953635306436</v>
      </c>
      <c r="N269" s="101" t="n">
        <v>0.0390507902953838</v>
      </c>
      <c r="O269" s="83" t="n">
        <v>0.0401062170601239</v>
      </c>
      <c r="P269" s="83" t="n">
        <v>0.041161643824864</v>
      </c>
      <c r="Q269" s="83" t="n">
        <v>0.040821382107352</v>
      </c>
      <c r="R269" s="83" t="n">
        <v>0.0418419166600357</v>
      </c>
      <c r="S269" s="83" t="n">
        <v>0.0428624512127196</v>
      </c>
      <c r="T269" s="0" t="n">
        <v>0.0438829857654033</v>
      </c>
      <c r="U269" s="0" t="n">
        <v>0.0458272061350621</v>
      </c>
      <c r="V269" s="0" t="n">
        <v>0.0468687335472226</v>
      </c>
      <c r="W269" s="0" t="n">
        <v>0.0479102609593831</v>
      </c>
      <c r="X269" s="0" t="n">
        <v>0.0489517883715436</v>
      </c>
      <c r="Y269" s="0" t="n">
        <v>0.049993315783704</v>
      </c>
      <c r="Z269" s="0" t="n">
        <v>0.0510348431958645</v>
      </c>
      <c r="AA269" s="0" t="n">
        <v>0.052076370608025</v>
      </c>
      <c r="AB269" s="0" t="n">
        <v>0.0531178980201855</v>
      </c>
      <c r="AC269" s="0" t="n">
        <v>0.054159425432346</v>
      </c>
      <c r="AD269" s="94"/>
    </row>
    <row r="270" customFormat="false" ht="13.8" hidden="false" customHeight="false" outlineLevel="0" collapsed="false">
      <c r="A270" s="0" t="s">
        <v>330</v>
      </c>
      <c r="B270" s="94" t="n">
        <v>7</v>
      </c>
      <c r="C270" s="98"/>
      <c r="D270" s="98"/>
      <c r="E270" s="98"/>
      <c r="F270" s="98"/>
      <c r="G270" s="99"/>
      <c r="H270" s="99"/>
      <c r="I270" s="99" t="n">
        <v>0.0348902072574849</v>
      </c>
      <c r="J270" s="99" t="n">
        <v>0.0359805262342813</v>
      </c>
      <c r="K270" s="101" t="n">
        <v>0.0370708452110777</v>
      </c>
      <c r="L270" s="101" t="n">
        <v>0.0381611641878741</v>
      </c>
      <c r="M270" s="101" t="n">
        <v>0.0379953635306436</v>
      </c>
      <c r="N270" s="101" t="n">
        <v>0.0390507902953838</v>
      </c>
      <c r="O270" s="102" t="n">
        <v>0.0401062170601239</v>
      </c>
      <c r="P270" s="102" t="n">
        <v>0.041161643824864</v>
      </c>
      <c r="Q270" s="83" t="n">
        <v>0.040821382107352</v>
      </c>
      <c r="R270" s="83" t="n">
        <v>0.0418419166600357</v>
      </c>
      <c r="S270" s="83" t="n">
        <v>0.0428624512127196</v>
      </c>
      <c r="T270" s="0" t="n">
        <v>0.0438829857654033</v>
      </c>
      <c r="U270" s="93" t="n">
        <v>0.0458272061350621</v>
      </c>
      <c r="V270" s="0" t="n">
        <v>0.0468687335472226</v>
      </c>
      <c r="W270" s="0" t="n">
        <v>0.0479102609593831</v>
      </c>
      <c r="X270" s="0" t="n">
        <v>0.0489517883715436</v>
      </c>
      <c r="Y270" s="0" t="n">
        <v>0.049993315783704</v>
      </c>
      <c r="Z270" s="0" t="n">
        <v>0.0510348431958645</v>
      </c>
      <c r="AA270" s="0" t="n">
        <v>0.052076370608025</v>
      </c>
      <c r="AB270" s="0" t="n">
        <v>0.0531178980201855</v>
      </c>
      <c r="AC270" s="0" t="n">
        <v>0.054159425432346</v>
      </c>
      <c r="AD270" s="94"/>
    </row>
    <row r="271" customFormat="false" ht="13.8" hidden="false" customHeight="false" outlineLevel="0" collapsed="false">
      <c r="A271" s="0" t="s">
        <v>1342</v>
      </c>
      <c r="B271" s="94" t="n">
        <v>7</v>
      </c>
      <c r="C271" s="98"/>
      <c r="D271" s="98"/>
      <c r="E271" s="98"/>
      <c r="F271" s="98"/>
      <c r="G271" s="99"/>
      <c r="H271" s="99"/>
      <c r="I271" s="99" t="n">
        <v>0.0697804145149699</v>
      </c>
      <c r="J271" s="99" t="n">
        <v>0.0719610524685627</v>
      </c>
      <c r="K271" s="101" t="n">
        <v>0.0741416904221555</v>
      </c>
      <c r="L271" s="101" t="n">
        <v>0.0763223283757483</v>
      </c>
      <c r="M271" s="101" t="n">
        <v>0.0759907270612873</v>
      </c>
      <c r="N271" s="101" t="n">
        <v>0.0781015805907675</v>
      </c>
      <c r="O271" s="102" t="n">
        <v>0.0802124341202477</v>
      </c>
      <c r="P271" s="102" t="n">
        <v>0.0823232876497279</v>
      </c>
      <c r="Q271" s="83" t="n">
        <v>0.0816427642147039</v>
      </c>
      <c r="R271" s="83" t="n">
        <v>0.0836838333200715</v>
      </c>
      <c r="S271" s="83" t="n">
        <v>0.0857249024254391</v>
      </c>
      <c r="T271" s="0" t="n">
        <v>0.0877659715308067</v>
      </c>
      <c r="U271" s="93" t="n">
        <v>0.0916544122701241</v>
      </c>
      <c r="AD271" s="94"/>
    </row>
    <row r="272" customFormat="false" ht="13.8" hidden="false" customHeight="false" outlineLevel="0" collapsed="false">
      <c r="A272" s="0" t="s">
        <v>329</v>
      </c>
      <c r="B272" s="94" t="n">
        <v>7</v>
      </c>
      <c r="C272" s="98"/>
      <c r="D272" s="98"/>
      <c r="E272" s="98"/>
      <c r="F272" s="98"/>
      <c r="G272" s="99"/>
      <c r="H272" s="99"/>
      <c r="I272" s="99"/>
      <c r="J272" s="99"/>
      <c r="K272" s="101"/>
      <c r="L272" s="101"/>
      <c r="M272" s="101"/>
      <c r="N272" s="101"/>
      <c r="O272" s="102" t="n">
        <v>0.0802124341202477</v>
      </c>
      <c r="P272" s="102" t="n">
        <v>0.0823232876497279</v>
      </c>
      <c r="Q272" s="83" t="n">
        <v>0.0816427642147039</v>
      </c>
      <c r="R272" s="83" t="n">
        <v>0.0836838333200715</v>
      </c>
      <c r="S272" s="83" t="n">
        <v>0.0857249024254391</v>
      </c>
      <c r="T272" s="0" t="n">
        <v>0.0877659715308067</v>
      </c>
      <c r="U272" s="93" t="n">
        <v>0.0916544122701241</v>
      </c>
      <c r="V272" s="0" t="n">
        <v>0.0937374670944451</v>
      </c>
      <c r="W272" s="0" t="n">
        <v>0.0958205219187661</v>
      </c>
      <c r="X272" s="0" t="n">
        <v>0.0979035767430871</v>
      </c>
      <c r="Y272" s="0" t="n">
        <v>0.0999866315674081</v>
      </c>
      <c r="Z272" s="0" t="n">
        <v>0.102069686391729</v>
      </c>
      <c r="AA272" s="0" t="n">
        <v>0.10415274121605</v>
      </c>
      <c r="AB272" s="0" t="n">
        <v>0.106235796040371</v>
      </c>
      <c r="AC272" s="0" t="n">
        <v>0.108318850864692</v>
      </c>
      <c r="AD272" s="94"/>
    </row>
    <row r="273" customFormat="false" ht="13.8" hidden="false" customHeight="false" outlineLevel="0" collapsed="false">
      <c r="A273" s="0" t="s">
        <v>801</v>
      </c>
      <c r="B273" s="94" t="n">
        <v>7</v>
      </c>
      <c r="C273" s="98"/>
      <c r="D273" s="98"/>
      <c r="E273" s="98"/>
      <c r="F273" s="98"/>
      <c r="G273" s="99"/>
      <c r="H273" s="99"/>
      <c r="I273" s="99" t="n">
        <v>0.0348902072574849</v>
      </c>
      <c r="J273" s="99" t="n">
        <v>0.0359805262342813</v>
      </c>
      <c r="K273" s="101" t="n">
        <v>0.0370708452110777</v>
      </c>
      <c r="L273" s="101" t="n">
        <v>0.0381611641878741</v>
      </c>
      <c r="M273" s="101" t="n">
        <v>0.0379953635306436</v>
      </c>
      <c r="N273" s="101" t="n">
        <v>0.0390507902953838</v>
      </c>
      <c r="O273" s="102" t="n">
        <v>0.0401062170601239</v>
      </c>
      <c r="P273" s="102" t="n">
        <v>0.041161643824864</v>
      </c>
      <c r="Q273" s="83" t="n">
        <v>0.040821382107352</v>
      </c>
      <c r="R273" s="83" t="n">
        <v>0.0418419166600357</v>
      </c>
      <c r="S273" s="83" t="n">
        <v>0.0428624512127196</v>
      </c>
      <c r="T273" s="0" t="n">
        <v>0.0438829857654033</v>
      </c>
      <c r="U273" s="0" t="n">
        <v>0.0458272061350621</v>
      </c>
      <c r="V273" s="0" t="n">
        <v>0.0468687335472226</v>
      </c>
      <c r="W273" s="0" t="n">
        <v>0.0479102609593831</v>
      </c>
      <c r="X273" s="0" t="n">
        <v>0.0489517883715436</v>
      </c>
      <c r="Y273" s="0" t="n">
        <v>0.049993315783704</v>
      </c>
      <c r="Z273" s="0" t="n">
        <v>0.0510348431958645</v>
      </c>
      <c r="AA273" s="0" t="n">
        <v>0.052076370608025</v>
      </c>
      <c r="AB273" s="0" t="n">
        <v>0.0531178980201855</v>
      </c>
      <c r="AC273" s="0" t="n">
        <v>0.054159425432346</v>
      </c>
      <c r="AD273" s="94"/>
    </row>
    <row r="274" customFormat="false" ht="13.8" hidden="false" customHeight="false" outlineLevel="0" collapsed="false">
      <c r="A274" s="0" t="s">
        <v>1353</v>
      </c>
      <c r="B274" s="94" t="n">
        <v>7</v>
      </c>
      <c r="C274" s="98"/>
      <c r="D274" s="98"/>
      <c r="E274" s="98"/>
      <c r="F274" s="98"/>
      <c r="G274" s="99"/>
      <c r="H274" s="99"/>
      <c r="I274" s="99" t="n">
        <v>0.0697804145149699</v>
      </c>
      <c r="J274" s="99" t="n">
        <v>0.0719610524685627</v>
      </c>
      <c r="K274" s="101" t="n">
        <v>0.0741416904221555</v>
      </c>
      <c r="L274" s="101" t="n">
        <v>0.0763223283757483</v>
      </c>
      <c r="M274" s="101"/>
      <c r="N274" s="101"/>
      <c r="O274" s="102"/>
      <c r="P274" s="102"/>
      <c r="Q274" s="83"/>
      <c r="R274" s="83"/>
      <c r="S274" s="83"/>
      <c r="AD274" s="94"/>
    </row>
    <row r="275" customFormat="false" ht="13.8" hidden="false" customHeight="false" outlineLevel="0" collapsed="false">
      <c r="A275" s="0" t="s">
        <v>803</v>
      </c>
      <c r="B275" s="94" t="n">
        <v>7</v>
      </c>
      <c r="C275" s="98"/>
      <c r="D275" s="98"/>
      <c r="E275" s="98"/>
      <c r="F275" s="98"/>
      <c r="G275" s="99"/>
      <c r="H275" s="99"/>
      <c r="I275" s="99" t="n">
        <v>0.0348902072574849</v>
      </c>
      <c r="J275" s="99" t="n">
        <v>0.0359805262342813</v>
      </c>
      <c r="K275" s="101" t="n">
        <v>0.0370708452110777</v>
      </c>
      <c r="L275" s="101" t="n">
        <v>0.0381611641878741</v>
      </c>
      <c r="M275" s="101" t="n">
        <v>0.0379953635306436</v>
      </c>
      <c r="N275" s="101" t="n">
        <v>0.0390507902953838</v>
      </c>
      <c r="O275" s="102" t="n">
        <v>0.0401062170601239</v>
      </c>
      <c r="P275" s="102" t="n">
        <v>0.041161643824864</v>
      </c>
      <c r="Q275" s="83" t="n">
        <v>0.040821382107352</v>
      </c>
      <c r="R275" s="83" t="n">
        <v>0.0418419166600357</v>
      </c>
      <c r="S275" s="83" t="n">
        <v>0.0428624512127196</v>
      </c>
      <c r="T275" s="0" t="n">
        <v>0.0438829857654033</v>
      </c>
      <c r="U275" s="93" t="n">
        <v>0.0458272061350621</v>
      </c>
      <c r="V275" s="0" t="n">
        <v>0.0468687335472226</v>
      </c>
      <c r="W275" s="0" t="n">
        <v>0.0479102609593831</v>
      </c>
      <c r="X275" s="0" t="n">
        <v>0.0489517883715436</v>
      </c>
      <c r="Y275" s="0" t="n">
        <v>0.049993315783704</v>
      </c>
      <c r="Z275" s="0" t="n">
        <v>0.0510348431958645</v>
      </c>
      <c r="AA275" s="0" t="n">
        <v>0.052076370608025</v>
      </c>
      <c r="AB275" s="0" t="n">
        <v>0.0531178980201855</v>
      </c>
      <c r="AC275" s="0" t="n">
        <v>0.054159425432346</v>
      </c>
      <c r="AD275" s="94"/>
    </row>
    <row r="276" customFormat="false" ht="13.8" hidden="false" customHeight="false" outlineLevel="0" collapsed="false">
      <c r="A276" s="0" t="s">
        <v>1357</v>
      </c>
      <c r="B276" s="94" t="n">
        <v>7</v>
      </c>
      <c r="C276" s="98"/>
      <c r="D276" s="98"/>
      <c r="E276" s="98"/>
      <c r="F276" s="98"/>
      <c r="G276" s="99"/>
      <c r="H276" s="99"/>
      <c r="I276" s="99" t="n">
        <v>0.0348902072574849</v>
      </c>
      <c r="J276" s="99" t="n">
        <v>0.0359805262342813</v>
      </c>
      <c r="K276" s="101" t="n">
        <v>0.0370708452110777</v>
      </c>
      <c r="L276" s="101" t="n">
        <v>0.0381611641878741</v>
      </c>
      <c r="M276" s="101" t="n">
        <v>0.0379953635306436</v>
      </c>
      <c r="N276" s="101" t="n">
        <v>0.0390507902953838</v>
      </c>
      <c r="O276" s="102" t="n">
        <v>0.0401062170601239</v>
      </c>
      <c r="P276" s="102" t="n">
        <v>0.041161643824864</v>
      </c>
      <c r="Q276" s="83" t="n">
        <v>0.040821382107352</v>
      </c>
      <c r="R276" s="83" t="n">
        <v>0.0418419166600357</v>
      </c>
      <c r="S276" s="83" t="n">
        <v>0.0428624512127196</v>
      </c>
      <c r="T276" s="0" t="n">
        <v>0.0438829857654033</v>
      </c>
      <c r="U276" s="93" t="n">
        <v>0.0458272061350621</v>
      </c>
      <c r="V276" s="0" t="n">
        <v>0.0468687335472226</v>
      </c>
      <c r="W276" s="0" t="n">
        <v>0.0479102609593831</v>
      </c>
      <c r="X276" s="0" t="n">
        <v>0.0489517883715436</v>
      </c>
      <c r="Y276" s="0" t="n">
        <v>0.049993315783704</v>
      </c>
      <c r="Z276" s="0" t="n">
        <v>0.0510348431958645</v>
      </c>
      <c r="AA276" s="0" t="n">
        <v>0.052076370608025</v>
      </c>
      <c r="AB276" s="0" t="n">
        <v>0.0531178980201855</v>
      </c>
      <c r="AC276" s="0" t="n">
        <v>0.054159425432346</v>
      </c>
      <c r="AD276" s="94"/>
    </row>
    <row r="277" customFormat="false" ht="13.8" hidden="false" customHeight="false" outlineLevel="0" collapsed="false">
      <c r="A277" s="0" t="s">
        <v>200</v>
      </c>
      <c r="B277" s="94" t="n">
        <v>7</v>
      </c>
      <c r="C277" s="98"/>
      <c r="D277" s="98"/>
      <c r="E277" s="98"/>
      <c r="F277" s="98"/>
      <c r="G277" s="99"/>
      <c r="H277" s="99"/>
      <c r="I277" s="99"/>
      <c r="J277" s="99"/>
      <c r="K277" s="101"/>
      <c r="L277" s="101"/>
      <c r="M277" s="101"/>
      <c r="N277" s="101"/>
      <c r="O277" s="102"/>
      <c r="P277" s="102"/>
      <c r="Q277" s="83"/>
      <c r="R277" s="83" t="n">
        <v>0.0836838333200715</v>
      </c>
      <c r="S277" s="83" t="n">
        <v>0.0857249024254391</v>
      </c>
      <c r="T277" s="0" t="n">
        <v>0.0877659715308067</v>
      </c>
      <c r="U277" s="93" t="n">
        <v>0.0916544122701241</v>
      </c>
      <c r="V277" s="0" t="n">
        <v>0.0937374670944451</v>
      </c>
      <c r="W277" s="0" t="n">
        <v>0.0958205219187661</v>
      </c>
      <c r="X277" s="0" t="n">
        <v>0.0979035767430871</v>
      </c>
      <c r="Y277" s="0" t="n">
        <v>0.0999866315674081</v>
      </c>
      <c r="Z277" s="0" t="n">
        <v>0.102069686391729</v>
      </c>
      <c r="AA277" s="0" t="n">
        <v>0.10415274121605</v>
      </c>
      <c r="AB277" s="0" t="n">
        <v>0.106235796040371</v>
      </c>
      <c r="AC277" s="0" t="n">
        <v>0.108318850864692</v>
      </c>
      <c r="AD277" s="94"/>
    </row>
    <row r="278" customFormat="false" ht="13.8" hidden="false" customHeight="false" outlineLevel="0" collapsed="false">
      <c r="A278" s="0" t="s">
        <v>1363</v>
      </c>
      <c r="B278" s="94" t="n">
        <v>7</v>
      </c>
      <c r="C278" s="98"/>
      <c r="D278" s="98"/>
      <c r="E278" s="98"/>
      <c r="F278" s="98"/>
      <c r="G278" s="99"/>
      <c r="H278" s="99"/>
      <c r="I278" s="99"/>
      <c r="J278" s="99"/>
      <c r="K278" s="101"/>
      <c r="L278" s="101"/>
      <c r="M278" s="101"/>
      <c r="N278" s="101"/>
      <c r="O278" s="102"/>
      <c r="P278" s="102"/>
      <c r="Q278" s="83"/>
      <c r="R278" s="83" t="n">
        <v>0.0836838333200715</v>
      </c>
      <c r="S278" s="83" t="n">
        <v>0.0857249024254391</v>
      </c>
      <c r="T278" s="0" t="n">
        <v>0.0877659715308067</v>
      </c>
      <c r="U278" s="0" t="n">
        <v>0.0916544122701241</v>
      </c>
      <c r="V278" s="0" t="n">
        <v>0.0937374670944451</v>
      </c>
      <c r="W278" s="0" t="n">
        <v>0.0958205219187661</v>
      </c>
      <c r="X278" s="0" t="n">
        <v>0.0979035767430871</v>
      </c>
      <c r="Y278" s="0" t="n">
        <v>0.0999866315674081</v>
      </c>
      <c r="Z278" s="0" t="n">
        <v>0.102069686391729</v>
      </c>
      <c r="AA278" s="0" t="n">
        <v>0.10415274121605</v>
      </c>
      <c r="AB278" s="0" t="n">
        <v>0.106235796040371</v>
      </c>
      <c r="AC278" s="0" t="n">
        <v>0.108318850864692</v>
      </c>
      <c r="AD278" s="94"/>
    </row>
    <row r="279" customFormat="false" ht="13.8" hidden="false" customHeight="false" outlineLevel="0" collapsed="false">
      <c r="A279" s="0" t="s">
        <v>1349</v>
      </c>
      <c r="B279" s="94" t="n">
        <v>7</v>
      </c>
      <c r="C279" s="98"/>
      <c r="D279" s="98"/>
      <c r="E279" s="98"/>
      <c r="F279" s="98"/>
      <c r="G279" s="99"/>
      <c r="H279" s="99"/>
      <c r="I279" s="99" t="n">
        <v>0.0348902072574849</v>
      </c>
      <c r="J279" s="99" t="n">
        <v>0.0359805262342813</v>
      </c>
      <c r="K279" s="101" t="n">
        <v>0.0370708452110777</v>
      </c>
      <c r="L279" s="101" t="n">
        <v>0.0381611641878741</v>
      </c>
      <c r="M279" s="101" t="n">
        <v>0.0379953635306436</v>
      </c>
      <c r="N279" s="101" t="n">
        <v>0.0390507902953838</v>
      </c>
      <c r="O279" s="102" t="n">
        <v>0.0401062170601239</v>
      </c>
      <c r="P279" s="102" t="n">
        <v>0.041161643824864</v>
      </c>
      <c r="Q279" s="83" t="n">
        <v>0.040821382107352</v>
      </c>
      <c r="R279" s="83" t="n">
        <v>0.0418419166600357</v>
      </c>
      <c r="S279" s="83" t="n">
        <v>0.0428624512127196</v>
      </c>
      <c r="T279" s="0" t="n">
        <v>0.0438829857654033</v>
      </c>
      <c r="U279" s="0" t="n">
        <v>0.0458272061350621</v>
      </c>
      <c r="V279" s="0" t="n">
        <v>0.0468687335472226</v>
      </c>
      <c r="W279" s="0" t="n">
        <v>0.0479102609593831</v>
      </c>
      <c r="X279" s="0" t="n">
        <v>0.0489517883715436</v>
      </c>
      <c r="Y279" s="0" t="n">
        <v>0.049993315783704</v>
      </c>
      <c r="Z279" s="0" t="n">
        <v>0.0510348431958645</v>
      </c>
      <c r="AA279" s="0" t="n">
        <v>0.052076370608025</v>
      </c>
      <c r="AB279" s="0" t="n">
        <v>0.0531178980201855</v>
      </c>
      <c r="AC279" s="0" t="n">
        <v>0.054159425432346</v>
      </c>
      <c r="AD279" s="94"/>
    </row>
    <row r="280" customFormat="false" ht="13.8" hidden="false" customHeight="false" outlineLevel="0" collapsed="false">
      <c r="A280" s="0" t="s">
        <v>199</v>
      </c>
      <c r="B280" s="94" t="n">
        <v>8</v>
      </c>
      <c r="C280" s="98"/>
      <c r="D280" s="98"/>
      <c r="E280" s="98"/>
      <c r="F280" s="98"/>
      <c r="G280" s="99"/>
      <c r="H280" s="99"/>
      <c r="I280" s="99" t="n">
        <v>0.0348902072574849</v>
      </c>
      <c r="J280" s="99" t="n">
        <v>0.0359805262342813</v>
      </c>
      <c r="K280" s="101" t="n">
        <v>0.0370708452110777</v>
      </c>
      <c r="L280" s="101" t="n">
        <v>0.0381611641878741</v>
      </c>
      <c r="M280" s="101" t="n">
        <v>0.0379953635306436</v>
      </c>
      <c r="N280" s="101" t="n">
        <v>0.0390507902953838</v>
      </c>
      <c r="O280" s="102" t="n">
        <v>0.0401062170601239</v>
      </c>
      <c r="P280" s="102" t="n">
        <v>0.041161643824864</v>
      </c>
      <c r="Q280" s="102" t="n">
        <v>0.040821382107352</v>
      </c>
      <c r="R280" s="102" t="n">
        <v>0.0418419166600357</v>
      </c>
      <c r="S280" s="102" t="n">
        <v>0.0428624512127196</v>
      </c>
      <c r="T280" s="0" t="n">
        <v>0.0438829857654033</v>
      </c>
      <c r="U280" s="104" t="n">
        <v>0.0458272061350621</v>
      </c>
      <c r="V280" s="0" t="n">
        <v>0.0468687335472226</v>
      </c>
      <c r="W280" s="0" t="n">
        <v>0.0479102609593831</v>
      </c>
      <c r="X280" s="0" t="n">
        <v>0.0489517883715436</v>
      </c>
      <c r="Y280" s="0" t="n">
        <v>0.049993315783704</v>
      </c>
      <c r="Z280" s="0" t="n">
        <v>0.0510348431958645</v>
      </c>
      <c r="AA280" s="0" t="n">
        <v>0.052076370608025</v>
      </c>
      <c r="AB280" s="0" t="n">
        <v>0.0531178980201855</v>
      </c>
      <c r="AC280" s="0" t="n">
        <v>0.054159425432346</v>
      </c>
      <c r="AD280" s="94"/>
    </row>
    <row r="281" customFormat="false" ht="13.8" hidden="false" customHeight="false" outlineLevel="0" collapsed="false">
      <c r="A281" s="0" t="s">
        <v>330</v>
      </c>
      <c r="B281" s="94" t="n">
        <v>8</v>
      </c>
      <c r="C281" s="98"/>
      <c r="D281" s="98"/>
      <c r="E281" s="98"/>
      <c r="F281" s="98"/>
      <c r="G281" s="99"/>
      <c r="H281" s="99"/>
      <c r="I281" s="99" t="n">
        <v>0.0348902072574849</v>
      </c>
      <c r="J281" s="99" t="n">
        <v>0.0359805262342813</v>
      </c>
      <c r="K281" s="101" t="n">
        <v>0.0370708452110777</v>
      </c>
      <c r="L281" s="101" t="n">
        <v>0.0381611641878741</v>
      </c>
      <c r="M281" s="101" t="n">
        <v>0.0379953635306436</v>
      </c>
      <c r="N281" s="101" t="n">
        <v>0.0390507902953838</v>
      </c>
      <c r="O281" s="102" t="n">
        <v>0.0401062170601239</v>
      </c>
      <c r="P281" s="102" t="n">
        <v>0.041161643824864</v>
      </c>
      <c r="Q281" s="102" t="n">
        <v>0.040821382107352</v>
      </c>
      <c r="R281" s="102" t="n">
        <v>0.0418419166600357</v>
      </c>
      <c r="S281" s="102" t="n">
        <v>0.0428624512127196</v>
      </c>
      <c r="T281" s="0" t="n">
        <v>0.0438829857654033</v>
      </c>
      <c r="U281" s="104" t="n">
        <v>0.0458272061350621</v>
      </c>
      <c r="V281" s="0" t="n">
        <v>0.0468687335472226</v>
      </c>
      <c r="W281" s="0" t="n">
        <v>0.0479102609593831</v>
      </c>
      <c r="X281" s="0" t="n">
        <v>0.0489517883715436</v>
      </c>
      <c r="Y281" s="0" t="n">
        <v>0.049993315783704</v>
      </c>
      <c r="Z281" s="0" t="n">
        <v>0.0510348431958645</v>
      </c>
      <c r="AA281" s="0" t="n">
        <v>0.052076370608025</v>
      </c>
      <c r="AB281" s="0" t="n">
        <v>0.0531178980201855</v>
      </c>
      <c r="AC281" s="0" t="n">
        <v>0.054159425432346</v>
      </c>
      <c r="AD281" s="94"/>
    </row>
    <row r="282" customFormat="false" ht="13.8" hidden="false" customHeight="false" outlineLevel="0" collapsed="false">
      <c r="A282" s="0" t="s">
        <v>1342</v>
      </c>
      <c r="B282" s="94" t="n">
        <v>8</v>
      </c>
      <c r="C282" s="98"/>
      <c r="D282" s="98"/>
      <c r="E282" s="98"/>
      <c r="F282" s="98"/>
      <c r="G282" s="99"/>
      <c r="H282" s="99"/>
      <c r="I282" s="99" t="n">
        <v>0.0697804145149699</v>
      </c>
      <c r="J282" s="99" t="n">
        <v>0.0719610524685627</v>
      </c>
      <c r="K282" s="101" t="n">
        <v>0.0741416904221555</v>
      </c>
      <c r="L282" s="101" t="n">
        <v>0.0763223283757483</v>
      </c>
      <c r="M282" s="101" t="n">
        <v>0.0759907270612873</v>
      </c>
      <c r="N282" s="101" t="n">
        <v>0.0781015805907675</v>
      </c>
      <c r="O282" s="102" t="n">
        <v>0.0802124341202477</v>
      </c>
      <c r="P282" s="102" t="n">
        <v>0.0823232876497279</v>
      </c>
      <c r="Q282" s="102" t="n">
        <v>0.0816427642147039</v>
      </c>
      <c r="R282" s="102" t="n">
        <v>0.0836838333200715</v>
      </c>
      <c r="S282" s="102" t="n">
        <v>0.0857249024254391</v>
      </c>
      <c r="T282" s="0" t="n">
        <v>0.0877659715308067</v>
      </c>
      <c r="U282" s="104" t="n">
        <v>0.0916544122701241</v>
      </c>
      <c r="AD282" s="94"/>
    </row>
    <row r="283" customFormat="false" ht="13.8" hidden="false" customHeight="false" outlineLevel="0" collapsed="false">
      <c r="A283" s="0" t="s">
        <v>329</v>
      </c>
      <c r="B283" s="94" t="n">
        <v>8</v>
      </c>
      <c r="C283" s="98"/>
      <c r="D283" s="98"/>
      <c r="E283" s="98"/>
      <c r="F283" s="98"/>
      <c r="G283" s="99"/>
      <c r="H283" s="99"/>
      <c r="I283" s="99"/>
      <c r="J283" s="99"/>
      <c r="K283" s="101"/>
      <c r="L283" s="101"/>
      <c r="M283" s="101"/>
      <c r="N283" s="101"/>
      <c r="O283" s="102" t="n">
        <v>0.0802124341202477</v>
      </c>
      <c r="P283" s="102" t="n">
        <v>0.0823232876497279</v>
      </c>
      <c r="Q283" s="83" t="n">
        <v>0.0816427642147039</v>
      </c>
      <c r="R283" s="83" t="n">
        <v>0.0836838333200715</v>
      </c>
      <c r="S283" s="83" t="n">
        <v>0.0857249024254391</v>
      </c>
      <c r="T283" s="0" t="n">
        <v>0.0877659715308067</v>
      </c>
      <c r="U283" s="93" t="n">
        <v>0.0916544122701241</v>
      </c>
      <c r="V283" s="0" t="n">
        <v>0.0937374670944451</v>
      </c>
      <c r="W283" s="0" t="n">
        <v>0.0958205219187661</v>
      </c>
      <c r="X283" s="0" t="n">
        <v>0.0979035767430871</v>
      </c>
      <c r="Y283" s="0" t="n">
        <v>0.0999866315674081</v>
      </c>
      <c r="Z283" s="0" t="n">
        <v>0.102069686391729</v>
      </c>
      <c r="AA283" s="0" t="n">
        <v>0.10415274121605</v>
      </c>
      <c r="AB283" s="0" t="n">
        <v>0.106235796040371</v>
      </c>
      <c r="AC283" s="0" t="n">
        <v>0.108318850864692</v>
      </c>
      <c r="AD283" s="94"/>
    </row>
    <row r="284" customFormat="false" ht="13.8" hidden="false" customHeight="false" outlineLevel="0" collapsed="false">
      <c r="A284" s="0" t="s">
        <v>801</v>
      </c>
      <c r="B284" s="94" t="n">
        <v>8</v>
      </c>
      <c r="C284" s="98"/>
      <c r="D284" s="98"/>
      <c r="E284" s="98"/>
      <c r="F284" s="98"/>
      <c r="G284" s="99"/>
      <c r="H284" s="99"/>
      <c r="I284" s="99" t="n">
        <v>0.0348902072574849</v>
      </c>
      <c r="J284" s="99" t="n">
        <v>0.0359805262342813</v>
      </c>
      <c r="K284" s="101" t="n">
        <v>0.0370708452110777</v>
      </c>
      <c r="L284" s="101" t="n">
        <v>0.0381611641878741</v>
      </c>
      <c r="M284" s="101" t="n">
        <v>0.0379953635306436</v>
      </c>
      <c r="N284" s="101" t="n">
        <v>0.0390507902953838</v>
      </c>
      <c r="O284" s="102" t="n">
        <v>0.0401062170601239</v>
      </c>
      <c r="P284" s="102" t="n">
        <v>0.041161643824864</v>
      </c>
      <c r="Q284" s="83" t="n">
        <v>0.040821382107352</v>
      </c>
      <c r="R284" s="83" t="n">
        <v>0.0418419166600357</v>
      </c>
      <c r="S284" s="83" t="n">
        <v>0.0428624512127196</v>
      </c>
      <c r="T284" s="0" t="n">
        <v>0.0438829857654033</v>
      </c>
      <c r="U284" s="93" t="n">
        <v>0.0458272061350621</v>
      </c>
      <c r="V284" s="0" t="n">
        <v>0.0468687335472226</v>
      </c>
      <c r="W284" s="0" t="n">
        <v>0.0479102609593831</v>
      </c>
      <c r="X284" s="0" t="n">
        <v>0.0489517883715436</v>
      </c>
      <c r="Y284" s="0" t="n">
        <v>0.049993315783704</v>
      </c>
      <c r="Z284" s="0" t="n">
        <v>0.0510348431958645</v>
      </c>
      <c r="AA284" s="0" t="n">
        <v>0.052076370608025</v>
      </c>
      <c r="AB284" s="0" t="n">
        <v>0.0531178980201855</v>
      </c>
      <c r="AC284" s="0" t="n">
        <v>0.054159425432346</v>
      </c>
      <c r="AD284" s="94"/>
    </row>
    <row r="285" customFormat="false" ht="13.8" hidden="false" customHeight="false" outlineLevel="0" collapsed="false">
      <c r="A285" s="0" t="s">
        <v>1353</v>
      </c>
      <c r="B285" s="94" t="n">
        <v>8</v>
      </c>
      <c r="C285" s="98"/>
      <c r="D285" s="98"/>
      <c r="E285" s="98"/>
      <c r="F285" s="98"/>
      <c r="G285" s="99"/>
      <c r="H285" s="99"/>
      <c r="I285" s="99" t="n">
        <v>0.0697804145149699</v>
      </c>
      <c r="J285" s="99" t="n">
        <v>0.0719610524685627</v>
      </c>
      <c r="K285" s="101" t="n">
        <v>0.0741416904221555</v>
      </c>
      <c r="L285" s="101" t="n">
        <v>0.0763223283757483</v>
      </c>
      <c r="M285" s="101"/>
      <c r="N285" s="101"/>
      <c r="O285" s="102"/>
      <c r="P285" s="102"/>
      <c r="Q285" s="83"/>
      <c r="R285" s="83"/>
      <c r="S285" s="83"/>
      <c r="U285" s="93"/>
      <c r="AD285" s="94"/>
    </row>
    <row r="286" customFormat="false" ht="13.8" hidden="false" customHeight="false" outlineLevel="0" collapsed="false">
      <c r="A286" s="0" t="s">
        <v>803</v>
      </c>
      <c r="B286" s="94" t="n">
        <v>8</v>
      </c>
      <c r="C286" s="98"/>
      <c r="D286" s="98"/>
      <c r="E286" s="98"/>
      <c r="F286" s="98"/>
      <c r="G286" s="99"/>
      <c r="H286" s="99"/>
      <c r="I286" s="99" t="n">
        <v>0.0348902072574849</v>
      </c>
      <c r="J286" s="99" t="n">
        <v>0.0359805262342813</v>
      </c>
      <c r="K286" s="101" t="n">
        <v>0.0370708452110777</v>
      </c>
      <c r="L286" s="101" t="n">
        <v>0.0381611641878741</v>
      </c>
      <c r="M286" s="101" t="n">
        <v>0.0379953635306436</v>
      </c>
      <c r="N286" s="101" t="n">
        <v>0.0390507902953838</v>
      </c>
      <c r="O286" s="102" t="n">
        <v>0.0401062170601239</v>
      </c>
      <c r="P286" s="102" t="n">
        <v>0.041161643824864</v>
      </c>
      <c r="Q286" s="83" t="n">
        <v>0.040821382107352</v>
      </c>
      <c r="R286" s="83" t="n">
        <v>0.0418419166600357</v>
      </c>
      <c r="S286" s="83" t="n">
        <v>0.0428624512127196</v>
      </c>
      <c r="T286" s="0" t="n">
        <v>0.0438829857654033</v>
      </c>
      <c r="U286" s="93" t="n">
        <v>0.0458272061350621</v>
      </c>
      <c r="V286" s="0" t="n">
        <v>0.0468687335472226</v>
      </c>
      <c r="W286" s="0" t="n">
        <v>0.0479102609593831</v>
      </c>
      <c r="X286" s="0" t="n">
        <v>0.0489517883715436</v>
      </c>
      <c r="Y286" s="0" t="n">
        <v>0.049993315783704</v>
      </c>
      <c r="Z286" s="0" t="n">
        <v>0.0510348431958645</v>
      </c>
      <c r="AA286" s="0" t="n">
        <v>0.052076370608025</v>
      </c>
      <c r="AB286" s="0" t="n">
        <v>0.0531178980201855</v>
      </c>
      <c r="AC286" s="0" t="n">
        <v>0.054159425432346</v>
      </c>
      <c r="AD286" s="94"/>
    </row>
    <row r="287" customFormat="false" ht="13.8" hidden="false" customHeight="false" outlineLevel="0" collapsed="false">
      <c r="A287" s="0" t="s">
        <v>1357</v>
      </c>
      <c r="B287" s="94" t="n">
        <v>8</v>
      </c>
      <c r="C287" s="98"/>
      <c r="D287" s="98"/>
      <c r="E287" s="98"/>
      <c r="F287" s="98"/>
      <c r="G287" s="99"/>
      <c r="H287" s="99"/>
      <c r="I287" s="99" t="n">
        <v>0.0348902072574849</v>
      </c>
      <c r="J287" s="99" t="n">
        <v>0.0359805262342813</v>
      </c>
      <c r="K287" s="101" t="n">
        <v>0.0370708452110777</v>
      </c>
      <c r="L287" s="101" t="n">
        <v>0.0381611641878741</v>
      </c>
      <c r="M287" s="101" t="n">
        <v>0.0379953635306436</v>
      </c>
      <c r="N287" s="101" t="n">
        <v>0.0390507902953838</v>
      </c>
      <c r="O287" s="102" t="n">
        <v>0.0401062170601239</v>
      </c>
      <c r="P287" s="102" t="n">
        <v>0.041161643824864</v>
      </c>
      <c r="Q287" s="83" t="n">
        <v>0.040821382107352</v>
      </c>
      <c r="R287" s="83" t="n">
        <v>0.0418419166600357</v>
      </c>
      <c r="S287" s="83" t="n">
        <v>0.0428624512127196</v>
      </c>
      <c r="T287" s="0" t="n">
        <v>0.0438829857654033</v>
      </c>
      <c r="U287" s="93" t="n">
        <v>0.0458272061350621</v>
      </c>
      <c r="V287" s="0" t="n">
        <v>0.0468687335472226</v>
      </c>
      <c r="W287" s="0" t="n">
        <v>0.0479102609593831</v>
      </c>
      <c r="X287" s="0" t="n">
        <v>0.0489517883715436</v>
      </c>
      <c r="Y287" s="0" t="n">
        <v>0.049993315783704</v>
      </c>
      <c r="Z287" s="0" t="n">
        <v>0.0510348431958645</v>
      </c>
      <c r="AA287" s="0" t="n">
        <v>0.052076370608025</v>
      </c>
      <c r="AB287" s="0" t="n">
        <v>0.0531178980201855</v>
      </c>
      <c r="AC287" s="0" t="n">
        <v>0.054159425432346</v>
      </c>
      <c r="AD287" s="94"/>
    </row>
    <row r="288" customFormat="false" ht="13.8" hidden="false" customHeight="false" outlineLevel="0" collapsed="false">
      <c r="A288" s="0" t="s">
        <v>200</v>
      </c>
      <c r="B288" s="94" t="n">
        <v>8</v>
      </c>
      <c r="C288" s="98"/>
      <c r="D288" s="98"/>
      <c r="E288" s="98"/>
      <c r="F288" s="98"/>
      <c r="G288" s="99"/>
      <c r="H288" s="99"/>
      <c r="I288" s="99"/>
      <c r="J288" s="99"/>
      <c r="K288" s="101"/>
      <c r="L288" s="101"/>
      <c r="M288" s="101"/>
      <c r="N288" s="101"/>
      <c r="O288" s="102"/>
      <c r="P288" s="102"/>
      <c r="Q288" s="83"/>
      <c r="R288" s="83" t="n">
        <v>0.0836838333200715</v>
      </c>
      <c r="S288" s="83" t="n">
        <v>0.0857249024254391</v>
      </c>
      <c r="T288" s="0" t="n">
        <v>0.0877659715308067</v>
      </c>
      <c r="U288" s="93" t="n">
        <v>0.0916544122701241</v>
      </c>
      <c r="V288" s="0" t="n">
        <v>0.0937374670944451</v>
      </c>
      <c r="W288" s="0" t="n">
        <v>0.0958205219187661</v>
      </c>
      <c r="X288" s="0" t="n">
        <v>0.0979035767430871</v>
      </c>
      <c r="Y288" s="0" t="n">
        <v>0.0999866315674081</v>
      </c>
      <c r="Z288" s="0" t="n">
        <v>0.102069686391729</v>
      </c>
      <c r="AA288" s="0" t="n">
        <v>0.10415274121605</v>
      </c>
      <c r="AB288" s="0" t="n">
        <v>0.106235796040371</v>
      </c>
      <c r="AC288" s="0" t="n">
        <v>0.108318850864692</v>
      </c>
      <c r="AD288" s="94"/>
    </row>
    <row r="289" customFormat="false" ht="13.8" hidden="false" customHeight="false" outlineLevel="0" collapsed="false">
      <c r="A289" s="0" t="s">
        <v>1363</v>
      </c>
      <c r="B289" s="94" t="n">
        <v>8</v>
      </c>
      <c r="C289" s="98"/>
      <c r="D289" s="98"/>
      <c r="E289" s="98"/>
      <c r="F289" s="98"/>
      <c r="G289" s="99"/>
      <c r="H289" s="99"/>
      <c r="I289" s="99"/>
      <c r="J289" s="99"/>
      <c r="K289" s="101"/>
      <c r="L289" s="101"/>
      <c r="M289" s="101"/>
      <c r="N289" s="101"/>
      <c r="O289" s="102"/>
      <c r="P289" s="102"/>
      <c r="Q289" s="83"/>
      <c r="R289" s="83" t="n">
        <v>0.0836838333200715</v>
      </c>
      <c r="S289" s="83" t="n">
        <v>0.0857249024254391</v>
      </c>
      <c r="T289" s="0" t="n">
        <v>0.0877659715308067</v>
      </c>
      <c r="U289" s="93" t="n">
        <v>0.0916544122701241</v>
      </c>
      <c r="V289" s="0" t="n">
        <v>0.0937374670944451</v>
      </c>
      <c r="W289" s="0" t="n">
        <v>0.0958205219187661</v>
      </c>
      <c r="X289" s="0" t="n">
        <v>0.0979035767430871</v>
      </c>
      <c r="Y289" s="0" t="n">
        <v>0.0999866315674081</v>
      </c>
      <c r="Z289" s="0" t="n">
        <v>0.102069686391729</v>
      </c>
      <c r="AA289" s="0" t="n">
        <v>0.10415274121605</v>
      </c>
      <c r="AB289" s="0" t="n">
        <v>0.106235796040371</v>
      </c>
      <c r="AC289" s="0" t="n">
        <v>0.108318850864692</v>
      </c>
      <c r="AD289" s="94"/>
    </row>
    <row r="290" customFormat="false" ht="13.8" hidden="false" customHeight="false" outlineLevel="0" collapsed="false">
      <c r="A290" s="0" t="s">
        <v>1349</v>
      </c>
      <c r="B290" s="94" t="n">
        <v>8</v>
      </c>
      <c r="C290" s="98"/>
      <c r="D290" s="98"/>
      <c r="E290" s="98"/>
      <c r="F290" s="98"/>
      <c r="G290" s="99"/>
      <c r="H290" s="99"/>
      <c r="I290" s="99" t="n">
        <v>0.0348902072574849</v>
      </c>
      <c r="J290" s="99" t="n">
        <v>0.0359805262342813</v>
      </c>
      <c r="K290" s="101" t="n">
        <v>0.0370708452110777</v>
      </c>
      <c r="L290" s="101" t="n">
        <v>0.0381611641878741</v>
      </c>
      <c r="M290" s="101" t="n">
        <v>0.0379953635306436</v>
      </c>
      <c r="N290" s="101" t="n">
        <v>0.0390507902953838</v>
      </c>
      <c r="O290" s="102" t="n">
        <v>0.0401062170601239</v>
      </c>
      <c r="P290" s="102" t="n">
        <v>0.041161643824864</v>
      </c>
      <c r="Q290" s="83" t="n">
        <v>0.040821382107352</v>
      </c>
      <c r="R290" s="83" t="n">
        <v>0.0418419166600357</v>
      </c>
      <c r="S290" s="83" t="n">
        <v>0.0428624512127196</v>
      </c>
      <c r="T290" s="0" t="n">
        <v>0.0438829857654033</v>
      </c>
      <c r="U290" s="93" t="n">
        <v>0.0458272061350621</v>
      </c>
      <c r="V290" s="0" t="n">
        <v>0.0468687335472226</v>
      </c>
      <c r="W290" s="0" t="n">
        <v>0.0479102609593831</v>
      </c>
      <c r="X290" s="0" t="n">
        <v>0.0489517883715436</v>
      </c>
      <c r="Y290" s="0" t="n">
        <v>0.049993315783704</v>
      </c>
      <c r="Z290" s="0" t="n">
        <v>0.0510348431958645</v>
      </c>
      <c r="AA290" s="0" t="n">
        <v>0.052076370608025</v>
      </c>
      <c r="AB290" s="0" t="n">
        <v>0.0531178980201855</v>
      </c>
      <c r="AC290" s="0" t="n">
        <v>0.054159425432346</v>
      </c>
      <c r="AD290" s="94"/>
    </row>
    <row r="291" customFormat="false" ht="13.8" hidden="false" customHeight="false" outlineLevel="0" collapsed="false">
      <c r="A291" s="0" t="s">
        <v>201</v>
      </c>
      <c r="B291" s="94" t="n">
        <v>8</v>
      </c>
      <c r="C291" s="98"/>
      <c r="D291" s="98"/>
      <c r="E291" s="98"/>
      <c r="F291" s="98"/>
      <c r="G291" s="99"/>
      <c r="H291" s="99"/>
      <c r="I291" s="99" t="n">
        <v>0.0209341337033499</v>
      </c>
      <c r="J291" s="99" t="n">
        <v>0.0215883253815796</v>
      </c>
      <c r="K291" s="101" t="n">
        <v>0.0222425170598093</v>
      </c>
      <c r="L291" s="101" t="n">
        <v>0.022896708738039</v>
      </c>
      <c r="M291" s="101" t="n">
        <v>0.0231448978192827</v>
      </c>
      <c r="N291" s="101" t="n">
        <v>0.0237878116475961</v>
      </c>
      <c r="O291" s="102" t="n">
        <v>0.0244307254759095</v>
      </c>
      <c r="P291" s="102" t="n">
        <v>0.0250736393042229</v>
      </c>
      <c r="Q291" s="83" t="n">
        <v>0.0252654391358853</v>
      </c>
      <c r="R291" s="83" t="n">
        <v>0.0258970751142824</v>
      </c>
      <c r="S291" s="83" t="n">
        <v>0.0265287110926796</v>
      </c>
      <c r="T291" s="0" t="n">
        <v>0.0271603470710767</v>
      </c>
      <c r="U291" s="93" t="n">
        <v>0.0283848142451245</v>
      </c>
      <c r="V291" s="0" t="n">
        <v>0.0290299236597865</v>
      </c>
      <c r="W291" s="0" t="n">
        <v>0.0296750330744484</v>
      </c>
      <c r="X291" s="0" t="n">
        <v>0.0303201424891103</v>
      </c>
      <c r="Y291" s="0" t="n">
        <v>0.0309652519037722</v>
      </c>
      <c r="Z291" s="0" t="n">
        <v>0.0316103613184341</v>
      </c>
      <c r="AA291" s="0" t="n">
        <v>0.032255470733096</v>
      </c>
      <c r="AB291" s="0" t="n">
        <v>0.032900580147758</v>
      </c>
      <c r="AC291" s="0" t="n">
        <v>0.0335456895624199</v>
      </c>
      <c r="AD291" s="94"/>
    </row>
    <row r="292" customFormat="false" ht="13.8" hidden="false" customHeight="false" outlineLevel="0" collapsed="false">
      <c r="A292" s="0" t="s">
        <v>331</v>
      </c>
      <c r="B292" s="94" t="n">
        <v>8</v>
      </c>
      <c r="C292" s="98"/>
      <c r="D292" s="98"/>
      <c r="E292" s="98"/>
      <c r="F292" s="98"/>
      <c r="G292" s="99"/>
      <c r="H292" s="99"/>
      <c r="I292" s="99" t="n">
        <v>0.0209341337033499</v>
      </c>
      <c r="J292" s="99" t="n">
        <v>0.0215883253815796</v>
      </c>
      <c r="K292" s="101" t="n">
        <v>0.0222425170598093</v>
      </c>
      <c r="L292" s="101" t="n">
        <v>0.022896708738039</v>
      </c>
      <c r="M292" s="101" t="n">
        <v>0.0231448978192827</v>
      </c>
      <c r="N292" s="101" t="n">
        <v>0.0237878116475961</v>
      </c>
      <c r="O292" s="102" t="n">
        <v>0.0244307254759095</v>
      </c>
      <c r="P292" s="102" t="n">
        <v>0.0250736393042229</v>
      </c>
      <c r="Q292" s="83" t="n">
        <v>0.0252654391358853</v>
      </c>
      <c r="R292" s="83" t="n">
        <v>0.0258970751142824</v>
      </c>
      <c r="S292" s="83" t="n">
        <v>0.0265287110926796</v>
      </c>
      <c r="T292" s="0" t="n">
        <v>0.0271603470710767</v>
      </c>
      <c r="U292" s="93" t="n">
        <v>0.0283848142451245</v>
      </c>
      <c r="V292" s="0" t="n">
        <v>0.0290299236597865</v>
      </c>
      <c r="W292" s="0" t="n">
        <v>0.0296750330744484</v>
      </c>
      <c r="X292" s="0" t="n">
        <v>0.0303201424891103</v>
      </c>
      <c r="Y292" s="0" t="n">
        <v>0.0309652519037722</v>
      </c>
      <c r="Z292" s="0" t="n">
        <v>0.0316103613184341</v>
      </c>
      <c r="AA292" s="0" t="n">
        <v>0.032255470733096</v>
      </c>
      <c r="AB292" s="0" t="n">
        <v>0.032900580147758</v>
      </c>
      <c r="AC292" s="0" t="n">
        <v>0.0335456895624199</v>
      </c>
      <c r="AD292" s="94"/>
    </row>
    <row r="293" customFormat="false" ht="13.8" hidden="false" customHeight="false" outlineLevel="0" collapsed="false">
      <c r="A293" s="0" t="s">
        <v>1365</v>
      </c>
      <c r="B293" s="94" t="n">
        <v>8</v>
      </c>
      <c r="C293" s="98"/>
      <c r="D293" s="98"/>
      <c r="E293" s="98"/>
      <c r="F293" s="98"/>
      <c r="G293" s="99"/>
      <c r="H293" s="99"/>
      <c r="I293" s="99"/>
      <c r="J293" s="99"/>
      <c r="K293" s="101"/>
      <c r="L293" s="101"/>
      <c r="M293" s="101"/>
      <c r="N293" s="101"/>
      <c r="O293" s="102"/>
      <c r="P293" s="102"/>
      <c r="Q293" s="83"/>
      <c r="R293" s="83" t="n">
        <v>0.0517941502285648</v>
      </c>
      <c r="S293" s="83" t="n">
        <v>0.0530574221853591</v>
      </c>
      <c r="T293" s="0" t="n">
        <v>0.0543206941421534</v>
      </c>
      <c r="U293" s="93" t="n">
        <v>0.0567696284902491</v>
      </c>
      <c r="V293" s="0" t="n">
        <v>0.0580598473195729</v>
      </c>
      <c r="W293" s="0" t="n">
        <v>0.0593500661488968</v>
      </c>
      <c r="X293" s="0" t="n">
        <v>0.0606402849782206</v>
      </c>
      <c r="Y293" s="0" t="n">
        <v>0.0619305038075444</v>
      </c>
      <c r="Z293" s="0" t="n">
        <v>0.0632207226368683</v>
      </c>
      <c r="AA293" s="0" t="n">
        <v>0.0645109414661921</v>
      </c>
      <c r="AB293" s="0" t="n">
        <v>0.0658011602955159</v>
      </c>
      <c r="AC293" s="0" t="n">
        <v>0.0670913791248398</v>
      </c>
      <c r="AD293" s="94"/>
    </row>
    <row r="294" customFormat="false" ht="13.8" hidden="false" customHeight="false" outlineLevel="0" collapsed="false">
      <c r="A294" s="0" t="s">
        <v>806</v>
      </c>
      <c r="B294" s="94" t="n">
        <v>8</v>
      </c>
      <c r="C294" s="98"/>
      <c r="D294" s="98"/>
      <c r="E294" s="98"/>
      <c r="F294" s="98"/>
      <c r="G294" s="99"/>
      <c r="H294" s="99"/>
      <c r="I294" s="99" t="n">
        <v>0.0209341337033499</v>
      </c>
      <c r="J294" s="99" t="n">
        <v>0.0215883253815796</v>
      </c>
      <c r="K294" s="101" t="n">
        <v>0.0222425170598093</v>
      </c>
      <c r="L294" s="101" t="n">
        <v>0.022896708738039</v>
      </c>
      <c r="M294" s="101" t="n">
        <v>0.0231448978192827</v>
      </c>
      <c r="N294" s="101" t="n">
        <v>0.0237878116475961</v>
      </c>
      <c r="O294" s="102" t="n">
        <v>0.0244307254759095</v>
      </c>
      <c r="P294" s="102" t="n">
        <v>0.0250736393042229</v>
      </c>
      <c r="Q294" s="83" t="n">
        <v>0.0252654391358853</v>
      </c>
      <c r="R294" s="83" t="n">
        <v>0.0258970751142824</v>
      </c>
      <c r="S294" s="83" t="n">
        <v>0.0265287110926796</v>
      </c>
      <c r="T294" s="0" t="n">
        <v>0.0271603470710767</v>
      </c>
      <c r="U294" s="93" t="n">
        <v>0.0283848142451245</v>
      </c>
      <c r="V294" s="0" t="n">
        <v>0.0290299236597865</v>
      </c>
      <c r="W294" s="0" t="n">
        <v>0.0296750330744484</v>
      </c>
      <c r="X294" s="0" t="n">
        <v>0.0303201424891103</v>
      </c>
      <c r="Y294" s="0" t="n">
        <v>0.0309652519037722</v>
      </c>
      <c r="Z294" s="0" t="n">
        <v>0.0316103613184341</v>
      </c>
      <c r="AA294" s="0" t="n">
        <v>0.032255470733096</v>
      </c>
      <c r="AB294" s="0" t="n">
        <v>0.032900580147758</v>
      </c>
      <c r="AC294" s="0" t="n">
        <v>0.0335456895624199</v>
      </c>
      <c r="AD294" s="94"/>
    </row>
    <row r="295" customFormat="false" ht="13.8" hidden="false" customHeight="false" outlineLevel="0" collapsed="false">
      <c r="A295" s="0" t="s">
        <v>347</v>
      </c>
      <c r="B295" s="94" t="n">
        <v>8</v>
      </c>
      <c r="C295" s="98"/>
      <c r="D295" s="98"/>
      <c r="E295" s="98"/>
      <c r="F295" s="98"/>
      <c r="G295" s="99"/>
      <c r="H295" s="99"/>
      <c r="I295" s="99" t="n">
        <v>0.0209341337033499</v>
      </c>
      <c r="J295" s="99" t="n">
        <v>0.0215883253815796</v>
      </c>
      <c r="K295" s="101" t="n">
        <v>0.0222425170598093</v>
      </c>
      <c r="L295" s="101" t="n">
        <v>0.022896708738039</v>
      </c>
      <c r="M295" s="101" t="n">
        <v>0.0231448978192827</v>
      </c>
      <c r="N295" s="101" t="n">
        <v>0.0237878116475961</v>
      </c>
      <c r="O295" s="102" t="n">
        <v>0.0244307254759095</v>
      </c>
      <c r="P295" s="102" t="n">
        <v>0.0250736393042229</v>
      </c>
      <c r="Q295" s="83" t="n">
        <v>0.0252654391358853</v>
      </c>
      <c r="R295" s="83" t="n">
        <v>0.0258970751142824</v>
      </c>
      <c r="S295" s="83" t="n">
        <v>0.0265287110926796</v>
      </c>
      <c r="T295" s="0" t="n">
        <v>0.0271603470710767</v>
      </c>
      <c r="U295" s="93" t="n">
        <v>0.0283848142451245</v>
      </c>
      <c r="V295" s="0" t="n">
        <v>0.0290299236597865</v>
      </c>
      <c r="W295" s="0" t="n">
        <v>0.0296750330744484</v>
      </c>
      <c r="X295" s="0" t="n">
        <v>0.0303201424891103</v>
      </c>
      <c r="Y295" s="0" t="n">
        <v>0.0309652519037722</v>
      </c>
      <c r="Z295" s="0" t="n">
        <v>0.0316103613184341</v>
      </c>
      <c r="AA295" s="0" t="n">
        <v>0.032255470733096</v>
      </c>
      <c r="AB295" s="0" t="n">
        <v>0.032900580147758</v>
      </c>
      <c r="AC295" s="0" t="n">
        <v>0.0335456895624199</v>
      </c>
      <c r="AD295" s="94"/>
    </row>
    <row r="296" customFormat="false" ht="13.8" hidden="false" customHeight="false" outlineLevel="0" collapsed="false">
      <c r="A296" s="0" t="s">
        <v>809</v>
      </c>
      <c r="B296" s="94" t="n">
        <v>8</v>
      </c>
      <c r="C296" s="98"/>
      <c r="D296" s="98"/>
      <c r="E296" s="98"/>
      <c r="F296" s="98"/>
      <c r="G296" s="99"/>
      <c r="H296" s="99"/>
      <c r="I296" s="99" t="n">
        <v>0.0209341337033499</v>
      </c>
      <c r="J296" s="99" t="n">
        <v>0.0215883253815796</v>
      </c>
      <c r="K296" s="101" t="n">
        <v>0.0222425170598093</v>
      </c>
      <c r="L296" s="101" t="n">
        <v>0.022896708738039</v>
      </c>
      <c r="M296" s="101" t="n">
        <v>0.0231448978192827</v>
      </c>
      <c r="N296" s="101" t="n">
        <v>0.0237878116475961</v>
      </c>
      <c r="O296" s="102" t="n">
        <v>0.0244307254759095</v>
      </c>
      <c r="P296" s="102" t="n">
        <v>0.0250736393042229</v>
      </c>
      <c r="Q296" s="83" t="n">
        <v>0.0252654391358853</v>
      </c>
      <c r="R296" s="83" t="n">
        <v>0.0258970751142824</v>
      </c>
      <c r="S296" s="83" t="n">
        <v>0.0265287110926796</v>
      </c>
      <c r="T296" s="0" t="n">
        <v>0.0271603470710767</v>
      </c>
      <c r="U296" s="93" t="n">
        <v>0.0283848142451245</v>
      </c>
      <c r="V296" s="0" t="n">
        <v>0.0290299236597865</v>
      </c>
      <c r="W296" s="0" t="n">
        <v>0.0296750330744484</v>
      </c>
      <c r="X296" s="0" t="n">
        <v>0.0303201424891103</v>
      </c>
      <c r="Y296" s="0" t="n">
        <v>0.0309652519037722</v>
      </c>
      <c r="Z296" s="0" t="n">
        <v>0.0316103613184341</v>
      </c>
      <c r="AA296" s="0" t="n">
        <v>0.032255470733096</v>
      </c>
      <c r="AB296" s="0" t="n">
        <v>0.032900580147758</v>
      </c>
      <c r="AC296" s="0" t="n">
        <v>0.0335456895624199</v>
      </c>
      <c r="AD296" s="94"/>
    </row>
    <row r="297" customFormat="false" ht="13.8" hidden="false" customHeight="false" outlineLevel="0" collapsed="false">
      <c r="A297" s="0" t="s">
        <v>1380</v>
      </c>
      <c r="B297" s="94" t="n">
        <v>8</v>
      </c>
      <c r="C297" s="98"/>
      <c r="D297" s="98"/>
      <c r="E297" s="98"/>
      <c r="F297" s="98"/>
      <c r="G297" s="99"/>
      <c r="H297" s="99"/>
      <c r="I297" s="99" t="n">
        <v>0.0209341337033499</v>
      </c>
      <c r="J297" s="99" t="n">
        <v>0.0215883253815796</v>
      </c>
      <c r="K297" s="101" t="n">
        <v>0.0222425170598093</v>
      </c>
      <c r="L297" s="101" t="n">
        <v>0.022896708738039</v>
      </c>
      <c r="M297" s="101" t="n">
        <v>0.0231448978192827</v>
      </c>
      <c r="N297" s="101" t="n">
        <v>0.0237878116475961</v>
      </c>
      <c r="O297" s="102" t="n">
        <v>0.0244307254759095</v>
      </c>
      <c r="P297" s="102" t="n">
        <v>0.0250736393042229</v>
      </c>
      <c r="Q297" s="83" t="n">
        <v>0.0252654391358853</v>
      </c>
      <c r="R297" s="83" t="n">
        <v>0.0258970751142824</v>
      </c>
      <c r="S297" s="83" t="n">
        <v>0.0265287110926796</v>
      </c>
      <c r="T297" s="0" t="n">
        <v>0.0271603470710767</v>
      </c>
      <c r="U297" s="93" t="n">
        <v>0.0283848142451245</v>
      </c>
      <c r="V297" s="0" t="n">
        <v>0.0290299236597865</v>
      </c>
      <c r="W297" s="0" t="n">
        <v>0.0296750330744484</v>
      </c>
      <c r="X297" s="0" t="n">
        <v>0.0303201424891103</v>
      </c>
      <c r="Y297" s="0" t="n">
        <v>0.0309652519037722</v>
      </c>
      <c r="Z297" s="0" t="n">
        <v>0.0316103613184341</v>
      </c>
      <c r="AA297" s="0" t="n">
        <v>0.032255470733096</v>
      </c>
      <c r="AB297" s="0" t="n">
        <v>0.032900580147758</v>
      </c>
      <c r="AC297" s="0" t="n">
        <v>0.0335456895624199</v>
      </c>
      <c r="AD297" s="94"/>
    </row>
    <row r="298" customFormat="false" ht="13.8" hidden="false" customHeight="false" outlineLevel="0" collapsed="false">
      <c r="A298" s="0" t="s">
        <v>202</v>
      </c>
      <c r="B298" s="94" t="n">
        <v>8</v>
      </c>
      <c r="C298" s="98"/>
      <c r="D298" s="98"/>
      <c r="E298" s="98"/>
      <c r="F298" s="98"/>
      <c r="G298" s="99"/>
      <c r="H298" s="99"/>
      <c r="I298" s="99"/>
      <c r="J298" s="99"/>
      <c r="K298" s="101"/>
      <c r="L298" s="101"/>
      <c r="M298" s="101"/>
      <c r="N298" s="101"/>
      <c r="O298" s="102"/>
      <c r="P298" s="102"/>
      <c r="Q298" s="83"/>
      <c r="R298" s="83"/>
      <c r="S298" s="83"/>
      <c r="U298" s="93" t="n">
        <v>0.0567696284902491</v>
      </c>
      <c r="V298" s="0" t="n">
        <v>0.0580598473195729</v>
      </c>
      <c r="W298" s="0" t="n">
        <v>0.0593500661488968</v>
      </c>
      <c r="X298" s="0" t="n">
        <v>0.0606402849782206</v>
      </c>
      <c r="Y298" s="0" t="n">
        <v>0.0619305038075444</v>
      </c>
      <c r="Z298" s="0" t="n">
        <v>0.0632207226368683</v>
      </c>
      <c r="AA298" s="0" t="n">
        <v>0.0645109414661921</v>
      </c>
      <c r="AB298" s="0" t="n">
        <v>0.0658011602955159</v>
      </c>
      <c r="AC298" s="0" t="n">
        <v>0.0670913791248398</v>
      </c>
      <c r="AD298" s="94"/>
    </row>
    <row r="299" customFormat="false" ht="13.8" hidden="false" customHeight="false" outlineLevel="0" collapsed="false">
      <c r="A299" s="0" t="s">
        <v>1384</v>
      </c>
      <c r="B299" s="94" t="n">
        <v>8</v>
      </c>
      <c r="C299" s="98"/>
      <c r="D299" s="98"/>
      <c r="E299" s="98"/>
      <c r="F299" s="98"/>
      <c r="G299" s="99"/>
      <c r="H299" s="99"/>
      <c r="I299" s="99"/>
      <c r="J299" s="99"/>
      <c r="K299" s="101"/>
      <c r="L299" s="101"/>
      <c r="M299" s="101"/>
      <c r="N299" s="101"/>
      <c r="O299" s="102"/>
      <c r="P299" s="102"/>
      <c r="Q299" s="83"/>
      <c r="R299" s="83"/>
      <c r="S299" s="83"/>
      <c r="U299" s="93" t="n">
        <v>0.0567696284902491</v>
      </c>
      <c r="V299" s="0" t="n">
        <v>0.0580598473195729</v>
      </c>
      <c r="W299" s="0" t="n">
        <v>0.0593500661488968</v>
      </c>
      <c r="X299" s="0" t="n">
        <v>0.0606402849782206</v>
      </c>
      <c r="Y299" s="0" t="n">
        <v>0.0619305038075444</v>
      </c>
      <c r="Z299" s="0" t="n">
        <v>0.0632207226368683</v>
      </c>
      <c r="AA299" s="0" t="n">
        <v>0.0645109414661921</v>
      </c>
      <c r="AB299" s="0" t="n">
        <v>0.0658011602955159</v>
      </c>
      <c r="AC299" s="0" t="n">
        <v>0.0670913791248398</v>
      </c>
      <c r="AD299" s="94"/>
    </row>
    <row r="300" customFormat="false" ht="13.8" hidden="false" customHeight="false" outlineLevel="0" collapsed="false">
      <c r="A300" s="0" t="s">
        <v>1375</v>
      </c>
      <c r="B300" s="94" t="n">
        <v>8</v>
      </c>
      <c r="C300" s="98"/>
      <c r="D300" s="98"/>
      <c r="E300" s="98"/>
      <c r="F300" s="98"/>
      <c r="G300" s="99"/>
      <c r="H300" s="99"/>
      <c r="I300" s="99" t="n">
        <v>0.0209341337033499</v>
      </c>
      <c r="J300" s="99" t="n">
        <v>0.0215883253815796</v>
      </c>
      <c r="K300" s="101" t="n">
        <v>0.0222425170598093</v>
      </c>
      <c r="L300" s="101" t="n">
        <v>0.022896708738039</v>
      </c>
      <c r="M300" s="101" t="n">
        <v>0.0231448978192827</v>
      </c>
      <c r="N300" s="101" t="n">
        <v>0.0237878116475961</v>
      </c>
      <c r="O300" s="102" t="n">
        <v>0.0244307254759095</v>
      </c>
      <c r="P300" s="102" t="n">
        <v>0.0250736393042229</v>
      </c>
      <c r="Q300" s="83" t="n">
        <v>0.0252654391358853</v>
      </c>
      <c r="R300" s="83" t="n">
        <v>0.0258970751142824</v>
      </c>
      <c r="S300" s="83" t="n">
        <v>0.0265287110926796</v>
      </c>
      <c r="T300" s="0" t="n">
        <v>0.0271603470710767</v>
      </c>
      <c r="U300" s="93" t="n">
        <v>0.0283848142451245</v>
      </c>
      <c r="V300" s="0" t="n">
        <v>0.0290299236597865</v>
      </c>
      <c r="W300" s="0" t="n">
        <v>0.0296750330744484</v>
      </c>
      <c r="X300" s="0" t="n">
        <v>0.0303201424891103</v>
      </c>
      <c r="Y300" s="0" t="n">
        <v>0.0309652519037722</v>
      </c>
      <c r="Z300" s="0" t="n">
        <v>0.0316103613184341</v>
      </c>
      <c r="AA300" s="0" t="n">
        <v>0.032255470733096</v>
      </c>
      <c r="AB300" s="0" t="n">
        <v>0.032900580147758</v>
      </c>
      <c r="AC300" s="0" t="n">
        <v>0.0335456895624199</v>
      </c>
      <c r="AD300" s="94"/>
    </row>
    <row r="301" customFormat="false" ht="13.8" hidden="false" customHeight="false" outlineLevel="0" collapsed="false">
      <c r="A301" s="0" t="s">
        <v>977</v>
      </c>
      <c r="B301" s="94" t="n">
        <v>9</v>
      </c>
      <c r="C301" s="98"/>
      <c r="D301" s="98"/>
      <c r="E301" s="98"/>
      <c r="F301" s="98"/>
      <c r="G301" s="99"/>
      <c r="H301" s="99"/>
      <c r="I301" s="99" t="n">
        <v>0.0282399646538668</v>
      </c>
      <c r="J301" s="99" t="n">
        <v>0.0291224635493001</v>
      </c>
      <c r="K301" s="101" t="n">
        <v>0.0300049624447335</v>
      </c>
      <c r="L301" s="101" t="n">
        <v>0.0308874613401668</v>
      </c>
      <c r="M301" s="101" t="n">
        <v>0.0336899272727825</v>
      </c>
      <c r="N301" s="101" t="n">
        <v>0.0346257585859154</v>
      </c>
      <c r="O301" s="102" t="n">
        <v>0.0355615898990483</v>
      </c>
      <c r="P301" s="102" t="n">
        <v>0.0364974212121811</v>
      </c>
      <c r="Q301" s="83" t="n">
        <v>0.0395665492332944</v>
      </c>
      <c r="R301" s="83" t="n">
        <v>0.0405557129641268</v>
      </c>
      <c r="S301" s="83" t="n">
        <v>0.0415448766949591</v>
      </c>
      <c r="T301" s="0" t="n">
        <v>0.0425340404257915</v>
      </c>
      <c r="U301" s="93" t="n">
        <v>0.0413820522577369</v>
      </c>
      <c r="V301" s="0" t="n">
        <v>0.0423225534454127</v>
      </c>
      <c r="W301" s="0" t="n">
        <v>0.0432630546330886</v>
      </c>
      <c r="X301" s="0" t="n">
        <v>0.0442035558207644</v>
      </c>
      <c r="Y301" s="0" t="n">
        <v>0.0451440570084403</v>
      </c>
      <c r="Z301" s="0" t="n">
        <v>0.0460845581961161</v>
      </c>
      <c r="AA301" s="0" t="n">
        <v>0.0470250593837919</v>
      </c>
      <c r="AB301" s="0" t="n">
        <v>0.0479655605714678</v>
      </c>
      <c r="AC301" s="0" t="n">
        <v>0.0489060617591436</v>
      </c>
      <c r="AD301" s="94"/>
    </row>
    <row r="302" customFormat="false" ht="13.8" hidden="false" customHeight="false" outlineLevel="0" collapsed="false">
      <c r="A302" s="0" t="s">
        <v>123</v>
      </c>
      <c r="B302" s="94" t="n">
        <v>9</v>
      </c>
      <c r="C302" s="98"/>
      <c r="D302" s="98"/>
      <c r="E302" s="98"/>
      <c r="F302" s="98"/>
      <c r="G302" s="99"/>
      <c r="H302" s="99"/>
      <c r="I302" s="99" t="n">
        <v>0.0282399646538668</v>
      </c>
      <c r="J302" s="99" t="n">
        <v>0.0291224635493001</v>
      </c>
      <c r="K302" s="101" t="n">
        <v>0.0300049624447335</v>
      </c>
      <c r="L302" s="101" t="n">
        <v>0.0308874613401668</v>
      </c>
      <c r="M302" s="101" t="n">
        <v>0.0336899272727825</v>
      </c>
      <c r="N302" s="101" t="n">
        <v>0.0346257585859154</v>
      </c>
      <c r="O302" s="102" t="n">
        <v>0.0355615898990483</v>
      </c>
      <c r="P302" s="102" t="n">
        <v>0.0364974212121811</v>
      </c>
      <c r="Q302" s="83" t="n">
        <v>0.0395665492332944</v>
      </c>
      <c r="R302" s="83" t="n">
        <v>0.0405557129641268</v>
      </c>
      <c r="S302" s="83" t="n">
        <v>0.0415448766949591</v>
      </c>
      <c r="T302" s="0" t="n">
        <v>0.0425340404257915</v>
      </c>
      <c r="U302" s="93" t="n">
        <v>0.0413820522577369</v>
      </c>
      <c r="V302" s="0" t="n">
        <v>0.0423225534454127</v>
      </c>
      <c r="W302" s="0" t="n">
        <v>0.0432630546330886</v>
      </c>
      <c r="X302" s="0" t="n">
        <v>0.0442035558207644</v>
      </c>
      <c r="Y302" s="0" t="n">
        <v>0.0451440570084403</v>
      </c>
      <c r="Z302" s="0" t="n">
        <v>0.0460845581961161</v>
      </c>
      <c r="AA302" s="0" t="n">
        <v>0.0470250593837919</v>
      </c>
      <c r="AB302" s="0" t="n">
        <v>0.0479655605714678</v>
      </c>
      <c r="AC302" s="0" t="n">
        <v>0.0489060617591436</v>
      </c>
      <c r="AD302" s="94"/>
    </row>
    <row r="303" customFormat="false" ht="13.8" hidden="false" customHeight="false" outlineLevel="0" collapsed="false">
      <c r="A303" s="0" t="s">
        <v>235</v>
      </c>
      <c r="B303" s="94" t="n">
        <v>9</v>
      </c>
      <c r="C303" s="98"/>
      <c r="D303" s="98"/>
      <c r="E303" s="98"/>
      <c r="F303" s="98"/>
      <c r="G303" s="99"/>
      <c r="H303" s="99"/>
      <c r="I303" s="99" t="n">
        <v>0.0282399646538668</v>
      </c>
      <c r="J303" s="99" t="n">
        <v>0.0291224635493001</v>
      </c>
      <c r="K303" s="101" t="n">
        <v>0.0300049624447335</v>
      </c>
      <c r="L303" s="101" t="n">
        <v>0.0308874613401668</v>
      </c>
      <c r="M303" s="101" t="n">
        <v>0.0336899272727825</v>
      </c>
      <c r="N303" s="101" t="n">
        <v>0.0346257585859154</v>
      </c>
      <c r="O303" s="102" t="n">
        <v>0.0355615898990483</v>
      </c>
      <c r="P303" s="102" t="n">
        <v>0.0364974212121811</v>
      </c>
      <c r="Q303" s="83" t="n">
        <v>0.0395665492332944</v>
      </c>
      <c r="R303" s="83" t="n">
        <v>0.0405557129641268</v>
      </c>
      <c r="S303" s="83" t="n">
        <v>0.0415448766949591</v>
      </c>
      <c r="T303" s="0" t="n">
        <v>0.0425340404257915</v>
      </c>
      <c r="U303" s="93" t="n">
        <v>0.0413820522577369</v>
      </c>
      <c r="V303" s="0" t="n">
        <v>0.0423225534454127</v>
      </c>
      <c r="W303" s="0" t="n">
        <v>0.0432630546330886</v>
      </c>
      <c r="X303" s="0" t="n">
        <v>0.0442035558207644</v>
      </c>
      <c r="Y303" s="0" t="n">
        <v>0.0451440570084403</v>
      </c>
      <c r="Z303" s="0" t="n">
        <v>0.0460845581961161</v>
      </c>
      <c r="AA303" s="0" t="n">
        <v>0.0470250593837919</v>
      </c>
      <c r="AB303" s="0" t="n">
        <v>0.0479655605714678</v>
      </c>
      <c r="AC303" s="0" t="n">
        <v>0.0489060617591436</v>
      </c>
      <c r="AD303" s="94"/>
    </row>
    <row r="304" customFormat="false" ht="13.8" hidden="false" customHeight="false" outlineLevel="0" collapsed="false">
      <c r="A304" s="0" t="s">
        <v>983</v>
      </c>
      <c r="B304" s="94" t="n">
        <v>9</v>
      </c>
      <c r="C304" s="98"/>
      <c r="D304" s="98"/>
      <c r="E304" s="98"/>
      <c r="F304" s="98"/>
      <c r="G304" s="99"/>
      <c r="H304" s="99"/>
      <c r="I304" s="99" t="n">
        <v>0.0564799293077336</v>
      </c>
      <c r="J304" s="99" t="n">
        <v>0.0582449270986003</v>
      </c>
      <c r="K304" s="101" t="n">
        <v>0.0600099248894669</v>
      </c>
      <c r="L304" s="101" t="n">
        <v>0.0617749226803336</v>
      </c>
      <c r="M304" s="101" t="n">
        <v>0.0673798545455651</v>
      </c>
      <c r="N304" s="101"/>
      <c r="O304" s="83"/>
      <c r="P304" s="83"/>
      <c r="Q304" s="83"/>
      <c r="R304" s="83"/>
      <c r="S304" s="83"/>
      <c r="AD304" s="94"/>
    </row>
    <row r="305" customFormat="false" ht="13.8" hidden="false" customHeight="false" outlineLevel="0" collapsed="false">
      <c r="A305" s="0" t="s">
        <v>980</v>
      </c>
      <c r="B305" s="94" t="n">
        <v>9</v>
      </c>
      <c r="C305" s="98"/>
      <c r="D305" s="98"/>
      <c r="E305" s="98"/>
      <c r="F305" s="98"/>
      <c r="G305" s="99"/>
      <c r="H305" s="99"/>
      <c r="I305" s="99" t="n">
        <v>0.0282399646538668</v>
      </c>
      <c r="J305" s="99" t="n">
        <v>0.0291224635493001</v>
      </c>
      <c r="K305" s="101" t="n">
        <v>0.0300049624447335</v>
      </c>
      <c r="L305" s="101" t="n">
        <v>0.0308874613401668</v>
      </c>
      <c r="M305" s="101" t="n">
        <v>0.0336899272727825</v>
      </c>
      <c r="N305" s="101" t="n">
        <v>0.0346257585859154</v>
      </c>
      <c r="O305" s="83" t="n">
        <v>0.0355615898990483</v>
      </c>
      <c r="P305" s="83" t="n">
        <v>0.0364974212121811</v>
      </c>
      <c r="Q305" s="83" t="n">
        <v>0.0395665492332944</v>
      </c>
      <c r="R305" s="83" t="n">
        <v>0.0405557129641268</v>
      </c>
      <c r="S305" s="83" t="n">
        <v>0.0415448766949591</v>
      </c>
      <c r="T305" s="0" t="n">
        <v>0.0425340404257915</v>
      </c>
      <c r="U305" s="0" t="n">
        <v>0.0413820522577369</v>
      </c>
      <c r="V305" s="0" t="n">
        <v>0.0423225534454127</v>
      </c>
      <c r="W305" s="0" t="n">
        <v>0.0432630546330886</v>
      </c>
      <c r="X305" s="0" t="n">
        <v>0.0442035558207644</v>
      </c>
      <c r="Y305" s="0" t="n">
        <v>0.0451440570084403</v>
      </c>
      <c r="Z305" s="0" t="n">
        <v>0.0460845581961161</v>
      </c>
      <c r="AA305" s="0" t="n">
        <v>0.0470250593837919</v>
      </c>
      <c r="AB305" s="0" t="n">
        <v>0.0479655605714678</v>
      </c>
      <c r="AC305" s="0" t="n">
        <v>0.0489060617591436</v>
      </c>
      <c r="AD305" s="94"/>
    </row>
    <row r="306" customFormat="false" ht="13.8" hidden="false" customHeight="false" outlineLevel="0" collapsed="false">
      <c r="A306" s="0" t="s">
        <v>977</v>
      </c>
      <c r="B306" s="94" t="n">
        <v>10</v>
      </c>
      <c r="C306" s="98"/>
      <c r="D306" s="98"/>
      <c r="E306" s="98"/>
      <c r="F306" s="98"/>
      <c r="G306" s="99"/>
      <c r="H306" s="99"/>
      <c r="I306" s="99" t="n">
        <v>0.0282399646538668</v>
      </c>
      <c r="J306" s="99" t="n">
        <v>0.0291224635493001</v>
      </c>
      <c r="K306" s="101" t="n">
        <v>0.0300049624447335</v>
      </c>
      <c r="L306" s="101" t="n">
        <v>0.0308874613401668</v>
      </c>
      <c r="M306" s="101" t="n">
        <v>0.0336899272727825</v>
      </c>
      <c r="N306" s="101" t="n">
        <v>0.0346257585859154</v>
      </c>
      <c r="O306" s="102" t="n">
        <v>0.0355615898990483</v>
      </c>
      <c r="P306" s="102" t="n">
        <v>0.0364974212121811</v>
      </c>
      <c r="Q306" s="83" t="n">
        <v>0.0395665492332944</v>
      </c>
      <c r="R306" s="83" t="n">
        <v>0.0405557129641268</v>
      </c>
      <c r="S306" s="83" t="n">
        <v>0.0415448766949591</v>
      </c>
      <c r="T306" s="0" t="n">
        <v>0.0425340404257915</v>
      </c>
      <c r="U306" s="93" t="n">
        <v>0.0413820522577369</v>
      </c>
      <c r="V306" s="0" t="n">
        <v>0.0423225534454127</v>
      </c>
      <c r="W306" s="0" t="n">
        <v>0.0432630546330886</v>
      </c>
      <c r="X306" s="0" t="n">
        <v>0.0442035558207644</v>
      </c>
      <c r="Y306" s="0" t="n">
        <v>0.0451440570084403</v>
      </c>
      <c r="Z306" s="0" t="n">
        <v>0.0460845581961161</v>
      </c>
      <c r="AA306" s="0" t="n">
        <v>0.0470250593837919</v>
      </c>
      <c r="AB306" s="0" t="n">
        <v>0.0479655605714678</v>
      </c>
      <c r="AC306" s="0" t="n">
        <v>0.0489060617591436</v>
      </c>
      <c r="AD306" s="94"/>
    </row>
    <row r="307" customFormat="false" ht="13.8" hidden="false" customHeight="false" outlineLevel="0" collapsed="false">
      <c r="A307" s="0" t="s">
        <v>123</v>
      </c>
      <c r="B307" s="94" t="n">
        <v>10</v>
      </c>
      <c r="C307" s="98"/>
      <c r="D307" s="98"/>
      <c r="E307" s="98"/>
      <c r="F307" s="98"/>
      <c r="G307" s="99"/>
      <c r="H307" s="99"/>
      <c r="I307" s="99" t="n">
        <v>0.0282399646538668</v>
      </c>
      <c r="J307" s="99" t="n">
        <v>0.0291224635493001</v>
      </c>
      <c r="K307" s="101" t="n">
        <v>0.0300049624447335</v>
      </c>
      <c r="L307" s="101" t="n">
        <v>0.0308874613401668</v>
      </c>
      <c r="M307" s="101" t="n">
        <v>0.0336899272727825</v>
      </c>
      <c r="N307" s="101" t="n">
        <v>0.0346257585859154</v>
      </c>
      <c r="O307" s="102" t="n">
        <v>0.0355615898990483</v>
      </c>
      <c r="P307" s="102" t="n">
        <v>0.0364974212121811</v>
      </c>
      <c r="Q307" s="83" t="n">
        <v>0.0395665492332944</v>
      </c>
      <c r="R307" s="83" t="n">
        <v>0.0405557129641268</v>
      </c>
      <c r="S307" s="83" t="n">
        <v>0.0415448766949591</v>
      </c>
      <c r="T307" s="0" t="n">
        <v>0.0425340404257915</v>
      </c>
      <c r="U307" s="93" t="n">
        <v>0.0413820522577369</v>
      </c>
      <c r="V307" s="0" t="n">
        <v>0.0423225534454127</v>
      </c>
      <c r="W307" s="0" t="n">
        <v>0.0432630546330886</v>
      </c>
      <c r="X307" s="0" t="n">
        <v>0.0442035558207644</v>
      </c>
      <c r="Y307" s="0" t="n">
        <v>0.0451440570084403</v>
      </c>
      <c r="Z307" s="0" t="n">
        <v>0.0460845581961161</v>
      </c>
      <c r="AA307" s="0" t="n">
        <v>0.0470250593837919</v>
      </c>
      <c r="AB307" s="0" t="n">
        <v>0.0479655605714678</v>
      </c>
      <c r="AC307" s="0" t="n">
        <v>0.0489060617591436</v>
      </c>
      <c r="AD307" s="94"/>
    </row>
    <row r="308" customFormat="false" ht="13.8" hidden="false" customHeight="false" outlineLevel="0" collapsed="false">
      <c r="A308" s="0" t="s">
        <v>235</v>
      </c>
      <c r="B308" s="94" t="n">
        <v>10</v>
      </c>
      <c r="C308" s="98"/>
      <c r="D308" s="98"/>
      <c r="E308" s="98"/>
      <c r="F308" s="98"/>
      <c r="G308" s="99"/>
      <c r="H308" s="99"/>
      <c r="I308" s="99" t="n">
        <v>0.0282399646538668</v>
      </c>
      <c r="J308" s="99" t="n">
        <v>0.0291224635493001</v>
      </c>
      <c r="K308" s="101" t="n">
        <v>0.0300049624447335</v>
      </c>
      <c r="L308" s="101" t="n">
        <v>0.0308874613401668</v>
      </c>
      <c r="M308" s="101" t="n">
        <v>0.0336899272727825</v>
      </c>
      <c r="N308" s="101" t="n">
        <v>0.0346257585859154</v>
      </c>
      <c r="O308" s="102" t="n">
        <v>0.0355615898990483</v>
      </c>
      <c r="P308" s="102" t="n">
        <v>0.0364974212121811</v>
      </c>
      <c r="Q308" s="102" t="n">
        <v>0.0395665492332944</v>
      </c>
      <c r="R308" s="102" t="n">
        <v>0.0405557129641268</v>
      </c>
      <c r="S308" s="102" t="n">
        <v>0.0415448766949591</v>
      </c>
      <c r="T308" s="0" t="n">
        <v>0.0425340404257915</v>
      </c>
      <c r="U308" s="93" t="n">
        <v>0.0413820522577369</v>
      </c>
      <c r="V308" s="0" t="n">
        <v>0.0423225534454127</v>
      </c>
      <c r="W308" s="0" t="n">
        <v>0.0432630546330886</v>
      </c>
      <c r="X308" s="0" t="n">
        <v>0.0442035558207644</v>
      </c>
      <c r="Y308" s="0" t="n">
        <v>0.0451440570084403</v>
      </c>
      <c r="Z308" s="0" t="n">
        <v>0.0460845581961161</v>
      </c>
      <c r="AA308" s="0" t="n">
        <v>0.0470250593837919</v>
      </c>
      <c r="AB308" s="0" t="n">
        <v>0.0479655605714678</v>
      </c>
      <c r="AC308" s="0" t="n">
        <v>0.0489060617591436</v>
      </c>
      <c r="AD308" s="94"/>
    </row>
    <row r="309" customFormat="false" ht="13.8" hidden="false" customHeight="false" outlineLevel="0" collapsed="false">
      <c r="A309" s="0" t="s">
        <v>983</v>
      </c>
      <c r="B309" s="94" t="n">
        <v>10</v>
      </c>
      <c r="C309" s="98"/>
      <c r="D309" s="98"/>
      <c r="E309" s="98"/>
      <c r="F309" s="98"/>
      <c r="G309" s="99"/>
      <c r="H309" s="99"/>
      <c r="I309" s="99" t="n">
        <v>0.0564799293077336</v>
      </c>
      <c r="J309" s="99" t="n">
        <v>0.0582449270986003</v>
      </c>
      <c r="K309" s="101" t="n">
        <v>0.0600099248894669</v>
      </c>
      <c r="L309" s="101" t="n">
        <v>0.0617749226803336</v>
      </c>
      <c r="M309" s="101" t="n">
        <v>0.0673798545455651</v>
      </c>
      <c r="N309" s="101"/>
      <c r="O309" s="102"/>
      <c r="P309" s="102"/>
      <c r="Q309" s="83"/>
      <c r="R309" s="83"/>
      <c r="S309" s="83"/>
      <c r="U309" s="93"/>
      <c r="AD309" s="94"/>
    </row>
    <row r="310" customFormat="false" ht="13.8" hidden="false" customHeight="false" outlineLevel="0" collapsed="false">
      <c r="A310" s="0" t="s">
        <v>980</v>
      </c>
      <c r="B310" s="94" t="n">
        <v>10</v>
      </c>
      <c r="C310" s="98"/>
      <c r="D310" s="98"/>
      <c r="E310" s="98"/>
      <c r="F310" s="98"/>
      <c r="G310" s="99"/>
      <c r="H310" s="99"/>
      <c r="I310" s="99" t="n">
        <v>0.0282399646538668</v>
      </c>
      <c r="J310" s="99" t="n">
        <v>0.0291224635493001</v>
      </c>
      <c r="K310" s="101" t="n">
        <v>0.0300049624447335</v>
      </c>
      <c r="L310" s="101" t="n">
        <v>0.0308874613401668</v>
      </c>
      <c r="M310" s="101" t="n">
        <v>0.0336899272727825</v>
      </c>
      <c r="N310" s="101" t="n">
        <v>0.0346257585859154</v>
      </c>
      <c r="O310" s="102" t="n">
        <v>0.0355615898990483</v>
      </c>
      <c r="P310" s="102" t="n">
        <v>0.0364974212121811</v>
      </c>
      <c r="Q310" s="83" t="n">
        <v>0.0395665492332944</v>
      </c>
      <c r="R310" s="83" t="n">
        <v>0.0405557129641268</v>
      </c>
      <c r="S310" s="83" t="n">
        <v>0.0415448766949591</v>
      </c>
      <c r="T310" s="0" t="n">
        <v>0.0425340404257915</v>
      </c>
      <c r="U310" s="93" t="n">
        <v>0.0413820522577369</v>
      </c>
      <c r="V310" s="0" t="n">
        <v>0.0423225534454127</v>
      </c>
      <c r="W310" s="0" t="n">
        <v>0.0432630546330886</v>
      </c>
      <c r="X310" s="0" t="n">
        <v>0.0442035558207644</v>
      </c>
      <c r="Y310" s="0" t="n">
        <v>0.0451440570084403</v>
      </c>
      <c r="Z310" s="0" t="n">
        <v>0.0460845581961161</v>
      </c>
      <c r="AA310" s="0" t="n">
        <v>0.0470250593837919</v>
      </c>
      <c r="AB310" s="0" t="n">
        <v>0.0479655605714678</v>
      </c>
      <c r="AC310" s="0" t="n">
        <v>0.0489060617591436</v>
      </c>
      <c r="AD310" s="94"/>
    </row>
    <row r="311" customFormat="false" ht="13.8" hidden="false" customHeight="false" outlineLevel="0" collapsed="false">
      <c r="A311" s="0" t="s">
        <v>977</v>
      </c>
      <c r="B311" s="94" t="n">
        <v>11</v>
      </c>
      <c r="C311" s="98"/>
      <c r="D311" s="98"/>
      <c r="E311" s="98"/>
      <c r="F311" s="98"/>
      <c r="G311" s="99"/>
      <c r="H311" s="99"/>
      <c r="I311" s="99" t="n">
        <v>0.0282399646538668</v>
      </c>
      <c r="J311" s="99" t="n">
        <v>0.0291224635493001</v>
      </c>
      <c r="K311" s="101" t="n">
        <v>0.0300049624447335</v>
      </c>
      <c r="L311" s="101" t="n">
        <v>0.0308874613401668</v>
      </c>
      <c r="M311" s="101" t="n">
        <v>0.0336899272727825</v>
      </c>
      <c r="N311" s="101" t="n">
        <v>0.0346257585859154</v>
      </c>
      <c r="O311" s="102" t="n">
        <v>0.0355615898990483</v>
      </c>
      <c r="P311" s="102" t="n">
        <v>0.0364974212121811</v>
      </c>
      <c r="Q311" s="83" t="n">
        <v>0.0395665492332944</v>
      </c>
      <c r="R311" s="83" t="n">
        <v>0.0405557129641268</v>
      </c>
      <c r="S311" s="83" t="n">
        <v>0.0415448766949591</v>
      </c>
      <c r="T311" s="0" t="n">
        <v>0.0425340404257915</v>
      </c>
      <c r="U311" s="93" t="n">
        <v>0.0413820522577369</v>
      </c>
      <c r="V311" s="0" t="n">
        <v>0.0423225534454127</v>
      </c>
      <c r="W311" s="0" t="n">
        <v>0.0432630546330886</v>
      </c>
      <c r="X311" s="0" t="n">
        <v>0.0442035558207644</v>
      </c>
      <c r="Y311" s="0" t="n">
        <v>0.0451440570084403</v>
      </c>
      <c r="Z311" s="0" t="n">
        <v>0.0460845581961161</v>
      </c>
      <c r="AA311" s="0" t="n">
        <v>0.0470250593837919</v>
      </c>
      <c r="AB311" s="0" t="n">
        <v>0.0479655605714678</v>
      </c>
      <c r="AC311" s="0" t="n">
        <v>0.0489060617591436</v>
      </c>
      <c r="AD311" s="94"/>
    </row>
    <row r="312" customFormat="false" ht="13.8" hidden="false" customHeight="false" outlineLevel="0" collapsed="false">
      <c r="A312" s="0" t="s">
        <v>123</v>
      </c>
      <c r="B312" s="94" t="n">
        <v>11</v>
      </c>
      <c r="C312" s="98"/>
      <c r="D312" s="98"/>
      <c r="E312" s="98"/>
      <c r="F312" s="98"/>
      <c r="G312" s="99"/>
      <c r="H312" s="99"/>
      <c r="I312" s="99" t="n">
        <v>0.0282399646538668</v>
      </c>
      <c r="J312" s="99" t="n">
        <v>0.0291224635493001</v>
      </c>
      <c r="K312" s="101" t="n">
        <v>0.0300049624447335</v>
      </c>
      <c r="L312" s="101" t="n">
        <v>0.0308874613401668</v>
      </c>
      <c r="M312" s="101" t="n">
        <v>0.0336899272727825</v>
      </c>
      <c r="N312" s="101" t="n">
        <v>0.0346257585859154</v>
      </c>
      <c r="O312" s="102" t="n">
        <v>0.0355615898990483</v>
      </c>
      <c r="P312" s="102" t="n">
        <v>0.0364974212121811</v>
      </c>
      <c r="Q312" s="83" t="n">
        <v>0.0395665492332944</v>
      </c>
      <c r="R312" s="83" t="n">
        <v>0.0405557129641268</v>
      </c>
      <c r="S312" s="83" t="n">
        <v>0.0415448766949591</v>
      </c>
      <c r="T312" s="0" t="n">
        <v>0.0425340404257915</v>
      </c>
      <c r="U312" s="93" t="n">
        <v>0.0413820522577369</v>
      </c>
      <c r="V312" s="0" t="n">
        <v>0.0423225534454127</v>
      </c>
      <c r="W312" s="0" t="n">
        <v>0.0432630546330886</v>
      </c>
      <c r="X312" s="0" t="n">
        <v>0.0442035558207644</v>
      </c>
      <c r="Y312" s="0" t="n">
        <v>0.0451440570084403</v>
      </c>
      <c r="Z312" s="0" t="n">
        <v>0.0460845581961161</v>
      </c>
      <c r="AA312" s="0" t="n">
        <v>0.0470250593837919</v>
      </c>
      <c r="AB312" s="0" t="n">
        <v>0.0479655605714678</v>
      </c>
      <c r="AC312" s="0" t="n">
        <v>0.0489060617591436</v>
      </c>
      <c r="AD312" s="94"/>
    </row>
    <row r="313" customFormat="false" ht="13.8" hidden="false" customHeight="false" outlineLevel="0" collapsed="false">
      <c r="A313" s="0" t="s">
        <v>235</v>
      </c>
      <c r="B313" s="94" t="n">
        <v>11</v>
      </c>
      <c r="C313" s="98"/>
      <c r="D313" s="98"/>
      <c r="E313" s="98"/>
      <c r="F313" s="98"/>
      <c r="G313" s="99"/>
      <c r="H313" s="99"/>
      <c r="I313" s="99" t="n">
        <v>0.0282399646538668</v>
      </c>
      <c r="J313" s="99" t="n">
        <v>0.0291224635493001</v>
      </c>
      <c r="K313" s="101" t="n">
        <v>0.0300049624447335</v>
      </c>
      <c r="L313" s="101" t="n">
        <v>0.0308874613401668</v>
      </c>
      <c r="M313" s="101" t="n">
        <v>0.0336899272727825</v>
      </c>
      <c r="N313" s="101" t="n">
        <v>0.0346257585859154</v>
      </c>
      <c r="O313" s="102" t="n">
        <v>0.0355615898990483</v>
      </c>
      <c r="P313" s="102" t="n">
        <v>0.0364974212121811</v>
      </c>
      <c r="Q313" s="83" t="n">
        <v>0.0395665492332944</v>
      </c>
      <c r="R313" s="83" t="n">
        <v>0.0405557129641268</v>
      </c>
      <c r="S313" s="83" t="n">
        <v>0.0415448766949591</v>
      </c>
      <c r="T313" s="0" t="n">
        <v>0.0425340404257915</v>
      </c>
      <c r="U313" s="93" t="n">
        <v>0.0413820522577369</v>
      </c>
      <c r="V313" s="0" t="n">
        <v>0.0423225534454127</v>
      </c>
      <c r="W313" s="0" t="n">
        <v>0.0432630546330886</v>
      </c>
      <c r="X313" s="0" t="n">
        <v>0.0442035558207644</v>
      </c>
      <c r="Y313" s="0" t="n">
        <v>0.0451440570084403</v>
      </c>
      <c r="Z313" s="0" t="n">
        <v>0.0460845581961161</v>
      </c>
      <c r="AA313" s="0" t="n">
        <v>0.0470250593837919</v>
      </c>
      <c r="AB313" s="0" t="n">
        <v>0.0479655605714678</v>
      </c>
      <c r="AC313" s="0" t="n">
        <v>0.0489060617591436</v>
      </c>
      <c r="AD313" s="94"/>
    </row>
    <row r="314" customFormat="false" ht="13.8" hidden="false" customHeight="false" outlineLevel="0" collapsed="false">
      <c r="A314" s="0" t="s">
        <v>983</v>
      </c>
      <c r="B314" s="94" t="n">
        <v>11</v>
      </c>
      <c r="C314" s="98"/>
      <c r="D314" s="98"/>
      <c r="E314" s="98"/>
      <c r="F314" s="98"/>
      <c r="G314" s="99"/>
      <c r="H314" s="99"/>
      <c r="I314" s="99" t="n">
        <v>0.0564799293077336</v>
      </c>
      <c r="J314" s="99" t="n">
        <v>0.0582449270986003</v>
      </c>
      <c r="K314" s="101" t="n">
        <v>0.0600099248894669</v>
      </c>
      <c r="L314" s="101" t="n">
        <v>0.0617749226803336</v>
      </c>
      <c r="M314" s="101" t="n">
        <v>0.0673798545455651</v>
      </c>
      <c r="N314" s="101"/>
      <c r="O314" s="102"/>
      <c r="P314" s="102"/>
      <c r="Q314" s="83"/>
      <c r="R314" s="83"/>
      <c r="S314" s="83"/>
      <c r="U314" s="93"/>
      <c r="AD314" s="94"/>
    </row>
    <row r="315" customFormat="false" ht="13.8" hidden="false" customHeight="false" outlineLevel="0" collapsed="false">
      <c r="A315" s="0" t="s">
        <v>980</v>
      </c>
      <c r="B315" s="94" t="n">
        <v>11</v>
      </c>
      <c r="C315" s="98"/>
      <c r="D315" s="98"/>
      <c r="E315" s="98"/>
      <c r="F315" s="98"/>
      <c r="G315" s="99"/>
      <c r="H315" s="99"/>
      <c r="I315" s="99" t="n">
        <v>0.0282399646538668</v>
      </c>
      <c r="J315" s="99" t="n">
        <v>0.0291224635493001</v>
      </c>
      <c r="K315" s="101" t="n">
        <v>0.0300049624447335</v>
      </c>
      <c r="L315" s="101" t="n">
        <v>0.0308874613401668</v>
      </c>
      <c r="M315" s="101" t="n">
        <v>0.0336899272727825</v>
      </c>
      <c r="N315" s="101" t="n">
        <v>0.0346257585859154</v>
      </c>
      <c r="O315" s="102" t="n">
        <v>0.0355615898990483</v>
      </c>
      <c r="P315" s="102" t="n">
        <v>0.0364974212121811</v>
      </c>
      <c r="Q315" s="83" t="n">
        <v>0.0395665492332944</v>
      </c>
      <c r="R315" s="83" t="n">
        <v>0.0405557129641268</v>
      </c>
      <c r="S315" s="83" t="n">
        <v>0.0415448766949591</v>
      </c>
      <c r="T315" s="0" t="n">
        <v>0.0425340404257915</v>
      </c>
      <c r="U315" s="0" t="n">
        <v>0.0413820522577369</v>
      </c>
      <c r="V315" s="0" t="n">
        <v>0.0423225534454127</v>
      </c>
      <c r="W315" s="0" t="n">
        <v>0.0432630546330886</v>
      </c>
      <c r="X315" s="0" t="n">
        <v>0.0442035558207644</v>
      </c>
      <c r="Y315" s="0" t="n">
        <v>0.0451440570084403</v>
      </c>
      <c r="Z315" s="0" t="n">
        <v>0.0460845581961161</v>
      </c>
      <c r="AA315" s="0" t="n">
        <v>0.0470250593837919</v>
      </c>
      <c r="AB315" s="0" t="n">
        <v>0.0479655605714678</v>
      </c>
      <c r="AC315" s="0" t="n">
        <v>0.0489060617591436</v>
      </c>
      <c r="AD315" s="94"/>
    </row>
    <row r="316" customFormat="false" ht="13.8" hidden="false" customHeight="false" outlineLevel="0" collapsed="false">
      <c r="A316" s="0" t="s">
        <v>977</v>
      </c>
      <c r="B316" s="94" t="n">
        <v>12</v>
      </c>
      <c r="C316" s="98"/>
      <c r="D316" s="98"/>
      <c r="E316" s="98"/>
      <c r="F316" s="98"/>
      <c r="G316" s="99"/>
      <c r="H316" s="99"/>
      <c r="I316" s="99" t="n">
        <v>0.0282399646538668</v>
      </c>
      <c r="J316" s="99" t="n">
        <v>0.0291224635493001</v>
      </c>
      <c r="K316" s="101" t="n">
        <v>0.0300049624447335</v>
      </c>
      <c r="L316" s="101" t="n">
        <v>0.0308874613401668</v>
      </c>
      <c r="M316" s="101" t="n">
        <v>0.0336899272727825</v>
      </c>
      <c r="N316" s="101" t="n">
        <v>0.0346257585859154</v>
      </c>
      <c r="O316" s="102" t="n">
        <v>0.0355615898990483</v>
      </c>
      <c r="P316" s="102" t="n">
        <v>0.0364974212121811</v>
      </c>
      <c r="Q316" s="83" t="n">
        <v>0.0395665492332944</v>
      </c>
      <c r="R316" s="83" t="n">
        <v>0.0405557129641268</v>
      </c>
      <c r="S316" s="83" t="n">
        <v>0.0415448766949591</v>
      </c>
      <c r="T316" s="0" t="n">
        <v>0.0425340404257915</v>
      </c>
      <c r="U316" s="0" t="n">
        <v>0.0413820522577369</v>
      </c>
      <c r="V316" s="0" t="n">
        <v>0.0423225534454127</v>
      </c>
      <c r="W316" s="0" t="n">
        <v>0.0432630546330886</v>
      </c>
      <c r="X316" s="0" t="n">
        <v>0.0442035558207644</v>
      </c>
      <c r="Y316" s="0" t="n">
        <v>0.0451440570084403</v>
      </c>
      <c r="Z316" s="0" t="n">
        <v>0.0460845581961161</v>
      </c>
      <c r="AA316" s="0" t="n">
        <v>0.0470250593837919</v>
      </c>
      <c r="AB316" s="0" t="n">
        <v>0.0479655605714678</v>
      </c>
      <c r="AC316" s="0" t="n">
        <v>0.0489060617591436</v>
      </c>
      <c r="AD316" s="94"/>
    </row>
    <row r="317" customFormat="false" ht="13.8" hidden="false" customHeight="false" outlineLevel="0" collapsed="false">
      <c r="A317" s="0" t="s">
        <v>123</v>
      </c>
      <c r="B317" s="94" t="n">
        <v>12</v>
      </c>
      <c r="C317" s="98"/>
      <c r="D317" s="98"/>
      <c r="E317" s="98"/>
      <c r="F317" s="98"/>
      <c r="G317" s="99"/>
      <c r="H317" s="99"/>
      <c r="I317" s="99" t="n">
        <v>0.0282399646538668</v>
      </c>
      <c r="J317" s="99" t="n">
        <v>0.0291224635493001</v>
      </c>
      <c r="K317" s="101" t="n">
        <v>0.0300049624447335</v>
      </c>
      <c r="L317" s="101" t="n">
        <v>0.0308874613401668</v>
      </c>
      <c r="M317" s="101" t="n">
        <v>0.0336899272727825</v>
      </c>
      <c r="N317" s="101" t="n">
        <v>0.0346257585859154</v>
      </c>
      <c r="O317" s="102" t="n">
        <v>0.0355615898990483</v>
      </c>
      <c r="P317" s="102" t="n">
        <v>0.0364974212121811</v>
      </c>
      <c r="Q317" s="83" t="n">
        <v>0.0395665492332944</v>
      </c>
      <c r="R317" s="83" t="n">
        <v>0.0405557129641268</v>
      </c>
      <c r="S317" s="83" t="n">
        <v>0.0415448766949591</v>
      </c>
      <c r="T317" s="0" t="n">
        <v>0.0425340404257915</v>
      </c>
      <c r="U317" s="93" t="n">
        <v>0.0413820522577369</v>
      </c>
      <c r="V317" s="0" t="n">
        <v>0.0423225534454127</v>
      </c>
      <c r="W317" s="0" t="n">
        <v>0.0432630546330886</v>
      </c>
      <c r="X317" s="0" t="n">
        <v>0.0442035558207644</v>
      </c>
      <c r="Y317" s="0" t="n">
        <v>0.0451440570084403</v>
      </c>
      <c r="Z317" s="0" t="n">
        <v>0.0460845581961161</v>
      </c>
      <c r="AA317" s="0" t="n">
        <v>0.0470250593837919</v>
      </c>
      <c r="AB317" s="0" t="n">
        <v>0.0479655605714678</v>
      </c>
      <c r="AC317" s="0" t="n">
        <v>0.0489060617591436</v>
      </c>
      <c r="AD317" s="94"/>
    </row>
    <row r="318" customFormat="false" ht="13.8" hidden="false" customHeight="false" outlineLevel="0" collapsed="false">
      <c r="A318" s="0" t="s">
        <v>235</v>
      </c>
      <c r="B318" s="94" t="n">
        <v>12</v>
      </c>
      <c r="C318" s="98"/>
      <c r="D318" s="98"/>
      <c r="E318" s="98"/>
      <c r="F318" s="98"/>
      <c r="G318" s="99"/>
      <c r="H318" s="99"/>
      <c r="I318" s="99" t="n">
        <v>0.0282399646538668</v>
      </c>
      <c r="J318" s="99" t="n">
        <v>0.0291224635493001</v>
      </c>
      <c r="K318" s="101" t="n">
        <v>0.0300049624447335</v>
      </c>
      <c r="L318" s="101" t="n">
        <v>0.0308874613401668</v>
      </c>
      <c r="M318" s="101" t="n">
        <v>0.0336899272727825</v>
      </c>
      <c r="N318" s="101" t="n">
        <v>0.0346257585859154</v>
      </c>
      <c r="O318" s="102" t="n">
        <v>0.0355615898990483</v>
      </c>
      <c r="P318" s="102" t="n">
        <v>0.0364974212121811</v>
      </c>
      <c r="Q318" s="83" t="n">
        <v>0.0395665492332944</v>
      </c>
      <c r="R318" s="83" t="n">
        <v>0.0405557129641268</v>
      </c>
      <c r="S318" s="83" t="n">
        <v>0.0415448766949591</v>
      </c>
      <c r="T318" s="0" t="n">
        <v>0.0425340404257915</v>
      </c>
      <c r="U318" s="93" t="n">
        <v>0.0413820522577369</v>
      </c>
      <c r="V318" s="0" t="n">
        <v>0.0423225534454127</v>
      </c>
      <c r="W318" s="0" t="n">
        <v>0.0432630546330886</v>
      </c>
      <c r="X318" s="0" t="n">
        <v>0.0442035558207644</v>
      </c>
      <c r="Y318" s="0" t="n">
        <v>0.0451440570084403</v>
      </c>
      <c r="Z318" s="0" t="n">
        <v>0.0460845581961161</v>
      </c>
      <c r="AA318" s="0" t="n">
        <v>0.0470250593837919</v>
      </c>
      <c r="AB318" s="0" t="n">
        <v>0.0479655605714678</v>
      </c>
      <c r="AC318" s="0" t="n">
        <v>0.0489060617591436</v>
      </c>
      <c r="AD318" s="94"/>
    </row>
    <row r="319" customFormat="false" ht="13.8" hidden="false" customHeight="false" outlineLevel="0" collapsed="false">
      <c r="A319" s="0" t="s">
        <v>983</v>
      </c>
      <c r="B319" s="94" t="n">
        <v>12</v>
      </c>
      <c r="C319" s="98"/>
      <c r="D319" s="98"/>
      <c r="E319" s="98"/>
      <c r="F319" s="98"/>
      <c r="G319" s="99"/>
      <c r="H319" s="99"/>
      <c r="I319" s="99" t="n">
        <v>0.0564799293077336</v>
      </c>
      <c r="J319" s="99" t="n">
        <v>0.0582449270986003</v>
      </c>
      <c r="K319" s="101" t="n">
        <v>0.0600099248894669</v>
      </c>
      <c r="L319" s="101" t="n">
        <v>0.0617749226803336</v>
      </c>
      <c r="M319" s="101" t="n">
        <v>0.0673798545455651</v>
      </c>
      <c r="N319" s="101"/>
      <c r="O319" s="102"/>
      <c r="P319" s="102"/>
      <c r="Q319" s="83"/>
      <c r="R319" s="83"/>
      <c r="S319" s="83"/>
      <c r="U319" s="93"/>
      <c r="AD319" s="94"/>
    </row>
    <row r="320" customFormat="false" ht="13.8" hidden="false" customHeight="false" outlineLevel="0" collapsed="false">
      <c r="A320" s="0" t="s">
        <v>980</v>
      </c>
      <c r="B320" s="94" t="n">
        <v>12</v>
      </c>
      <c r="C320" s="98"/>
      <c r="D320" s="98"/>
      <c r="E320" s="98"/>
      <c r="F320" s="98"/>
      <c r="G320" s="99"/>
      <c r="H320" s="99"/>
      <c r="I320" s="99" t="n">
        <v>0.0282399646538668</v>
      </c>
      <c r="J320" s="99" t="n">
        <v>0.0291224635493001</v>
      </c>
      <c r="K320" s="101" t="n">
        <v>0.0300049624447335</v>
      </c>
      <c r="L320" s="101" t="n">
        <v>0.0308874613401668</v>
      </c>
      <c r="M320" s="101" t="n">
        <v>0.0336899272727825</v>
      </c>
      <c r="N320" s="101" t="n">
        <v>0.0346257585859154</v>
      </c>
      <c r="O320" s="102" t="n">
        <v>0.0355615898990483</v>
      </c>
      <c r="P320" s="102" t="n">
        <v>0.0364974212121811</v>
      </c>
      <c r="Q320" s="83" t="n">
        <v>0.0395665492332944</v>
      </c>
      <c r="R320" s="83" t="n">
        <v>0.0405557129641268</v>
      </c>
      <c r="S320" s="83" t="n">
        <v>0.0415448766949591</v>
      </c>
      <c r="T320" s="0" t="n">
        <v>0.0425340404257915</v>
      </c>
      <c r="U320" s="93" t="n">
        <v>0.0413820522577369</v>
      </c>
      <c r="V320" s="0" t="n">
        <v>0.0423225534454127</v>
      </c>
      <c r="W320" s="0" t="n">
        <v>0.0432630546330886</v>
      </c>
      <c r="X320" s="0" t="n">
        <v>0.0442035558207644</v>
      </c>
      <c r="Y320" s="0" t="n">
        <v>0.0451440570084403</v>
      </c>
      <c r="Z320" s="0" t="n">
        <v>0.0460845581961161</v>
      </c>
      <c r="AA320" s="0" t="n">
        <v>0.0470250593837919</v>
      </c>
      <c r="AB320" s="0" t="n">
        <v>0.0479655605714678</v>
      </c>
      <c r="AC320" s="0" t="n">
        <v>0.0489060617591436</v>
      </c>
      <c r="AD320" s="94"/>
    </row>
    <row r="321" customFormat="false" ht="13.8" hidden="false" customHeight="false" outlineLevel="0" collapsed="false">
      <c r="A321" s="0" t="s">
        <v>977</v>
      </c>
      <c r="B321" s="94" t="n">
        <v>13</v>
      </c>
      <c r="C321" s="98"/>
      <c r="D321" s="98"/>
      <c r="E321" s="98"/>
      <c r="F321" s="98"/>
      <c r="G321" s="99"/>
      <c r="H321" s="99"/>
      <c r="I321" s="99" t="n">
        <v>0.0282399646538668</v>
      </c>
      <c r="J321" s="99" t="n">
        <v>0.0291224635493001</v>
      </c>
      <c r="K321" s="101" t="n">
        <v>0.0300049624447335</v>
      </c>
      <c r="L321" s="101" t="n">
        <v>0.0308874613401668</v>
      </c>
      <c r="M321" s="101" t="n">
        <v>0.0336899272727825</v>
      </c>
      <c r="N321" s="101" t="n">
        <v>0.0346257585859154</v>
      </c>
      <c r="O321" s="102" t="n">
        <v>0.0355615898990483</v>
      </c>
      <c r="P321" s="102" t="n">
        <v>0.0364974212121811</v>
      </c>
      <c r="Q321" s="83" t="n">
        <v>0.0395665492332944</v>
      </c>
      <c r="R321" s="83" t="n">
        <v>0.0405557129641268</v>
      </c>
      <c r="S321" s="83" t="n">
        <v>0.0415448766949591</v>
      </c>
      <c r="T321" s="0" t="n">
        <v>0.0425340404257915</v>
      </c>
      <c r="U321" s="93" t="n">
        <v>0.0413820522577369</v>
      </c>
      <c r="V321" s="0" t="n">
        <v>0.0423225534454127</v>
      </c>
      <c r="W321" s="0" t="n">
        <v>0.0432630546330886</v>
      </c>
      <c r="X321" s="0" t="n">
        <v>0.0442035558207644</v>
      </c>
      <c r="Y321" s="0" t="n">
        <v>0.0451440570084403</v>
      </c>
      <c r="Z321" s="0" t="n">
        <v>0.0460845581961161</v>
      </c>
      <c r="AA321" s="0" t="n">
        <v>0.0470250593837919</v>
      </c>
      <c r="AB321" s="0" t="n">
        <v>0.0479655605714678</v>
      </c>
      <c r="AC321" s="0" t="n">
        <v>0.0489060617591436</v>
      </c>
      <c r="AD321" s="94"/>
    </row>
    <row r="322" customFormat="false" ht="13.8" hidden="false" customHeight="false" outlineLevel="0" collapsed="false">
      <c r="A322" s="0" t="s">
        <v>123</v>
      </c>
      <c r="B322" s="94" t="n">
        <v>13</v>
      </c>
      <c r="C322" s="98"/>
      <c r="D322" s="98"/>
      <c r="E322" s="98"/>
      <c r="F322" s="98"/>
      <c r="G322" s="99"/>
      <c r="H322" s="99"/>
      <c r="I322" s="99" t="n">
        <v>0.0282399646538668</v>
      </c>
      <c r="J322" s="99" t="n">
        <v>0.0291224635493001</v>
      </c>
      <c r="K322" s="101" t="n">
        <v>0.0300049624447335</v>
      </c>
      <c r="L322" s="101" t="n">
        <v>0.0308874613401668</v>
      </c>
      <c r="M322" s="101" t="n">
        <v>0.0336899272727825</v>
      </c>
      <c r="N322" s="101" t="n">
        <v>0.0346257585859154</v>
      </c>
      <c r="O322" s="102" t="n">
        <v>0.0355615898990483</v>
      </c>
      <c r="P322" s="102" t="n">
        <v>0.0364974212121811</v>
      </c>
      <c r="Q322" s="102" t="n">
        <v>0.0395665492332944</v>
      </c>
      <c r="R322" s="102" t="n">
        <v>0.0405557129641268</v>
      </c>
      <c r="S322" s="102" t="n">
        <v>0.0415448766949591</v>
      </c>
      <c r="T322" s="0" t="n">
        <v>0.0425340404257915</v>
      </c>
      <c r="U322" s="93" t="n">
        <v>0.0413820522577369</v>
      </c>
      <c r="V322" s="0" t="n">
        <v>0.0423225534454127</v>
      </c>
      <c r="W322" s="0" t="n">
        <v>0.0432630546330886</v>
      </c>
      <c r="X322" s="0" t="n">
        <v>0.0442035558207644</v>
      </c>
      <c r="Y322" s="0" t="n">
        <v>0.0451440570084403</v>
      </c>
      <c r="Z322" s="0" t="n">
        <v>0.0460845581961161</v>
      </c>
      <c r="AA322" s="0" t="n">
        <v>0.0470250593837919</v>
      </c>
      <c r="AB322" s="0" t="n">
        <v>0.0479655605714678</v>
      </c>
      <c r="AC322" s="0" t="n">
        <v>0.0489060617591436</v>
      </c>
      <c r="AD322" s="94"/>
    </row>
    <row r="323" customFormat="false" ht="13.8" hidden="false" customHeight="false" outlineLevel="0" collapsed="false">
      <c r="A323" s="0" t="s">
        <v>235</v>
      </c>
      <c r="B323" s="94" t="n">
        <v>13</v>
      </c>
      <c r="C323" s="98"/>
      <c r="D323" s="98"/>
      <c r="E323" s="98"/>
      <c r="F323" s="98"/>
      <c r="G323" s="99"/>
      <c r="H323" s="99"/>
      <c r="I323" s="99" t="n">
        <v>0.0282399646538668</v>
      </c>
      <c r="J323" s="99" t="n">
        <v>0.0291224635493001</v>
      </c>
      <c r="K323" s="101" t="n">
        <v>0.0300049624447335</v>
      </c>
      <c r="L323" s="101" t="n">
        <v>0.0308874613401668</v>
      </c>
      <c r="M323" s="101" t="n">
        <v>0.0336899272727825</v>
      </c>
      <c r="N323" s="101" t="n">
        <v>0.0346257585859154</v>
      </c>
      <c r="O323" s="102" t="n">
        <v>0.0355615898990483</v>
      </c>
      <c r="P323" s="102" t="n">
        <v>0.0364974212121811</v>
      </c>
      <c r="Q323" s="83" t="n">
        <v>0.0395665492332944</v>
      </c>
      <c r="R323" s="83" t="n">
        <v>0.0405557129641268</v>
      </c>
      <c r="S323" s="83" t="n">
        <v>0.0415448766949591</v>
      </c>
      <c r="T323" s="0" t="n">
        <v>0.0425340404257915</v>
      </c>
      <c r="U323" s="93" t="n">
        <v>0.0413820522577369</v>
      </c>
      <c r="V323" s="0" t="n">
        <v>0.0423225534454127</v>
      </c>
      <c r="W323" s="0" t="n">
        <v>0.0432630546330886</v>
      </c>
      <c r="X323" s="0" t="n">
        <v>0.0442035558207644</v>
      </c>
      <c r="Y323" s="0" t="n">
        <v>0.0451440570084403</v>
      </c>
      <c r="Z323" s="0" t="n">
        <v>0.0460845581961161</v>
      </c>
      <c r="AA323" s="0" t="n">
        <v>0.0470250593837919</v>
      </c>
      <c r="AB323" s="0" t="n">
        <v>0.0479655605714678</v>
      </c>
      <c r="AC323" s="0" t="n">
        <v>0.0489060617591436</v>
      </c>
      <c r="AD323" s="94"/>
    </row>
    <row r="324" customFormat="false" ht="13.8" hidden="false" customHeight="false" outlineLevel="0" collapsed="false">
      <c r="A324" s="0" t="s">
        <v>983</v>
      </c>
      <c r="B324" s="94" t="n">
        <v>13</v>
      </c>
      <c r="C324" s="98"/>
      <c r="D324" s="98"/>
      <c r="E324" s="98"/>
      <c r="F324" s="98"/>
      <c r="G324" s="99"/>
      <c r="H324" s="99"/>
      <c r="I324" s="99" t="n">
        <v>0.0564799293077336</v>
      </c>
      <c r="J324" s="99" t="n">
        <v>0.0582449270986003</v>
      </c>
      <c r="K324" s="101" t="n">
        <v>0.0600099248894669</v>
      </c>
      <c r="L324" s="101" t="n">
        <v>0.0617749226803336</v>
      </c>
      <c r="M324" s="101" t="n">
        <v>0.0673798545455651</v>
      </c>
      <c r="N324" s="101"/>
      <c r="O324" s="102"/>
      <c r="P324" s="102"/>
      <c r="Q324" s="83"/>
      <c r="R324" s="83"/>
      <c r="S324" s="83"/>
      <c r="U324" s="93"/>
      <c r="AD324" s="94"/>
    </row>
    <row r="325" customFormat="false" ht="13.8" hidden="false" customHeight="false" outlineLevel="0" collapsed="false">
      <c r="A325" s="0" t="s">
        <v>980</v>
      </c>
      <c r="B325" s="94" t="n">
        <v>13</v>
      </c>
      <c r="C325" s="98"/>
      <c r="D325" s="98"/>
      <c r="E325" s="98"/>
      <c r="F325" s="98"/>
      <c r="G325" s="99"/>
      <c r="H325" s="99"/>
      <c r="I325" s="99" t="n">
        <v>0.0282399646538668</v>
      </c>
      <c r="J325" s="99" t="n">
        <v>0.0291224635493001</v>
      </c>
      <c r="K325" s="101" t="n">
        <v>0.0300049624447335</v>
      </c>
      <c r="L325" s="101" t="n">
        <v>0.0308874613401668</v>
      </c>
      <c r="M325" s="101" t="n">
        <v>0.0336899272727825</v>
      </c>
      <c r="N325" s="101" t="n">
        <v>0.0346257585859154</v>
      </c>
      <c r="O325" s="102" t="n">
        <v>0.0355615898990483</v>
      </c>
      <c r="P325" s="102" t="n">
        <v>0.0364974212121811</v>
      </c>
      <c r="Q325" s="83" t="n">
        <v>0.0395665492332944</v>
      </c>
      <c r="R325" s="83" t="n">
        <v>0.0405557129641268</v>
      </c>
      <c r="S325" s="83" t="n">
        <v>0.0415448766949591</v>
      </c>
      <c r="T325" s="0" t="n">
        <v>0.0425340404257915</v>
      </c>
      <c r="U325" s="93" t="n">
        <v>0.0413820522577369</v>
      </c>
      <c r="V325" s="0" t="n">
        <v>0.0423225534454127</v>
      </c>
      <c r="W325" s="0" t="n">
        <v>0.0432630546330886</v>
      </c>
      <c r="X325" s="0" t="n">
        <v>0.0442035558207644</v>
      </c>
      <c r="Y325" s="0" t="n">
        <v>0.0451440570084403</v>
      </c>
      <c r="Z325" s="0" t="n">
        <v>0.0460845581961161</v>
      </c>
      <c r="AA325" s="0" t="n">
        <v>0.0470250593837919</v>
      </c>
      <c r="AB325" s="0" t="n">
        <v>0.0479655605714678</v>
      </c>
      <c r="AC325" s="0" t="n">
        <v>0.0489060617591436</v>
      </c>
      <c r="AD325" s="94"/>
    </row>
    <row r="326" customFormat="false" ht="13.8" hidden="false" customHeight="false" outlineLevel="0" collapsed="false">
      <c r="A326" s="0" t="s">
        <v>977</v>
      </c>
      <c r="B326" s="94" t="n">
        <v>14</v>
      </c>
      <c r="C326" s="98"/>
      <c r="D326" s="98"/>
      <c r="E326" s="98"/>
      <c r="F326" s="98"/>
      <c r="G326" s="99"/>
      <c r="H326" s="99"/>
      <c r="I326" s="99" t="n">
        <v>0.0282399646538668</v>
      </c>
      <c r="J326" s="99" t="n">
        <v>0.0291224635493001</v>
      </c>
      <c r="K326" s="101" t="n">
        <v>0.0300049624447335</v>
      </c>
      <c r="L326" s="101" t="n">
        <v>0.0308874613401668</v>
      </c>
      <c r="M326" s="101" t="n">
        <v>0.0336899272727825</v>
      </c>
      <c r="N326" s="101" t="n">
        <v>0.0346257585859154</v>
      </c>
      <c r="O326" s="102" t="n">
        <v>0.0355615898990483</v>
      </c>
      <c r="P326" s="102" t="n">
        <v>0.0364974212121811</v>
      </c>
      <c r="Q326" s="83" t="n">
        <v>0.0395665492332944</v>
      </c>
      <c r="R326" s="83" t="n">
        <v>0.0405557129641268</v>
      </c>
      <c r="S326" s="83" t="n">
        <v>0.0415448766949591</v>
      </c>
      <c r="T326" s="0" t="n">
        <v>0.0425340404257915</v>
      </c>
      <c r="U326" s="93" t="n">
        <v>0.0413820522577369</v>
      </c>
      <c r="V326" s="0" t="n">
        <v>0.0423225534454127</v>
      </c>
      <c r="W326" s="0" t="n">
        <v>0.0432630546330886</v>
      </c>
      <c r="X326" s="0" t="n">
        <v>0.0442035558207644</v>
      </c>
      <c r="Y326" s="0" t="n">
        <v>0.0451440570084403</v>
      </c>
      <c r="Z326" s="0" t="n">
        <v>0.0460845581961161</v>
      </c>
      <c r="AA326" s="0" t="n">
        <v>0.0470250593837919</v>
      </c>
      <c r="AB326" s="0" t="n">
        <v>0.0479655605714678</v>
      </c>
      <c r="AC326" s="0" t="n">
        <v>0.0489060617591436</v>
      </c>
      <c r="AD326" s="94"/>
    </row>
    <row r="327" customFormat="false" ht="13.8" hidden="false" customHeight="false" outlineLevel="0" collapsed="false">
      <c r="A327" s="0" t="s">
        <v>123</v>
      </c>
      <c r="B327" s="94" t="n">
        <v>14</v>
      </c>
      <c r="C327" s="98"/>
      <c r="D327" s="98"/>
      <c r="E327" s="98"/>
      <c r="F327" s="98"/>
      <c r="G327" s="99"/>
      <c r="H327" s="99"/>
      <c r="I327" s="99" t="n">
        <v>0.0282399646538668</v>
      </c>
      <c r="J327" s="99" t="n">
        <v>0.0291224635493001</v>
      </c>
      <c r="K327" s="101" t="n">
        <v>0.0300049624447335</v>
      </c>
      <c r="L327" s="101" t="n">
        <v>0.0308874613401668</v>
      </c>
      <c r="M327" s="101" t="n">
        <v>0.0336899272727825</v>
      </c>
      <c r="N327" s="101" t="n">
        <v>0.0346257585859154</v>
      </c>
      <c r="O327" s="102" t="n">
        <v>0.0355615898990483</v>
      </c>
      <c r="P327" s="102" t="n">
        <v>0.0364974212121811</v>
      </c>
      <c r="Q327" s="83" t="n">
        <v>0.0395665492332944</v>
      </c>
      <c r="R327" s="83" t="n">
        <v>0.0405557129641268</v>
      </c>
      <c r="S327" s="83" t="n">
        <v>0.0415448766949591</v>
      </c>
      <c r="T327" s="0" t="n">
        <v>0.0425340404257915</v>
      </c>
      <c r="U327" s="93" t="n">
        <v>0.0413820522577369</v>
      </c>
      <c r="V327" s="0" t="n">
        <v>0.0423225534454127</v>
      </c>
      <c r="W327" s="0" t="n">
        <v>0.0432630546330886</v>
      </c>
      <c r="X327" s="0" t="n">
        <v>0.0442035558207644</v>
      </c>
      <c r="Y327" s="0" t="n">
        <v>0.0451440570084403</v>
      </c>
      <c r="Z327" s="0" t="n">
        <v>0.0460845581961161</v>
      </c>
      <c r="AA327" s="0" t="n">
        <v>0.0470250593837919</v>
      </c>
      <c r="AB327" s="0" t="n">
        <v>0.0479655605714678</v>
      </c>
      <c r="AC327" s="0" t="n">
        <v>0.0489060617591436</v>
      </c>
      <c r="AD327" s="94"/>
    </row>
    <row r="328" customFormat="false" ht="13.8" hidden="false" customHeight="false" outlineLevel="0" collapsed="false">
      <c r="A328" s="0" t="s">
        <v>235</v>
      </c>
      <c r="B328" s="94" t="n">
        <v>14</v>
      </c>
      <c r="C328" s="98"/>
      <c r="D328" s="98"/>
      <c r="E328" s="98"/>
      <c r="F328" s="98"/>
      <c r="G328" s="99"/>
      <c r="H328" s="99"/>
      <c r="I328" s="99" t="n">
        <v>0.0282399646538668</v>
      </c>
      <c r="J328" s="99" t="n">
        <v>0.0291224635493001</v>
      </c>
      <c r="K328" s="101" t="n">
        <v>0.0300049624447335</v>
      </c>
      <c r="L328" s="101" t="n">
        <v>0.0308874613401668</v>
      </c>
      <c r="M328" s="101" t="n">
        <v>0.0336899272727825</v>
      </c>
      <c r="N328" s="101" t="n">
        <v>0.0346257585859154</v>
      </c>
      <c r="O328" s="102" t="n">
        <v>0.0355615898990483</v>
      </c>
      <c r="P328" s="102" t="n">
        <v>0.0364974212121811</v>
      </c>
      <c r="Q328" s="83" t="n">
        <v>0.0395665492332944</v>
      </c>
      <c r="R328" s="83" t="n">
        <v>0.0405557129641268</v>
      </c>
      <c r="S328" s="83" t="n">
        <v>0.0415448766949591</v>
      </c>
      <c r="T328" s="0" t="n">
        <v>0.0425340404257915</v>
      </c>
      <c r="U328" s="93" t="n">
        <v>0.0413820522577369</v>
      </c>
      <c r="V328" s="0" t="n">
        <v>0.0423225534454127</v>
      </c>
      <c r="W328" s="0" t="n">
        <v>0.0432630546330886</v>
      </c>
      <c r="X328" s="0" t="n">
        <v>0.0442035558207644</v>
      </c>
      <c r="Y328" s="0" t="n">
        <v>0.0451440570084403</v>
      </c>
      <c r="Z328" s="0" t="n">
        <v>0.0460845581961161</v>
      </c>
      <c r="AA328" s="0" t="n">
        <v>0.0470250593837919</v>
      </c>
      <c r="AB328" s="0" t="n">
        <v>0.0479655605714678</v>
      </c>
      <c r="AC328" s="0" t="n">
        <v>0.0489060617591436</v>
      </c>
      <c r="AD328" s="94"/>
    </row>
    <row r="329" customFormat="false" ht="13.8" hidden="false" customHeight="false" outlineLevel="0" collapsed="false">
      <c r="A329" s="0" t="s">
        <v>983</v>
      </c>
      <c r="B329" s="94" t="n">
        <v>14</v>
      </c>
      <c r="C329" s="98"/>
      <c r="D329" s="98"/>
      <c r="E329" s="98"/>
      <c r="F329" s="98"/>
      <c r="G329" s="99"/>
      <c r="H329" s="99"/>
      <c r="I329" s="99" t="n">
        <v>0.0564799293077336</v>
      </c>
      <c r="J329" s="99" t="n">
        <v>0.0582449270986003</v>
      </c>
      <c r="K329" s="101" t="n">
        <v>0.0600099248894669</v>
      </c>
      <c r="L329" s="101" t="n">
        <v>0.0617749226803336</v>
      </c>
      <c r="M329" s="101" t="n">
        <v>0.0673798545455651</v>
      </c>
      <c r="N329" s="101"/>
      <c r="O329" s="102"/>
      <c r="P329" s="102"/>
      <c r="Q329" s="83"/>
      <c r="R329" s="83"/>
      <c r="S329" s="83"/>
      <c r="U329" s="93"/>
      <c r="AD329" s="94"/>
    </row>
    <row r="330" customFormat="false" ht="13.8" hidden="false" customHeight="false" outlineLevel="0" collapsed="false">
      <c r="A330" s="0" t="s">
        <v>980</v>
      </c>
      <c r="B330" s="94" t="n">
        <v>14</v>
      </c>
      <c r="C330" s="98"/>
      <c r="D330" s="98"/>
      <c r="E330" s="98"/>
      <c r="F330" s="98"/>
      <c r="G330" s="99"/>
      <c r="H330" s="99"/>
      <c r="I330" s="99" t="n">
        <v>0.0282399646538668</v>
      </c>
      <c r="J330" s="99" t="n">
        <v>0.0291224635493001</v>
      </c>
      <c r="K330" s="101" t="n">
        <v>0.0300049624447335</v>
      </c>
      <c r="L330" s="101" t="n">
        <v>0.0308874613401668</v>
      </c>
      <c r="M330" s="101" t="n">
        <v>0.0336899272727825</v>
      </c>
      <c r="N330" s="101" t="n">
        <v>0.0346257585859154</v>
      </c>
      <c r="O330" s="102" t="n">
        <v>0.0355615898990483</v>
      </c>
      <c r="P330" s="102" t="n">
        <v>0.0364974212121811</v>
      </c>
      <c r="Q330" s="83" t="n">
        <v>0.0395665492332944</v>
      </c>
      <c r="R330" s="83" t="n">
        <v>0.0405557129641268</v>
      </c>
      <c r="S330" s="83" t="n">
        <v>0.0415448766949591</v>
      </c>
      <c r="T330" s="0" t="n">
        <v>0.0425340404257915</v>
      </c>
      <c r="U330" s="93" t="n">
        <v>0.0413820522577369</v>
      </c>
      <c r="V330" s="0" t="n">
        <v>0.0423225534454127</v>
      </c>
      <c r="W330" s="0" t="n">
        <v>0.0432630546330886</v>
      </c>
      <c r="X330" s="0" t="n">
        <v>0.0442035558207644</v>
      </c>
      <c r="Y330" s="0" t="n">
        <v>0.0451440570084403</v>
      </c>
      <c r="Z330" s="0" t="n">
        <v>0.0460845581961161</v>
      </c>
      <c r="AA330" s="0" t="n">
        <v>0.0470250593837919</v>
      </c>
      <c r="AB330" s="0" t="n">
        <v>0.0479655605714678</v>
      </c>
      <c r="AC330" s="0" t="n">
        <v>0.0489060617591436</v>
      </c>
      <c r="AD330" s="94"/>
    </row>
    <row r="331" customFormat="false" ht="13.8" hidden="false" customHeight="false" outlineLevel="0" collapsed="false">
      <c r="A331" s="0" t="s">
        <v>977</v>
      </c>
      <c r="B331" s="94" t="n">
        <v>15</v>
      </c>
      <c r="C331" s="98"/>
      <c r="D331" s="98"/>
      <c r="E331" s="98"/>
      <c r="F331" s="98"/>
      <c r="G331" s="99"/>
      <c r="H331" s="99"/>
      <c r="I331" s="99" t="n">
        <v>0.0282399646538668</v>
      </c>
      <c r="J331" s="99" t="n">
        <v>0.0291224635493001</v>
      </c>
      <c r="K331" s="101" t="n">
        <v>0.0300049624447335</v>
      </c>
      <c r="L331" s="101" t="n">
        <v>0.0308874613401668</v>
      </c>
      <c r="M331" s="101" t="n">
        <v>0.0336899272727825</v>
      </c>
      <c r="N331" s="101" t="n">
        <v>0.0346257585859154</v>
      </c>
      <c r="O331" s="102" t="n">
        <v>0.0355615898990483</v>
      </c>
      <c r="P331" s="102" t="n">
        <v>0.0364974212121811</v>
      </c>
      <c r="Q331" s="83" t="n">
        <v>0.0395665492332944</v>
      </c>
      <c r="R331" s="83" t="n">
        <v>0.0405557129641268</v>
      </c>
      <c r="S331" s="83" t="n">
        <v>0.0415448766949591</v>
      </c>
      <c r="T331" s="0" t="n">
        <v>0.0425340404257915</v>
      </c>
      <c r="U331" s="93" t="n">
        <v>0.0413820522577369</v>
      </c>
      <c r="V331" s="0" t="n">
        <v>0.0423225534454127</v>
      </c>
      <c r="W331" s="0" t="n">
        <v>0.0432630546330886</v>
      </c>
      <c r="X331" s="0" t="n">
        <v>0.0442035558207644</v>
      </c>
      <c r="Y331" s="0" t="n">
        <v>0.0451440570084403</v>
      </c>
      <c r="Z331" s="0" t="n">
        <v>0.0460845581961161</v>
      </c>
      <c r="AA331" s="0" t="n">
        <v>0.0470250593837919</v>
      </c>
      <c r="AB331" s="0" t="n">
        <v>0.0479655605714678</v>
      </c>
      <c r="AC331" s="0" t="n">
        <v>0.0489060617591436</v>
      </c>
      <c r="AD331" s="94"/>
    </row>
    <row r="332" customFormat="false" ht="13.8" hidden="false" customHeight="false" outlineLevel="0" collapsed="false">
      <c r="A332" s="0" t="s">
        <v>123</v>
      </c>
      <c r="B332" s="94" t="n">
        <v>15</v>
      </c>
      <c r="C332" s="98"/>
      <c r="D332" s="98"/>
      <c r="E332" s="98"/>
      <c r="F332" s="98"/>
      <c r="G332" s="99"/>
      <c r="H332" s="99"/>
      <c r="I332" s="99" t="n">
        <v>0.0282399646538668</v>
      </c>
      <c r="J332" s="99" t="n">
        <v>0.0291224635493001</v>
      </c>
      <c r="K332" s="101" t="n">
        <v>0.0300049624447335</v>
      </c>
      <c r="L332" s="101" t="n">
        <v>0.0308874613401668</v>
      </c>
      <c r="M332" s="101" t="n">
        <v>0.0336899272727825</v>
      </c>
      <c r="N332" s="101" t="n">
        <v>0.0346257585859154</v>
      </c>
      <c r="O332" s="102" t="n">
        <v>0.0355615898990483</v>
      </c>
      <c r="P332" s="102" t="n">
        <v>0.0364974212121811</v>
      </c>
      <c r="Q332" s="83" t="n">
        <v>0.0395665492332944</v>
      </c>
      <c r="R332" s="83" t="n">
        <v>0.0405557129641268</v>
      </c>
      <c r="S332" s="83" t="n">
        <v>0.0415448766949591</v>
      </c>
      <c r="T332" s="0" t="n">
        <v>0.0425340404257915</v>
      </c>
      <c r="U332" s="93" t="n">
        <v>0.0413820522577369</v>
      </c>
      <c r="V332" s="0" t="n">
        <v>0.0423225534454127</v>
      </c>
      <c r="W332" s="0" t="n">
        <v>0.0432630546330886</v>
      </c>
      <c r="X332" s="0" t="n">
        <v>0.0442035558207644</v>
      </c>
      <c r="Y332" s="0" t="n">
        <v>0.0451440570084403</v>
      </c>
      <c r="Z332" s="0" t="n">
        <v>0.0460845581961161</v>
      </c>
      <c r="AA332" s="0" t="n">
        <v>0.0470250593837919</v>
      </c>
      <c r="AB332" s="0" t="n">
        <v>0.0479655605714678</v>
      </c>
      <c r="AC332" s="0" t="n">
        <v>0.0489060617591436</v>
      </c>
      <c r="AD332" s="94"/>
    </row>
    <row r="333" customFormat="false" ht="13.8" hidden="false" customHeight="false" outlineLevel="0" collapsed="false">
      <c r="A333" s="0" t="s">
        <v>235</v>
      </c>
      <c r="B333" s="94" t="n">
        <v>15</v>
      </c>
      <c r="C333" s="98"/>
      <c r="D333" s="98"/>
      <c r="E333" s="98"/>
      <c r="F333" s="98"/>
      <c r="G333" s="99"/>
      <c r="H333" s="99"/>
      <c r="I333" s="99" t="n">
        <v>0.0282399646538668</v>
      </c>
      <c r="J333" s="99" t="n">
        <v>0.0291224635493001</v>
      </c>
      <c r="K333" s="101" t="n">
        <v>0.0300049624447335</v>
      </c>
      <c r="L333" s="101" t="n">
        <v>0.0308874613401668</v>
      </c>
      <c r="M333" s="101" t="n">
        <v>0.0336899272727825</v>
      </c>
      <c r="N333" s="101" t="n">
        <v>0.0346257585859154</v>
      </c>
      <c r="O333" s="102" t="n">
        <v>0.0355615898990483</v>
      </c>
      <c r="P333" s="102" t="n">
        <v>0.0364974212121811</v>
      </c>
      <c r="Q333" s="83" t="n">
        <v>0.0395665492332944</v>
      </c>
      <c r="R333" s="83" t="n">
        <v>0.0405557129641268</v>
      </c>
      <c r="S333" s="83" t="n">
        <v>0.0415448766949591</v>
      </c>
      <c r="T333" s="0" t="n">
        <v>0.0425340404257915</v>
      </c>
      <c r="U333" s="93" t="n">
        <v>0.0413820522577369</v>
      </c>
      <c r="V333" s="0" t="n">
        <v>0.0423225534454127</v>
      </c>
      <c r="W333" s="0" t="n">
        <v>0.0432630546330886</v>
      </c>
      <c r="X333" s="0" t="n">
        <v>0.0442035558207644</v>
      </c>
      <c r="Y333" s="0" t="n">
        <v>0.0451440570084403</v>
      </c>
      <c r="Z333" s="0" t="n">
        <v>0.0460845581961161</v>
      </c>
      <c r="AA333" s="0" t="n">
        <v>0.0470250593837919</v>
      </c>
      <c r="AB333" s="0" t="n">
        <v>0.0479655605714678</v>
      </c>
      <c r="AC333" s="0" t="n">
        <v>0.0489060617591436</v>
      </c>
      <c r="AD333" s="94"/>
    </row>
    <row r="334" customFormat="false" ht="13.8" hidden="false" customHeight="false" outlineLevel="0" collapsed="false">
      <c r="A334" s="0" t="s">
        <v>983</v>
      </c>
      <c r="B334" s="94" t="n">
        <v>15</v>
      </c>
      <c r="C334" s="98"/>
      <c r="D334" s="98"/>
      <c r="E334" s="98"/>
      <c r="F334" s="98"/>
      <c r="G334" s="99"/>
      <c r="H334" s="99"/>
      <c r="I334" s="99" t="n">
        <v>0.0564799293077336</v>
      </c>
      <c r="J334" s="99" t="n">
        <v>0.0582449270986003</v>
      </c>
      <c r="K334" s="101" t="n">
        <v>0.0600099248894669</v>
      </c>
      <c r="L334" s="101" t="n">
        <v>0.0617749226803336</v>
      </c>
      <c r="M334" s="101" t="n">
        <v>0.0673798545455651</v>
      </c>
      <c r="N334" s="101"/>
      <c r="O334" s="102"/>
      <c r="P334" s="102"/>
      <c r="Q334" s="83"/>
      <c r="R334" s="83"/>
      <c r="S334" s="83"/>
      <c r="U334" s="93"/>
      <c r="AD334" s="94"/>
    </row>
    <row r="335" customFormat="false" ht="13.8" hidden="false" customHeight="false" outlineLevel="0" collapsed="false">
      <c r="A335" s="0" t="s">
        <v>980</v>
      </c>
      <c r="B335" s="94" t="n">
        <v>15</v>
      </c>
      <c r="C335" s="98"/>
      <c r="D335" s="98"/>
      <c r="E335" s="98"/>
      <c r="F335" s="98"/>
      <c r="G335" s="99"/>
      <c r="H335" s="99"/>
      <c r="I335" s="99" t="n">
        <v>0.0282399646538668</v>
      </c>
      <c r="J335" s="99" t="n">
        <v>0.0291224635493001</v>
      </c>
      <c r="K335" s="101" t="n">
        <v>0.0300049624447335</v>
      </c>
      <c r="L335" s="101" t="n">
        <v>0.0308874613401668</v>
      </c>
      <c r="M335" s="101" t="n">
        <v>0.0336899272727825</v>
      </c>
      <c r="N335" s="101" t="n">
        <v>0.0346257585859154</v>
      </c>
      <c r="O335" s="102" t="n">
        <v>0.0355615898990483</v>
      </c>
      <c r="P335" s="102" t="n">
        <v>0.0364974212121811</v>
      </c>
      <c r="Q335" s="83" t="n">
        <v>0.0395665492332944</v>
      </c>
      <c r="R335" s="83" t="n">
        <v>0.0405557129641268</v>
      </c>
      <c r="S335" s="83" t="n">
        <v>0.0415448766949591</v>
      </c>
      <c r="T335" s="0" t="n">
        <v>0.0425340404257915</v>
      </c>
      <c r="U335" s="93" t="n">
        <v>0.0413820522577369</v>
      </c>
      <c r="V335" s="0" t="n">
        <v>0.0423225534454127</v>
      </c>
      <c r="W335" s="0" t="n">
        <v>0.0432630546330886</v>
      </c>
      <c r="X335" s="0" t="n">
        <v>0.0442035558207644</v>
      </c>
      <c r="Y335" s="0" t="n">
        <v>0.0451440570084403</v>
      </c>
      <c r="Z335" s="0" t="n">
        <v>0.0460845581961161</v>
      </c>
      <c r="AA335" s="0" t="n">
        <v>0.0470250593837919</v>
      </c>
      <c r="AB335" s="0" t="n">
        <v>0.0479655605714678</v>
      </c>
      <c r="AC335" s="0" t="n">
        <v>0.0489060617591436</v>
      </c>
      <c r="AD335" s="94"/>
    </row>
    <row r="336" customFormat="false" ht="13.8" hidden="false" customHeight="false" outlineLevel="0" collapsed="false">
      <c r="A336" s="104" t="s">
        <v>460</v>
      </c>
      <c r="B336" s="94" t="n">
        <v>16</v>
      </c>
      <c r="C336" s="98"/>
      <c r="D336" s="98"/>
      <c r="E336" s="98"/>
      <c r="F336" s="98"/>
      <c r="G336" s="99"/>
      <c r="H336" s="99"/>
      <c r="I336" s="99" t="n">
        <v>0.028752119229801</v>
      </c>
      <c r="J336" s="99" t="n">
        <v>0.0296506229557323</v>
      </c>
      <c r="K336" s="101" t="n">
        <v>0.0305491266816635</v>
      </c>
      <c r="L336" s="101" t="n">
        <v>0.0314476304075948</v>
      </c>
      <c r="M336" s="101" t="n">
        <v>0.0336067797180697</v>
      </c>
      <c r="N336" s="101" t="n">
        <v>0.034540301376905</v>
      </c>
      <c r="O336" s="102" t="n">
        <v>0.0354738230357402</v>
      </c>
      <c r="P336" s="102" t="n">
        <v>0.0364073446945755</v>
      </c>
      <c r="Q336" s="83" t="n">
        <v>0.0387415836695703</v>
      </c>
      <c r="R336" s="83" t="n">
        <v>0.0397101232613095</v>
      </c>
      <c r="S336" s="83" t="n">
        <v>0.0406786628530488</v>
      </c>
      <c r="T336" s="0" t="n">
        <v>0.0416472024447881</v>
      </c>
      <c r="U336" s="93" t="n">
        <v>0.0398735008123006</v>
      </c>
      <c r="V336" s="0" t="n">
        <v>0.0407797167398529</v>
      </c>
      <c r="W336" s="0" t="n">
        <v>0.0416859326674052</v>
      </c>
      <c r="X336" s="0" t="n">
        <v>0.0425921485949574</v>
      </c>
      <c r="Y336" s="0" t="n">
        <v>0.0434983645225097</v>
      </c>
      <c r="Z336" s="0" t="n">
        <v>0.044404580450062</v>
      </c>
      <c r="AA336" s="0" t="n">
        <v>0.0453107963776143</v>
      </c>
      <c r="AB336" s="0" t="n">
        <v>0.0462170123051666</v>
      </c>
      <c r="AC336" s="0" t="n">
        <v>0.0471232282327189</v>
      </c>
      <c r="AD336" s="94"/>
    </row>
    <row r="337" customFormat="false" ht="13.8" hidden="false" customHeight="false" outlineLevel="0" collapsed="false">
      <c r="A337" s="104" t="s">
        <v>348</v>
      </c>
      <c r="B337" s="94" t="n">
        <v>16</v>
      </c>
      <c r="C337" s="98"/>
      <c r="D337" s="98"/>
      <c r="E337" s="98"/>
      <c r="F337" s="98"/>
      <c r="G337" s="99"/>
      <c r="H337" s="99"/>
      <c r="I337" s="99" t="n">
        <v>0.028752119229801</v>
      </c>
      <c r="J337" s="99" t="n">
        <v>0.0296506229557323</v>
      </c>
      <c r="K337" s="101" t="n">
        <v>0.0305491266816635</v>
      </c>
      <c r="L337" s="101" t="n">
        <v>0.0314476304075948</v>
      </c>
      <c r="M337" s="101" t="n">
        <v>0.0336067797180697</v>
      </c>
      <c r="N337" s="101" t="n">
        <v>0.034540301376905</v>
      </c>
      <c r="O337" s="102" t="n">
        <v>0.0354738230357402</v>
      </c>
      <c r="P337" s="102" t="n">
        <v>0.0364073446945755</v>
      </c>
      <c r="Q337" s="83" t="n">
        <v>0.0387415836695703</v>
      </c>
      <c r="R337" s="83" t="n">
        <v>0.0397101232613095</v>
      </c>
      <c r="S337" s="83" t="n">
        <v>0.0406786628530488</v>
      </c>
      <c r="T337" s="0" t="n">
        <v>0.0416472024447881</v>
      </c>
      <c r="U337" s="93" t="n">
        <v>0.0398735008123006</v>
      </c>
      <c r="V337" s="0" t="n">
        <v>0.0407797167398529</v>
      </c>
      <c r="W337" s="0" t="n">
        <v>0.0416859326674052</v>
      </c>
      <c r="X337" s="0" t="n">
        <v>0.0425921485949574</v>
      </c>
      <c r="Y337" s="0" t="n">
        <v>0.0434983645225097</v>
      </c>
      <c r="Z337" s="0" t="n">
        <v>0.044404580450062</v>
      </c>
      <c r="AA337" s="0" t="n">
        <v>0.0453107963776143</v>
      </c>
      <c r="AB337" s="0" t="n">
        <v>0.0462170123051666</v>
      </c>
      <c r="AC337" s="0" t="n">
        <v>0.0471232282327189</v>
      </c>
      <c r="AD337" s="94"/>
    </row>
    <row r="338" customFormat="false" ht="13.8" hidden="false" customHeight="false" outlineLevel="0" collapsed="false">
      <c r="A338" s="104" t="s">
        <v>234</v>
      </c>
      <c r="B338" s="94" t="n">
        <v>16</v>
      </c>
      <c r="C338" s="98"/>
      <c r="D338" s="98"/>
      <c r="E338" s="98"/>
      <c r="F338" s="98"/>
      <c r="G338" s="99"/>
      <c r="H338" s="99"/>
      <c r="I338" s="99"/>
      <c r="J338" s="99"/>
      <c r="K338" s="101"/>
      <c r="L338" s="101"/>
      <c r="M338" s="101"/>
      <c r="N338" s="101" t="n">
        <v>0.0690806027538099</v>
      </c>
      <c r="O338" s="102" t="n">
        <v>0.0709476460714805</v>
      </c>
      <c r="P338" s="102" t="n">
        <v>0.072814689389151</v>
      </c>
      <c r="Q338" s="83" t="n">
        <v>0.0774831673391406</v>
      </c>
      <c r="R338" s="83" t="n">
        <v>0.0794202465226191</v>
      </c>
      <c r="S338" s="83" t="n">
        <v>0.0813573257060976</v>
      </c>
      <c r="T338" s="0" t="n">
        <v>0.0832944048895761</v>
      </c>
      <c r="U338" s="93" t="n">
        <v>0.0797470016246012</v>
      </c>
      <c r="V338" s="0" t="n">
        <v>0.0815594334797057</v>
      </c>
      <c r="W338" s="0" t="n">
        <v>0.0833718653348103</v>
      </c>
      <c r="AD338" s="94"/>
    </row>
    <row r="339" customFormat="false" ht="13.8" hidden="false" customHeight="false" outlineLevel="0" collapsed="false">
      <c r="A339" s="104" t="s">
        <v>967</v>
      </c>
      <c r="B339" s="94" t="n">
        <v>16</v>
      </c>
      <c r="C339" s="98"/>
      <c r="D339" s="98"/>
      <c r="E339" s="98"/>
      <c r="F339" s="98"/>
      <c r="G339" s="99"/>
      <c r="H339" s="99"/>
      <c r="I339" s="99" t="n">
        <v>0.057504238459602</v>
      </c>
      <c r="J339" s="99" t="n">
        <v>0.0593012459114645</v>
      </c>
      <c r="K339" s="101" t="n">
        <v>0.0610982533633271</v>
      </c>
      <c r="L339" s="101" t="n">
        <v>0.0628952608151897</v>
      </c>
      <c r="M339" s="101" t="n">
        <v>0.0672135594361394</v>
      </c>
      <c r="N339" s="101" t="n">
        <v>0.0690806027538099</v>
      </c>
      <c r="O339" s="102" t="n">
        <v>0.0709476460714805</v>
      </c>
      <c r="P339" s="102"/>
      <c r="Q339" s="83"/>
      <c r="R339" s="83"/>
      <c r="S339" s="83"/>
      <c r="U339" s="93"/>
      <c r="AD339" s="94"/>
    </row>
    <row r="340" customFormat="false" ht="13.8" hidden="false" customHeight="false" outlineLevel="0" collapsed="false">
      <c r="A340" s="104" t="s">
        <v>970</v>
      </c>
      <c r="B340" s="94" t="n">
        <v>16</v>
      </c>
      <c r="C340" s="98"/>
      <c r="D340" s="98"/>
      <c r="E340" s="98"/>
      <c r="F340" s="98"/>
      <c r="G340" s="99"/>
      <c r="H340" s="99"/>
      <c r="I340" s="99"/>
      <c r="J340" s="99"/>
      <c r="K340" s="101"/>
      <c r="L340" s="101"/>
      <c r="M340" s="101"/>
      <c r="N340" s="101" t="n">
        <v>0.0690806027538099</v>
      </c>
      <c r="O340" s="102" t="n">
        <v>0.0709476460714805</v>
      </c>
      <c r="P340" s="102" t="n">
        <v>0.072814689389151</v>
      </c>
      <c r="Q340" s="83" t="n">
        <v>0.0774831673391406</v>
      </c>
      <c r="R340" s="83" t="n">
        <v>0.0794202465226191</v>
      </c>
      <c r="S340" s="83" t="n">
        <v>0.0813573257060976</v>
      </c>
      <c r="T340" s="0" t="n">
        <v>0.0832944048895761</v>
      </c>
      <c r="U340" s="93" t="n">
        <v>0.0797470016246012</v>
      </c>
      <c r="V340" s="0" t="n">
        <v>0.0815594334797057</v>
      </c>
      <c r="W340" s="0" t="n">
        <v>0.0833718653348103</v>
      </c>
      <c r="X340" s="0" t="n">
        <v>0.0851842971899149</v>
      </c>
      <c r="Y340" s="0" t="n">
        <v>0.0869967290450194</v>
      </c>
      <c r="Z340" s="0" t="n">
        <v>0.088809160900124</v>
      </c>
      <c r="AA340" s="0" t="n">
        <v>0.0906215927552286</v>
      </c>
      <c r="AB340" s="0" t="n">
        <v>0.0924340246103331</v>
      </c>
      <c r="AC340" s="0" t="n">
        <v>0.0942464564654377</v>
      </c>
      <c r="AD340" s="94"/>
    </row>
    <row r="341" customFormat="false" ht="13.8" hidden="false" customHeight="false" outlineLevel="0" collapsed="false">
      <c r="A341" s="104" t="s">
        <v>460</v>
      </c>
      <c r="B341" s="94" t="n">
        <v>17</v>
      </c>
      <c r="C341" s="98"/>
      <c r="D341" s="98"/>
      <c r="E341" s="98"/>
      <c r="F341" s="98"/>
      <c r="G341" s="99"/>
      <c r="H341" s="99"/>
      <c r="I341" s="99" t="n">
        <v>0.028752119229801</v>
      </c>
      <c r="J341" s="99" t="n">
        <v>0.0296506229557323</v>
      </c>
      <c r="K341" s="101" t="n">
        <v>0.0305491266816635</v>
      </c>
      <c r="L341" s="101" t="n">
        <v>0.0314476304075948</v>
      </c>
      <c r="M341" s="101" t="n">
        <v>0.0336067797180697</v>
      </c>
      <c r="N341" s="101" t="n">
        <v>0.034540301376905</v>
      </c>
      <c r="O341" s="102" t="n">
        <v>0.0354738230357402</v>
      </c>
      <c r="P341" s="102" t="n">
        <v>0.0364073446945755</v>
      </c>
      <c r="Q341" s="83" t="n">
        <v>0.0387415836695703</v>
      </c>
      <c r="R341" s="83" t="n">
        <v>0.0397101232613095</v>
      </c>
      <c r="S341" s="83" t="n">
        <v>0.0406786628530488</v>
      </c>
      <c r="T341" s="0" t="n">
        <v>0.0416472024447881</v>
      </c>
      <c r="U341" s="93" t="n">
        <v>0.0398735008123006</v>
      </c>
      <c r="V341" s="0" t="n">
        <v>0.0407797167398529</v>
      </c>
      <c r="W341" s="0" t="n">
        <v>0.0416859326674052</v>
      </c>
      <c r="X341" s="0" t="n">
        <v>0.0425921485949574</v>
      </c>
      <c r="Y341" s="0" t="n">
        <v>0.0434983645225097</v>
      </c>
      <c r="Z341" s="0" t="n">
        <v>0.044404580450062</v>
      </c>
      <c r="AA341" s="0" t="n">
        <v>0.0453107963776143</v>
      </c>
      <c r="AB341" s="0" t="n">
        <v>0.0462170123051666</v>
      </c>
      <c r="AC341" s="0" t="n">
        <v>0.0471232282327189</v>
      </c>
      <c r="AD341" s="94"/>
    </row>
    <row r="342" customFormat="false" ht="13.8" hidden="false" customHeight="false" outlineLevel="0" collapsed="false">
      <c r="A342" s="104" t="s">
        <v>348</v>
      </c>
      <c r="B342" s="94" t="n">
        <v>17</v>
      </c>
      <c r="C342" s="98"/>
      <c r="D342" s="98"/>
      <c r="E342" s="98"/>
      <c r="F342" s="98"/>
      <c r="G342" s="99"/>
      <c r="H342" s="99"/>
      <c r="I342" s="99" t="n">
        <v>0.028752119229801</v>
      </c>
      <c r="J342" s="99" t="n">
        <v>0.0296506229557323</v>
      </c>
      <c r="K342" s="101" t="n">
        <v>0.0305491266816635</v>
      </c>
      <c r="L342" s="101" t="n">
        <v>0.0314476304075948</v>
      </c>
      <c r="M342" s="101" t="n">
        <v>0.0336067797180697</v>
      </c>
      <c r="N342" s="101" t="n">
        <v>0.034540301376905</v>
      </c>
      <c r="O342" s="102" t="n">
        <v>0.0354738230357402</v>
      </c>
      <c r="P342" s="102" t="n">
        <v>0.0364073446945755</v>
      </c>
      <c r="Q342" s="83" t="n">
        <v>0.0387415836695703</v>
      </c>
      <c r="R342" s="83" t="n">
        <v>0.0397101232613095</v>
      </c>
      <c r="S342" s="83" t="n">
        <v>0.0406786628530488</v>
      </c>
      <c r="T342" s="0" t="n">
        <v>0.0416472024447881</v>
      </c>
      <c r="U342" s="93" t="n">
        <v>0.0398735008123006</v>
      </c>
      <c r="V342" s="0" t="n">
        <v>0.0407797167398529</v>
      </c>
      <c r="W342" s="0" t="n">
        <v>0.0416859326674052</v>
      </c>
      <c r="X342" s="0" t="n">
        <v>0.0425921485949574</v>
      </c>
      <c r="Y342" s="0" t="n">
        <v>0.0434983645225097</v>
      </c>
      <c r="Z342" s="0" t="n">
        <v>0.044404580450062</v>
      </c>
      <c r="AA342" s="0" t="n">
        <v>0.0453107963776143</v>
      </c>
      <c r="AB342" s="0" t="n">
        <v>0.0462170123051666</v>
      </c>
      <c r="AC342" s="0" t="n">
        <v>0.0471232282327189</v>
      </c>
      <c r="AD342" s="94"/>
    </row>
    <row r="343" customFormat="false" ht="13.8" hidden="false" customHeight="false" outlineLevel="0" collapsed="false">
      <c r="A343" s="104" t="s">
        <v>234</v>
      </c>
      <c r="B343" s="94" t="n">
        <v>17</v>
      </c>
      <c r="C343" s="98"/>
      <c r="D343" s="98"/>
      <c r="E343" s="98"/>
      <c r="F343" s="98"/>
      <c r="G343" s="99"/>
      <c r="H343" s="99"/>
      <c r="I343" s="99"/>
      <c r="J343" s="99"/>
      <c r="K343" s="101"/>
      <c r="L343" s="101"/>
      <c r="M343" s="101"/>
      <c r="N343" s="101" t="n">
        <v>0.0690806027538099</v>
      </c>
      <c r="O343" s="102" t="n">
        <v>0.0709476460714805</v>
      </c>
      <c r="P343" s="102" t="n">
        <v>0.072814689389151</v>
      </c>
      <c r="Q343" s="83" t="n">
        <v>0.0774831673391406</v>
      </c>
      <c r="R343" s="83" t="n">
        <v>0.0794202465226191</v>
      </c>
      <c r="S343" s="83" t="n">
        <v>0.0813573257060976</v>
      </c>
      <c r="T343" s="0" t="n">
        <v>0.0832944048895761</v>
      </c>
      <c r="U343" s="93" t="n">
        <v>0.0797470016246012</v>
      </c>
      <c r="V343" s="0" t="n">
        <v>0.0815594334797057</v>
      </c>
      <c r="W343" s="0" t="n">
        <v>0.0833718653348103</v>
      </c>
      <c r="AD343" s="94"/>
    </row>
    <row r="344" customFormat="false" ht="13.8" hidden="false" customHeight="false" outlineLevel="0" collapsed="false">
      <c r="A344" s="104" t="s">
        <v>967</v>
      </c>
      <c r="B344" s="94" t="n">
        <v>17</v>
      </c>
      <c r="C344" s="98"/>
      <c r="D344" s="98"/>
      <c r="E344" s="98"/>
      <c r="F344" s="98"/>
      <c r="G344" s="99"/>
      <c r="H344" s="99"/>
      <c r="I344" s="99" t="n">
        <v>0.057504238459602</v>
      </c>
      <c r="J344" s="99" t="n">
        <v>0.0593012459114645</v>
      </c>
      <c r="K344" s="101" t="n">
        <v>0.0610982533633271</v>
      </c>
      <c r="L344" s="101" t="n">
        <v>0.0628952608151897</v>
      </c>
      <c r="M344" s="101" t="n">
        <v>0.0672135594361394</v>
      </c>
      <c r="N344" s="101" t="n">
        <v>0.0690806027538099</v>
      </c>
      <c r="O344" s="102" t="n">
        <v>0.0709476460714805</v>
      </c>
      <c r="P344" s="102"/>
      <c r="Q344" s="83"/>
      <c r="R344" s="83"/>
      <c r="S344" s="83"/>
      <c r="U344" s="93"/>
      <c r="AD344" s="94"/>
    </row>
    <row r="345" customFormat="false" ht="13.8" hidden="false" customHeight="false" outlineLevel="0" collapsed="false">
      <c r="A345" s="104" t="s">
        <v>970</v>
      </c>
      <c r="B345" s="94" t="n">
        <v>17</v>
      </c>
      <c r="C345" s="98"/>
      <c r="D345" s="98"/>
      <c r="E345" s="98"/>
      <c r="F345" s="98"/>
      <c r="G345" s="99"/>
      <c r="H345" s="99"/>
      <c r="I345" s="99"/>
      <c r="J345" s="99"/>
      <c r="K345" s="101"/>
      <c r="L345" s="101"/>
      <c r="M345" s="101"/>
      <c r="N345" s="101" t="n">
        <v>0.0690806027538099</v>
      </c>
      <c r="O345" s="102" t="n">
        <v>0.0709476460714805</v>
      </c>
      <c r="P345" s="102" t="n">
        <v>0.072814689389151</v>
      </c>
      <c r="Q345" s="83" t="n">
        <v>0.0774831673391406</v>
      </c>
      <c r="R345" s="83" t="n">
        <v>0.0794202465226191</v>
      </c>
      <c r="S345" s="83" t="n">
        <v>0.0813573257060976</v>
      </c>
      <c r="T345" s="0" t="n">
        <v>0.0832944048895761</v>
      </c>
      <c r="U345" s="93" t="n">
        <v>0.0797470016246012</v>
      </c>
      <c r="V345" s="0" t="n">
        <v>0.0815594334797057</v>
      </c>
      <c r="W345" s="0" t="n">
        <v>0.0833718653348103</v>
      </c>
      <c r="X345" s="0" t="n">
        <v>0.0851842971899149</v>
      </c>
      <c r="Y345" s="0" t="n">
        <v>0.0869967290450194</v>
      </c>
      <c r="Z345" s="0" t="n">
        <v>0.088809160900124</v>
      </c>
      <c r="AA345" s="0" t="n">
        <v>0.0906215927552286</v>
      </c>
      <c r="AB345" s="0" t="n">
        <v>0.0924340246103331</v>
      </c>
      <c r="AC345" s="0" t="n">
        <v>0.0942464564654377</v>
      </c>
      <c r="AD345" s="94"/>
    </row>
    <row r="346" customFormat="false" ht="13.8" hidden="false" customHeight="false" outlineLevel="0" collapsed="false">
      <c r="A346" s="104" t="s">
        <v>460</v>
      </c>
      <c r="B346" s="94" t="n">
        <v>18</v>
      </c>
      <c r="C346" s="98"/>
      <c r="D346" s="98"/>
      <c r="E346" s="98"/>
      <c r="F346" s="98"/>
      <c r="G346" s="99"/>
      <c r="H346" s="99"/>
      <c r="I346" s="99" t="n">
        <v>0.028752119229801</v>
      </c>
      <c r="J346" s="99" t="n">
        <v>0.0296506229557323</v>
      </c>
      <c r="K346" s="101" t="n">
        <v>0.0305491266816635</v>
      </c>
      <c r="L346" s="101" t="n">
        <v>0.0314476304075948</v>
      </c>
      <c r="M346" s="101" t="n">
        <v>0.0336067797180697</v>
      </c>
      <c r="N346" s="101" t="n">
        <v>0.034540301376905</v>
      </c>
      <c r="O346" s="102" t="n">
        <v>0.0354738230357402</v>
      </c>
      <c r="P346" s="102" t="n">
        <v>0.0364073446945755</v>
      </c>
      <c r="Q346" s="83" t="n">
        <v>0.0387415836695703</v>
      </c>
      <c r="R346" s="83" t="n">
        <v>0.0397101232613095</v>
      </c>
      <c r="S346" s="83" t="n">
        <v>0.0406786628530488</v>
      </c>
      <c r="T346" s="0" t="n">
        <v>0.0416472024447881</v>
      </c>
      <c r="U346" s="93" t="n">
        <v>0.0398735008123006</v>
      </c>
      <c r="V346" s="0" t="n">
        <v>0.0407797167398529</v>
      </c>
      <c r="W346" s="0" t="n">
        <v>0.0416859326674052</v>
      </c>
      <c r="X346" s="0" t="n">
        <v>0.0425921485949574</v>
      </c>
      <c r="Y346" s="0" t="n">
        <v>0.0434983645225097</v>
      </c>
      <c r="Z346" s="0" t="n">
        <v>0.044404580450062</v>
      </c>
      <c r="AA346" s="0" t="n">
        <v>0.0453107963776143</v>
      </c>
      <c r="AB346" s="0" t="n">
        <v>0.0462170123051666</v>
      </c>
      <c r="AC346" s="0" t="n">
        <v>0.0471232282327189</v>
      </c>
      <c r="AD346" s="94"/>
    </row>
    <row r="347" customFormat="false" ht="13.8" hidden="false" customHeight="false" outlineLevel="0" collapsed="false">
      <c r="A347" s="104" t="s">
        <v>348</v>
      </c>
      <c r="B347" s="94" t="n">
        <v>18</v>
      </c>
      <c r="C347" s="98"/>
      <c r="D347" s="98"/>
      <c r="E347" s="98"/>
      <c r="F347" s="98"/>
      <c r="G347" s="99"/>
      <c r="H347" s="99"/>
      <c r="I347" s="99" t="n">
        <v>0.028752119229801</v>
      </c>
      <c r="J347" s="99" t="n">
        <v>0.0296506229557323</v>
      </c>
      <c r="K347" s="101" t="n">
        <v>0.0305491266816635</v>
      </c>
      <c r="L347" s="101" t="n">
        <v>0.0314476304075948</v>
      </c>
      <c r="M347" s="101" t="n">
        <v>0.0336067797180697</v>
      </c>
      <c r="N347" s="101" t="n">
        <v>0.034540301376905</v>
      </c>
      <c r="O347" s="102" t="n">
        <v>0.0354738230357402</v>
      </c>
      <c r="P347" s="102" t="n">
        <v>0.0364073446945755</v>
      </c>
      <c r="Q347" s="83" t="n">
        <v>0.0387415836695703</v>
      </c>
      <c r="R347" s="83" t="n">
        <v>0.0397101232613095</v>
      </c>
      <c r="S347" s="83" t="n">
        <v>0.0406786628530488</v>
      </c>
      <c r="T347" s="0" t="n">
        <v>0.0416472024447881</v>
      </c>
      <c r="U347" s="93" t="n">
        <v>0.0398735008123006</v>
      </c>
      <c r="V347" s="0" t="n">
        <v>0.0407797167398529</v>
      </c>
      <c r="W347" s="0" t="n">
        <v>0.0416859326674052</v>
      </c>
      <c r="X347" s="0" t="n">
        <v>0.0425921485949574</v>
      </c>
      <c r="Y347" s="0" t="n">
        <v>0.0434983645225097</v>
      </c>
      <c r="Z347" s="0" t="n">
        <v>0.044404580450062</v>
      </c>
      <c r="AA347" s="0" t="n">
        <v>0.0453107963776143</v>
      </c>
      <c r="AB347" s="0" t="n">
        <v>0.0462170123051666</v>
      </c>
      <c r="AC347" s="0" t="n">
        <v>0.0471232282327189</v>
      </c>
      <c r="AD347" s="94"/>
    </row>
    <row r="348" customFormat="false" ht="13.8" hidden="false" customHeight="false" outlineLevel="0" collapsed="false">
      <c r="A348" s="104" t="s">
        <v>234</v>
      </c>
      <c r="B348" s="94" t="n">
        <v>18</v>
      </c>
      <c r="C348" s="98"/>
      <c r="D348" s="98"/>
      <c r="E348" s="98"/>
      <c r="F348" s="98"/>
      <c r="G348" s="99"/>
      <c r="H348" s="99"/>
      <c r="I348" s="99"/>
      <c r="J348" s="99"/>
      <c r="K348" s="101"/>
      <c r="L348" s="101"/>
      <c r="M348" s="101"/>
      <c r="N348" s="101" t="n">
        <v>0.0690806027538099</v>
      </c>
      <c r="O348" s="102" t="n">
        <v>0.0709476460714805</v>
      </c>
      <c r="P348" s="102" t="n">
        <v>0.072814689389151</v>
      </c>
      <c r="Q348" s="83" t="n">
        <v>0.0774831673391406</v>
      </c>
      <c r="R348" s="83" t="n">
        <v>0.0794202465226191</v>
      </c>
      <c r="S348" s="83" t="n">
        <v>0.0813573257060976</v>
      </c>
      <c r="T348" s="0" t="n">
        <v>0.0832944048895761</v>
      </c>
      <c r="U348" s="93" t="n">
        <v>0.0797470016246012</v>
      </c>
      <c r="V348" s="0" t="n">
        <v>0.0815594334797057</v>
      </c>
      <c r="W348" s="0" t="n">
        <v>0.0833718653348103</v>
      </c>
      <c r="AD348" s="94"/>
    </row>
    <row r="349" customFormat="false" ht="13.8" hidden="false" customHeight="false" outlineLevel="0" collapsed="false">
      <c r="A349" s="104" t="s">
        <v>967</v>
      </c>
      <c r="B349" s="94" t="n">
        <v>18</v>
      </c>
      <c r="C349" s="98"/>
      <c r="D349" s="98"/>
      <c r="E349" s="98"/>
      <c r="F349" s="98"/>
      <c r="G349" s="99"/>
      <c r="H349" s="99"/>
      <c r="I349" s="99" t="n">
        <v>0.057504238459602</v>
      </c>
      <c r="J349" s="99" t="n">
        <v>0.0593012459114645</v>
      </c>
      <c r="K349" s="101" t="n">
        <v>0.0610982533633271</v>
      </c>
      <c r="L349" s="101" t="n">
        <v>0.0628952608151897</v>
      </c>
      <c r="M349" s="101" t="n">
        <v>0.0672135594361394</v>
      </c>
      <c r="N349" s="101" t="n">
        <v>0.0690806027538099</v>
      </c>
      <c r="O349" s="102" t="n">
        <v>0.0709476460714805</v>
      </c>
      <c r="P349" s="102"/>
      <c r="Q349" s="83"/>
      <c r="R349" s="83"/>
      <c r="S349" s="83"/>
      <c r="U349" s="93"/>
      <c r="AD349" s="94"/>
    </row>
    <row r="350" customFormat="false" ht="13.8" hidden="false" customHeight="false" outlineLevel="0" collapsed="false">
      <c r="A350" s="104" t="s">
        <v>970</v>
      </c>
      <c r="B350" s="94" t="n">
        <v>18</v>
      </c>
      <c r="C350" s="98"/>
      <c r="D350" s="98"/>
      <c r="E350" s="98"/>
      <c r="F350" s="98"/>
      <c r="G350" s="99"/>
      <c r="H350" s="99"/>
      <c r="I350" s="99"/>
      <c r="J350" s="99"/>
      <c r="K350" s="101"/>
      <c r="L350" s="101"/>
      <c r="M350" s="101"/>
      <c r="N350" s="101" t="n">
        <v>0.0690806027538099</v>
      </c>
      <c r="O350" s="102" t="n">
        <v>0.0709476460714805</v>
      </c>
      <c r="P350" s="102" t="n">
        <v>0.072814689389151</v>
      </c>
      <c r="Q350" s="83" t="n">
        <v>0.0774831673391406</v>
      </c>
      <c r="R350" s="83" t="n">
        <v>0.0794202465226191</v>
      </c>
      <c r="S350" s="83" t="n">
        <v>0.0813573257060976</v>
      </c>
      <c r="T350" s="0" t="n">
        <v>0.0832944048895761</v>
      </c>
      <c r="U350" s="93" t="n">
        <v>0.0797470016246012</v>
      </c>
      <c r="V350" s="0" t="n">
        <v>0.0815594334797057</v>
      </c>
      <c r="W350" s="0" t="n">
        <v>0.0833718653348103</v>
      </c>
      <c r="X350" s="0" t="n">
        <v>0.0851842971899149</v>
      </c>
      <c r="Y350" s="0" t="n">
        <v>0.0869967290450194</v>
      </c>
      <c r="Z350" s="0" t="n">
        <v>0.088809160900124</v>
      </c>
      <c r="AA350" s="0" t="n">
        <v>0.0906215927552286</v>
      </c>
      <c r="AB350" s="0" t="n">
        <v>0.0924340246103331</v>
      </c>
      <c r="AC350" s="0" t="n">
        <v>0.0942464564654377</v>
      </c>
      <c r="AD350" s="94"/>
    </row>
    <row r="351" customFormat="false" ht="13.8" hidden="false" customHeight="false" outlineLevel="0" collapsed="false">
      <c r="A351" s="104" t="s">
        <v>460</v>
      </c>
      <c r="B351" s="94" t="n">
        <v>19</v>
      </c>
      <c r="C351" s="98"/>
      <c r="D351" s="98"/>
      <c r="E351" s="98"/>
      <c r="F351" s="98"/>
      <c r="G351" s="99"/>
      <c r="H351" s="99"/>
      <c r="I351" s="99" t="n">
        <v>0.028752119229801</v>
      </c>
      <c r="J351" s="99" t="n">
        <v>0.0296506229557323</v>
      </c>
      <c r="K351" s="101" t="n">
        <v>0.0305491266816635</v>
      </c>
      <c r="L351" s="101" t="n">
        <v>0.0314476304075948</v>
      </c>
      <c r="M351" s="101" t="n">
        <v>0.0336067797180697</v>
      </c>
      <c r="N351" s="101" t="n">
        <v>0.034540301376905</v>
      </c>
      <c r="O351" s="102" t="n">
        <v>0.0354738230357402</v>
      </c>
      <c r="P351" s="102" t="n">
        <v>0.0364073446945755</v>
      </c>
      <c r="Q351" s="83" t="n">
        <v>0.0387415836695703</v>
      </c>
      <c r="R351" s="83" t="n">
        <v>0.0397101232613095</v>
      </c>
      <c r="S351" s="83" t="n">
        <v>0.0406786628530488</v>
      </c>
      <c r="T351" s="0" t="n">
        <v>0.0416472024447881</v>
      </c>
      <c r="U351" s="93" t="n">
        <v>0.0398735008123006</v>
      </c>
      <c r="V351" s="0" t="n">
        <v>0.0407797167398529</v>
      </c>
      <c r="W351" s="0" t="n">
        <v>0.0416859326674052</v>
      </c>
      <c r="X351" s="0" t="n">
        <v>0.0425921485949574</v>
      </c>
      <c r="Y351" s="0" t="n">
        <v>0.0434983645225097</v>
      </c>
      <c r="Z351" s="0" t="n">
        <v>0.044404580450062</v>
      </c>
      <c r="AA351" s="0" t="n">
        <v>0.0453107963776143</v>
      </c>
      <c r="AB351" s="0" t="n">
        <v>0.0462170123051666</v>
      </c>
      <c r="AC351" s="0" t="n">
        <v>0.0471232282327189</v>
      </c>
      <c r="AD351" s="94"/>
    </row>
    <row r="352" customFormat="false" ht="13.8" hidden="false" customHeight="false" outlineLevel="0" collapsed="false">
      <c r="A352" s="104" t="s">
        <v>348</v>
      </c>
      <c r="B352" s="94" t="n">
        <v>19</v>
      </c>
      <c r="C352" s="98"/>
      <c r="D352" s="98"/>
      <c r="E352" s="98"/>
      <c r="F352" s="98"/>
      <c r="G352" s="99"/>
      <c r="H352" s="99"/>
      <c r="I352" s="99" t="n">
        <v>0.028752119229801</v>
      </c>
      <c r="J352" s="99" t="n">
        <v>0.0296506229557323</v>
      </c>
      <c r="K352" s="101" t="n">
        <v>0.0305491266816635</v>
      </c>
      <c r="L352" s="101" t="n">
        <v>0.0314476304075948</v>
      </c>
      <c r="M352" s="101" t="n">
        <v>0.0336067797180697</v>
      </c>
      <c r="N352" s="101" t="n">
        <v>0.034540301376905</v>
      </c>
      <c r="O352" s="102" t="n">
        <v>0.0354738230357402</v>
      </c>
      <c r="P352" s="102" t="n">
        <v>0.0364073446945755</v>
      </c>
      <c r="Q352" s="83" t="n">
        <v>0.0387415836695703</v>
      </c>
      <c r="R352" s="83" t="n">
        <v>0.0397101232613095</v>
      </c>
      <c r="S352" s="83" t="n">
        <v>0.0406786628530488</v>
      </c>
      <c r="T352" s="0" t="n">
        <v>0.0416472024447881</v>
      </c>
      <c r="U352" s="0" t="n">
        <v>0.0398735008123006</v>
      </c>
      <c r="V352" s="0" t="n">
        <v>0.0407797167398529</v>
      </c>
      <c r="W352" s="0" t="n">
        <v>0.0416859326674052</v>
      </c>
      <c r="X352" s="0" t="n">
        <v>0.0425921485949574</v>
      </c>
      <c r="Y352" s="0" t="n">
        <v>0.0434983645225097</v>
      </c>
      <c r="Z352" s="0" t="n">
        <v>0.044404580450062</v>
      </c>
      <c r="AA352" s="0" t="n">
        <v>0.0453107963776143</v>
      </c>
      <c r="AB352" s="0" t="n">
        <v>0.0462170123051666</v>
      </c>
      <c r="AC352" s="0" t="n">
        <v>0.0471232282327189</v>
      </c>
      <c r="AD352" s="94"/>
    </row>
    <row r="353" customFormat="false" ht="13.8" hidden="false" customHeight="false" outlineLevel="0" collapsed="false">
      <c r="A353" s="104" t="s">
        <v>234</v>
      </c>
      <c r="B353" s="94" t="n">
        <v>19</v>
      </c>
      <c r="C353" s="98"/>
      <c r="D353" s="98"/>
      <c r="E353" s="98"/>
      <c r="F353" s="98"/>
      <c r="G353" s="99"/>
      <c r="H353" s="99"/>
      <c r="I353" s="99"/>
      <c r="J353" s="99"/>
      <c r="K353" s="101"/>
      <c r="L353" s="101"/>
      <c r="M353" s="101"/>
      <c r="N353" s="101" t="n">
        <v>0.0690806027538099</v>
      </c>
      <c r="O353" s="102" t="n">
        <v>0.0709476460714805</v>
      </c>
      <c r="P353" s="102" t="n">
        <v>0.072814689389151</v>
      </c>
      <c r="Q353" s="83" t="n">
        <v>0.0774831673391406</v>
      </c>
      <c r="R353" s="83" t="n">
        <v>0.0794202465226191</v>
      </c>
      <c r="S353" s="83" t="n">
        <v>0.0813573257060976</v>
      </c>
      <c r="T353" s="0" t="n">
        <v>0.0832944048895761</v>
      </c>
      <c r="U353" s="0" t="n">
        <v>0.0797470016246012</v>
      </c>
      <c r="V353" s="0" t="n">
        <v>0.0815594334797057</v>
      </c>
      <c r="W353" s="0" t="n">
        <v>0.0833718653348103</v>
      </c>
      <c r="AD353" s="94"/>
    </row>
    <row r="354" customFormat="false" ht="13.8" hidden="false" customHeight="false" outlineLevel="0" collapsed="false">
      <c r="A354" s="104" t="s">
        <v>967</v>
      </c>
      <c r="B354" s="94" t="n">
        <v>19</v>
      </c>
      <c r="C354" s="98"/>
      <c r="D354" s="98"/>
      <c r="E354" s="98"/>
      <c r="F354" s="98"/>
      <c r="G354" s="99"/>
      <c r="H354" s="99"/>
      <c r="I354" s="99" t="n">
        <v>0.057504238459602</v>
      </c>
      <c r="J354" s="99" t="n">
        <v>0.0593012459114645</v>
      </c>
      <c r="K354" s="101" t="n">
        <v>0.0610982533633271</v>
      </c>
      <c r="L354" s="101" t="n">
        <v>0.0628952608151897</v>
      </c>
      <c r="M354" s="101" t="n">
        <v>0.0672135594361394</v>
      </c>
      <c r="N354" s="101" t="n">
        <v>0.0690806027538099</v>
      </c>
      <c r="O354" s="102" t="n">
        <v>0.0709476460714805</v>
      </c>
      <c r="P354" s="102"/>
      <c r="Q354" s="83"/>
      <c r="R354" s="83"/>
      <c r="S354" s="83"/>
      <c r="U354" s="93"/>
      <c r="AD354" s="94"/>
    </row>
    <row r="355" customFormat="false" ht="13.8" hidden="false" customHeight="false" outlineLevel="0" collapsed="false">
      <c r="A355" s="104" t="s">
        <v>970</v>
      </c>
      <c r="B355" s="94" t="n">
        <v>19</v>
      </c>
      <c r="C355" s="98"/>
      <c r="D355" s="98"/>
      <c r="E355" s="98"/>
      <c r="F355" s="98"/>
      <c r="G355" s="99"/>
      <c r="H355" s="99"/>
      <c r="I355" s="99"/>
      <c r="J355" s="99"/>
      <c r="K355" s="101"/>
      <c r="L355" s="101"/>
      <c r="M355" s="101"/>
      <c r="N355" s="101" t="n">
        <v>0.0690806027538099</v>
      </c>
      <c r="O355" s="102" t="n">
        <v>0.0709476460714805</v>
      </c>
      <c r="P355" s="102" t="n">
        <v>0.072814689389151</v>
      </c>
      <c r="Q355" s="83" t="n">
        <v>0.0774831673391406</v>
      </c>
      <c r="R355" s="83" t="n">
        <v>0.0794202465226191</v>
      </c>
      <c r="S355" s="83" t="n">
        <v>0.0813573257060976</v>
      </c>
      <c r="T355" s="0" t="n">
        <v>0.0832944048895761</v>
      </c>
      <c r="U355" s="0" t="n">
        <v>0.0797470016246012</v>
      </c>
      <c r="V355" s="0" t="n">
        <v>0.0815594334797057</v>
      </c>
      <c r="W355" s="0" t="n">
        <v>0.0833718653348103</v>
      </c>
      <c r="X355" s="0" t="n">
        <v>0.0851842971899149</v>
      </c>
      <c r="Y355" s="0" t="n">
        <v>0.0869967290450194</v>
      </c>
      <c r="Z355" s="0" t="n">
        <v>0.088809160900124</v>
      </c>
      <c r="AA355" s="0" t="n">
        <v>0.0906215927552286</v>
      </c>
      <c r="AB355" s="0" t="n">
        <v>0.0924340246103331</v>
      </c>
      <c r="AC355" s="0" t="n">
        <v>0.0942464564654377</v>
      </c>
      <c r="AD355" s="94"/>
    </row>
    <row r="356" customFormat="false" ht="13.8" hidden="false" customHeight="false" outlineLevel="0" collapsed="false">
      <c r="A356" s="104" t="s">
        <v>460</v>
      </c>
      <c r="B356" s="94" t="n">
        <v>20</v>
      </c>
      <c r="C356" s="98"/>
      <c r="D356" s="98"/>
      <c r="E356" s="98"/>
      <c r="F356" s="98"/>
      <c r="G356" s="99"/>
      <c r="H356" s="99"/>
      <c r="I356" s="99" t="n">
        <v>0.028752119229801</v>
      </c>
      <c r="J356" s="99" t="n">
        <v>0.0296506229557323</v>
      </c>
      <c r="K356" s="101" t="n">
        <v>0.0305491266816635</v>
      </c>
      <c r="L356" s="101" t="n">
        <v>0.0314476304075948</v>
      </c>
      <c r="M356" s="101" t="n">
        <v>0.0336067797180697</v>
      </c>
      <c r="N356" s="101" t="n">
        <v>0.034540301376905</v>
      </c>
      <c r="O356" s="102" t="n">
        <v>0.0354738230357402</v>
      </c>
      <c r="P356" s="102" t="n">
        <v>0.0364073446945755</v>
      </c>
      <c r="Q356" s="83" t="n">
        <v>0.0387415836695703</v>
      </c>
      <c r="R356" s="83" t="n">
        <v>0.0397101232613095</v>
      </c>
      <c r="S356" s="83" t="n">
        <v>0.0406786628530488</v>
      </c>
      <c r="T356" s="0" t="n">
        <v>0.0416472024447881</v>
      </c>
      <c r="U356" s="0" t="n">
        <v>0.0398735008123006</v>
      </c>
      <c r="V356" s="0" t="n">
        <v>0.0407797167398529</v>
      </c>
      <c r="W356" s="0" t="n">
        <v>0.0416859326674052</v>
      </c>
      <c r="X356" s="0" t="n">
        <v>0.0425921485949574</v>
      </c>
      <c r="Y356" s="0" t="n">
        <v>0.0434983645225097</v>
      </c>
      <c r="Z356" s="0" t="n">
        <v>0.044404580450062</v>
      </c>
      <c r="AA356" s="0" t="n">
        <v>0.0453107963776143</v>
      </c>
      <c r="AB356" s="0" t="n">
        <v>0.0462170123051666</v>
      </c>
      <c r="AC356" s="0" t="n">
        <v>0.0471232282327189</v>
      </c>
      <c r="AD356" s="94"/>
    </row>
    <row r="357" customFormat="false" ht="13.8" hidden="false" customHeight="false" outlineLevel="0" collapsed="false">
      <c r="A357" s="104" t="s">
        <v>348</v>
      </c>
      <c r="B357" s="94" t="n">
        <v>20</v>
      </c>
      <c r="C357" s="98"/>
      <c r="D357" s="98"/>
      <c r="E357" s="98"/>
      <c r="F357" s="98"/>
      <c r="G357" s="99"/>
      <c r="H357" s="99"/>
      <c r="I357" s="99" t="n">
        <v>0.028752119229801</v>
      </c>
      <c r="J357" s="99" t="n">
        <v>0.0296506229557323</v>
      </c>
      <c r="K357" s="101" t="n">
        <v>0.0305491266816635</v>
      </c>
      <c r="L357" s="101" t="n">
        <v>0.0314476304075948</v>
      </c>
      <c r="M357" s="101" t="n">
        <v>0.0336067797180697</v>
      </c>
      <c r="N357" s="101" t="n">
        <v>0.034540301376905</v>
      </c>
      <c r="O357" s="102" t="n">
        <v>0.0354738230357402</v>
      </c>
      <c r="P357" s="102" t="n">
        <v>0.0364073446945755</v>
      </c>
      <c r="Q357" s="83" t="n">
        <v>0.0387415836695703</v>
      </c>
      <c r="R357" s="83" t="n">
        <v>0.0397101232613095</v>
      </c>
      <c r="S357" s="83" t="n">
        <v>0.0406786628530488</v>
      </c>
      <c r="T357" s="0" t="n">
        <v>0.0416472024447881</v>
      </c>
      <c r="U357" s="93" t="n">
        <v>0.0398735008123006</v>
      </c>
      <c r="V357" s="0" t="n">
        <v>0.0407797167398529</v>
      </c>
      <c r="W357" s="0" t="n">
        <v>0.0416859326674052</v>
      </c>
      <c r="X357" s="0" t="n">
        <v>0.0425921485949574</v>
      </c>
      <c r="Y357" s="0" t="n">
        <v>0.0434983645225097</v>
      </c>
      <c r="Z357" s="0" t="n">
        <v>0.044404580450062</v>
      </c>
      <c r="AA357" s="0" t="n">
        <v>0.0453107963776143</v>
      </c>
      <c r="AB357" s="0" t="n">
        <v>0.0462170123051666</v>
      </c>
      <c r="AC357" s="0" t="n">
        <v>0.0471232282327189</v>
      </c>
      <c r="AD357" s="94"/>
    </row>
    <row r="358" customFormat="false" ht="13.8" hidden="false" customHeight="false" outlineLevel="0" collapsed="false">
      <c r="A358" s="104" t="s">
        <v>234</v>
      </c>
      <c r="B358" s="94" t="n">
        <v>20</v>
      </c>
      <c r="C358" s="98"/>
      <c r="D358" s="98"/>
      <c r="E358" s="98"/>
      <c r="F358" s="98"/>
      <c r="G358" s="99"/>
      <c r="H358" s="99"/>
      <c r="I358" s="99"/>
      <c r="J358" s="99"/>
      <c r="K358" s="101"/>
      <c r="L358" s="101"/>
      <c r="M358" s="101"/>
      <c r="N358" s="101" t="n">
        <v>0.0690806027538099</v>
      </c>
      <c r="O358" s="102" t="n">
        <v>0.0709476460714805</v>
      </c>
      <c r="P358" s="102" t="n">
        <v>0.072814689389151</v>
      </c>
      <c r="Q358" s="83" t="n">
        <v>0.0774831673391406</v>
      </c>
      <c r="R358" s="83" t="n">
        <v>0.0794202465226191</v>
      </c>
      <c r="S358" s="83" t="n">
        <v>0.0813573257060976</v>
      </c>
      <c r="T358" s="0" t="n">
        <v>0.0832944048895761</v>
      </c>
      <c r="U358" s="0" t="n">
        <v>0.0797470016246012</v>
      </c>
      <c r="V358" s="0" t="n">
        <v>0.0815594334797057</v>
      </c>
      <c r="W358" s="0" t="n">
        <v>0.0833718653348103</v>
      </c>
      <c r="AD358" s="94"/>
    </row>
    <row r="359" customFormat="false" ht="13.8" hidden="false" customHeight="false" outlineLevel="0" collapsed="false">
      <c r="A359" s="104" t="s">
        <v>967</v>
      </c>
      <c r="B359" s="94" t="n">
        <v>20</v>
      </c>
      <c r="C359" s="98"/>
      <c r="D359" s="98"/>
      <c r="E359" s="98"/>
      <c r="F359" s="98"/>
      <c r="G359" s="99"/>
      <c r="H359" s="99"/>
      <c r="I359" s="99" t="n">
        <v>0.057504238459602</v>
      </c>
      <c r="J359" s="99" t="n">
        <v>0.0593012459114645</v>
      </c>
      <c r="K359" s="101" t="n">
        <v>0.0610982533633271</v>
      </c>
      <c r="L359" s="101" t="n">
        <v>0.0628952608151897</v>
      </c>
      <c r="M359" s="101" t="n">
        <v>0.0672135594361394</v>
      </c>
      <c r="N359" s="101" t="n">
        <v>0.0690806027538099</v>
      </c>
      <c r="O359" s="102" t="n">
        <v>0.0709476460714805</v>
      </c>
      <c r="P359" s="102"/>
      <c r="Q359" s="83"/>
      <c r="R359" s="83"/>
      <c r="S359" s="83"/>
      <c r="AD359" s="94"/>
    </row>
    <row r="360" customFormat="false" ht="13.8" hidden="false" customHeight="false" outlineLevel="0" collapsed="false">
      <c r="A360" s="104" t="s">
        <v>970</v>
      </c>
      <c r="B360" s="94" t="n">
        <v>20</v>
      </c>
      <c r="C360" s="98"/>
      <c r="D360" s="98"/>
      <c r="E360" s="98"/>
      <c r="F360" s="98"/>
      <c r="G360" s="99"/>
      <c r="H360" s="99"/>
      <c r="I360" s="99"/>
      <c r="J360" s="99"/>
      <c r="K360" s="101"/>
      <c r="L360" s="101"/>
      <c r="M360" s="101"/>
      <c r="N360" s="101" t="n">
        <v>0.0690806027538099</v>
      </c>
      <c r="O360" s="102" t="n">
        <v>0.0709476460714805</v>
      </c>
      <c r="P360" s="102" t="n">
        <v>0.072814689389151</v>
      </c>
      <c r="Q360" s="83" t="n">
        <v>0.0774831673391406</v>
      </c>
      <c r="R360" s="83" t="n">
        <v>0.0794202465226191</v>
      </c>
      <c r="S360" s="83" t="n">
        <v>0.0813573257060976</v>
      </c>
      <c r="T360" s="0" t="n">
        <v>0.0832944048895761</v>
      </c>
      <c r="U360" s="93" t="n">
        <v>0.0797470016246012</v>
      </c>
      <c r="V360" s="0" t="n">
        <v>0.0815594334797057</v>
      </c>
      <c r="W360" s="0" t="n">
        <v>0.0833718653348103</v>
      </c>
      <c r="X360" s="0" t="n">
        <v>0.0851842971899149</v>
      </c>
      <c r="Y360" s="0" t="n">
        <v>0.0869967290450194</v>
      </c>
      <c r="Z360" s="0" t="n">
        <v>0.088809160900124</v>
      </c>
      <c r="AA360" s="0" t="n">
        <v>0.0906215927552286</v>
      </c>
      <c r="AB360" s="0" t="n">
        <v>0.0924340246103331</v>
      </c>
      <c r="AC360" s="0" t="n">
        <v>0.0942464564654377</v>
      </c>
      <c r="AD360" s="94"/>
    </row>
    <row r="361" customFormat="false" ht="13.8" hidden="false" customHeight="false" outlineLevel="0" collapsed="false">
      <c r="A361" s="104" t="s">
        <v>460</v>
      </c>
      <c r="B361" s="94" t="n">
        <v>21</v>
      </c>
      <c r="C361" s="98"/>
      <c r="D361" s="98"/>
      <c r="E361" s="98"/>
      <c r="F361" s="98"/>
      <c r="G361" s="99"/>
      <c r="H361" s="99"/>
      <c r="I361" s="99" t="n">
        <v>0.028752119229801</v>
      </c>
      <c r="J361" s="99" t="n">
        <v>0.0296506229557323</v>
      </c>
      <c r="K361" s="101" t="n">
        <v>0.0305491266816635</v>
      </c>
      <c r="L361" s="101" t="n">
        <v>0.0314476304075948</v>
      </c>
      <c r="M361" s="101" t="n">
        <v>0.0336067797180697</v>
      </c>
      <c r="N361" s="101" t="n">
        <v>0.034540301376905</v>
      </c>
      <c r="O361" s="102" t="n">
        <v>0.0354738230357402</v>
      </c>
      <c r="P361" s="102" t="n">
        <v>0.0364073446945755</v>
      </c>
      <c r="Q361" s="83" t="n">
        <v>0.0387415836695703</v>
      </c>
      <c r="R361" s="83" t="n">
        <v>0.0397101232613095</v>
      </c>
      <c r="S361" s="83" t="n">
        <v>0.0406786628530488</v>
      </c>
      <c r="T361" s="0" t="n">
        <v>0.0416472024447881</v>
      </c>
      <c r="U361" s="0" t="n">
        <v>0.0398735008123006</v>
      </c>
      <c r="V361" s="0" t="n">
        <v>0.0407797167398529</v>
      </c>
      <c r="W361" s="0" t="n">
        <v>0.0416859326674052</v>
      </c>
      <c r="X361" s="0" t="n">
        <v>0.0425921485949574</v>
      </c>
      <c r="Y361" s="0" t="n">
        <v>0.0434983645225097</v>
      </c>
      <c r="Z361" s="0" t="n">
        <v>0.044404580450062</v>
      </c>
      <c r="AA361" s="0" t="n">
        <v>0.0453107963776143</v>
      </c>
      <c r="AB361" s="0" t="n">
        <v>0.0462170123051666</v>
      </c>
      <c r="AC361" s="0" t="n">
        <v>0.0471232282327189</v>
      </c>
      <c r="AD361" s="94"/>
    </row>
    <row r="362" customFormat="false" ht="13.8" hidden="false" customHeight="false" outlineLevel="0" collapsed="false">
      <c r="A362" s="104" t="s">
        <v>348</v>
      </c>
      <c r="B362" s="94" t="n">
        <v>21</v>
      </c>
      <c r="C362" s="98"/>
      <c r="D362" s="98"/>
      <c r="E362" s="98"/>
      <c r="F362" s="98"/>
      <c r="G362" s="99"/>
      <c r="H362" s="99"/>
      <c r="I362" s="99" t="n">
        <v>0.028752119229801</v>
      </c>
      <c r="J362" s="99" t="n">
        <v>0.0296506229557323</v>
      </c>
      <c r="K362" s="101" t="n">
        <v>0.0305491266816635</v>
      </c>
      <c r="L362" s="101" t="n">
        <v>0.0314476304075948</v>
      </c>
      <c r="M362" s="101" t="n">
        <v>0.0336067797180697</v>
      </c>
      <c r="N362" s="101" t="n">
        <v>0.034540301376905</v>
      </c>
      <c r="O362" s="102" t="n">
        <v>0.0354738230357402</v>
      </c>
      <c r="P362" s="102" t="n">
        <v>0.0364073446945755</v>
      </c>
      <c r="Q362" s="83" t="n">
        <v>0.0387415836695703</v>
      </c>
      <c r="R362" s="83" t="n">
        <v>0.0397101232613095</v>
      </c>
      <c r="S362" s="83" t="n">
        <v>0.0406786628530488</v>
      </c>
      <c r="T362" s="0" t="n">
        <v>0.0416472024447881</v>
      </c>
      <c r="U362" s="0" t="n">
        <v>0.0398735008123006</v>
      </c>
      <c r="V362" s="0" t="n">
        <v>0.0407797167398529</v>
      </c>
      <c r="W362" s="0" t="n">
        <v>0.0416859326674052</v>
      </c>
      <c r="X362" s="0" t="n">
        <v>0.0425921485949574</v>
      </c>
      <c r="Y362" s="0" t="n">
        <v>0.0434983645225097</v>
      </c>
      <c r="Z362" s="0" t="n">
        <v>0.044404580450062</v>
      </c>
      <c r="AA362" s="0" t="n">
        <v>0.0453107963776143</v>
      </c>
      <c r="AB362" s="0" t="n">
        <v>0.0462170123051666</v>
      </c>
      <c r="AC362" s="0" t="n">
        <v>0.0471232282327189</v>
      </c>
      <c r="AD362" s="94"/>
    </row>
    <row r="363" customFormat="false" ht="13.8" hidden="false" customHeight="false" outlineLevel="0" collapsed="false">
      <c r="A363" s="104" t="s">
        <v>234</v>
      </c>
      <c r="B363" s="94" t="n">
        <v>21</v>
      </c>
      <c r="C363" s="98"/>
      <c r="D363" s="98"/>
      <c r="E363" s="98"/>
      <c r="F363" s="98"/>
      <c r="G363" s="99"/>
      <c r="H363" s="99"/>
      <c r="I363" s="99"/>
      <c r="J363" s="99"/>
      <c r="K363" s="101"/>
      <c r="L363" s="101"/>
      <c r="M363" s="101"/>
      <c r="N363" s="101" t="n">
        <v>0.0690806027538099</v>
      </c>
      <c r="O363" s="102" t="n">
        <v>0.0709476460714805</v>
      </c>
      <c r="P363" s="102" t="n">
        <v>0.072814689389151</v>
      </c>
      <c r="Q363" s="83" t="n">
        <v>0.0774831673391406</v>
      </c>
      <c r="R363" s="83" t="n">
        <v>0.0794202465226191</v>
      </c>
      <c r="S363" s="83" t="n">
        <v>0.0813573257060976</v>
      </c>
      <c r="T363" s="0" t="n">
        <v>0.0832944048895761</v>
      </c>
      <c r="U363" s="93" t="n">
        <v>0.0797470016246012</v>
      </c>
      <c r="V363" s="0" t="n">
        <v>0.0815594334797057</v>
      </c>
      <c r="W363" s="0" t="n">
        <v>0.0833718653348103</v>
      </c>
      <c r="AD363" s="94"/>
    </row>
    <row r="364" customFormat="false" ht="13.8" hidden="false" customHeight="false" outlineLevel="0" collapsed="false">
      <c r="A364" s="104" t="s">
        <v>967</v>
      </c>
      <c r="B364" s="94" t="n">
        <v>21</v>
      </c>
      <c r="C364" s="98"/>
      <c r="D364" s="98"/>
      <c r="E364" s="98"/>
      <c r="F364" s="98"/>
      <c r="G364" s="99"/>
      <c r="H364" s="99"/>
      <c r="I364" s="99" t="n">
        <v>0.057504238459602</v>
      </c>
      <c r="J364" s="99" t="n">
        <v>0.0593012459114645</v>
      </c>
      <c r="K364" s="101" t="n">
        <v>0.0610982533633271</v>
      </c>
      <c r="L364" s="101" t="n">
        <v>0.0628952608151897</v>
      </c>
      <c r="M364" s="101" t="n">
        <v>0.0672135594361394</v>
      </c>
      <c r="N364" s="101" t="n">
        <v>0.0690806027538099</v>
      </c>
      <c r="O364" s="102" t="n">
        <v>0.0709476460714805</v>
      </c>
      <c r="P364" s="102"/>
      <c r="Q364" s="83"/>
      <c r="R364" s="83"/>
      <c r="S364" s="83"/>
      <c r="AD364" s="94"/>
    </row>
    <row r="365" customFormat="false" ht="13.8" hidden="false" customHeight="false" outlineLevel="0" collapsed="false">
      <c r="A365" s="104" t="s">
        <v>970</v>
      </c>
      <c r="B365" s="94" t="n">
        <v>21</v>
      </c>
      <c r="C365" s="98"/>
      <c r="D365" s="98"/>
      <c r="E365" s="98"/>
      <c r="F365" s="98"/>
      <c r="G365" s="99"/>
      <c r="H365" s="99"/>
      <c r="I365" s="99"/>
      <c r="J365" s="99"/>
      <c r="K365" s="101"/>
      <c r="L365" s="101"/>
      <c r="M365" s="101"/>
      <c r="N365" s="101" t="n">
        <v>0.0690806027538099</v>
      </c>
      <c r="O365" s="102" t="n">
        <v>0.0709476460714805</v>
      </c>
      <c r="P365" s="102" t="n">
        <v>0.072814689389151</v>
      </c>
      <c r="Q365" s="83" t="n">
        <v>0.0774831673391406</v>
      </c>
      <c r="R365" s="83" t="n">
        <v>0.0794202465226191</v>
      </c>
      <c r="S365" s="83" t="n">
        <v>0.0813573257060976</v>
      </c>
      <c r="T365" s="0" t="n">
        <v>0.0832944048895761</v>
      </c>
      <c r="U365" s="0" t="n">
        <v>0.0797470016246012</v>
      </c>
      <c r="V365" s="0" t="n">
        <v>0.0815594334797057</v>
      </c>
      <c r="W365" s="0" t="n">
        <v>0.0833718653348103</v>
      </c>
      <c r="X365" s="0" t="n">
        <v>0.0851842971899149</v>
      </c>
      <c r="Y365" s="0" t="n">
        <v>0.0869967290450194</v>
      </c>
      <c r="Z365" s="0" t="n">
        <v>0.088809160900124</v>
      </c>
      <c r="AA365" s="0" t="n">
        <v>0.0906215927552286</v>
      </c>
      <c r="AB365" s="0" t="n">
        <v>0.0924340246103331</v>
      </c>
      <c r="AC365" s="0" t="n">
        <v>0.0942464564654377</v>
      </c>
      <c r="AD365" s="94"/>
    </row>
    <row r="366" customFormat="false" ht="13.8" hidden="false" customHeight="false" outlineLevel="0" collapsed="false">
      <c r="A366" s="104" t="s">
        <v>462</v>
      </c>
      <c r="B366" s="94" t="n">
        <v>16</v>
      </c>
      <c r="C366" s="98"/>
      <c r="D366" s="98"/>
      <c r="E366" s="98"/>
      <c r="F366" s="98"/>
      <c r="G366" s="99"/>
      <c r="H366" s="99"/>
      <c r="I366" s="99" t="n">
        <v>0.028752119229801</v>
      </c>
      <c r="J366" s="99" t="n">
        <v>0.0296506229557323</v>
      </c>
      <c r="K366" s="101" t="n">
        <v>0.0305491266816635</v>
      </c>
      <c r="L366" s="101" t="n">
        <v>0.0314476304075948</v>
      </c>
      <c r="M366" s="101" t="n">
        <v>0.0336067797180697</v>
      </c>
      <c r="N366" s="101" t="n">
        <v>0.034540301376905</v>
      </c>
      <c r="O366" s="102" t="n">
        <v>0.0354738230357402</v>
      </c>
      <c r="P366" s="102" t="n">
        <v>0.0364073446945755</v>
      </c>
      <c r="Q366" s="83" t="n">
        <v>0.0387415836695703</v>
      </c>
      <c r="R366" s="83" t="n">
        <v>0.0397101232613095</v>
      </c>
      <c r="S366" s="83" t="n">
        <v>0.0406786628530488</v>
      </c>
      <c r="T366" s="0" t="n">
        <v>0.0416472024447881</v>
      </c>
      <c r="U366" s="93" t="n">
        <v>0.0398735008123006</v>
      </c>
      <c r="V366" s="0" t="n">
        <v>0.0407797167398529</v>
      </c>
      <c r="W366" s="0" t="n">
        <v>0.0416859326674052</v>
      </c>
      <c r="X366" s="0" t="n">
        <v>0.0425921485949574</v>
      </c>
      <c r="Y366" s="0" t="n">
        <v>0.0434983645225097</v>
      </c>
      <c r="Z366" s="0" t="n">
        <v>0.044404580450062</v>
      </c>
      <c r="AA366" s="0" t="n">
        <v>0.0453107963776143</v>
      </c>
      <c r="AB366" s="0" t="n">
        <v>0.0462170123051666</v>
      </c>
      <c r="AC366" s="0" t="n">
        <v>0.0471232282327189</v>
      </c>
      <c r="AD366" s="94"/>
    </row>
    <row r="367" customFormat="false" ht="13.8" hidden="false" customHeight="false" outlineLevel="0" collapsed="false">
      <c r="A367" s="104" t="s">
        <v>462</v>
      </c>
      <c r="B367" s="94" t="n">
        <v>17</v>
      </c>
      <c r="C367" s="98"/>
      <c r="D367" s="98"/>
      <c r="E367" s="98"/>
      <c r="F367" s="98"/>
      <c r="G367" s="99"/>
      <c r="H367" s="99"/>
      <c r="I367" s="99" t="n">
        <v>0.028752119229801</v>
      </c>
      <c r="J367" s="99" t="n">
        <v>0.0296506229557323</v>
      </c>
      <c r="K367" s="101" t="n">
        <v>0.0305491266816635</v>
      </c>
      <c r="L367" s="101" t="n">
        <v>0.0314476304075948</v>
      </c>
      <c r="M367" s="101" t="n">
        <v>0.0336067797180697</v>
      </c>
      <c r="N367" s="101" t="n">
        <v>0.034540301376905</v>
      </c>
      <c r="O367" s="102" t="n">
        <v>0.0354738230357402</v>
      </c>
      <c r="P367" s="102" t="n">
        <v>0.0364073446945755</v>
      </c>
      <c r="Q367" s="83" t="n">
        <v>0.0387415836695703</v>
      </c>
      <c r="R367" s="83" t="n">
        <v>0.0397101232613095</v>
      </c>
      <c r="S367" s="83" t="n">
        <v>0.0406786628530488</v>
      </c>
      <c r="T367" s="0" t="n">
        <v>0.0416472024447881</v>
      </c>
      <c r="U367" s="93" t="n">
        <v>0.0398735008123006</v>
      </c>
      <c r="V367" s="0" t="n">
        <v>0.0407797167398529</v>
      </c>
      <c r="W367" s="0" t="n">
        <v>0.0416859326674052</v>
      </c>
      <c r="X367" s="0" t="n">
        <v>0.0425921485949574</v>
      </c>
      <c r="Y367" s="0" t="n">
        <v>0.0434983645225097</v>
      </c>
      <c r="Z367" s="0" t="n">
        <v>0.044404580450062</v>
      </c>
      <c r="AA367" s="0" t="n">
        <v>0.0453107963776143</v>
      </c>
      <c r="AB367" s="0" t="n">
        <v>0.0462170123051666</v>
      </c>
      <c r="AC367" s="0" t="n">
        <v>0.0471232282327189</v>
      </c>
      <c r="AD367" s="94"/>
    </row>
    <row r="368" customFormat="false" ht="13.8" hidden="false" customHeight="false" outlineLevel="0" collapsed="false">
      <c r="A368" s="104" t="s">
        <v>462</v>
      </c>
      <c r="B368" s="94" t="n">
        <v>18</v>
      </c>
      <c r="C368" s="98"/>
      <c r="D368" s="98"/>
      <c r="E368" s="98"/>
      <c r="F368" s="98"/>
      <c r="G368" s="99"/>
      <c r="H368" s="99"/>
      <c r="I368" s="99" t="n">
        <v>0.028752119229801</v>
      </c>
      <c r="J368" s="99" t="n">
        <v>0.0296506229557323</v>
      </c>
      <c r="K368" s="101" t="n">
        <v>0.0305491266816635</v>
      </c>
      <c r="L368" s="101" t="n">
        <v>0.0314476304075948</v>
      </c>
      <c r="M368" s="101" t="n">
        <v>0.0336067797180697</v>
      </c>
      <c r="N368" s="101" t="n">
        <v>0.034540301376905</v>
      </c>
      <c r="O368" s="102" t="n">
        <v>0.0354738230357402</v>
      </c>
      <c r="P368" s="102" t="n">
        <v>0.0364073446945755</v>
      </c>
      <c r="Q368" s="83" t="n">
        <v>0.0387415836695703</v>
      </c>
      <c r="R368" s="83" t="n">
        <v>0.0397101232613095</v>
      </c>
      <c r="S368" s="83" t="n">
        <v>0.0406786628530488</v>
      </c>
      <c r="T368" s="0" t="n">
        <v>0.0416472024447881</v>
      </c>
      <c r="U368" s="93" t="n">
        <v>0.0398735008123006</v>
      </c>
      <c r="V368" s="0" t="n">
        <v>0.0407797167398529</v>
      </c>
      <c r="W368" s="0" t="n">
        <v>0.0416859326674052</v>
      </c>
      <c r="X368" s="0" t="n">
        <v>0.0425921485949574</v>
      </c>
      <c r="Y368" s="0" t="n">
        <v>0.0434983645225097</v>
      </c>
      <c r="Z368" s="0" t="n">
        <v>0.044404580450062</v>
      </c>
      <c r="AA368" s="0" t="n">
        <v>0.0453107963776143</v>
      </c>
      <c r="AB368" s="0" t="n">
        <v>0.0462170123051666</v>
      </c>
      <c r="AC368" s="0" t="n">
        <v>0.0471232282327189</v>
      </c>
      <c r="AD368" s="94"/>
    </row>
    <row r="369" customFormat="false" ht="13.8" hidden="false" customHeight="false" outlineLevel="0" collapsed="false">
      <c r="A369" s="104" t="s">
        <v>462</v>
      </c>
      <c r="B369" s="94" t="n">
        <v>19</v>
      </c>
      <c r="C369" s="98"/>
      <c r="D369" s="98"/>
      <c r="E369" s="98"/>
      <c r="F369" s="98"/>
      <c r="G369" s="99"/>
      <c r="H369" s="99"/>
      <c r="I369" s="99" t="n">
        <v>0.028752119229801</v>
      </c>
      <c r="J369" s="99" t="n">
        <v>0.0296506229557323</v>
      </c>
      <c r="K369" s="101" t="n">
        <v>0.0305491266816635</v>
      </c>
      <c r="L369" s="101" t="n">
        <v>0.0314476304075948</v>
      </c>
      <c r="M369" s="101" t="n">
        <v>0.0336067797180697</v>
      </c>
      <c r="N369" s="101" t="n">
        <v>0.034540301376905</v>
      </c>
      <c r="O369" s="102" t="n">
        <v>0.0354738230357402</v>
      </c>
      <c r="P369" s="102" t="n">
        <v>0.0364073446945755</v>
      </c>
      <c r="Q369" s="83" t="n">
        <v>0.0387415836695703</v>
      </c>
      <c r="R369" s="83" t="n">
        <v>0.0397101232613095</v>
      </c>
      <c r="S369" s="83" t="n">
        <v>0.0406786628530488</v>
      </c>
      <c r="T369" s="0" t="n">
        <v>0.0416472024447881</v>
      </c>
      <c r="U369" s="93" t="n">
        <v>0.0398735008123006</v>
      </c>
      <c r="V369" s="0" t="n">
        <v>0.0407797167398529</v>
      </c>
      <c r="W369" s="0" t="n">
        <v>0.0416859326674052</v>
      </c>
      <c r="X369" s="0" t="n">
        <v>0.0425921485949574</v>
      </c>
      <c r="Y369" s="0" t="n">
        <v>0.0434983645225097</v>
      </c>
      <c r="Z369" s="0" t="n">
        <v>0.044404580450062</v>
      </c>
      <c r="AA369" s="0" t="n">
        <v>0.0453107963776143</v>
      </c>
      <c r="AB369" s="0" t="n">
        <v>0.0462170123051666</v>
      </c>
      <c r="AC369" s="0" t="n">
        <v>0.0471232282327189</v>
      </c>
      <c r="AD369" s="94"/>
    </row>
    <row r="370" customFormat="false" ht="13.8" hidden="false" customHeight="false" outlineLevel="0" collapsed="false">
      <c r="A370" s="104" t="s">
        <v>462</v>
      </c>
      <c r="B370" s="94" t="n">
        <v>20</v>
      </c>
      <c r="C370" s="98"/>
      <c r="D370" s="98"/>
      <c r="E370" s="98"/>
      <c r="F370" s="98"/>
      <c r="G370" s="99"/>
      <c r="H370" s="99"/>
      <c r="I370" s="99" t="n">
        <v>0.028752119229801</v>
      </c>
      <c r="J370" s="99" t="n">
        <v>0.0296506229557323</v>
      </c>
      <c r="K370" s="101" t="n">
        <v>0.0305491266816635</v>
      </c>
      <c r="L370" s="101" t="n">
        <v>0.0314476304075948</v>
      </c>
      <c r="M370" s="101" t="n">
        <v>0.0336067797180697</v>
      </c>
      <c r="N370" s="101" t="n">
        <v>0.034540301376905</v>
      </c>
      <c r="O370" s="102" t="n">
        <v>0.0354738230357402</v>
      </c>
      <c r="P370" s="102" t="n">
        <v>0.0364073446945755</v>
      </c>
      <c r="Q370" s="83" t="n">
        <v>0.0387415836695703</v>
      </c>
      <c r="R370" s="83" t="n">
        <v>0.0397101232613095</v>
      </c>
      <c r="S370" s="83" t="n">
        <v>0.0406786628530488</v>
      </c>
      <c r="T370" s="0" t="n">
        <v>0.0416472024447881</v>
      </c>
      <c r="U370" s="93" t="n">
        <v>0.0398735008123006</v>
      </c>
      <c r="V370" s="0" t="n">
        <v>0.0407797167398529</v>
      </c>
      <c r="W370" s="0" t="n">
        <v>0.0416859326674052</v>
      </c>
      <c r="X370" s="0" t="n">
        <v>0.0425921485949574</v>
      </c>
      <c r="Y370" s="0" t="n">
        <v>0.0434983645225097</v>
      </c>
      <c r="Z370" s="0" t="n">
        <v>0.044404580450062</v>
      </c>
      <c r="AA370" s="0" t="n">
        <v>0.0453107963776143</v>
      </c>
      <c r="AB370" s="0" t="n">
        <v>0.0462170123051666</v>
      </c>
      <c r="AC370" s="0" t="n">
        <v>0.0471232282327189</v>
      </c>
      <c r="AD370" s="94"/>
    </row>
    <row r="371" customFormat="false" ht="13.8" hidden="false" customHeight="false" outlineLevel="0" collapsed="false">
      <c r="A371" s="104" t="s">
        <v>462</v>
      </c>
      <c r="B371" s="94" t="n">
        <v>21</v>
      </c>
      <c r="C371" s="98"/>
      <c r="D371" s="98"/>
      <c r="E371" s="98"/>
      <c r="F371" s="98"/>
      <c r="G371" s="99"/>
      <c r="H371" s="99"/>
      <c r="I371" s="99" t="n">
        <v>0.028752119229801</v>
      </c>
      <c r="J371" s="99" t="n">
        <v>0.0296506229557323</v>
      </c>
      <c r="K371" s="101" t="n">
        <v>0.0305491266816635</v>
      </c>
      <c r="L371" s="101" t="n">
        <v>0.0314476304075948</v>
      </c>
      <c r="M371" s="101" t="n">
        <v>0.0336067797180697</v>
      </c>
      <c r="N371" s="101" t="n">
        <v>0.034540301376905</v>
      </c>
      <c r="O371" s="102" t="n">
        <v>0.0354738230357402</v>
      </c>
      <c r="P371" s="102" t="n">
        <v>0.0364073446945755</v>
      </c>
      <c r="Q371" s="83" t="n">
        <v>0.0387415836695703</v>
      </c>
      <c r="R371" s="83" t="n">
        <v>0.0397101232613095</v>
      </c>
      <c r="S371" s="83" t="n">
        <v>0.0406786628530488</v>
      </c>
      <c r="T371" s="0" t="n">
        <v>0.0416472024447881</v>
      </c>
      <c r="U371" s="93" t="n">
        <v>0.0398735008123006</v>
      </c>
      <c r="V371" s="0" t="n">
        <v>0.0407797167398529</v>
      </c>
      <c r="W371" s="0" t="n">
        <v>0.0416859326674052</v>
      </c>
      <c r="X371" s="0" t="n">
        <v>0.0425921485949574</v>
      </c>
      <c r="Y371" s="0" t="n">
        <v>0.0434983645225097</v>
      </c>
      <c r="Z371" s="0" t="n">
        <v>0.044404580450062</v>
      </c>
      <c r="AA371" s="0" t="n">
        <v>0.0453107963776143</v>
      </c>
      <c r="AB371" s="0" t="n">
        <v>0.0462170123051666</v>
      </c>
      <c r="AC371" s="0" t="n">
        <v>0.0471232282327189</v>
      </c>
      <c r="AD371" s="94"/>
    </row>
    <row r="372" customFormat="false" ht="13.8" hidden="false" customHeight="false" outlineLevel="0" collapsed="false">
      <c r="A372" s="104" t="s">
        <v>987</v>
      </c>
      <c r="B372" s="94" t="n">
        <v>22</v>
      </c>
      <c r="C372" s="98"/>
      <c r="D372" s="98"/>
      <c r="E372" s="98"/>
      <c r="F372" s="98"/>
      <c r="G372" s="99"/>
      <c r="H372" s="99"/>
      <c r="I372" s="99" t="n">
        <v>0.028752119229801</v>
      </c>
      <c r="J372" s="99" t="n">
        <v>0.0296506229557323</v>
      </c>
      <c r="K372" s="101" t="n">
        <v>0.0305491266816635</v>
      </c>
      <c r="L372" s="101" t="n">
        <v>0.0314476304075948</v>
      </c>
      <c r="M372" s="101" t="n">
        <v>0.0336067797180697</v>
      </c>
      <c r="N372" s="101" t="n">
        <v>0.034540301376905</v>
      </c>
      <c r="O372" s="102" t="n">
        <v>0.0354738230357402</v>
      </c>
      <c r="P372" s="102" t="n">
        <v>0.0364073446945755</v>
      </c>
      <c r="Q372" s="83" t="n">
        <v>0.0387415836695703</v>
      </c>
      <c r="R372" s="83" t="n">
        <v>0.0397101232613095</v>
      </c>
      <c r="S372" s="83" t="n">
        <v>0.0406786628530488</v>
      </c>
      <c r="T372" s="0" t="n">
        <v>0.0416472024447881</v>
      </c>
      <c r="U372" s="93" t="n">
        <v>0.0398735008123006</v>
      </c>
      <c r="V372" s="0" t="n">
        <v>0.0407797167398529</v>
      </c>
      <c r="W372" s="0" t="n">
        <v>0.0416859326674052</v>
      </c>
      <c r="X372" s="0" t="n">
        <v>0.0425921485949574</v>
      </c>
      <c r="Y372" s="0" t="n">
        <v>0.0434983645225097</v>
      </c>
      <c r="Z372" s="0" t="n">
        <v>0.044404580450062</v>
      </c>
      <c r="AA372" s="0" t="n">
        <v>0.0453107963776143</v>
      </c>
      <c r="AB372" s="0" t="n">
        <v>0.0462170123051666</v>
      </c>
      <c r="AC372" s="0" t="n">
        <v>0.0471232282327189</v>
      </c>
      <c r="AD372" s="94"/>
    </row>
    <row r="373" customFormat="false" ht="13.8" hidden="false" customHeight="false" outlineLevel="0" collapsed="false">
      <c r="A373" s="104" t="s">
        <v>233</v>
      </c>
      <c r="B373" s="94" t="n">
        <v>29</v>
      </c>
      <c r="C373" s="98"/>
      <c r="D373" s="98"/>
      <c r="E373" s="98"/>
      <c r="F373" s="98"/>
      <c r="G373" s="99"/>
      <c r="H373" s="99"/>
      <c r="I373" s="99"/>
      <c r="J373" s="99"/>
      <c r="K373" s="86"/>
      <c r="L373" s="86"/>
      <c r="M373" s="86"/>
      <c r="N373" s="86" t="n">
        <v>0.381363786937782</v>
      </c>
      <c r="O373" s="83" t="n">
        <v>0.391670916314478</v>
      </c>
      <c r="P373" s="83" t="n">
        <v>0.401978045691175</v>
      </c>
      <c r="Q373" s="83" t="n">
        <v>0.401843077408471</v>
      </c>
      <c r="R373" s="83" t="n">
        <v>0.411889154343683</v>
      </c>
      <c r="S373" s="83" t="n">
        <v>0.421935231278895</v>
      </c>
      <c r="T373" s="0" t="n">
        <v>0.431981308214106</v>
      </c>
      <c r="U373" s="93"/>
      <c r="AD373" s="94"/>
    </row>
    <row r="374" customFormat="false" ht="13.8" hidden="false" customHeight="false" outlineLevel="0" collapsed="false">
      <c r="A374" s="104" t="s">
        <v>957</v>
      </c>
      <c r="B374" s="94" t="n">
        <v>29</v>
      </c>
      <c r="C374" s="98"/>
      <c r="D374" s="98"/>
      <c r="E374" s="98"/>
      <c r="F374" s="98"/>
      <c r="G374" s="99"/>
      <c r="H374" s="99"/>
      <c r="I374" s="99" t="n">
        <v>0.338181818181818</v>
      </c>
      <c r="J374" s="99" t="n">
        <v>0.34875</v>
      </c>
      <c r="K374" s="86" t="n">
        <v>0.359318181818182</v>
      </c>
      <c r="L374" s="86" t="n">
        <v>0.369886363636364</v>
      </c>
      <c r="M374" s="86"/>
      <c r="N374" s="86"/>
      <c r="O374" s="83"/>
      <c r="P374" s="83"/>
      <c r="Q374" s="83"/>
      <c r="R374" s="83"/>
      <c r="S374" s="83"/>
      <c r="U374" s="93"/>
      <c r="AD374" s="94"/>
    </row>
    <row r="375" customFormat="false" ht="13.8" hidden="false" customHeight="false" outlineLevel="0" collapsed="false">
      <c r="A375" s="104" t="s">
        <v>954</v>
      </c>
      <c r="B375" s="94" t="n">
        <v>29</v>
      </c>
      <c r="C375" s="98"/>
      <c r="D375" s="98"/>
      <c r="E375" s="98"/>
      <c r="F375" s="98"/>
      <c r="G375" s="99"/>
      <c r="H375" s="99"/>
      <c r="I375" s="99"/>
      <c r="J375" s="99"/>
      <c r="K375" s="86"/>
      <c r="L375" s="86"/>
      <c r="M375" s="86"/>
      <c r="N375" s="86" t="n">
        <v>0.381363786937782</v>
      </c>
      <c r="O375" s="83" t="n">
        <v>0.391670916314478</v>
      </c>
      <c r="P375" s="83" t="n">
        <v>0.401978045691175</v>
      </c>
      <c r="Q375" s="83" t="n">
        <v>0.401843077408471</v>
      </c>
      <c r="R375" s="83" t="n">
        <v>0.411889154343683</v>
      </c>
      <c r="S375" s="83" t="n">
        <v>0.421935231278895</v>
      </c>
      <c r="T375" s="0" t="n">
        <v>0.431981308214106</v>
      </c>
      <c r="U375" s="93"/>
      <c r="AD375" s="94"/>
    </row>
    <row r="376" customFormat="false" ht="13.8" hidden="false" customHeight="false" outlineLevel="0" collapsed="false">
      <c r="A376" s="104" t="s">
        <v>960</v>
      </c>
      <c r="B376" s="94" t="n">
        <v>29</v>
      </c>
      <c r="C376" s="98"/>
      <c r="D376" s="98"/>
      <c r="E376" s="98"/>
      <c r="F376" s="98"/>
      <c r="G376" s="99"/>
      <c r="H376" s="99"/>
      <c r="I376" s="99"/>
      <c r="J376" s="99"/>
      <c r="K376" s="101"/>
      <c r="L376" s="101"/>
      <c r="M376" s="101"/>
      <c r="N376" s="101"/>
      <c r="O376" s="102"/>
      <c r="P376" s="102"/>
      <c r="Q376" s="102"/>
      <c r="R376" s="102"/>
      <c r="S376" s="102" t="n">
        <v>0.421935231278895</v>
      </c>
      <c r="T376" s="0" t="n">
        <v>0.431981308214106</v>
      </c>
      <c r="U376" s="93" t="n">
        <v>0.468434435133801</v>
      </c>
      <c r="V376" s="0" t="n">
        <v>0.479080672295932</v>
      </c>
      <c r="AD376" s="94"/>
    </row>
    <row r="377" customFormat="false" ht="13.8" hidden="false" customHeight="false" outlineLevel="0" collapsed="false">
      <c r="A377" s="104" t="s">
        <v>124</v>
      </c>
      <c r="B377" s="94" t="n">
        <v>27</v>
      </c>
      <c r="C377" s="98"/>
      <c r="D377" s="98"/>
      <c r="E377" s="98"/>
      <c r="F377" s="98"/>
      <c r="G377" s="99"/>
      <c r="H377" s="99"/>
      <c r="I377" s="99" t="n">
        <v>0.118529727616372</v>
      </c>
      <c r="J377" s="99" t="n">
        <v>0.122233781604384</v>
      </c>
      <c r="K377" s="101" t="n">
        <v>0.125937835592396</v>
      </c>
      <c r="L377" s="101" t="n">
        <v>0.129641889580407</v>
      </c>
      <c r="M377" s="101" t="n">
        <v>0.166876403517824</v>
      </c>
      <c r="N377" s="101" t="n">
        <v>0.171511859171097</v>
      </c>
      <c r="O377" s="102" t="n">
        <v>0.17614731482437</v>
      </c>
      <c r="P377" s="102" t="n">
        <v>0.180782770477643</v>
      </c>
      <c r="Q377" s="102" t="n">
        <v>0.19348808464528</v>
      </c>
      <c r="R377" s="102" t="n">
        <v>0.198325286761411</v>
      </c>
      <c r="S377" s="102" t="n">
        <v>0.203162488877543</v>
      </c>
      <c r="T377" s="0" t="n">
        <v>0.207999690993675</v>
      </c>
      <c r="U377" s="93" t="n">
        <v>0.212836893109807</v>
      </c>
      <c r="V377" s="0" t="n">
        <v>0.217674095225939</v>
      </c>
      <c r="W377" s="0" t="n">
        <v>0.222511297342071</v>
      </c>
      <c r="X377" s="0" t="n">
        <v>0.227348499458203</v>
      </c>
      <c r="Y377" s="0" t="n">
        <v>0.232185701574335</v>
      </c>
      <c r="Z377" s="0" t="n">
        <v>0.237022903690467</v>
      </c>
      <c r="AA377" s="0" t="n">
        <v>0.241860105806599</v>
      </c>
      <c r="AB377" s="0" t="n">
        <v>0.246697307922731</v>
      </c>
      <c r="AC377" s="0" t="n">
        <v>0.251534510038863</v>
      </c>
      <c r="AD377" s="94"/>
    </row>
    <row r="378" customFormat="false" ht="13.8" hidden="false" customHeight="false" outlineLevel="0" collapsed="false">
      <c r="A378" s="104" t="s">
        <v>237</v>
      </c>
      <c r="B378" s="94" t="n">
        <v>27</v>
      </c>
      <c r="C378" s="98"/>
      <c r="D378" s="98"/>
      <c r="E378" s="98"/>
      <c r="F378" s="98"/>
      <c r="G378" s="99"/>
      <c r="H378" s="99"/>
      <c r="I378" s="99" t="n">
        <v>0.118529727616372</v>
      </c>
      <c r="J378" s="99" t="n">
        <v>0.122233781604384</v>
      </c>
      <c r="K378" s="101" t="n">
        <v>0.125937835592396</v>
      </c>
      <c r="L378" s="101" t="n">
        <v>0.129641889580407</v>
      </c>
      <c r="M378" s="101" t="n">
        <v>0.166876403517824</v>
      </c>
      <c r="N378" s="101" t="n">
        <v>0.171511859171097</v>
      </c>
      <c r="O378" s="102" t="n">
        <v>0.17614731482437</v>
      </c>
      <c r="P378" s="102" t="n">
        <v>0.180782770477643</v>
      </c>
      <c r="Q378" s="102" t="n">
        <v>0.19348808464528</v>
      </c>
      <c r="R378" s="102" t="n">
        <v>0.198325286761411</v>
      </c>
      <c r="S378" s="102" t="n">
        <v>0.203162488877543</v>
      </c>
      <c r="T378" s="0" t="n">
        <v>0.207999690993675</v>
      </c>
      <c r="U378" s="93" t="n">
        <v>0.212836893109807</v>
      </c>
      <c r="V378" s="0" t="n">
        <v>0.217674095225939</v>
      </c>
      <c r="W378" s="0" t="n">
        <v>0.222511297342071</v>
      </c>
      <c r="X378" s="0" t="n">
        <v>0.227348499458203</v>
      </c>
      <c r="Y378" s="0" t="n">
        <v>0.232185701574335</v>
      </c>
      <c r="Z378" s="0" t="n">
        <v>0.237022903690467</v>
      </c>
      <c r="AA378" s="0" t="n">
        <v>0.241860105806599</v>
      </c>
      <c r="AB378" s="0" t="n">
        <v>0.246697307922731</v>
      </c>
      <c r="AC378" s="0" t="n">
        <v>0.251534510038863</v>
      </c>
      <c r="AD378" s="94"/>
    </row>
    <row r="379" customFormat="false" ht="13.8" hidden="false" customHeight="false" outlineLevel="0" collapsed="false">
      <c r="A379" s="104" t="s">
        <v>236</v>
      </c>
      <c r="B379" s="94" t="n">
        <v>27</v>
      </c>
      <c r="C379" s="98"/>
      <c r="D379" s="98"/>
      <c r="E379" s="98"/>
      <c r="F379" s="98"/>
      <c r="G379" s="99"/>
      <c r="H379" s="99"/>
      <c r="I379" s="99"/>
      <c r="J379" s="99"/>
      <c r="K379" s="101"/>
      <c r="L379" s="101"/>
      <c r="M379" s="101"/>
      <c r="N379" s="101"/>
      <c r="O379" s="102"/>
      <c r="P379" s="102" t="n">
        <v>0.361565540955286</v>
      </c>
      <c r="Q379" s="102" t="n">
        <v>0.386976169290559</v>
      </c>
      <c r="R379" s="102" t="n">
        <v>0.396650573522823</v>
      </c>
      <c r="S379" s="102" t="n">
        <v>0.406324977755087</v>
      </c>
      <c r="T379" s="0" t="n">
        <v>0.415999381987351</v>
      </c>
      <c r="U379" s="93" t="n">
        <v>0.425673786219615</v>
      </c>
      <c r="V379" s="0" t="n">
        <v>0.435348190451879</v>
      </c>
      <c r="W379" s="0" t="n">
        <v>0.445022594684143</v>
      </c>
      <c r="X379" s="0" t="n">
        <v>0.454696998916407</v>
      </c>
      <c r="Y379" s="0" t="n">
        <v>0.464371403148671</v>
      </c>
      <c r="Z379" s="0" t="n">
        <v>0.474045807380934</v>
      </c>
      <c r="AA379" s="0" t="n">
        <v>0.483720211613198</v>
      </c>
      <c r="AB379" s="0" t="n">
        <v>0.493394615845462</v>
      </c>
      <c r="AC379" s="0" t="n">
        <v>0.503069020077726</v>
      </c>
      <c r="AD379" s="94"/>
    </row>
    <row r="380" customFormat="false" ht="13.8" hidden="false" customHeight="false" outlineLevel="0" collapsed="false">
      <c r="A380" s="104" t="s">
        <v>1001</v>
      </c>
      <c r="B380" s="94" t="n">
        <v>27</v>
      </c>
      <c r="C380" s="98"/>
      <c r="D380" s="98"/>
      <c r="E380" s="98"/>
      <c r="F380" s="98"/>
      <c r="G380" s="99"/>
      <c r="H380" s="99"/>
      <c r="I380" s="99" t="n">
        <v>0.118529727616372</v>
      </c>
      <c r="J380" s="99" t="n">
        <v>0.122233781604384</v>
      </c>
      <c r="K380" s="101" t="n">
        <v>0.125937835592396</v>
      </c>
      <c r="L380" s="101" t="n">
        <v>0.129641889580407</v>
      </c>
      <c r="M380" s="101" t="n">
        <v>0.166876403517824</v>
      </c>
      <c r="N380" s="101" t="n">
        <v>0.171511859171097</v>
      </c>
      <c r="O380" s="102" t="n">
        <v>0.17614731482437</v>
      </c>
      <c r="P380" s="102" t="n">
        <v>0.180782770477643</v>
      </c>
      <c r="Q380" s="102" t="n">
        <v>0.19348808464528</v>
      </c>
      <c r="R380" s="102" t="n">
        <v>0.198325286761411</v>
      </c>
      <c r="S380" s="102" t="n">
        <v>0.203162488877543</v>
      </c>
      <c r="T380" s="0" t="n">
        <v>0.207999690993675</v>
      </c>
      <c r="U380" s="93" t="n">
        <v>0.212836893109807</v>
      </c>
      <c r="V380" s="0" t="n">
        <v>0.217674095225939</v>
      </c>
      <c r="W380" s="0" t="n">
        <v>0.222511297342071</v>
      </c>
      <c r="X380" s="0" t="n">
        <v>0.227348499458203</v>
      </c>
      <c r="Y380" s="0" t="n">
        <v>0.232185701574335</v>
      </c>
      <c r="Z380" s="0" t="n">
        <v>0.237022903690467</v>
      </c>
      <c r="AA380" s="0" t="n">
        <v>0.241860105806599</v>
      </c>
      <c r="AB380" s="0" t="n">
        <v>0.246697307922731</v>
      </c>
      <c r="AC380" s="0" t="n">
        <v>0.251534510038863</v>
      </c>
      <c r="AD380" s="94"/>
    </row>
    <row r="381" customFormat="false" ht="13.8" hidden="false" customHeight="false" outlineLevel="0" collapsed="false">
      <c r="A381" s="104" t="s">
        <v>238</v>
      </c>
      <c r="B381" s="94" t="n">
        <v>28</v>
      </c>
      <c r="C381" s="98"/>
      <c r="D381" s="98"/>
      <c r="E381" s="98"/>
      <c r="F381" s="98"/>
      <c r="G381" s="99"/>
      <c r="H381" s="99"/>
      <c r="I381" s="99" t="n">
        <v>0.253536967142377</v>
      </c>
      <c r="J381" s="99" t="n">
        <v>0.261459997365577</v>
      </c>
      <c r="K381" s="101"/>
      <c r="L381" s="101"/>
      <c r="M381" s="101"/>
      <c r="N381" s="101"/>
      <c r="O381" s="102"/>
      <c r="P381" s="102"/>
      <c r="Q381" s="102"/>
      <c r="R381" s="102"/>
      <c r="S381" s="102"/>
      <c r="U381" s="93"/>
      <c r="AD381" s="94"/>
    </row>
    <row r="382" customFormat="false" ht="13.8" hidden="false" customHeight="false" outlineLevel="0" collapsed="false">
      <c r="A382" s="104" t="s">
        <v>125</v>
      </c>
      <c r="B382" s="94" t="n">
        <v>28</v>
      </c>
      <c r="C382" s="98"/>
      <c r="D382" s="98"/>
      <c r="E382" s="98"/>
      <c r="F382" s="98"/>
      <c r="G382" s="99"/>
      <c r="H382" s="99"/>
      <c r="I382" s="99" t="n">
        <v>0.126768483571189</v>
      </c>
      <c r="J382" s="99" t="n">
        <v>0.130729998682788</v>
      </c>
      <c r="K382" s="101" t="n">
        <v>0.134691513794388</v>
      </c>
      <c r="L382" s="101" t="n">
        <v>0.138653028905988</v>
      </c>
      <c r="M382" s="101" t="n">
        <v>0.143092498713693</v>
      </c>
      <c r="N382" s="101" t="n">
        <v>0.147067290344629</v>
      </c>
      <c r="O382" s="102" t="n">
        <v>0.151042081975565</v>
      </c>
      <c r="P382" s="102" t="n">
        <v>0.155016873606501</v>
      </c>
      <c r="Q382" s="102" t="n">
        <v>0.159522726010887</v>
      </c>
      <c r="R382" s="102" t="n">
        <v>0.163510794161159</v>
      </c>
      <c r="S382" s="102" t="n">
        <v>0.167498862311432</v>
      </c>
      <c r="T382" s="0" t="n">
        <v>0.171486930461704</v>
      </c>
      <c r="U382" s="93" t="n">
        <v>0.184538133481863</v>
      </c>
      <c r="V382" s="0" t="n">
        <v>0.188732181970087</v>
      </c>
      <c r="W382" s="0" t="n">
        <v>0.192926230458312</v>
      </c>
      <c r="X382" s="0" t="n">
        <v>0.197120278946536</v>
      </c>
      <c r="Y382" s="0" t="n">
        <v>0.20131432743476</v>
      </c>
      <c r="Z382" s="0" t="n">
        <v>0.205508375922984</v>
      </c>
      <c r="AA382" s="0" t="n">
        <v>0.209702424411208</v>
      </c>
      <c r="AB382" s="0" t="n">
        <v>0.213896472899432</v>
      </c>
      <c r="AC382" s="0" t="n">
        <v>0.218090521387656</v>
      </c>
      <c r="AD382" s="94"/>
    </row>
    <row r="383" customFormat="false" ht="13.8" hidden="false" customHeight="false" outlineLevel="0" collapsed="false">
      <c r="A383" s="104" t="s">
        <v>239</v>
      </c>
      <c r="B383" s="94" t="n">
        <v>28</v>
      </c>
      <c r="C383" s="98"/>
      <c r="D383" s="98"/>
      <c r="E383" s="98"/>
      <c r="F383" s="98"/>
      <c r="G383" s="99"/>
      <c r="H383" s="99"/>
      <c r="I383" s="99" t="n">
        <v>0.126768483571189</v>
      </c>
      <c r="J383" s="99" t="n">
        <v>0.130729998682788</v>
      </c>
      <c r="K383" s="101" t="n">
        <v>0.134691513794388</v>
      </c>
      <c r="L383" s="101" t="n">
        <v>0.138653028905988</v>
      </c>
      <c r="M383" s="101" t="n">
        <v>0.143092498713693</v>
      </c>
      <c r="N383" s="101" t="n">
        <v>0.147067290344629</v>
      </c>
      <c r="O383" s="102" t="n">
        <v>0.151042081975565</v>
      </c>
      <c r="P383" s="102" t="n">
        <v>0.155016873606501</v>
      </c>
      <c r="Q383" s="102" t="n">
        <v>0.159522726010887</v>
      </c>
      <c r="R383" s="102" t="n">
        <v>0.163510794161159</v>
      </c>
      <c r="S383" s="102" t="n">
        <v>0.167498862311432</v>
      </c>
      <c r="T383" s="0" t="n">
        <v>0.171486930461704</v>
      </c>
      <c r="U383" s="93" t="n">
        <v>0.184538133481863</v>
      </c>
      <c r="V383" s="0" t="n">
        <v>0.188732181970087</v>
      </c>
      <c r="W383" s="0" t="n">
        <v>0.192926230458312</v>
      </c>
      <c r="X383" s="0" t="n">
        <v>0.197120278946536</v>
      </c>
      <c r="Y383" s="0" t="n">
        <v>0.20131432743476</v>
      </c>
      <c r="Z383" s="0" t="n">
        <v>0.205508375922984</v>
      </c>
      <c r="AA383" s="0" t="n">
        <v>0.209702424411208</v>
      </c>
      <c r="AB383" s="0" t="n">
        <v>0.213896472899432</v>
      </c>
      <c r="AC383" s="0" t="n">
        <v>0.218090521387656</v>
      </c>
      <c r="AD383" s="94"/>
    </row>
    <row r="384" customFormat="false" ht="13.8" hidden="false" customHeight="false" outlineLevel="0" collapsed="false">
      <c r="A384" s="104" t="s">
        <v>218</v>
      </c>
      <c r="B384" s="94" t="n">
        <v>28</v>
      </c>
      <c r="C384" s="98"/>
      <c r="D384" s="98"/>
      <c r="E384" s="98"/>
      <c r="F384" s="98"/>
      <c r="G384" s="99"/>
      <c r="H384" s="99"/>
      <c r="I384" s="99" t="n">
        <v>0.126768483571189</v>
      </c>
      <c r="J384" s="99" t="n">
        <v>0.130729998682788</v>
      </c>
      <c r="K384" s="101" t="n">
        <v>0.134691513794388</v>
      </c>
      <c r="L384" s="101" t="n">
        <v>0.138653028905988</v>
      </c>
      <c r="M384" s="101" t="n">
        <v>0.143092498713693</v>
      </c>
      <c r="N384" s="101" t="n">
        <v>0.147067290344629</v>
      </c>
      <c r="O384" s="102" t="n">
        <v>0.151042081975565</v>
      </c>
      <c r="P384" s="102" t="n">
        <v>0.155016873606501</v>
      </c>
      <c r="Q384" s="102" t="n">
        <v>0.159522726010887</v>
      </c>
      <c r="R384" s="102" t="n">
        <v>0.163510794161159</v>
      </c>
      <c r="S384" s="102" t="n">
        <v>0.167498862311432</v>
      </c>
      <c r="T384" s="0" t="n">
        <v>0.171486930461704</v>
      </c>
      <c r="U384" s="93" t="n">
        <v>0.184538133481863</v>
      </c>
      <c r="V384" s="0" t="n">
        <v>0.188732181970087</v>
      </c>
      <c r="W384" s="0" t="n">
        <v>0.192926230458312</v>
      </c>
      <c r="X384" s="0" t="n">
        <v>0.197120278946536</v>
      </c>
      <c r="Y384" s="0" t="n">
        <v>0.20131432743476</v>
      </c>
      <c r="Z384" s="0" t="n">
        <v>0.205508375922984</v>
      </c>
      <c r="AA384" s="0" t="n">
        <v>0.209702424411208</v>
      </c>
      <c r="AB384" s="0" t="n">
        <v>0.213896472899432</v>
      </c>
      <c r="AC384" s="0" t="n">
        <v>0.218090521387656</v>
      </c>
      <c r="AD384" s="94"/>
    </row>
    <row r="385" customFormat="false" ht="13.8" hidden="false" customHeight="false" outlineLevel="0" collapsed="false">
      <c r="A385" s="104" t="s">
        <v>1013</v>
      </c>
      <c r="B385" s="94" t="n">
        <v>28</v>
      </c>
      <c r="C385" s="98"/>
      <c r="D385" s="98"/>
      <c r="E385" s="98"/>
      <c r="F385" s="98"/>
      <c r="G385" s="99"/>
      <c r="H385" s="99"/>
      <c r="I385" s="99" t="n">
        <v>0.126768483571189</v>
      </c>
      <c r="J385" s="99" t="n">
        <v>0.130729998682788</v>
      </c>
      <c r="K385" s="101" t="n">
        <v>0.134691513794388</v>
      </c>
      <c r="L385" s="101" t="n">
        <v>0.138653028905988</v>
      </c>
      <c r="M385" s="101" t="n">
        <v>0.143092498713693</v>
      </c>
      <c r="N385" s="101" t="n">
        <v>0.147067290344629</v>
      </c>
      <c r="O385" s="102" t="n">
        <v>0.151042081975565</v>
      </c>
      <c r="P385" s="102" t="n">
        <v>0.155016873606501</v>
      </c>
      <c r="Q385" s="102" t="n">
        <v>0.159522726010887</v>
      </c>
      <c r="R385" s="102" t="n">
        <v>0.163510794161159</v>
      </c>
      <c r="S385" s="102" t="n">
        <v>0.167498862311432</v>
      </c>
      <c r="T385" s="0" t="n">
        <v>0.171486930461704</v>
      </c>
      <c r="U385" s="93" t="n">
        <v>0.184538133481863</v>
      </c>
      <c r="V385" s="0" t="n">
        <v>0.188732181970087</v>
      </c>
      <c r="W385" s="0" t="n">
        <v>0.192926230458312</v>
      </c>
      <c r="X385" s="0" t="n">
        <v>0.197120278946536</v>
      </c>
      <c r="Y385" s="0" t="n">
        <v>0.20131432743476</v>
      </c>
      <c r="Z385" s="0" t="n">
        <v>0.205508375922984</v>
      </c>
      <c r="AA385" s="0" t="n">
        <v>0.209702424411208</v>
      </c>
      <c r="AB385" s="0" t="n">
        <v>0.213896472899432</v>
      </c>
      <c r="AC385" s="0" t="n">
        <v>0.218090521387656</v>
      </c>
      <c r="AD385" s="94"/>
    </row>
    <row r="386" customFormat="false" ht="13.8" hidden="false" customHeight="false" outlineLevel="0" collapsed="false">
      <c r="A386" s="104" t="s">
        <v>1010</v>
      </c>
      <c r="B386" s="94" t="n">
        <v>28</v>
      </c>
      <c r="C386" s="98"/>
      <c r="D386" s="98"/>
      <c r="E386" s="98"/>
      <c r="F386" s="98"/>
      <c r="G386" s="99"/>
      <c r="H386" s="99"/>
      <c r="I386" s="99" t="n">
        <v>0.126768483571189</v>
      </c>
      <c r="J386" s="99" t="n">
        <v>0.130729998682788</v>
      </c>
      <c r="K386" s="101" t="n">
        <v>0.134691513794388</v>
      </c>
      <c r="L386" s="101" t="n">
        <v>0.138653028905988</v>
      </c>
      <c r="M386" s="101" t="n">
        <v>0.143092498713693</v>
      </c>
      <c r="N386" s="101" t="n">
        <v>0.147067290344629</v>
      </c>
      <c r="O386" s="102" t="n">
        <v>0.151042081975565</v>
      </c>
      <c r="P386" s="102" t="n">
        <v>0.155016873606501</v>
      </c>
      <c r="Q386" s="102" t="n">
        <v>0.159522726010887</v>
      </c>
      <c r="R386" s="102" t="n">
        <v>0.163510794161159</v>
      </c>
      <c r="S386" s="102" t="n">
        <v>0.167498862311432</v>
      </c>
      <c r="T386" s="0" t="n">
        <v>0.171486930461704</v>
      </c>
      <c r="U386" s="93" t="n">
        <v>0.184538133481863</v>
      </c>
      <c r="V386" s="0" t="n">
        <v>0.188732181970087</v>
      </c>
      <c r="W386" s="0" t="n">
        <v>0.192926230458312</v>
      </c>
      <c r="X386" s="0" t="n">
        <v>0.197120278946536</v>
      </c>
      <c r="Y386" s="0" t="n">
        <v>0.20131432743476</v>
      </c>
      <c r="Z386" s="0" t="n">
        <v>0.205508375922984</v>
      </c>
      <c r="AA386" s="0" t="n">
        <v>0.209702424411208</v>
      </c>
      <c r="AB386" s="0" t="n">
        <v>0.213896472899432</v>
      </c>
      <c r="AC386" s="0" t="n">
        <v>0.218090521387656</v>
      </c>
      <c r="AD386" s="94"/>
    </row>
    <row r="387" customFormat="false" ht="13.8" hidden="false" customHeight="false" outlineLevel="0" collapsed="false">
      <c r="A387" s="104" t="s">
        <v>521</v>
      </c>
      <c r="B387" s="94" t="n">
        <v>26</v>
      </c>
      <c r="C387" s="98"/>
      <c r="D387" s="98"/>
      <c r="E387" s="98"/>
      <c r="F387" s="98"/>
      <c r="G387" s="99"/>
      <c r="H387" s="99"/>
      <c r="I387" s="99" t="n">
        <v>0.085201850183807</v>
      </c>
      <c r="J387" s="99" t="n">
        <v>0.087864408002051</v>
      </c>
      <c r="K387" s="101" t="n">
        <v>0.090526965820295</v>
      </c>
      <c r="L387" s="101" t="n">
        <v>0.0931895236385389</v>
      </c>
      <c r="M387" s="101" t="n">
        <v>0.0931092037783494</v>
      </c>
      <c r="N387" s="101" t="n">
        <v>0.0956955705499703</v>
      </c>
      <c r="O387" s="102" t="n">
        <v>0.0982819373215911</v>
      </c>
      <c r="P387" s="102" t="n">
        <v>0.100868304093212</v>
      </c>
      <c r="Q387" s="102" t="n">
        <v>0.100407028999907</v>
      </c>
      <c r="R387" s="102" t="n">
        <v>0.102917204724904</v>
      </c>
      <c r="S387" s="102" t="n">
        <v>0.105427380449902</v>
      </c>
      <c r="T387" s="0" t="n">
        <v>0.1079375561749</v>
      </c>
      <c r="U387" s="93" t="n">
        <v>0.112687138741764</v>
      </c>
      <c r="V387" s="0" t="n">
        <v>0.115248210076804</v>
      </c>
      <c r="W387" s="0" t="n">
        <v>0.117809281411844</v>
      </c>
      <c r="X387" s="0" t="n">
        <v>0.120370352746884</v>
      </c>
      <c r="Y387" s="0" t="n">
        <v>0.122931424081924</v>
      </c>
      <c r="Z387" s="0" t="n">
        <v>0.125492495416964</v>
      </c>
      <c r="AA387" s="0" t="n">
        <v>0.128053566752004</v>
      </c>
      <c r="AB387" s="0" t="n">
        <v>0.130614638087044</v>
      </c>
      <c r="AC387" s="0" t="n">
        <v>0.133175709422084</v>
      </c>
      <c r="AD387" s="94"/>
    </row>
    <row r="388" customFormat="false" ht="13.8" hidden="false" customHeight="false" outlineLevel="0" collapsed="false">
      <c r="A388" s="104" t="s">
        <v>521</v>
      </c>
      <c r="B388" s="94" t="n">
        <v>30</v>
      </c>
      <c r="C388" s="98"/>
      <c r="D388" s="98"/>
      <c r="E388" s="98"/>
      <c r="F388" s="98"/>
      <c r="G388" s="99"/>
      <c r="H388" s="99"/>
      <c r="I388" s="99" t="n">
        <v>0.085201850183807</v>
      </c>
      <c r="J388" s="99" t="n">
        <v>0.087864408002051</v>
      </c>
      <c r="K388" s="101" t="n">
        <v>0.090526965820295</v>
      </c>
      <c r="L388" s="101" t="n">
        <v>0.0931895236385389</v>
      </c>
      <c r="M388" s="101" t="n">
        <v>0.0931092037783494</v>
      </c>
      <c r="N388" s="101" t="n">
        <v>0.0956955705499703</v>
      </c>
      <c r="O388" s="102" t="n">
        <v>0.0982819373215911</v>
      </c>
      <c r="P388" s="102" t="n">
        <v>0.100868304093212</v>
      </c>
      <c r="Q388" s="102" t="n">
        <v>0.100407028999907</v>
      </c>
      <c r="R388" s="102" t="n">
        <v>0.102917204724904</v>
      </c>
      <c r="S388" s="102" t="n">
        <v>0.105427380449902</v>
      </c>
      <c r="T388" s="0" t="n">
        <v>0.1079375561749</v>
      </c>
      <c r="U388" s="93" t="n">
        <v>0.112687138741764</v>
      </c>
      <c r="V388" s="0" t="n">
        <v>0.115248210076804</v>
      </c>
      <c r="W388" s="0" t="n">
        <v>0.117809281411844</v>
      </c>
      <c r="X388" s="0" t="n">
        <v>0.120370352746884</v>
      </c>
      <c r="Y388" s="0" t="n">
        <v>0.122931424081924</v>
      </c>
      <c r="Z388" s="0" t="n">
        <v>0.125492495416964</v>
      </c>
      <c r="AA388" s="0" t="n">
        <v>0.128053566752004</v>
      </c>
      <c r="AB388" s="0" t="n">
        <v>0.130614638087044</v>
      </c>
      <c r="AC388" s="0" t="n">
        <v>0.133175709422084</v>
      </c>
      <c r="AD388" s="94"/>
    </row>
    <row r="389" customFormat="false" ht="13.8" hidden="false" customHeight="false" outlineLevel="0" collapsed="false">
      <c r="A389" s="104" t="s">
        <v>521</v>
      </c>
      <c r="B389" s="94" t="n">
        <v>31</v>
      </c>
      <c r="C389" s="98"/>
      <c r="D389" s="98"/>
      <c r="E389" s="98"/>
      <c r="F389" s="98"/>
      <c r="G389" s="99"/>
      <c r="H389" s="99"/>
      <c r="I389" s="99" t="n">
        <v>0.085201850183807</v>
      </c>
      <c r="J389" s="99" t="n">
        <v>0.087864408002051</v>
      </c>
      <c r="K389" s="101" t="n">
        <v>0.090526965820295</v>
      </c>
      <c r="L389" s="101" t="n">
        <v>0.0931895236385389</v>
      </c>
      <c r="M389" s="101" t="n">
        <v>0.0931092037783494</v>
      </c>
      <c r="N389" s="101" t="n">
        <v>0.0956955705499703</v>
      </c>
      <c r="O389" s="102" t="n">
        <v>0.0982819373215911</v>
      </c>
      <c r="P389" s="102" t="n">
        <v>0.100868304093212</v>
      </c>
      <c r="Q389" s="102" t="n">
        <v>0.100407028999907</v>
      </c>
      <c r="R389" s="102" t="n">
        <v>0.102917204724904</v>
      </c>
      <c r="S389" s="102" t="n">
        <v>0.105427380449902</v>
      </c>
      <c r="T389" s="0" t="n">
        <v>0.1079375561749</v>
      </c>
      <c r="U389" s="93" t="n">
        <v>0.112687138741764</v>
      </c>
      <c r="V389" s="0" t="n">
        <v>0.115248210076804</v>
      </c>
      <c r="W389" s="0" t="n">
        <v>0.117809281411844</v>
      </c>
      <c r="X389" s="0" t="n">
        <v>0.120370352746884</v>
      </c>
      <c r="Y389" s="0" t="n">
        <v>0.122931424081924</v>
      </c>
      <c r="Z389" s="0" t="n">
        <v>0.125492495416964</v>
      </c>
      <c r="AA389" s="0" t="n">
        <v>0.128053566752004</v>
      </c>
      <c r="AB389" s="0" t="n">
        <v>0.130614638087044</v>
      </c>
      <c r="AC389" s="0" t="n">
        <v>0.133175709422084</v>
      </c>
      <c r="AD389" s="94"/>
    </row>
    <row r="390" customFormat="false" ht="13.8" hidden="false" customHeight="false" outlineLevel="0" collapsed="false">
      <c r="A390" s="104" t="s">
        <v>219</v>
      </c>
      <c r="B390" s="94" t="n">
        <v>30</v>
      </c>
      <c r="C390" s="98"/>
      <c r="D390" s="98"/>
      <c r="E390" s="98"/>
      <c r="F390" s="98"/>
      <c r="G390" s="99"/>
      <c r="H390" s="99"/>
      <c r="I390" s="99" t="n">
        <v>0.0894031637182617</v>
      </c>
      <c r="J390" s="99" t="n">
        <v>0.0921970125844574</v>
      </c>
      <c r="K390" s="101" t="n">
        <v>0.0949908614506531</v>
      </c>
      <c r="L390" s="101" t="n">
        <v>0.0977847103168488</v>
      </c>
      <c r="M390" s="101" t="n">
        <v>0.103779948246944</v>
      </c>
      <c r="N390" s="101" t="n">
        <v>0.106662724587137</v>
      </c>
      <c r="O390" s="102" t="n">
        <v>0.10954550092733</v>
      </c>
      <c r="P390" s="102" t="n">
        <v>0.112428277267522</v>
      </c>
      <c r="Q390" s="102" t="n">
        <v>0.118868152567604</v>
      </c>
      <c r="R390" s="102" t="n">
        <v>0.121839856381794</v>
      </c>
      <c r="S390" s="102" t="n">
        <v>0.124811560195984</v>
      </c>
      <c r="T390" s="0" t="n">
        <v>0.127783264010174</v>
      </c>
      <c r="U390" s="93" t="n">
        <v>0.139657474875472</v>
      </c>
      <c r="V390" s="0" t="n">
        <v>0.142831508395369</v>
      </c>
      <c r="W390" s="0" t="n">
        <v>0.146005541915267</v>
      </c>
      <c r="X390" s="0" t="n">
        <v>0.149179575435164</v>
      </c>
      <c r="Y390" s="0" t="n">
        <v>0.152353608955061</v>
      </c>
      <c r="Z390" s="0" t="n">
        <v>0.155527642474958</v>
      </c>
      <c r="AA390" s="0" t="n">
        <v>0.158701675994855</v>
      </c>
      <c r="AB390" s="0" t="n">
        <v>0.161875709514752</v>
      </c>
      <c r="AC390" s="0" t="n">
        <v>0.165049743034649</v>
      </c>
      <c r="AD390" s="94"/>
    </row>
    <row r="391" customFormat="false" ht="13.8" hidden="false" customHeight="false" outlineLevel="0" collapsed="false">
      <c r="A391" s="104" t="s">
        <v>243</v>
      </c>
      <c r="B391" s="94" t="n">
        <v>30</v>
      </c>
      <c r="C391" s="98"/>
      <c r="D391" s="98"/>
      <c r="E391" s="98"/>
      <c r="F391" s="98"/>
      <c r="G391" s="99"/>
      <c r="H391" s="99"/>
      <c r="I391" s="99" t="n">
        <v>0.0894031637182617</v>
      </c>
      <c r="J391" s="99" t="n">
        <v>0.0921970125844574</v>
      </c>
      <c r="K391" s="101" t="n">
        <v>0.0949908614506531</v>
      </c>
      <c r="L391" s="101" t="n">
        <v>0.0977847103168488</v>
      </c>
      <c r="M391" s="101" t="n">
        <v>0.103779948246944</v>
      </c>
      <c r="N391" s="101" t="n">
        <v>0.106662724587137</v>
      </c>
      <c r="O391" s="102" t="n">
        <v>0.10954550092733</v>
      </c>
      <c r="P391" s="102" t="n">
        <v>0.112428277267522</v>
      </c>
      <c r="Q391" s="102" t="n">
        <v>0.118868152567604</v>
      </c>
      <c r="R391" s="102" t="n">
        <v>0.121839856381794</v>
      </c>
      <c r="S391" s="102" t="n">
        <v>0.124811560195984</v>
      </c>
      <c r="T391" s="0" t="n">
        <v>0.127783264010174</v>
      </c>
      <c r="U391" s="93" t="n">
        <v>0.139657474875472</v>
      </c>
      <c r="V391" s="0" t="n">
        <v>0.142831508395369</v>
      </c>
      <c r="W391" s="0" t="n">
        <v>0.146005541915267</v>
      </c>
      <c r="X391" s="0" t="n">
        <v>0.149179575435164</v>
      </c>
      <c r="Y391" s="0" t="n">
        <v>0.152353608955061</v>
      </c>
      <c r="Z391" s="0" t="n">
        <v>0.155527642474958</v>
      </c>
      <c r="AA391" s="0" t="n">
        <v>0.158701675994855</v>
      </c>
      <c r="AB391" s="0" t="n">
        <v>0.161875709514752</v>
      </c>
      <c r="AC391" s="0" t="n">
        <v>0.165049743034649</v>
      </c>
      <c r="AD391" s="94"/>
    </row>
    <row r="392" customFormat="false" ht="13.8" hidden="false" customHeight="false" outlineLevel="0" collapsed="false">
      <c r="A392" s="104" t="s">
        <v>126</v>
      </c>
      <c r="B392" s="94" t="n">
        <v>30</v>
      </c>
      <c r="C392" s="98"/>
      <c r="D392" s="98"/>
      <c r="E392" s="98"/>
      <c r="F392" s="98"/>
      <c r="G392" s="99"/>
      <c r="H392" s="99"/>
      <c r="I392" s="99"/>
      <c r="J392" s="99"/>
      <c r="K392" s="101"/>
      <c r="L392" s="101"/>
      <c r="M392" s="101" t="n">
        <v>0.207559896493888</v>
      </c>
      <c r="N392" s="101" t="n">
        <v>0.213325449174273</v>
      </c>
      <c r="O392" s="102" t="n">
        <v>0.219091001854659</v>
      </c>
      <c r="P392" s="102" t="n">
        <v>0.224856554535045</v>
      </c>
      <c r="Q392" s="102" t="n">
        <v>0.237736305135207</v>
      </c>
      <c r="R392" s="102" t="n">
        <v>0.243679712763587</v>
      </c>
      <c r="S392" s="102" t="n">
        <v>0.249623120391967</v>
      </c>
      <c r="T392" s="0" t="n">
        <v>0.255566528020347</v>
      </c>
      <c r="U392" s="93"/>
      <c r="AD392" s="94"/>
    </row>
    <row r="393" customFormat="false" ht="13.8" hidden="false" customHeight="false" outlineLevel="0" collapsed="false">
      <c r="A393" s="104" t="s">
        <v>1031</v>
      </c>
      <c r="B393" s="94" t="n">
        <v>30</v>
      </c>
      <c r="C393" s="98"/>
      <c r="D393" s="98"/>
      <c r="E393" s="98"/>
      <c r="F393" s="98"/>
      <c r="G393" s="99"/>
      <c r="H393" s="99"/>
      <c r="I393" s="99"/>
      <c r="J393" s="99"/>
      <c r="K393" s="101"/>
      <c r="L393" s="101"/>
      <c r="M393" s="101" t="n">
        <v>0.207559896493888</v>
      </c>
      <c r="N393" s="101" t="n">
        <v>0.213325449174273</v>
      </c>
      <c r="O393" s="102" t="n">
        <v>0.219091001854659</v>
      </c>
      <c r="P393" s="102" t="n">
        <v>0.224856554535045</v>
      </c>
      <c r="Q393" s="102" t="n">
        <v>0.237736305135207</v>
      </c>
      <c r="R393" s="102" t="n">
        <v>0.243679712763587</v>
      </c>
      <c r="S393" s="102" t="n">
        <v>0.249623120391967</v>
      </c>
      <c r="T393" s="0" t="n">
        <v>0.255566528020347</v>
      </c>
      <c r="U393" s="93"/>
      <c r="AD393" s="94"/>
    </row>
    <row r="394" customFormat="false" ht="13.8" hidden="false" customHeight="false" outlineLevel="0" collapsed="false">
      <c r="A394" s="104" t="s">
        <v>1036</v>
      </c>
      <c r="B394" s="94" t="n">
        <v>30</v>
      </c>
      <c r="C394" s="98"/>
      <c r="D394" s="98"/>
      <c r="E394" s="98"/>
      <c r="F394" s="98"/>
      <c r="G394" s="99"/>
      <c r="H394" s="99"/>
      <c r="I394" s="99"/>
      <c r="J394" s="99"/>
      <c r="K394" s="101"/>
      <c r="L394" s="101"/>
      <c r="M394" s="101"/>
      <c r="N394" s="101"/>
      <c r="O394" s="102" t="n">
        <v>0.219091001854659</v>
      </c>
      <c r="P394" s="102" t="n">
        <v>0.224856554535045</v>
      </c>
      <c r="Q394" s="102" t="n">
        <v>0.237736305135207</v>
      </c>
      <c r="R394" s="102" t="n">
        <v>0.243679712763587</v>
      </c>
      <c r="S394" s="102" t="n">
        <v>0.249623120391967</v>
      </c>
      <c r="T394" s="0" t="n">
        <v>0.255566528020347</v>
      </c>
      <c r="U394" s="93"/>
      <c r="AD394" s="94"/>
    </row>
    <row r="395" customFormat="false" ht="13.8" hidden="false" customHeight="false" outlineLevel="0" collapsed="false">
      <c r="A395" s="104" t="s">
        <v>241</v>
      </c>
      <c r="B395" s="94" t="n">
        <v>30</v>
      </c>
      <c r="C395" s="98"/>
      <c r="D395" s="98"/>
      <c r="E395" s="98"/>
      <c r="F395" s="98"/>
      <c r="G395" s="99"/>
      <c r="H395" s="99"/>
      <c r="I395" s="99"/>
      <c r="J395" s="99"/>
      <c r="K395" s="101"/>
      <c r="L395" s="101"/>
      <c r="M395" s="101"/>
      <c r="N395" s="101"/>
      <c r="O395" s="102" t="n">
        <v>0.219091001854659</v>
      </c>
      <c r="P395" s="102" t="n">
        <v>0.224856554535045</v>
      </c>
      <c r="Q395" s="102" t="n">
        <v>0.237736305135207</v>
      </c>
      <c r="R395" s="102" t="n">
        <v>0.243679712763587</v>
      </c>
      <c r="S395" s="102" t="n">
        <v>0.249623120391967</v>
      </c>
      <c r="T395" s="0" t="n">
        <v>0.255566528020347</v>
      </c>
      <c r="U395" s="93"/>
      <c r="AD395" s="94"/>
    </row>
    <row r="396" customFormat="false" ht="13.8" hidden="false" customHeight="false" outlineLevel="0" collapsed="false">
      <c r="A396" s="104" t="s">
        <v>242</v>
      </c>
      <c r="B396" s="94" t="n">
        <v>30</v>
      </c>
      <c r="C396" s="98"/>
      <c r="D396" s="98"/>
      <c r="E396" s="98"/>
      <c r="F396" s="98"/>
      <c r="G396" s="99"/>
      <c r="H396" s="99"/>
      <c r="I396" s="99" t="n">
        <v>0.0894031637182617</v>
      </c>
      <c r="J396" s="99" t="n">
        <v>0.0921970125844574</v>
      </c>
      <c r="K396" s="101" t="n">
        <v>0.0949908614506531</v>
      </c>
      <c r="L396" s="101" t="n">
        <v>0.0977847103168488</v>
      </c>
      <c r="M396" s="101" t="n">
        <v>0.103779948246944</v>
      </c>
      <c r="N396" s="101" t="n">
        <v>0.106662724587137</v>
      </c>
      <c r="O396" s="102" t="n">
        <v>0.10954550092733</v>
      </c>
      <c r="P396" s="102" t="n">
        <v>0.112428277267522</v>
      </c>
      <c r="Q396" s="102" t="n">
        <v>0.118868152567604</v>
      </c>
      <c r="R396" s="102" t="n">
        <v>0.121839856381794</v>
      </c>
      <c r="S396" s="102" t="n">
        <v>0.124811560195984</v>
      </c>
      <c r="T396" s="0" t="n">
        <v>0.127783264010174</v>
      </c>
      <c r="U396" s="93" t="n">
        <v>0.139657474875472</v>
      </c>
      <c r="V396" s="0" t="n">
        <v>0.142831508395369</v>
      </c>
      <c r="W396" s="0" t="n">
        <v>0.146005541915267</v>
      </c>
      <c r="X396" s="0" t="n">
        <v>0.149179575435164</v>
      </c>
      <c r="Y396" s="0" t="n">
        <v>0.152353608955061</v>
      </c>
      <c r="Z396" s="0" t="n">
        <v>0.155527642474958</v>
      </c>
      <c r="AA396" s="0" t="n">
        <v>0.158701675994855</v>
      </c>
      <c r="AB396" s="0" t="n">
        <v>0.161875709514752</v>
      </c>
      <c r="AC396" s="0" t="n">
        <v>0.165049743034649</v>
      </c>
      <c r="AD396" s="94"/>
    </row>
    <row r="397" customFormat="false" ht="13.8" hidden="false" customHeight="false" outlineLevel="0" collapsed="false">
      <c r="A397" s="104" t="s">
        <v>1049</v>
      </c>
      <c r="B397" s="94" t="n">
        <v>30</v>
      </c>
      <c r="C397" s="98"/>
      <c r="D397" s="98"/>
      <c r="E397" s="98"/>
      <c r="F397" s="98"/>
      <c r="G397" s="99"/>
      <c r="H397" s="99"/>
      <c r="I397" s="99"/>
      <c r="J397" s="99"/>
      <c r="K397" s="101"/>
      <c r="L397" s="101"/>
      <c r="M397" s="101"/>
      <c r="N397" s="101"/>
      <c r="O397" s="102" t="n">
        <v>0.219091001854659</v>
      </c>
      <c r="P397" s="102" t="n">
        <v>0.224856554535045</v>
      </c>
      <c r="Q397" s="102" t="n">
        <v>0.237736305135207</v>
      </c>
      <c r="R397" s="102" t="n">
        <v>0.243679712763587</v>
      </c>
      <c r="S397" s="102" t="n">
        <v>0.249623120391967</v>
      </c>
      <c r="T397" s="0" t="n">
        <v>0.255566528020347</v>
      </c>
      <c r="U397" s="93" t="n">
        <v>0.279314949750945</v>
      </c>
      <c r="AD397" s="94"/>
    </row>
    <row r="398" customFormat="false" ht="13.8" hidden="false" customHeight="false" outlineLevel="0" collapsed="false">
      <c r="A398" s="104" t="s">
        <v>240</v>
      </c>
      <c r="B398" s="94" t="n">
        <v>30</v>
      </c>
      <c r="C398" s="98"/>
      <c r="D398" s="98"/>
      <c r="E398" s="98"/>
      <c r="F398" s="98"/>
      <c r="G398" s="99"/>
      <c r="H398" s="99"/>
      <c r="I398" s="99" t="n">
        <v>0.178806327436523</v>
      </c>
      <c r="J398" s="99" t="n">
        <v>0.184394025168915</v>
      </c>
      <c r="K398" s="101" t="n">
        <v>0.189981722901306</v>
      </c>
      <c r="L398" s="101" t="n">
        <v>0.195569420633698</v>
      </c>
      <c r="M398" s="101"/>
      <c r="N398" s="101"/>
      <c r="O398" s="102"/>
      <c r="P398" s="102"/>
      <c r="Q398" s="102"/>
      <c r="R398" s="102"/>
      <c r="S398" s="102"/>
      <c r="U398" s="93"/>
      <c r="AD398" s="94"/>
    </row>
    <row r="399" customFormat="false" ht="13.8" hidden="false" customHeight="false" outlineLevel="0" collapsed="false">
      <c r="A399" s="104" t="s">
        <v>1046</v>
      </c>
      <c r="B399" s="94" t="n">
        <v>30</v>
      </c>
      <c r="C399" s="98"/>
      <c r="D399" s="98"/>
      <c r="E399" s="98"/>
      <c r="F399" s="98"/>
      <c r="G399" s="99"/>
      <c r="H399" s="99"/>
      <c r="I399" s="99" t="n">
        <v>0.0894031637182617</v>
      </c>
      <c r="J399" s="99" t="n">
        <v>0.0921970125844574</v>
      </c>
      <c r="K399" s="101" t="n">
        <v>0.0949908614506531</v>
      </c>
      <c r="L399" s="101" t="n">
        <v>0.0977847103168488</v>
      </c>
      <c r="M399" s="101" t="n">
        <v>0.103779948246944</v>
      </c>
      <c r="N399" s="101" t="n">
        <v>0.106662724587137</v>
      </c>
      <c r="O399" s="102" t="n">
        <v>0.10954550092733</v>
      </c>
      <c r="P399" s="102" t="n">
        <v>0.112428277267522</v>
      </c>
      <c r="Q399" s="102" t="n">
        <v>0.118868152567604</v>
      </c>
      <c r="R399" s="102" t="n">
        <v>0.121839856381794</v>
      </c>
      <c r="S399" s="102" t="n">
        <v>0.124811560195984</v>
      </c>
      <c r="T399" s="0" t="n">
        <v>0.127783264010174</v>
      </c>
      <c r="U399" s="93" t="n">
        <v>0.139657474875472</v>
      </c>
      <c r="V399" s="0" t="n">
        <v>0.142831508395369</v>
      </c>
      <c r="W399" s="0" t="n">
        <v>0.146005541915267</v>
      </c>
      <c r="X399" s="0" t="n">
        <v>0.149179575435164</v>
      </c>
      <c r="Y399" s="0" t="n">
        <v>0.152353608955061</v>
      </c>
      <c r="Z399" s="0" t="n">
        <v>0.155527642474958</v>
      </c>
      <c r="AA399" s="0" t="n">
        <v>0.158701675994855</v>
      </c>
      <c r="AB399" s="0" t="n">
        <v>0.161875709514752</v>
      </c>
      <c r="AC399" s="0" t="n">
        <v>0.165049743034649</v>
      </c>
      <c r="AD399" s="94"/>
    </row>
    <row r="400" customFormat="false" ht="13.8" hidden="false" customHeight="false" outlineLevel="0" collapsed="false">
      <c r="A400" s="104" t="s">
        <v>127</v>
      </c>
      <c r="B400" s="94" t="n">
        <v>31</v>
      </c>
      <c r="C400" s="98"/>
      <c r="D400" s="98"/>
      <c r="E400" s="98"/>
      <c r="F400" s="98"/>
      <c r="G400" s="99"/>
      <c r="H400" s="99"/>
      <c r="I400" s="99" t="n">
        <v>0.0757345440123242</v>
      </c>
      <c r="J400" s="99" t="n">
        <v>0.0781012485127093</v>
      </c>
      <c r="K400" s="101" t="n">
        <v>0.0804679530130944</v>
      </c>
      <c r="L400" s="101" t="n">
        <v>0.0828346575134796</v>
      </c>
      <c r="M400" s="101" t="n">
        <v>0.0866471188879645</v>
      </c>
      <c r="N400" s="101" t="n">
        <v>0.0890539833015191</v>
      </c>
      <c r="O400" s="102" t="n">
        <v>0.0914608477150736</v>
      </c>
      <c r="P400" s="102" t="n">
        <v>0.0938677121286282</v>
      </c>
      <c r="Q400" s="102" t="n">
        <v>0.0978809730689603</v>
      </c>
      <c r="R400" s="102" t="n">
        <v>0.100327997395684</v>
      </c>
      <c r="S400" s="102" t="n">
        <v>0.102775021722408</v>
      </c>
      <c r="T400" s="0" t="n">
        <v>0.105222046049132</v>
      </c>
      <c r="U400" s="93" t="n">
        <v>0.117061756616838</v>
      </c>
      <c r="V400" s="0" t="n">
        <v>0.119722251085402</v>
      </c>
      <c r="W400" s="0" t="n">
        <v>0.122382745553967</v>
      </c>
      <c r="X400" s="0" t="n">
        <v>0.125043240022531</v>
      </c>
      <c r="Y400" s="0" t="n">
        <v>0.127703734491096</v>
      </c>
      <c r="Z400" s="0" t="n">
        <v>0.13036422895966</v>
      </c>
      <c r="AA400" s="0" t="n">
        <v>0.133024723428225</v>
      </c>
      <c r="AB400" s="0" t="n">
        <v>0.135685217896789</v>
      </c>
      <c r="AC400" s="0" t="n">
        <v>0.138345712365354</v>
      </c>
      <c r="AD400" s="94"/>
    </row>
    <row r="401" customFormat="false" ht="13.8" hidden="false" customHeight="false" outlineLevel="0" collapsed="false">
      <c r="A401" s="104" t="s">
        <v>245</v>
      </c>
      <c r="B401" s="94" t="n">
        <v>31</v>
      </c>
      <c r="C401" s="98"/>
      <c r="D401" s="98"/>
      <c r="E401" s="98"/>
      <c r="F401" s="98"/>
      <c r="G401" s="99"/>
      <c r="H401" s="99"/>
      <c r="I401" s="99" t="n">
        <v>0.0757345440123242</v>
      </c>
      <c r="J401" s="99" t="n">
        <v>0.0781012485127093</v>
      </c>
      <c r="K401" s="101" t="n">
        <v>0.0804679530130944</v>
      </c>
      <c r="L401" s="101" t="n">
        <v>0.0828346575134796</v>
      </c>
      <c r="M401" s="101" t="n">
        <v>0.0866471188879645</v>
      </c>
      <c r="N401" s="101" t="n">
        <v>0.0890539833015191</v>
      </c>
      <c r="O401" s="102" t="n">
        <v>0.0914608477150736</v>
      </c>
      <c r="P401" s="102" t="n">
        <v>0.0938677121286282</v>
      </c>
      <c r="Q401" s="102" t="n">
        <v>0.0978809730689603</v>
      </c>
      <c r="R401" s="102" t="n">
        <v>0.100327997395684</v>
      </c>
      <c r="S401" s="102" t="n">
        <v>0.102775021722408</v>
      </c>
      <c r="T401" s="0" t="n">
        <v>0.105222046049132</v>
      </c>
      <c r="U401" s="93" t="n">
        <v>0.117061756616838</v>
      </c>
      <c r="V401" s="0" t="n">
        <v>0.119722251085402</v>
      </c>
      <c r="W401" s="0" t="n">
        <v>0.122382745553967</v>
      </c>
      <c r="X401" s="0" t="n">
        <v>0.125043240022531</v>
      </c>
      <c r="Y401" s="0" t="n">
        <v>0.127703734491096</v>
      </c>
      <c r="Z401" s="0" t="n">
        <v>0.13036422895966</v>
      </c>
      <c r="AA401" s="0" t="n">
        <v>0.133024723428225</v>
      </c>
      <c r="AB401" s="0" t="n">
        <v>0.135685217896789</v>
      </c>
      <c r="AC401" s="0" t="n">
        <v>0.138345712365354</v>
      </c>
      <c r="AD401" s="94"/>
    </row>
    <row r="402" customFormat="false" ht="13.8" hidden="false" customHeight="false" outlineLevel="0" collapsed="false">
      <c r="A402" s="104" t="s">
        <v>128</v>
      </c>
      <c r="B402" s="94" t="n">
        <v>31</v>
      </c>
      <c r="C402" s="98"/>
      <c r="D402" s="98"/>
      <c r="E402" s="98"/>
      <c r="F402" s="98"/>
      <c r="G402" s="99"/>
      <c r="H402" s="99"/>
      <c r="I402" s="99" t="n">
        <v>0.0757345440123242</v>
      </c>
      <c r="J402" s="99" t="n">
        <v>0.0781012485127093</v>
      </c>
      <c r="K402" s="101" t="n">
        <v>0.0804679530130944</v>
      </c>
      <c r="L402" s="101" t="n">
        <v>0.0828346575134796</v>
      </c>
      <c r="M402" s="101" t="n">
        <v>0.0866471188879645</v>
      </c>
      <c r="N402" s="101" t="n">
        <v>0.0890539833015191</v>
      </c>
      <c r="O402" s="102" t="n">
        <v>0.0914608477150736</v>
      </c>
      <c r="P402" s="102" t="n">
        <v>0.0938677121286282</v>
      </c>
      <c r="Q402" s="102" t="n">
        <v>0.0978809730689603</v>
      </c>
      <c r="R402" s="102" t="n">
        <v>0.100327997395684</v>
      </c>
      <c r="S402" s="102" t="n">
        <v>0.102775021722408</v>
      </c>
      <c r="T402" s="0" t="n">
        <v>0.105222046049132</v>
      </c>
      <c r="U402" s="93" t="n">
        <v>0.117061756616838</v>
      </c>
      <c r="V402" s="0" t="n">
        <v>0.119722251085402</v>
      </c>
      <c r="W402" s="0" t="n">
        <v>0.122382745553967</v>
      </c>
      <c r="X402" s="0" t="n">
        <v>0.125043240022531</v>
      </c>
      <c r="Y402" s="0" t="n">
        <v>0.127703734491096</v>
      </c>
      <c r="Z402" s="0" t="n">
        <v>0.13036422895966</v>
      </c>
      <c r="AA402" s="0" t="n">
        <v>0.133024723428225</v>
      </c>
      <c r="AB402" s="0" t="n">
        <v>0.135685217896789</v>
      </c>
      <c r="AC402" s="0" t="n">
        <v>0.138345712365354</v>
      </c>
      <c r="AD402" s="94"/>
    </row>
    <row r="403" customFormat="false" ht="13.8" hidden="false" customHeight="false" outlineLevel="0" collapsed="false">
      <c r="A403" s="104" t="s">
        <v>246</v>
      </c>
      <c r="B403" s="94" t="n">
        <v>31</v>
      </c>
      <c r="C403" s="98"/>
      <c r="D403" s="98"/>
      <c r="E403" s="98"/>
      <c r="F403" s="98"/>
      <c r="G403" s="99"/>
      <c r="H403" s="99"/>
      <c r="I403" s="99" t="n">
        <v>0.0757345440123242</v>
      </c>
      <c r="J403" s="99" t="n">
        <v>0.0781012485127093</v>
      </c>
      <c r="K403" s="101" t="n">
        <v>0.0804679530130944</v>
      </c>
      <c r="L403" s="101" t="n">
        <v>0.0828346575134796</v>
      </c>
      <c r="M403" s="101" t="n">
        <v>0.0866471188879645</v>
      </c>
      <c r="N403" s="101" t="n">
        <v>0.0890539833015191</v>
      </c>
      <c r="O403" s="102" t="n">
        <v>0.0914608477150736</v>
      </c>
      <c r="P403" s="102" t="n">
        <v>0.0938677121286282</v>
      </c>
      <c r="Q403" s="102" t="n">
        <v>0.0978809730689603</v>
      </c>
      <c r="R403" s="102" t="n">
        <v>0.100327997395684</v>
      </c>
      <c r="S403" s="102" t="n">
        <v>0.102775021722408</v>
      </c>
      <c r="T403" s="0" t="n">
        <v>0.105222046049132</v>
      </c>
      <c r="U403" s="93" t="n">
        <v>0.117061756616838</v>
      </c>
      <c r="V403" s="0" t="n">
        <v>0.119722251085402</v>
      </c>
      <c r="W403" s="0" t="n">
        <v>0.122382745553967</v>
      </c>
      <c r="X403" s="0" t="n">
        <v>0.125043240022531</v>
      </c>
      <c r="Y403" s="0" t="n">
        <v>0.127703734491096</v>
      </c>
      <c r="Z403" s="0" t="n">
        <v>0.13036422895966</v>
      </c>
      <c r="AA403" s="0" t="n">
        <v>0.133024723428225</v>
      </c>
      <c r="AB403" s="0" t="n">
        <v>0.135685217896789</v>
      </c>
      <c r="AC403" s="0" t="n">
        <v>0.138345712365354</v>
      </c>
      <c r="AD403" s="94"/>
    </row>
    <row r="404" customFormat="false" ht="13.8" hidden="false" customHeight="false" outlineLevel="0" collapsed="false">
      <c r="A404" s="104" t="s">
        <v>129</v>
      </c>
      <c r="B404" s="94" t="n">
        <v>31</v>
      </c>
      <c r="C404" s="98"/>
      <c r="D404" s="98"/>
      <c r="E404" s="98"/>
      <c r="F404" s="98"/>
      <c r="G404" s="99"/>
      <c r="H404" s="99"/>
      <c r="I404" s="99" t="n">
        <v>0.0757345440123242</v>
      </c>
      <c r="J404" s="99" t="n">
        <v>0.0781012485127093</v>
      </c>
      <c r="K404" s="101" t="n">
        <v>0.0804679530130944</v>
      </c>
      <c r="L404" s="101" t="n">
        <v>0.0828346575134796</v>
      </c>
      <c r="M404" s="101" t="n">
        <v>0.0866471188879645</v>
      </c>
      <c r="N404" s="101" t="n">
        <v>0.0890539833015191</v>
      </c>
      <c r="O404" s="102" t="n">
        <v>0.0914608477150736</v>
      </c>
      <c r="P404" s="102" t="n">
        <v>0.0938677121286282</v>
      </c>
      <c r="Q404" s="102" t="n">
        <v>0.0978809730689603</v>
      </c>
      <c r="R404" s="102" t="n">
        <v>0.100327997395684</v>
      </c>
      <c r="S404" s="102" t="n">
        <v>0.102775021722408</v>
      </c>
      <c r="T404" s="0" t="n">
        <v>0.105222046049132</v>
      </c>
      <c r="U404" s="93" t="n">
        <v>0.117061756616838</v>
      </c>
      <c r="V404" s="0" t="n">
        <v>0.119722251085402</v>
      </c>
      <c r="W404" s="0" t="n">
        <v>0.122382745553967</v>
      </c>
      <c r="X404" s="0" t="n">
        <v>0.125043240022531</v>
      </c>
      <c r="Y404" s="0" t="n">
        <v>0.127703734491096</v>
      </c>
      <c r="Z404" s="0" t="n">
        <v>0.13036422895966</v>
      </c>
      <c r="AA404" s="0" t="n">
        <v>0.133024723428225</v>
      </c>
      <c r="AB404" s="0" t="n">
        <v>0.135685217896789</v>
      </c>
      <c r="AC404" s="0" t="n">
        <v>0.138345712365354</v>
      </c>
      <c r="AD404" s="94"/>
    </row>
    <row r="405" customFormat="false" ht="13.8" hidden="false" customHeight="false" outlineLevel="0" collapsed="false">
      <c r="A405" s="104" t="s">
        <v>1074</v>
      </c>
      <c r="B405" s="94" t="n">
        <v>31</v>
      </c>
      <c r="C405" s="98"/>
      <c r="D405" s="98"/>
      <c r="E405" s="98"/>
      <c r="F405" s="98"/>
      <c r="G405" s="99"/>
      <c r="H405" s="99"/>
      <c r="I405" s="99" t="n">
        <v>0.0757345440123242</v>
      </c>
      <c r="J405" s="99" t="n">
        <v>0.0781012485127093</v>
      </c>
      <c r="K405" s="101" t="n">
        <v>0.0804679530130944</v>
      </c>
      <c r="L405" s="101" t="n">
        <v>0.0828346575134796</v>
      </c>
      <c r="M405" s="101" t="n">
        <v>0.0866471188879645</v>
      </c>
      <c r="N405" s="101" t="n">
        <v>0.0890539833015191</v>
      </c>
      <c r="O405" s="102" t="n">
        <v>0.0914608477150736</v>
      </c>
      <c r="P405" s="102" t="n">
        <v>0.0938677121286282</v>
      </c>
      <c r="Q405" s="102" t="n">
        <v>0.0978809730689603</v>
      </c>
      <c r="R405" s="102" t="n">
        <v>0.100327997395684</v>
      </c>
      <c r="S405" s="102" t="n">
        <v>0.102775021722408</v>
      </c>
      <c r="T405" s="0" t="n">
        <v>0.105222046049132</v>
      </c>
      <c r="U405" s="93" t="n">
        <v>0.117061756616838</v>
      </c>
      <c r="V405" s="0" t="n">
        <v>0.119722251085402</v>
      </c>
      <c r="W405" s="0" t="n">
        <v>0.122382745553967</v>
      </c>
      <c r="X405" s="0" t="n">
        <v>0.125043240022531</v>
      </c>
      <c r="Y405" s="0" t="n">
        <v>0.127703734491096</v>
      </c>
      <c r="Z405" s="0" t="n">
        <v>0.13036422895966</v>
      </c>
      <c r="AA405" s="0" t="n">
        <v>0.133024723428225</v>
      </c>
      <c r="AB405" s="0" t="n">
        <v>0.135685217896789</v>
      </c>
      <c r="AC405" s="0" t="n">
        <v>0.138345712365354</v>
      </c>
      <c r="AD405" s="94"/>
    </row>
    <row r="406" customFormat="false" ht="13.8" hidden="false" customHeight="false" outlineLevel="0" collapsed="false">
      <c r="A406" s="104" t="s">
        <v>1071</v>
      </c>
      <c r="B406" s="94" t="n">
        <v>31</v>
      </c>
      <c r="C406" s="98"/>
      <c r="D406" s="98"/>
      <c r="E406" s="98"/>
      <c r="F406" s="98"/>
      <c r="G406" s="99"/>
      <c r="H406" s="99"/>
      <c r="I406" s="99" t="n">
        <v>0.0757345440123242</v>
      </c>
      <c r="J406" s="99" t="n">
        <v>0.0781012485127093</v>
      </c>
      <c r="K406" s="101" t="n">
        <v>0.0804679530130944</v>
      </c>
      <c r="L406" s="101" t="n">
        <v>0.0828346575134796</v>
      </c>
      <c r="M406" s="101" t="n">
        <v>0.0866471188879645</v>
      </c>
      <c r="N406" s="101" t="n">
        <v>0.0890539833015191</v>
      </c>
      <c r="O406" s="102" t="n">
        <v>0.0914608477150736</v>
      </c>
      <c r="P406" s="102" t="n">
        <v>0.0938677121286282</v>
      </c>
      <c r="Q406" s="102" t="n">
        <v>0.0978809730689603</v>
      </c>
      <c r="R406" s="102" t="n">
        <v>0.100327997395684</v>
      </c>
      <c r="S406" s="102" t="n">
        <v>0.102775021722408</v>
      </c>
      <c r="T406" s="0" t="n">
        <v>0.105222046049132</v>
      </c>
      <c r="U406" s="93" t="n">
        <v>0.117061756616838</v>
      </c>
      <c r="V406" s="0" t="n">
        <v>0.119722251085402</v>
      </c>
      <c r="W406" s="0" t="n">
        <v>0.122382745553967</v>
      </c>
      <c r="X406" s="0" t="n">
        <v>0.125043240022531</v>
      </c>
      <c r="Y406" s="0" t="n">
        <v>0.127703734491096</v>
      </c>
      <c r="Z406" s="0" t="n">
        <v>0.13036422895966</v>
      </c>
      <c r="AA406" s="0" t="n">
        <v>0.133024723428225</v>
      </c>
      <c r="AB406" s="0" t="n">
        <v>0.135685217896789</v>
      </c>
      <c r="AC406" s="0" t="n">
        <v>0.138345712365354</v>
      </c>
      <c r="AD406" s="94"/>
    </row>
    <row r="407" customFormat="false" ht="13.8" hidden="false" customHeight="false" outlineLevel="0" collapsed="false">
      <c r="A407" s="104" t="s">
        <v>244</v>
      </c>
      <c r="B407" s="94" t="n">
        <v>31</v>
      </c>
      <c r="C407" s="98"/>
      <c r="D407" s="98"/>
      <c r="E407" s="98"/>
      <c r="F407" s="98"/>
      <c r="G407" s="99"/>
      <c r="H407" s="99"/>
      <c r="I407" s="99"/>
      <c r="J407" s="99"/>
      <c r="K407" s="101"/>
      <c r="L407" s="101"/>
      <c r="M407" s="101"/>
      <c r="N407" s="101"/>
      <c r="O407" s="102" t="n">
        <v>0.182921695430147</v>
      </c>
      <c r="P407" s="102" t="n">
        <v>0.187735424257256</v>
      </c>
      <c r="Q407" s="102" t="n">
        <v>0.195761946137921</v>
      </c>
      <c r="R407" s="102" t="n">
        <v>0.200655994791369</v>
      </c>
      <c r="S407" s="102" t="n">
        <v>0.205550043444817</v>
      </c>
      <c r="T407" s="0" t="n">
        <v>0.210444092098265</v>
      </c>
      <c r="U407" s="93" t="n">
        <v>0.234123513233676</v>
      </c>
      <c r="AD407" s="94"/>
    </row>
    <row r="408" customFormat="false" ht="13.8" hidden="false" customHeight="false" outlineLevel="0" collapsed="false">
      <c r="A408" s="104" t="s">
        <v>1054</v>
      </c>
      <c r="B408" s="94" t="n">
        <v>31</v>
      </c>
      <c r="C408" s="98"/>
      <c r="D408" s="98"/>
      <c r="E408" s="98"/>
      <c r="F408" s="98"/>
      <c r="G408" s="99"/>
      <c r="H408" s="99"/>
      <c r="I408" s="99" t="n">
        <v>0.151469088024648</v>
      </c>
      <c r="J408" s="99" t="n">
        <v>0.156202497025419</v>
      </c>
      <c r="K408" s="101" t="n">
        <v>0.160935906026189</v>
      </c>
      <c r="L408" s="101" t="n">
        <v>0.165669315026959</v>
      </c>
      <c r="M408" s="101"/>
      <c r="N408" s="101"/>
      <c r="O408" s="102"/>
      <c r="P408" s="102"/>
      <c r="Q408" s="102"/>
      <c r="R408" s="102"/>
      <c r="S408" s="102"/>
      <c r="U408" s="93"/>
      <c r="AD408" s="94"/>
    </row>
    <row r="409" customFormat="false" ht="13.8" hidden="false" customHeight="false" outlineLevel="0" collapsed="false">
      <c r="A409" s="104" t="s">
        <v>1057</v>
      </c>
      <c r="B409" s="94" t="n">
        <v>31</v>
      </c>
      <c r="C409" s="98"/>
      <c r="D409" s="98"/>
      <c r="E409" s="98"/>
      <c r="F409" s="98"/>
      <c r="G409" s="99"/>
      <c r="H409" s="99"/>
      <c r="I409" s="99" t="n">
        <v>0.151469088024648</v>
      </c>
      <c r="J409" s="99" t="n">
        <v>0.156202497025419</v>
      </c>
      <c r="K409" s="101" t="n">
        <v>0.160935906026189</v>
      </c>
      <c r="L409" s="101" t="n">
        <v>0.165669315026959</v>
      </c>
      <c r="M409" s="101"/>
      <c r="N409" s="101"/>
      <c r="O409" s="102"/>
      <c r="P409" s="102"/>
      <c r="Q409" s="102"/>
      <c r="R409" s="102"/>
      <c r="S409" s="102"/>
      <c r="U409" s="93"/>
      <c r="AD409" s="94"/>
    </row>
    <row r="410" customFormat="false" ht="13.8" hidden="false" customHeight="false" outlineLevel="0" collapsed="false">
      <c r="A410" s="104" t="s">
        <v>1064</v>
      </c>
      <c r="B410" s="94" t="n">
        <v>31</v>
      </c>
      <c r="C410" s="98"/>
      <c r="D410" s="98"/>
      <c r="E410" s="98"/>
      <c r="F410" s="98"/>
      <c r="G410" s="99"/>
      <c r="H410" s="99"/>
      <c r="I410" s="99"/>
      <c r="J410" s="99"/>
      <c r="K410" s="101"/>
      <c r="L410" s="101"/>
      <c r="M410" s="101" t="n">
        <v>0.173294237775929</v>
      </c>
      <c r="N410" s="101" t="n">
        <v>0.178107966603038</v>
      </c>
      <c r="O410" s="102" t="n">
        <v>0.182921695430147</v>
      </c>
      <c r="P410" s="102" t="n">
        <v>0.187735424257256</v>
      </c>
      <c r="Q410" s="102" t="n">
        <v>0.195761946137921</v>
      </c>
      <c r="R410" s="102" t="n">
        <v>0.200655994791369</v>
      </c>
      <c r="S410" s="102" t="n">
        <v>0.205550043444817</v>
      </c>
      <c r="T410" s="0" t="n">
        <v>0.210444092098265</v>
      </c>
      <c r="U410" s="93"/>
      <c r="AD410" s="94"/>
    </row>
    <row r="411" customFormat="false" ht="13.8" hidden="false" customHeight="false" outlineLevel="0" collapsed="false">
      <c r="A411" s="104" t="s">
        <v>1061</v>
      </c>
      <c r="B411" s="94" t="n">
        <v>31</v>
      </c>
      <c r="C411" s="98"/>
      <c r="D411" s="98"/>
      <c r="E411" s="98"/>
      <c r="F411" s="98"/>
      <c r="G411" s="99"/>
      <c r="H411" s="99"/>
      <c r="I411" s="99"/>
      <c r="J411" s="99"/>
      <c r="K411" s="101" t="n">
        <v>0.160935906026189</v>
      </c>
      <c r="L411" s="101" t="n">
        <v>0.165669315026959</v>
      </c>
      <c r="M411" s="101" t="n">
        <v>0.173294237775929</v>
      </c>
      <c r="N411" s="101" t="n">
        <v>0.178107966603038</v>
      </c>
      <c r="O411" s="102" t="n">
        <v>0.182921695430147</v>
      </c>
      <c r="P411" s="102" t="n">
        <v>0.187735424257256</v>
      </c>
      <c r="Q411" s="102"/>
      <c r="R411" s="102"/>
      <c r="S411" s="102"/>
      <c r="U411" s="93"/>
      <c r="AD411" s="94"/>
    </row>
    <row r="412" customFormat="false" ht="13.8" hidden="false" customHeight="false" outlineLevel="0" collapsed="false">
      <c r="A412" s="104" t="s">
        <v>127</v>
      </c>
      <c r="B412" s="94" t="n">
        <v>32</v>
      </c>
      <c r="C412" s="98"/>
      <c r="D412" s="98"/>
      <c r="E412" s="98"/>
      <c r="F412" s="98"/>
      <c r="G412" s="99"/>
      <c r="H412" s="99"/>
      <c r="I412" s="99" t="n">
        <v>0.0757345440123242</v>
      </c>
      <c r="J412" s="99" t="n">
        <v>0.0781012485127093</v>
      </c>
      <c r="K412" s="101" t="n">
        <v>0.0804679530130944</v>
      </c>
      <c r="L412" s="101" t="n">
        <v>0.0828346575134796</v>
      </c>
      <c r="M412" s="101" t="n">
        <v>0.0866471188879645</v>
      </c>
      <c r="N412" s="101" t="n">
        <v>0.0890539833015191</v>
      </c>
      <c r="O412" s="102" t="n">
        <v>0.0914608477150736</v>
      </c>
      <c r="P412" s="102" t="n">
        <v>0.0938677121286282</v>
      </c>
      <c r="Q412" s="102" t="n">
        <v>0.0978809730689603</v>
      </c>
      <c r="R412" s="102" t="n">
        <v>0.100327997395684</v>
      </c>
      <c r="S412" s="102" t="n">
        <v>0.102775021722408</v>
      </c>
      <c r="T412" s="0" t="n">
        <v>0.105222046049132</v>
      </c>
      <c r="U412" s="93" t="n">
        <v>0.117061756616838</v>
      </c>
      <c r="V412" s="0" t="n">
        <v>0.119722251085402</v>
      </c>
      <c r="W412" s="0" t="n">
        <v>0.122382745553967</v>
      </c>
      <c r="X412" s="0" t="n">
        <v>0.125043240022531</v>
      </c>
      <c r="Y412" s="0" t="n">
        <v>0.127703734491096</v>
      </c>
      <c r="Z412" s="0" t="n">
        <v>0.13036422895966</v>
      </c>
      <c r="AA412" s="0" t="n">
        <v>0.133024723428225</v>
      </c>
      <c r="AB412" s="0" t="n">
        <v>0.135685217896789</v>
      </c>
      <c r="AC412" s="0" t="n">
        <v>0.138345712365354</v>
      </c>
      <c r="AD412" s="94"/>
    </row>
    <row r="413" customFormat="false" ht="13.8" hidden="false" customHeight="false" outlineLevel="0" collapsed="false">
      <c r="A413" s="104" t="s">
        <v>245</v>
      </c>
      <c r="B413" s="94" t="n">
        <v>32</v>
      </c>
      <c r="C413" s="98"/>
      <c r="D413" s="98"/>
      <c r="E413" s="98"/>
      <c r="F413" s="98"/>
      <c r="G413" s="99"/>
      <c r="H413" s="99"/>
      <c r="I413" s="99" t="n">
        <v>0.0757345440123242</v>
      </c>
      <c r="J413" s="99" t="n">
        <v>0.0781012485127093</v>
      </c>
      <c r="K413" s="101" t="n">
        <v>0.0804679530130944</v>
      </c>
      <c r="L413" s="101" t="n">
        <v>0.0828346575134796</v>
      </c>
      <c r="M413" s="101" t="n">
        <v>0.0866471188879645</v>
      </c>
      <c r="N413" s="101" t="n">
        <v>0.0890539833015191</v>
      </c>
      <c r="O413" s="102" t="n">
        <v>0.0914608477150736</v>
      </c>
      <c r="P413" s="102" t="n">
        <v>0.0938677121286282</v>
      </c>
      <c r="Q413" s="102" t="n">
        <v>0.0978809730689603</v>
      </c>
      <c r="R413" s="102" t="n">
        <v>0.100327997395684</v>
      </c>
      <c r="S413" s="102" t="n">
        <v>0.102775021722408</v>
      </c>
      <c r="T413" s="0" t="n">
        <v>0.105222046049132</v>
      </c>
      <c r="U413" s="93" t="n">
        <v>0.117061756616838</v>
      </c>
      <c r="V413" s="0" t="n">
        <v>0.119722251085402</v>
      </c>
      <c r="W413" s="0" t="n">
        <v>0.122382745553967</v>
      </c>
      <c r="X413" s="0" t="n">
        <v>0.125043240022531</v>
      </c>
      <c r="Y413" s="0" t="n">
        <v>0.127703734491096</v>
      </c>
      <c r="Z413" s="0" t="n">
        <v>0.13036422895966</v>
      </c>
      <c r="AA413" s="0" t="n">
        <v>0.133024723428225</v>
      </c>
      <c r="AB413" s="0" t="n">
        <v>0.135685217896789</v>
      </c>
      <c r="AC413" s="0" t="n">
        <v>0.138345712365354</v>
      </c>
      <c r="AD413" s="94"/>
    </row>
    <row r="414" customFormat="false" ht="13.8" hidden="false" customHeight="false" outlineLevel="0" collapsed="false">
      <c r="A414" s="104" t="s">
        <v>128</v>
      </c>
      <c r="B414" s="94" t="n">
        <v>32</v>
      </c>
      <c r="C414" s="98"/>
      <c r="D414" s="98"/>
      <c r="E414" s="98"/>
      <c r="F414" s="98"/>
      <c r="G414" s="99"/>
      <c r="H414" s="99"/>
      <c r="I414" s="99" t="n">
        <v>0.0757345440123242</v>
      </c>
      <c r="J414" s="99" t="n">
        <v>0.0781012485127093</v>
      </c>
      <c r="K414" s="101" t="n">
        <v>0.0804679530130944</v>
      </c>
      <c r="L414" s="101" t="n">
        <v>0.0828346575134796</v>
      </c>
      <c r="M414" s="101" t="n">
        <v>0.0866471188879645</v>
      </c>
      <c r="N414" s="101" t="n">
        <v>0.0890539833015191</v>
      </c>
      <c r="O414" s="102" t="n">
        <v>0.0914608477150736</v>
      </c>
      <c r="P414" s="102" t="n">
        <v>0.0938677121286282</v>
      </c>
      <c r="Q414" s="102" t="n">
        <v>0.0978809730689603</v>
      </c>
      <c r="R414" s="102" t="n">
        <v>0.100327997395684</v>
      </c>
      <c r="S414" s="102" t="n">
        <v>0.102775021722408</v>
      </c>
      <c r="T414" s="0" t="n">
        <v>0.105222046049132</v>
      </c>
      <c r="U414" s="93" t="n">
        <v>0.117061756616838</v>
      </c>
      <c r="V414" s="0" t="n">
        <v>0.119722251085402</v>
      </c>
      <c r="W414" s="0" t="n">
        <v>0.122382745553967</v>
      </c>
      <c r="X414" s="0" t="n">
        <v>0.125043240022531</v>
      </c>
      <c r="Y414" s="0" t="n">
        <v>0.127703734491096</v>
      </c>
      <c r="Z414" s="0" t="n">
        <v>0.13036422895966</v>
      </c>
      <c r="AA414" s="0" t="n">
        <v>0.133024723428225</v>
      </c>
      <c r="AB414" s="0" t="n">
        <v>0.135685217896789</v>
      </c>
      <c r="AC414" s="0" t="n">
        <v>0.138345712365354</v>
      </c>
      <c r="AD414" s="94"/>
    </row>
    <row r="415" customFormat="false" ht="13.8" hidden="false" customHeight="false" outlineLevel="0" collapsed="false">
      <c r="A415" s="104" t="s">
        <v>246</v>
      </c>
      <c r="B415" s="94" t="n">
        <v>32</v>
      </c>
      <c r="C415" s="98"/>
      <c r="D415" s="98"/>
      <c r="E415" s="98"/>
      <c r="F415" s="98"/>
      <c r="G415" s="99"/>
      <c r="H415" s="99"/>
      <c r="I415" s="99" t="n">
        <v>0.0757345440123242</v>
      </c>
      <c r="J415" s="99" t="n">
        <v>0.0781012485127093</v>
      </c>
      <c r="K415" s="101" t="n">
        <v>0.0804679530130944</v>
      </c>
      <c r="L415" s="101" t="n">
        <v>0.0828346575134796</v>
      </c>
      <c r="M415" s="101" t="n">
        <v>0.0866471188879645</v>
      </c>
      <c r="N415" s="101" t="n">
        <v>0.0890539833015191</v>
      </c>
      <c r="O415" s="102" t="n">
        <v>0.0914608477150736</v>
      </c>
      <c r="P415" s="102" t="n">
        <v>0.0938677121286282</v>
      </c>
      <c r="Q415" s="102" t="n">
        <v>0.0978809730689603</v>
      </c>
      <c r="R415" s="102" t="n">
        <v>0.100327997395684</v>
      </c>
      <c r="S415" s="102" t="n">
        <v>0.102775021722408</v>
      </c>
      <c r="T415" s="0" t="n">
        <v>0.105222046049132</v>
      </c>
      <c r="U415" s="93" t="n">
        <v>0.117061756616838</v>
      </c>
      <c r="V415" s="0" t="n">
        <v>0.119722251085402</v>
      </c>
      <c r="W415" s="0" t="n">
        <v>0.122382745553967</v>
      </c>
      <c r="X415" s="0" t="n">
        <v>0.125043240022531</v>
      </c>
      <c r="Y415" s="0" t="n">
        <v>0.127703734491096</v>
      </c>
      <c r="Z415" s="0" t="n">
        <v>0.13036422895966</v>
      </c>
      <c r="AA415" s="0" t="n">
        <v>0.133024723428225</v>
      </c>
      <c r="AB415" s="0" t="n">
        <v>0.135685217896789</v>
      </c>
      <c r="AC415" s="0" t="n">
        <v>0.138345712365354</v>
      </c>
      <c r="AD415" s="94"/>
    </row>
    <row r="416" customFormat="false" ht="13.8" hidden="false" customHeight="false" outlineLevel="0" collapsed="false">
      <c r="A416" s="104" t="s">
        <v>129</v>
      </c>
      <c r="B416" s="94" t="n">
        <v>32</v>
      </c>
      <c r="C416" s="98"/>
      <c r="D416" s="98"/>
      <c r="E416" s="98"/>
      <c r="F416" s="98"/>
      <c r="G416" s="99"/>
      <c r="H416" s="99"/>
      <c r="I416" s="99" t="n">
        <v>0.0757345440123242</v>
      </c>
      <c r="J416" s="99" t="n">
        <v>0.0781012485127093</v>
      </c>
      <c r="K416" s="101" t="n">
        <v>0.0804679530130944</v>
      </c>
      <c r="L416" s="101" t="n">
        <v>0.0828346575134796</v>
      </c>
      <c r="M416" s="101" t="n">
        <v>0.0866471188879645</v>
      </c>
      <c r="N416" s="101" t="n">
        <v>0.0890539833015191</v>
      </c>
      <c r="O416" s="102" t="n">
        <v>0.0914608477150736</v>
      </c>
      <c r="P416" s="102" t="n">
        <v>0.0938677121286282</v>
      </c>
      <c r="Q416" s="102" t="n">
        <v>0.0978809730689603</v>
      </c>
      <c r="R416" s="102" t="n">
        <v>0.100327997395684</v>
      </c>
      <c r="S416" s="102" t="n">
        <v>0.102775021722408</v>
      </c>
      <c r="T416" s="0" t="n">
        <v>0.105222046049132</v>
      </c>
      <c r="U416" s="93" t="n">
        <v>0.117061756616838</v>
      </c>
      <c r="V416" s="0" t="n">
        <v>0.119722251085402</v>
      </c>
      <c r="W416" s="0" t="n">
        <v>0.122382745553967</v>
      </c>
      <c r="X416" s="0" t="n">
        <v>0.125043240022531</v>
      </c>
      <c r="Y416" s="0" t="n">
        <v>0.127703734491096</v>
      </c>
      <c r="Z416" s="0" t="n">
        <v>0.13036422895966</v>
      </c>
      <c r="AA416" s="0" t="n">
        <v>0.133024723428225</v>
      </c>
      <c r="AB416" s="0" t="n">
        <v>0.135685217896789</v>
      </c>
      <c r="AC416" s="0" t="n">
        <v>0.138345712365354</v>
      </c>
      <c r="AD416" s="94"/>
    </row>
    <row r="417" customFormat="false" ht="13.8" hidden="false" customHeight="false" outlineLevel="0" collapsed="false">
      <c r="A417" s="104" t="s">
        <v>1074</v>
      </c>
      <c r="B417" s="94" t="n">
        <v>32</v>
      </c>
      <c r="C417" s="98"/>
      <c r="D417" s="98"/>
      <c r="E417" s="98"/>
      <c r="F417" s="98"/>
      <c r="G417" s="99"/>
      <c r="H417" s="99"/>
      <c r="I417" s="99" t="n">
        <v>0.0757345440123242</v>
      </c>
      <c r="J417" s="99" t="n">
        <v>0.0781012485127093</v>
      </c>
      <c r="K417" s="101" t="n">
        <v>0.0804679530130944</v>
      </c>
      <c r="L417" s="101" t="n">
        <v>0.0828346575134796</v>
      </c>
      <c r="M417" s="101" t="n">
        <v>0.0866471188879645</v>
      </c>
      <c r="N417" s="101" t="n">
        <v>0.0890539833015191</v>
      </c>
      <c r="O417" s="102" t="n">
        <v>0.0914608477150736</v>
      </c>
      <c r="P417" s="102" t="n">
        <v>0.0938677121286282</v>
      </c>
      <c r="Q417" s="102" t="n">
        <v>0.0978809730689603</v>
      </c>
      <c r="R417" s="102" t="n">
        <v>0.100327997395684</v>
      </c>
      <c r="S417" s="102" t="n">
        <v>0.102775021722408</v>
      </c>
      <c r="T417" s="0" t="n">
        <v>0.105222046049132</v>
      </c>
      <c r="U417" s="93" t="n">
        <v>0.117061756616838</v>
      </c>
      <c r="V417" s="0" t="n">
        <v>0.119722251085402</v>
      </c>
      <c r="W417" s="0" t="n">
        <v>0.122382745553967</v>
      </c>
      <c r="X417" s="0" t="n">
        <v>0.125043240022531</v>
      </c>
      <c r="Y417" s="0" t="n">
        <v>0.127703734491096</v>
      </c>
      <c r="Z417" s="0" t="n">
        <v>0.13036422895966</v>
      </c>
      <c r="AA417" s="0" t="n">
        <v>0.133024723428225</v>
      </c>
      <c r="AB417" s="0" t="n">
        <v>0.135685217896789</v>
      </c>
      <c r="AC417" s="0" t="n">
        <v>0.138345712365354</v>
      </c>
      <c r="AD417" s="94"/>
    </row>
    <row r="418" customFormat="false" ht="13.8" hidden="false" customHeight="false" outlineLevel="0" collapsed="false">
      <c r="A418" s="104" t="s">
        <v>1071</v>
      </c>
      <c r="B418" s="94" t="n">
        <v>32</v>
      </c>
      <c r="C418" s="98"/>
      <c r="D418" s="98"/>
      <c r="E418" s="98"/>
      <c r="F418" s="98"/>
      <c r="G418" s="99"/>
      <c r="H418" s="99"/>
      <c r="I418" s="99" t="n">
        <v>0.0757345440123242</v>
      </c>
      <c r="J418" s="99" t="n">
        <v>0.0781012485127093</v>
      </c>
      <c r="K418" s="101" t="n">
        <v>0.0804679530130944</v>
      </c>
      <c r="L418" s="101" t="n">
        <v>0.0828346575134796</v>
      </c>
      <c r="M418" s="101" t="n">
        <v>0.0866471188879645</v>
      </c>
      <c r="N418" s="101" t="n">
        <v>0.0890539833015191</v>
      </c>
      <c r="O418" s="102" t="n">
        <v>0.0914608477150736</v>
      </c>
      <c r="P418" s="102" t="n">
        <v>0.0938677121286282</v>
      </c>
      <c r="Q418" s="102" t="n">
        <v>0.0978809730689603</v>
      </c>
      <c r="R418" s="102" t="n">
        <v>0.100327997395684</v>
      </c>
      <c r="S418" s="102" t="n">
        <v>0.102775021722408</v>
      </c>
      <c r="T418" s="0" t="n">
        <v>0.105222046049132</v>
      </c>
      <c r="U418" s="93" t="n">
        <v>0.117061756616838</v>
      </c>
      <c r="V418" s="0" t="n">
        <v>0.119722251085402</v>
      </c>
      <c r="W418" s="0" t="n">
        <v>0.122382745553967</v>
      </c>
      <c r="X418" s="0" t="n">
        <v>0.125043240022531</v>
      </c>
      <c r="Y418" s="0" t="n">
        <v>0.127703734491096</v>
      </c>
      <c r="Z418" s="0" t="n">
        <v>0.13036422895966</v>
      </c>
      <c r="AA418" s="0" t="n">
        <v>0.133024723428225</v>
      </c>
      <c r="AB418" s="0" t="n">
        <v>0.135685217896789</v>
      </c>
      <c r="AC418" s="0" t="n">
        <v>0.138345712365354</v>
      </c>
      <c r="AD418" s="94"/>
    </row>
    <row r="419" customFormat="false" ht="13.8" hidden="false" customHeight="false" outlineLevel="0" collapsed="false">
      <c r="A419" s="104" t="s">
        <v>244</v>
      </c>
      <c r="B419" s="94" t="n">
        <v>32</v>
      </c>
      <c r="C419" s="98"/>
      <c r="D419" s="98"/>
      <c r="E419" s="98"/>
      <c r="F419" s="98"/>
      <c r="G419" s="99"/>
      <c r="H419" s="99"/>
      <c r="I419" s="99"/>
      <c r="J419" s="99"/>
      <c r="K419" s="101"/>
      <c r="L419" s="101"/>
      <c r="M419" s="101"/>
      <c r="N419" s="101"/>
      <c r="O419" s="102" t="n">
        <v>0.182921695430147</v>
      </c>
      <c r="P419" s="102" t="n">
        <v>0.187735424257256</v>
      </c>
      <c r="Q419" s="102" t="n">
        <v>0.195761946137921</v>
      </c>
      <c r="R419" s="102" t="n">
        <v>0.200655994791369</v>
      </c>
      <c r="S419" s="102" t="n">
        <v>0.205550043444817</v>
      </c>
      <c r="T419" s="0" t="n">
        <v>0.210444092098265</v>
      </c>
      <c r="U419" s="93" t="n">
        <v>0.234123513233676</v>
      </c>
      <c r="AD419" s="94"/>
    </row>
    <row r="420" customFormat="false" ht="13.8" hidden="false" customHeight="false" outlineLevel="0" collapsed="false">
      <c r="A420" s="104" t="s">
        <v>1054</v>
      </c>
      <c r="B420" s="94" t="n">
        <v>32</v>
      </c>
      <c r="I420" s="0" t="n">
        <v>0.0757345440123242</v>
      </c>
      <c r="J420" s="0" t="n">
        <v>0.0781012485127093</v>
      </c>
      <c r="K420" s="0" t="n">
        <v>0.0804679530130944</v>
      </c>
      <c r="L420" s="0" t="n">
        <v>0.0828346575134796</v>
      </c>
      <c r="M420" s="0" t="n">
        <v>0.0866471188879645</v>
      </c>
      <c r="N420" s="0" t="n">
        <v>0.0890539833015191</v>
      </c>
      <c r="O420" s="0" t="n">
        <v>0.0914608477150736</v>
      </c>
      <c r="P420" s="0" t="n">
        <v>0.0938677121286282</v>
      </c>
      <c r="Q420" s="0" t="n">
        <v>0.0978809730689603</v>
      </c>
      <c r="R420" s="0" t="n">
        <v>0.100327997395684</v>
      </c>
      <c r="S420" s="0" t="n">
        <v>0.102775021722408</v>
      </c>
      <c r="T420" s="0" t="n">
        <v>0.105222046049132</v>
      </c>
      <c r="U420" s="0" t="n">
        <v>0.117061756616838</v>
      </c>
      <c r="V420" s="0" t="n">
        <v>0.119722251085402</v>
      </c>
      <c r="W420" s="0" t="n">
        <v>0.122382745553967</v>
      </c>
      <c r="X420" s="0" t="n">
        <v>0.125043240022531</v>
      </c>
      <c r="Y420" s="0" t="n">
        <v>0.127703734491096</v>
      </c>
      <c r="Z420" s="0" t="n">
        <v>0.13036422895966</v>
      </c>
      <c r="AA420" s="0" t="n">
        <v>0.133024723428225</v>
      </c>
      <c r="AB420" s="0" t="n">
        <v>0.135685217896789</v>
      </c>
      <c r="AC420" s="0" t="n">
        <v>0.138345712365354</v>
      </c>
      <c r="AD420" s="94"/>
    </row>
    <row r="421" customFormat="false" ht="13.8" hidden="false" customHeight="false" outlineLevel="0" collapsed="false">
      <c r="A421" s="104" t="s">
        <v>1057</v>
      </c>
      <c r="B421" s="94" t="n">
        <v>32</v>
      </c>
      <c r="I421" s="0" t="n">
        <v>0.0757345440123242</v>
      </c>
      <c r="J421" s="0" t="n">
        <v>0.0781012485127093</v>
      </c>
      <c r="K421" s="0" t="n">
        <v>0.0804679530130944</v>
      </c>
      <c r="L421" s="0" t="n">
        <v>0.0828346575134796</v>
      </c>
      <c r="M421" s="0" t="n">
        <v>0.0866471188879645</v>
      </c>
      <c r="N421" s="0" t="n">
        <v>0.0890539833015191</v>
      </c>
      <c r="O421" s="0" t="n">
        <v>0.0914608477150736</v>
      </c>
      <c r="P421" s="0" t="n">
        <v>0.0938677121286282</v>
      </c>
      <c r="Q421" s="0" t="n">
        <v>0.0978809730689603</v>
      </c>
      <c r="R421" s="0" t="n">
        <v>0.100327997395684</v>
      </c>
      <c r="S421" s="0" t="n">
        <v>0.102775021722408</v>
      </c>
      <c r="T421" s="0" t="n">
        <v>0.105222046049132</v>
      </c>
      <c r="U421" s="0" t="n">
        <v>0.117061756616838</v>
      </c>
      <c r="V421" s="0" t="n">
        <v>0.119722251085402</v>
      </c>
      <c r="W421" s="0" t="n">
        <v>0.122382745553967</v>
      </c>
      <c r="X421" s="0" t="n">
        <v>0.125043240022531</v>
      </c>
      <c r="Y421" s="0" t="n">
        <v>0.127703734491096</v>
      </c>
      <c r="Z421" s="0" t="n">
        <v>0.13036422895966</v>
      </c>
      <c r="AA421" s="0" t="n">
        <v>0.133024723428225</v>
      </c>
      <c r="AB421" s="0" t="n">
        <v>0.135685217896789</v>
      </c>
      <c r="AC421" s="0" t="n">
        <v>0.138345712365354</v>
      </c>
      <c r="AD421" s="94"/>
    </row>
    <row r="422" customFormat="false" ht="13.8" hidden="false" customHeight="false" outlineLevel="0" collapsed="false">
      <c r="A422" s="104" t="s">
        <v>1064</v>
      </c>
      <c r="B422" s="94" t="n">
        <v>32</v>
      </c>
      <c r="M422" s="0" t="n">
        <v>0.173294237775929</v>
      </c>
      <c r="N422" s="0" t="n">
        <v>0.178107966603038</v>
      </c>
      <c r="O422" s="0" t="n">
        <v>0.182921695430147</v>
      </c>
      <c r="P422" s="0" t="n">
        <v>0.187735424257256</v>
      </c>
      <c r="Q422" s="0" t="n">
        <v>0.195761946137921</v>
      </c>
      <c r="R422" s="0" t="n">
        <v>0.200655994791369</v>
      </c>
      <c r="S422" s="0" t="n">
        <v>0.205550043444817</v>
      </c>
      <c r="T422" s="0" t="n">
        <v>0.210444092098265</v>
      </c>
      <c r="AD422" s="94"/>
    </row>
    <row r="423" customFormat="false" ht="13.8" hidden="false" customHeight="false" outlineLevel="0" collapsed="false">
      <c r="A423" s="104" t="s">
        <v>1061</v>
      </c>
      <c r="B423" s="94" t="n">
        <v>32</v>
      </c>
      <c r="K423" s="0" t="n">
        <v>0.160935906026189</v>
      </c>
      <c r="L423" s="0" t="n">
        <v>0.165669315026959</v>
      </c>
      <c r="M423" s="0" t="n">
        <v>0.173294237775929</v>
      </c>
      <c r="N423" s="0" t="n">
        <v>0.178107966603038</v>
      </c>
      <c r="O423" s="0" t="n">
        <v>0.182921695430147</v>
      </c>
      <c r="P423" s="0" t="n">
        <v>0.187735424257256</v>
      </c>
      <c r="AD423" s="94"/>
    </row>
    <row r="424" customFormat="false" ht="13.8" hidden="false" customHeight="false" outlineLevel="0" collapsed="false">
      <c r="A424" s="104" t="s">
        <v>247</v>
      </c>
      <c r="B424" s="94" t="n">
        <v>33</v>
      </c>
      <c r="I424" s="0" t="n">
        <v>0.126768483571189</v>
      </c>
      <c r="J424" s="0" t="n">
        <v>0.130729998682788</v>
      </c>
      <c r="K424" s="0" t="n">
        <v>0.134691513794388</v>
      </c>
      <c r="L424" s="0" t="n">
        <v>0.138653028905988</v>
      </c>
      <c r="M424" s="0" t="n">
        <v>0.143092498713693</v>
      </c>
      <c r="N424" s="0" t="n">
        <v>0.147067290344629</v>
      </c>
      <c r="O424" s="0" t="n">
        <v>0.151042081975565</v>
      </c>
      <c r="P424" s="0" t="n">
        <v>0.155016873606501</v>
      </c>
      <c r="Q424" s="0" t="n">
        <v>0.159522726010887</v>
      </c>
      <c r="R424" s="0" t="n">
        <v>0.163510794161159</v>
      </c>
      <c r="S424" s="0" t="n">
        <v>0.167498862311432</v>
      </c>
      <c r="T424" s="0" t="n">
        <v>0.171486930461704</v>
      </c>
      <c r="U424" s="0" t="n">
        <v>0.184538133481863</v>
      </c>
      <c r="V424" s="0" t="n">
        <v>0.188732181970087</v>
      </c>
      <c r="W424" s="0" t="n">
        <v>0.192926230458312</v>
      </c>
      <c r="X424" s="0" t="n">
        <v>0.197120278946536</v>
      </c>
      <c r="Y424" s="0" t="n">
        <v>0.20131432743476</v>
      </c>
      <c r="Z424" s="0" t="n">
        <v>0.205508375922984</v>
      </c>
      <c r="AA424" s="0" t="n">
        <v>0.209702424411208</v>
      </c>
      <c r="AB424" s="0" t="n">
        <v>0.213896472899432</v>
      </c>
      <c r="AC424" s="0" t="n">
        <v>0.218090521387656</v>
      </c>
      <c r="AD424" s="94"/>
    </row>
    <row r="425" customFormat="false" ht="13.8" hidden="false" customHeight="false" outlineLevel="0" collapsed="false">
      <c r="A425" s="104" t="s">
        <v>471</v>
      </c>
      <c r="B425" s="94" t="n">
        <v>32</v>
      </c>
      <c r="I425" s="0" t="n">
        <v>0.0453987321500579</v>
      </c>
      <c r="J425" s="0" t="n">
        <v>0.0468174425297472</v>
      </c>
      <c r="K425" s="0" t="n">
        <v>0.0482361529094365</v>
      </c>
      <c r="L425" s="0" t="n">
        <v>0.0496548632891259</v>
      </c>
      <c r="M425" s="0" t="n">
        <v>0.0502032209552243</v>
      </c>
      <c r="N425" s="0" t="n">
        <v>0.0515977548706472</v>
      </c>
      <c r="O425" s="0" t="n">
        <v>0.0529922887860701</v>
      </c>
      <c r="P425" s="0" t="n">
        <v>0.054386822701493</v>
      </c>
      <c r="Q425" s="0" t="n">
        <v>0.0548142980462593</v>
      </c>
      <c r="R425" s="0" t="n">
        <v>0.0561846554974158</v>
      </c>
      <c r="S425" s="0" t="n">
        <v>0.0575550129485723</v>
      </c>
      <c r="T425" s="0" t="n">
        <v>0.0589253703997287</v>
      </c>
      <c r="U425" s="0" t="n">
        <v>0.0649553546022071</v>
      </c>
      <c r="V425" s="0" t="n">
        <v>0.0664316126613481</v>
      </c>
      <c r="W425" s="0" t="n">
        <v>0.0679078707204892</v>
      </c>
      <c r="X425" s="0" t="n">
        <v>0.0693841287796302</v>
      </c>
      <c r="Y425" s="0" t="n">
        <v>0.0708603868387713</v>
      </c>
      <c r="Z425" s="0" t="n">
        <v>0.0723366448979124</v>
      </c>
      <c r="AA425" s="0" t="n">
        <v>0.0738129029570534</v>
      </c>
      <c r="AB425" s="0" t="n">
        <v>0.0752891610161945</v>
      </c>
      <c r="AC425" s="0" t="n">
        <v>0.0767654190753356</v>
      </c>
      <c r="AD425" s="94"/>
    </row>
    <row r="426" customFormat="false" ht="13.8" hidden="false" customHeight="false" outlineLevel="0" collapsed="false">
      <c r="A426" s="104" t="s">
        <v>1018</v>
      </c>
      <c r="B426" s="94" t="n">
        <v>32</v>
      </c>
      <c r="I426" s="0" t="n">
        <v>0.0453987321500579</v>
      </c>
      <c r="J426" s="0" t="n">
        <v>0.0468174425297472</v>
      </c>
      <c r="K426" s="0" t="n">
        <v>0.0482361529094365</v>
      </c>
      <c r="L426" s="0" t="n">
        <v>0.0496548632891259</v>
      </c>
      <c r="M426" s="0" t="n">
        <v>0.0502032209552243</v>
      </c>
      <c r="N426" s="0" t="n">
        <v>0.0515977548706472</v>
      </c>
      <c r="O426" s="0" t="n">
        <v>0.0529922887860701</v>
      </c>
      <c r="P426" s="0" t="n">
        <v>0.054386822701493</v>
      </c>
      <c r="Q426" s="0" t="n">
        <v>0.0548142980462593</v>
      </c>
      <c r="R426" s="0" t="n">
        <v>0.0561846554974158</v>
      </c>
      <c r="S426" s="0" t="n">
        <v>0.0575550129485723</v>
      </c>
      <c r="T426" s="0" t="n">
        <v>0.0589253703997287</v>
      </c>
      <c r="U426" s="0" t="n">
        <v>0.0649553546022071</v>
      </c>
      <c r="V426" s="0" t="n">
        <v>0.0664316126613481</v>
      </c>
      <c r="W426" s="0" t="n">
        <v>0.0679078707204892</v>
      </c>
      <c r="X426" s="0" t="n">
        <v>0.0693841287796302</v>
      </c>
      <c r="Y426" s="0" t="n">
        <v>0.0708603868387713</v>
      </c>
      <c r="Z426" s="0" t="n">
        <v>0.0723366448979124</v>
      </c>
      <c r="AA426" s="0" t="n">
        <v>0.0738129029570534</v>
      </c>
      <c r="AB426" s="0" t="n">
        <v>0.0752891610161945</v>
      </c>
      <c r="AC426" s="0" t="n">
        <v>0.0767654190753356</v>
      </c>
      <c r="AD426" s="94"/>
    </row>
    <row r="427" customFormat="false" ht="13.8" hidden="false" customHeight="false" outlineLevel="0" collapsed="false">
      <c r="A427" s="104" t="s">
        <v>1022</v>
      </c>
      <c r="B427" s="94" t="n">
        <v>34</v>
      </c>
      <c r="I427" s="0" t="n">
        <v>0.126768483571189</v>
      </c>
      <c r="J427" s="0" t="n">
        <v>0.130729998682788</v>
      </c>
      <c r="K427" s="0" t="n">
        <v>0.134691513794388</v>
      </c>
      <c r="L427" s="0" t="n">
        <v>0.138653028905988</v>
      </c>
      <c r="M427" s="0" t="n">
        <v>0.143092498713693</v>
      </c>
      <c r="N427" s="0" t="n">
        <v>0.147067290344629</v>
      </c>
      <c r="O427" s="0" t="n">
        <v>0.151042081975565</v>
      </c>
      <c r="P427" s="0" t="n">
        <v>0.155016873606501</v>
      </c>
      <c r="Q427" s="0" t="n">
        <v>0.159522726010887</v>
      </c>
      <c r="R427" s="0" t="n">
        <v>0.163510794161159</v>
      </c>
      <c r="S427" s="0" t="n">
        <v>0.167498862311432</v>
      </c>
      <c r="T427" s="0" t="n">
        <v>0.171486930461704</v>
      </c>
      <c r="U427" s="0" t="n">
        <v>0.184538133481863</v>
      </c>
      <c r="V427" s="0" t="n">
        <v>0.188732181970087</v>
      </c>
      <c r="W427" s="0" t="n">
        <v>0.192926230458312</v>
      </c>
      <c r="X427" s="0" t="n">
        <v>0.197120278946536</v>
      </c>
      <c r="Y427" s="0" t="n">
        <v>0.20131432743476</v>
      </c>
      <c r="Z427" s="0" t="n">
        <v>0.205508375922984</v>
      </c>
      <c r="AA427" s="0" t="n">
        <v>0.209702424411208</v>
      </c>
      <c r="AB427" s="0" t="n">
        <v>0.213896472899432</v>
      </c>
      <c r="AC427" s="0" t="n">
        <v>0.218090521387656</v>
      </c>
      <c r="AD427" s="94"/>
    </row>
    <row r="428" customFormat="false" ht="13.8" hidden="false" customHeight="false" outlineLevel="0" collapsed="false">
      <c r="A428" s="117" t="s">
        <v>203</v>
      </c>
      <c r="B428" s="94" t="n">
        <v>35</v>
      </c>
      <c r="U428" s="0" t="n">
        <v>1.617</v>
      </c>
      <c r="V428" s="0" t="n">
        <v>1.65375</v>
      </c>
      <c r="W428" s="0" t="n">
        <v>1.6905</v>
      </c>
      <c r="X428" s="0" t="n">
        <v>1.72725</v>
      </c>
      <c r="Y428" s="0" t="n">
        <v>1.764</v>
      </c>
      <c r="Z428" s="0" t="n">
        <v>1.80075</v>
      </c>
      <c r="AA428" s="0" t="n">
        <v>1.8375</v>
      </c>
      <c r="AB428" s="0" t="n">
        <v>1.87425</v>
      </c>
      <c r="AC428" s="0" t="n">
        <v>1.911</v>
      </c>
      <c r="AD428" s="94"/>
    </row>
    <row r="429" customFormat="false" ht="13.8" hidden="false" customHeight="false" outlineLevel="0" collapsed="false">
      <c r="A429" s="117" t="s">
        <v>204</v>
      </c>
      <c r="B429" s="94" t="n">
        <v>35</v>
      </c>
      <c r="U429" s="0" t="n">
        <v>1.617</v>
      </c>
      <c r="V429" s="0" t="n">
        <v>1.65375</v>
      </c>
      <c r="W429" s="0" t="n">
        <v>1.6905</v>
      </c>
      <c r="X429" s="0" t="n">
        <v>1.72725</v>
      </c>
      <c r="Y429" s="0" t="n">
        <v>1.764</v>
      </c>
      <c r="Z429" s="0" t="n">
        <v>1.80075</v>
      </c>
      <c r="AA429" s="0" t="n">
        <v>1.8375</v>
      </c>
      <c r="AB429" s="0" t="n">
        <v>1.87425</v>
      </c>
      <c r="AC429" s="0" t="n">
        <v>1.911</v>
      </c>
      <c r="AD429" s="94"/>
    </row>
    <row r="430" customFormat="false" ht="13.8" hidden="false" customHeight="false" outlineLevel="0" collapsed="false">
      <c r="A430" s="117" t="s">
        <v>205</v>
      </c>
      <c r="B430" s="94" t="n">
        <v>35</v>
      </c>
      <c r="U430" s="0" t="n">
        <v>1.617</v>
      </c>
      <c r="V430" s="0" t="n">
        <v>1.65375</v>
      </c>
      <c r="W430" s="0" t="n">
        <v>1.6905</v>
      </c>
      <c r="X430" s="0" t="n">
        <v>1.72725</v>
      </c>
      <c r="Y430" s="0" t="n">
        <v>1.764</v>
      </c>
      <c r="Z430" s="0" t="n">
        <v>1.80075</v>
      </c>
      <c r="AA430" s="0" t="n">
        <v>1.8375</v>
      </c>
      <c r="AB430" s="0" t="n">
        <v>1.87425</v>
      </c>
      <c r="AC430" s="0" t="n">
        <v>1.911</v>
      </c>
      <c r="AD430" s="94"/>
    </row>
    <row r="431" customFormat="false" ht="13.8" hidden="false" customHeight="false" outlineLevel="0" collapsed="false">
      <c r="A431" s="117" t="s">
        <v>206</v>
      </c>
      <c r="B431" s="94" t="n">
        <v>35</v>
      </c>
      <c r="F431" s="0" t="n">
        <v>1.06575</v>
      </c>
      <c r="G431" s="0" t="n">
        <v>1.1025</v>
      </c>
      <c r="H431" s="0" t="n">
        <v>1.13925</v>
      </c>
      <c r="I431" s="0" t="n">
        <v>1.176</v>
      </c>
      <c r="J431" s="0" t="n">
        <v>1.21275</v>
      </c>
      <c r="K431" s="0" t="n">
        <v>1.2495</v>
      </c>
      <c r="L431" s="0" t="n">
        <v>1.28625</v>
      </c>
      <c r="M431" s="0" t="n">
        <v>1.323</v>
      </c>
      <c r="AD431" s="94"/>
    </row>
    <row r="432" customFormat="false" ht="13.8" hidden="false" customHeight="false" outlineLevel="0" collapsed="false">
      <c r="A432" s="117" t="s">
        <v>207</v>
      </c>
      <c r="B432" s="94" t="n">
        <v>35</v>
      </c>
      <c r="F432" s="0" t="n">
        <v>1.06575</v>
      </c>
      <c r="G432" s="0" t="n">
        <v>1.1025</v>
      </c>
      <c r="H432" s="0" t="n">
        <v>1.13925</v>
      </c>
      <c r="I432" s="0" t="n">
        <v>1.176</v>
      </c>
      <c r="J432" s="0" t="n">
        <v>1.21275</v>
      </c>
      <c r="K432" s="0" t="n">
        <v>1.2495</v>
      </c>
      <c r="L432" s="0" t="n">
        <v>1.28625</v>
      </c>
      <c r="M432" s="0" t="n">
        <v>1.323</v>
      </c>
      <c r="AD432" s="94"/>
    </row>
    <row r="433" customFormat="false" ht="13.8" hidden="false" customHeight="false" outlineLevel="0" collapsed="false">
      <c r="A433" s="117" t="s">
        <v>208</v>
      </c>
      <c r="B433" s="94" t="n">
        <v>35</v>
      </c>
      <c r="M433" s="0" t="n">
        <v>1.323</v>
      </c>
      <c r="N433" s="0" t="n">
        <v>1.35975</v>
      </c>
      <c r="O433" s="0" t="n">
        <v>1.3965</v>
      </c>
      <c r="P433" s="0" t="n">
        <v>1.43325</v>
      </c>
      <c r="Q433" s="0" t="n">
        <v>1.47</v>
      </c>
      <c r="R433" s="0" t="n">
        <v>1.50675</v>
      </c>
      <c r="S433" s="0" t="n">
        <v>1.5435</v>
      </c>
      <c r="T433" s="0" t="n">
        <v>1.58025</v>
      </c>
      <c r="U433" s="0" t="n">
        <v>1.617</v>
      </c>
      <c r="AD433" s="94"/>
    </row>
    <row r="434" customFormat="false" ht="13.8" hidden="false" customHeight="false" outlineLevel="0" collapsed="false">
      <c r="A434" s="117" t="s">
        <v>209</v>
      </c>
      <c r="B434" s="94" t="n">
        <v>35</v>
      </c>
      <c r="M434" s="0" t="n">
        <v>1.323</v>
      </c>
      <c r="N434" s="0" t="n">
        <v>1.35975</v>
      </c>
      <c r="O434" s="0" t="n">
        <v>1.3965</v>
      </c>
      <c r="P434" s="0" t="n">
        <v>1.43325</v>
      </c>
      <c r="Q434" s="0" t="n">
        <v>1.47</v>
      </c>
      <c r="R434" s="0" t="n">
        <v>1.50675</v>
      </c>
      <c r="S434" s="0" t="n">
        <v>1.5435</v>
      </c>
      <c r="T434" s="0" t="n">
        <v>1.58025</v>
      </c>
      <c r="U434" s="0" t="n">
        <v>1.617</v>
      </c>
      <c r="AD434" s="94"/>
    </row>
    <row r="435" customFormat="false" ht="13.8" hidden="false" customHeight="false" outlineLevel="0" collapsed="false">
      <c r="A435" s="117" t="s">
        <v>210</v>
      </c>
      <c r="B435" s="94" t="n">
        <v>35</v>
      </c>
      <c r="M435" s="0" t="n">
        <v>1.323</v>
      </c>
      <c r="N435" s="0" t="n">
        <v>1.35975</v>
      </c>
      <c r="O435" s="0" t="n">
        <v>1.3965</v>
      </c>
      <c r="P435" s="0" t="n">
        <v>1.43325</v>
      </c>
      <c r="Q435" s="0" t="n">
        <v>1.47</v>
      </c>
      <c r="R435" s="0" t="n">
        <v>1.50675</v>
      </c>
      <c r="S435" s="0" t="n">
        <v>1.5435</v>
      </c>
      <c r="T435" s="0" t="n">
        <v>1.58025</v>
      </c>
      <c r="U435" s="0" t="n">
        <v>1.617</v>
      </c>
      <c r="AD435" s="94"/>
    </row>
    <row r="436" customFormat="false" ht="13.8" hidden="false" customHeight="false" outlineLevel="0" collapsed="false">
      <c r="A436" s="117" t="s">
        <v>211</v>
      </c>
      <c r="B436" s="94" t="n">
        <v>35</v>
      </c>
      <c r="C436" s="0" t="n">
        <v>0.9555</v>
      </c>
      <c r="D436" s="0" t="n">
        <v>0.99225</v>
      </c>
      <c r="E436" s="0" t="n">
        <v>1.029</v>
      </c>
      <c r="F436" s="0" t="n">
        <v>1.06575</v>
      </c>
      <c r="AD436" s="94"/>
    </row>
    <row r="437" customFormat="false" ht="13.8" hidden="false" customHeight="false" outlineLevel="0" collapsed="false">
      <c r="A437" s="117" t="s">
        <v>212</v>
      </c>
      <c r="B437" s="94" t="n">
        <v>35</v>
      </c>
      <c r="F437" s="0" t="n">
        <v>1.06575</v>
      </c>
      <c r="G437" s="0" t="n">
        <v>1.1025</v>
      </c>
      <c r="H437" s="0" t="n">
        <v>1.13925</v>
      </c>
      <c r="I437" s="0" t="n">
        <v>1.176</v>
      </c>
      <c r="J437" s="0" t="n">
        <v>1.21275</v>
      </c>
      <c r="K437" s="0" t="n">
        <v>1.2495</v>
      </c>
      <c r="L437" s="0" t="n">
        <v>1.28625</v>
      </c>
      <c r="AD437" s="94"/>
    </row>
    <row r="438" customFormat="false" ht="13.8" hidden="false" customHeight="false" outlineLevel="0" collapsed="false">
      <c r="A438" s="117" t="s">
        <v>213</v>
      </c>
      <c r="B438" s="94" t="n">
        <v>35</v>
      </c>
      <c r="C438" s="0" t="n">
        <v>0.9555</v>
      </c>
      <c r="D438" s="0" t="n">
        <v>0.99225</v>
      </c>
      <c r="E438" s="0" t="n">
        <v>1.029</v>
      </c>
      <c r="F438" s="0" t="n">
        <v>1.06575</v>
      </c>
      <c r="AD438" s="94"/>
    </row>
    <row r="439" customFormat="false" ht="13.8" hidden="false" customHeight="false" outlineLevel="0" collapsed="false">
      <c r="A439" s="52" t="s">
        <v>332</v>
      </c>
      <c r="B439" s="94" t="n">
        <v>35</v>
      </c>
      <c r="U439" s="0" t="n">
        <v>1.617</v>
      </c>
      <c r="V439" s="0" t="n">
        <v>1.65375</v>
      </c>
      <c r="W439" s="0" t="n">
        <v>1.6905</v>
      </c>
      <c r="X439" s="0" t="n">
        <v>1.72725</v>
      </c>
      <c r="Y439" s="0" t="n">
        <v>1.764</v>
      </c>
      <c r="Z439" s="0" t="n">
        <v>1.80075</v>
      </c>
      <c r="AA439" s="0" t="n">
        <v>1.8375</v>
      </c>
      <c r="AB439" s="0" t="n">
        <v>1.87425</v>
      </c>
      <c r="AC439" s="0" t="n">
        <v>1.911</v>
      </c>
      <c r="AD439" s="94"/>
    </row>
    <row r="440" customFormat="false" ht="13.8" hidden="false" customHeight="false" outlineLevel="0" collapsed="false">
      <c r="A440" s="52" t="s">
        <v>333</v>
      </c>
      <c r="B440" s="94" t="n">
        <v>35</v>
      </c>
      <c r="U440" s="0" t="n">
        <v>1.617</v>
      </c>
      <c r="V440" s="0" t="n">
        <v>1.65375</v>
      </c>
      <c r="W440" s="0" t="n">
        <v>1.6905</v>
      </c>
      <c r="X440" s="0" t="n">
        <v>1.72725</v>
      </c>
      <c r="Y440" s="0" t="n">
        <v>1.764</v>
      </c>
      <c r="Z440" s="0" t="n">
        <v>1.80075</v>
      </c>
      <c r="AA440" s="0" t="n">
        <v>1.8375</v>
      </c>
      <c r="AB440" s="0" t="n">
        <v>1.87425</v>
      </c>
      <c r="AC440" s="0" t="n">
        <v>1.911</v>
      </c>
      <c r="AD440" s="94"/>
    </row>
    <row r="441" customFormat="false" ht="13.8" hidden="false" customHeight="false" outlineLevel="0" collapsed="false">
      <c r="A441" s="52" t="s">
        <v>334</v>
      </c>
      <c r="B441" s="94" t="n">
        <v>35</v>
      </c>
      <c r="G441" s="0" t="n">
        <v>1.1025</v>
      </c>
      <c r="H441" s="0" t="n">
        <v>1.13925</v>
      </c>
      <c r="I441" s="0" t="n">
        <v>1.176</v>
      </c>
      <c r="J441" s="0" t="n">
        <v>1.21275</v>
      </c>
      <c r="K441" s="0" t="n">
        <v>1.2495</v>
      </c>
      <c r="L441" s="0" t="n">
        <v>1.28625</v>
      </c>
      <c r="M441" s="0" t="n">
        <v>1.323</v>
      </c>
      <c r="AD441" s="94"/>
    </row>
    <row r="442" customFormat="false" ht="13.8" hidden="false" customHeight="false" outlineLevel="0" collapsed="false">
      <c r="A442" s="52" t="s">
        <v>335</v>
      </c>
      <c r="B442" s="94" t="n">
        <v>35</v>
      </c>
      <c r="G442" s="0" t="n">
        <v>1.1025</v>
      </c>
      <c r="H442" s="0" t="n">
        <v>1.13925</v>
      </c>
      <c r="I442" s="0" t="n">
        <v>1.176</v>
      </c>
      <c r="J442" s="0" t="n">
        <v>1.21275</v>
      </c>
      <c r="K442" s="0" t="n">
        <v>1.2495</v>
      </c>
      <c r="L442" s="0" t="n">
        <v>1.28625</v>
      </c>
      <c r="M442" s="0" t="n">
        <v>1.323</v>
      </c>
      <c r="AD442" s="94"/>
    </row>
    <row r="443" customFormat="false" ht="13.8" hidden="false" customHeight="false" outlineLevel="0" collapsed="false">
      <c r="A443" s="52" t="s">
        <v>336</v>
      </c>
      <c r="B443" s="94" t="n">
        <v>35</v>
      </c>
      <c r="G443" s="0" t="n">
        <v>1.1025</v>
      </c>
      <c r="H443" s="0" t="n">
        <v>1.13925</v>
      </c>
      <c r="I443" s="0" t="n">
        <v>1.176</v>
      </c>
      <c r="J443" s="0" t="n">
        <v>1.21275</v>
      </c>
      <c r="K443" s="0" t="n">
        <v>1.2495</v>
      </c>
      <c r="L443" s="0" t="n">
        <v>1.28625</v>
      </c>
      <c r="M443" s="0" t="n">
        <v>1.323</v>
      </c>
      <c r="AD443" s="94"/>
    </row>
    <row r="444" customFormat="false" ht="13.8" hidden="false" customHeight="false" outlineLevel="0" collapsed="false">
      <c r="A444" s="52" t="s">
        <v>337</v>
      </c>
      <c r="B444" s="94" t="n">
        <v>35</v>
      </c>
      <c r="M444" s="0" t="n">
        <v>1.323</v>
      </c>
      <c r="N444" s="0" t="n">
        <v>1.35975</v>
      </c>
      <c r="O444" s="0" t="n">
        <v>1.3965</v>
      </c>
      <c r="P444" s="0" t="n">
        <v>1.43325</v>
      </c>
      <c r="Q444" s="0" t="n">
        <v>1.47</v>
      </c>
      <c r="R444" s="0" t="n">
        <v>1.50675</v>
      </c>
      <c r="S444" s="0" t="n">
        <v>1.5435</v>
      </c>
      <c r="T444" s="0" t="n">
        <v>1.58025</v>
      </c>
      <c r="U444" s="0" t="n">
        <v>1.617</v>
      </c>
      <c r="AD444" s="94"/>
    </row>
    <row r="445" customFormat="false" ht="13.8" hidden="false" customHeight="false" outlineLevel="0" collapsed="false">
      <c r="A445" s="52" t="s">
        <v>338</v>
      </c>
      <c r="B445" s="94" t="n">
        <v>35</v>
      </c>
      <c r="M445" s="0" t="n">
        <v>1.323</v>
      </c>
      <c r="N445" s="0" t="n">
        <v>1.35975</v>
      </c>
      <c r="O445" s="0" t="n">
        <v>1.3965</v>
      </c>
      <c r="P445" s="0" t="n">
        <v>1.43325</v>
      </c>
      <c r="Q445" s="0" t="n">
        <v>1.47</v>
      </c>
      <c r="R445" s="0" t="n">
        <v>1.50675</v>
      </c>
      <c r="S445" s="0" t="n">
        <v>1.5435</v>
      </c>
      <c r="T445" s="0" t="n">
        <v>1.58025</v>
      </c>
      <c r="U445" s="0" t="n">
        <v>1.617</v>
      </c>
      <c r="AD445" s="94"/>
    </row>
    <row r="446" customFormat="false" ht="13.8" hidden="false" customHeight="false" outlineLevel="0" collapsed="false">
      <c r="A446" s="52" t="s">
        <v>339</v>
      </c>
      <c r="B446" s="94" t="n">
        <v>35</v>
      </c>
      <c r="C446" s="0" t="n">
        <v>0.9555</v>
      </c>
      <c r="D446" s="0" t="n">
        <v>0.99225</v>
      </c>
      <c r="E446" s="0" t="n">
        <v>1.029</v>
      </c>
      <c r="F446" s="0" t="n">
        <v>1.06575</v>
      </c>
      <c r="AD446" s="94"/>
    </row>
    <row r="447" customFormat="false" ht="13.8" hidden="false" customHeight="false" outlineLevel="0" collapsed="false">
      <c r="A447" s="52" t="s">
        <v>340</v>
      </c>
      <c r="B447" s="94" t="n">
        <v>35</v>
      </c>
      <c r="F447" s="0" t="n">
        <v>1.06575</v>
      </c>
      <c r="G447" s="0" t="n">
        <v>1.1025</v>
      </c>
      <c r="H447" s="0" t="n">
        <v>1.13925</v>
      </c>
      <c r="I447" s="0" t="n">
        <v>1.176</v>
      </c>
      <c r="J447" s="0" t="n">
        <v>1.21275</v>
      </c>
      <c r="K447" s="0" t="n">
        <v>1.2495</v>
      </c>
      <c r="L447" s="0" t="n">
        <v>1.28625</v>
      </c>
      <c r="AD447" s="94"/>
    </row>
    <row r="448" customFormat="false" ht="13.8" hidden="false" customHeight="false" outlineLevel="0" collapsed="false">
      <c r="A448" s="52" t="s">
        <v>341</v>
      </c>
      <c r="B448" s="94" t="n">
        <v>35</v>
      </c>
      <c r="C448" s="0" t="n">
        <v>0.9555</v>
      </c>
      <c r="D448" s="0" t="n">
        <v>0.99225</v>
      </c>
      <c r="E448" s="0" t="n">
        <v>1.029</v>
      </c>
      <c r="F448" s="0" t="n">
        <v>1.06575</v>
      </c>
      <c r="AD448" s="94"/>
    </row>
  </sheetData>
  <autoFilter ref="A1:S392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2586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2017-07-17T08:21:02Z</dcterms:created>
  <dc:creator>Administrator</dc:creator>
  <dc:description/>
  <dc:language>en-US</dc:language>
  <cp:lastModifiedBy/>
  <dcterms:modified xsi:type="dcterms:W3CDTF">2018-02-15T15:07:20Z</dcterms:modified>
  <cp:revision>112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