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2" defaultThemeVersion="124226"/>
  <bookViews>
    <workbookView xWindow="0" yWindow="0" windowWidth="16380" windowHeight="8190" tabRatio="990" firstSheet="5" activeTab="13"/>
  </bookViews>
  <sheets>
    <sheet name="Information" sheetId="1" r:id="rId1"/>
    <sheet name="Demand_Fresh" sheetId="2" r:id="rId2"/>
    <sheet name="Demand_Frozen" sheetId="3" r:id="rId3"/>
    <sheet name="Initial_Inventory" sheetId="4" r:id="rId4"/>
    <sheet name="Selling_Price_Fresh" sheetId="5" r:id="rId5"/>
    <sheet name="Selling_Price_Frozen" sheetId="6" r:id="rId6"/>
    <sheet name="Penalty_Fresh" sheetId="7" r:id="rId7"/>
    <sheet name="Penalty_Frozen" sheetId="8" r:id="rId8"/>
    <sheet name="Holding_Cost_Fresh" sheetId="9" r:id="rId9"/>
    <sheet name="Holding_Cost_Frozen" sheetId="10" r:id="rId10"/>
    <sheet name="Operational_Cost" sheetId="11" r:id="rId11"/>
    <sheet name="Operation_Time" sheetId="12" r:id="rId12"/>
    <sheet name="Operational_Cost_Overtime" sheetId="13" r:id="rId13"/>
    <sheet name="Cutting_Pattern" sheetId="14" r:id="rId14"/>
    <sheet name="Item_Product_Group_Map" sheetId="15" r:id="rId15"/>
    <sheet name="Available_Hour_Regular" sheetId="16" r:id="rId16"/>
    <sheet name="Bird_Type_Ratio" sheetId="17" r:id="rId17"/>
    <sheet name="Bird_Type_Ratio (2)" sheetId="28" r:id="rId18"/>
    <sheet name="Common_Data" sheetId="18" r:id="rId19"/>
    <sheet name="Availability" sheetId="19" r:id="rId20"/>
    <sheet name="Available_Hour_Overtime" sheetId="20" r:id="rId21"/>
    <sheet name="SKU Conversion" sheetId="21" r:id="rId22"/>
    <sheet name="Product_Group_Yield" sheetId="22" state="hidden" r:id="rId23"/>
    <sheet name="Raw_Material" sheetId="23" r:id="rId24"/>
    <sheet name="Fresh_Frozen_Relation" sheetId="24" r:id="rId25"/>
    <sheet name="Yield_Originals" sheetId="25" r:id="rId26"/>
    <sheet name="Shelf_Life" sheetId="26" r:id="rId27"/>
    <sheet name="Yield" sheetId="27" r:id="rId28"/>
  </sheets>
  <externalReferences>
    <externalReference r:id="rId29"/>
  </externalReferences>
  <definedNames>
    <definedName name="_xlnm._FilterDatabase" localSheetId="18">Common_Data!$A$13:$D$381</definedName>
    <definedName name="_xlnm._FilterDatabase" localSheetId="13">Cutting_Pattern!$A$1:$G$2</definedName>
    <definedName name="_xlnm._FilterDatabase" localSheetId="1" hidden="1">Demand_Fresh!$A$1:$F$97</definedName>
    <definedName name="_xlnm._FilterDatabase" localSheetId="2">Demand_Frozen!$A$1:$E$120</definedName>
    <definedName name="_xlnm._FilterDatabase" localSheetId="24">Fresh_Frozen_Relation!$A$1:$B$137</definedName>
    <definedName name="_xlnm._FilterDatabase" localSheetId="8">Holding_Cost_Fresh!$A$1:$N$169</definedName>
    <definedName name="_xlnm._FilterDatabase" localSheetId="0">Information!$A$1:$C$29</definedName>
    <definedName name="_xlnm._FilterDatabase" localSheetId="3">Initial_Inventory!$A$1:$B$336</definedName>
    <definedName name="_xlnm._FilterDatabase" localSheetId="14">Item_Product_Group_Map!$B$1:$H$221</definedName>
    <definedName name="_xlnm._FilterDatabase" localSheetId="10">Operational_Cost!$A$1:$C$216</definedName>
    <definedName name="_xlnm._FilterDatabase" localSheetId="6">Penalty_Fresh!$A$1:$O$97</definedName>
    <definedName name="_xlnm._FilterDatabase" localSheetId="4" hidden="1">Selling_Price_Fresh!$A$1:$C$97</definedName>
    <definedName name="_xlnm._FilterDatabase" localSheetId="5">Selling_Price_Frozen!$A$1:$C$120</definedName>
    <definedName name="_xlnm._FilterDatabase" localSheetId="26">Shelf_Life!$A$1:$C$369</definedName>
    <definedName name="_xlnm._FilterDatabase" localSheetId="27" hidden="1">Yield!$A$1:$AD$338</definedName>
    <definedName name="_xlnm._FilterDatabase" localSheetId="25" hidden="1">Yield_Originals!$A$2:$AD$393</definedName>
    <definedName name="_FilterDatabase_0" localSheetId="18">Common_Data!$A$13:$D$381</definedName>
    <definedName name="_FilterDatabase_0" localSheetId="13">Cutting_Pattern!$A$1:$G$2</definedName>
    <definedName name="_FilterDatabase_0" localSheetId="1">Demand_Fresh!$A$1:$F$97</definedName>
    <definedName name="_FilterDatabase_0" localSheetId="2">Demand_Frozen!$A$1:$E$120</definedName>
    <definedName name="_FilterDatabase_0" localSheetId="24">Fresh_Frozen_Relation!$A$1:$B$52</definedName>
    <definedName name="_FilterDatabase_0" localSheetId="8">Holding_Cost_Fresh!$A$1:$N$169</definedName>
    <definedName name="_FilterDatabase_0" localSheetId="0">Information!$A$1:$C$29</definedName>
    <definedName name="_FilterDatabase_0" localSheetId="3">Initial_Inventory!$A$1:$B$239</definedName>
    <definedName name="_FilterDatabase_0" localSheetId="14">Item_Product_Group_Map!$B$1:$H$221</definedName>
    <definedName name="_FilterDatabase_0" localSheetId="10">Operational_Cost!$A$1:$C$216</definedName>
    <definedName name="_FilterDatabase_0" localSheetId="6">Penalty_Fresh!$A$1:$O$169</definedName>
    <definedName name="_FilterDatabase_0" localSheetId="4">Selling_Price_Fresh!$A$1:$H$97</definedName>
    <definedName name="_FilterDatabase_0" localSheetId="26">Shelf_Life!$A$1:$C$369</definedName>
    <definedName name="_FilterDatabase_0" localSheetId="27">Yield!$A$1:$AD$338</definedName>
    <definedName name="_FilterDatabase_0" localSheetId="25">Yield_Originals!$A$2:$AD$393</definedName>
    <definedName name="_FilterDatabase_0_0" localSheetId="18">Common_Data!$A$13:$D$381</definedName>
    <definedName name="_FilterDatabase_0_0" localSheetId="13">Cutting_Pattern!$A$1:$G$2</definedName>
    <definedName name="_FilterDatabase_0_0" localSheetId="1">Demand_Fresh!$A$1:$F$169</definedName>
    <definedName name="_FilterDatabase_0_0" localSheetId="2">Demand_Frozen!$A$1:$E$120</definedName>
    <definedName name="_FilterDatabase_0_0" localSheetId="24">Fresh_Frozen_Relation!$A$1:$B$137</definedName>
    <definedName name="_FilterDatabase_0_0" localSheetId="8">Holding_Cost_Fresh!$A$1:$N$169</definedName>
    <definedName name="_FilterDatabase_0_0" localSheetId="0">Information!$A$1:$C$29</definedName>
    <definedName name="_FilterDatabase_0_0" localSheetId="3">Initial_Inventory!$A$1:$B$336</definedName>
    <definedName name="_FilterDatabase_0_0" localSheetId="14">Item_Product_Group_Map!$B$1:$H$221</definedName>
    <definedName name="_FilterDatabase_0_0" localSheetId="10">Operational_Cost!$A$1:$C$216</definedName>
    <definedName name="_FilterDatabase_0_0" localSheetId="6">Penalty_Fresh!$A$1:$O$169</definedName>
    <definedName name="_FilterDatabase_0_0" localSheetId="4">Selling_Price_Fresh!$A$1:$H$97</definedName>
    <definedName name="_FilterDatabase_0_0" localSheetId="26">Shelf_Life!$A$1:$C$369</definedName>
    <definedName name="_FilterDatabase_0_0" localSheetId="27">Yield!$A$1:$S$338</definedName>
    <definedName name="_FilterDatabase_0_0" localSheetId="25">Yield_Originals!$A$2:$AD$393</definedName>
    <definedName name="_FilterDatabase_0_0_0" localSheetId="18">Common_Data!$A$13:$D$381</definedName>
    <definedName name="_FilterDatabase_0_0_0" localSheetId="13">Cutting_Pattern!$A$1:$G$2</definedName>
    <definedName name="_FilterDatabase_0_0_0" localSheetId="1">Demand_Fresh!$A$1:$F$97</definedName>
    <definedName name="_FilterDatabase_0_0_0" localSheetId="2">Demand_Frozen!$A$1:$E$120</definedName>
    <definedName name="_FilterDatabase_0_0_0" localSheetId="24">Fresh_Frozen_Relation!$A$1:$B$52</definedName>
    <definedName name="_FilterDatabase_0_0_0" localSheetId="8">Holding_Cost_Fresh!$A$1:$N$169</definedName>
    <definedName name="_FilterDatabase_0_0_0" localSheetId="0">Information!$A$1:$C$29</definedName>
    <definedName name="_FilterDatabase_0_0_0" localSheetId="3">Initial_Inventory!$A$1:$B$239</definedName>
    <definedName name="_FilterDatabase_0_0_0" localSheetId="14">Item_Product_Group_Map!$B$1:$H$221</definedName>
    <definedName name="_FilterDatabase_0_0_0" localSheetId="10">Operational_Cost!$A$1:$C$216</definedName>
    <definedName name="_FilterDatabase_0_0_0" localSheetId="6">Penalty_Fresh!$A$1:$O$169</definedName>
    <definedName name="_FilterDatabase_0_0_0" localSheetId="4">Selling_Price_Fresh!$A$1:$H$97</definedName>
    <definedName name="_FilterDatabase_0_0_0" localSheetId="26">Shelf_Life!$A$1:$C$369</definedName>
    <definedName name="_FilterDatabase_0_0_0" localSheetId="27">Yield!$A$1:$AD$338</definedName>
    <definedName name="_FilterDatabase_0_0_0" localSheetId="25">Yield_Originals!$A$2:$AD$393</definedName>
    <definedName name="_FilterDatabase_0_0_0_0" localSheetId="18">Common_Data!$A$13:$D$381</definedName>
    <definedName name="_FilterDatabase_0_0_0_0" localSheetId="13">Cutting_Pattern!$A$1:$G$2</definedName>
    <definedName name="_FilterDatabase_0_0_0_0" localSheetId="1">Demand_Fresh!$A$1:$F$169</definedName>
    <definedName name="_FilterDatabase_0_0_0_0" localSheetId="2">Demand_Frozen!$A$1:$E$120</definedName>
    <definedName name="_FilterDatabase_0_0_0_0" localSheetId="24">Fresh_Frozen_Relation!$A$1:$B$137</definedName>
    <definedName name="_FilterDatabase_0_0_0_0" localSheetId="8">Holding_Cost_Fresh!$A$1:$N$169</definedName>
    <definedName name="_FilterDatabase_0_0_0_0" localSheetId="0">Information!$A$1:$C$29</definedName>
    <definedName name="_FilterDatabase_0_0_0_0" localSheetId="3">Initial_Inventory!$A$1:$B$336</definedName>
    <definedName name="_FilterDatabase_0_0_0_0" localSheetId="14">Item_Product_Group_Map!$B$1:$H$221</definedName>
    <definedName name="_FilterDatabase_0_0_0_0" localSheetId="10">Operational_Cost!$A$1:$C$216</definedName>
    <definedName name="_FilterDatabase_0_0_0_0" localSheetId="6">Penalty_Fresh!$A$1:$O$169</definedName>
    <definedName name="_FilterDatabase_0_0_0_0" localSheetId="4">Selling_Price_Fresh!$A$1:$H$97</definedName>
    <definedName name="_FilterDatabase_0_0_0_0" localSheetId="26">Shelf_Life!$A$1:$C$369</definedName>
    <definedName name="_FilterDatabase_0_0_0_0" localSheetId="27">Yield!$A$1:$S$338</definedName>
    <definedName name="_FilterDatabase_0_0_0_0" localSheetId="25">Yield_Originals!$A$2:$AD$393</definedName>
    <definedName name="_FilterDatabase_0_0_0_0_0" localSheetId="18">Common_Data!$A$13:$D$381</definedName>
    <definedName name="_FilterDatabase_0_0_0_0_0" localSheetId="13">Cutting_Pattern!$A$1:$G$2</definedName>
    <definedName name="_FilterDatabase_0_0_0_0_0" localSheetId="1">Demand_Fresh!$A$1:$F$97</definedName>
    <definedName name="_FilterDatabase_0_0_0_0_0" localSheetId="2">Demand_Frozen!$A$1:$E$120</definedName>
    <definedName name="_FilterDatabase_0_0_0_0_0" localSheetId="24">Fresh_Frozen_Relation!$A$1:$B$52</definedName>
    <definedName name="_FilterDatabase_0_0_0_0_0" localSheetId="8">Holding_Cost_Fresh!$A$1:$N$169</definedName>
    <definedName name="_FilterDatabase_0_0_0_0_0" localSheetId="0">Information!$A$1:$C$29</definedName>
    <definedName name="_FilterDatabase_0_0_0_0_0" localSheetId="3">Initial_Inventory!$A$1:$B$239</definedName>
    <definedName name="_FilterDatabase_0_0_0_0_0" localSheetId="14">Item_Product_Group_Map!$B$1:$H$221</definedName>
    <definedName name="_FilterDatabase_0_0_0_0_0" localSheetId="10">Operational_Cost!$A$1:$C$216</definedName>
    <definedName name="_FilterDatabase_0_0_0_0_0" localSheetId="6">Penalty_Fresh!$A$1:$O$169</definedName>
    <definedName name="_FilterDatabase_0_0_0_0_0" localSheetId="4">Selling_Price_Fresh!$A$1:$H$97</definedName>
    <definedName name="_FilterDatabase_0_0_0_0_0" localSheetId="26">Shelf_Life!$A$1:$C$369</definedName>
    <definedName name="_FilterDatabase_0_0_0_0_0" localSheetId="27">Yield!$A$1:$AD$338</definedName>
    <definedName name="_FilterDatabase_0_0_0_0_0" localSheetId="25">Yield_Originals!$A$2:$AD$393</definedName>
    <definedName name="_FilterDatabase_0_0_0_0_0_0" localSheetId="18">Common_Data!$A$13:$D$381</definedName>
    <definedName name="_FilterDatabase_0_0_0_0_0_0" localSheetId="13">Cutting_Pattern!$A$1:$G$2</definedName>
    <definedName name="_FilterDatabase_0_0_0_0_0_0" localSheetId="1">Demand_Fresh!$A$1:$F$169</definedName>
    <definedName name="_FilterDatabase_0_0_0_0_0_0" localSheetId="2">Demand_Frozen!$A$1:$E$120</definedName>
    <definedName name="_FilterDatabase_0_0_0_0_0_0" localSheetId="24">Fresh_Frozen_Relation!$A$1:$B$137</definedName>
    <definedName name="_FilterDatabase_0_0_0_0_0_0" localSheetId="8">Holding_Cost_Fresh!$A$1:$N$169</definedName>
    <definedName name="_FilterDatabase_0_0_0_0_0_0" localSheetId="0">Information!$A$1:$C$29</definedName>
    <definedName name="_FilterDatabase_0_0_0_0_0_0" localSheetId="3">Initial_Inventory!$A$1:$B$336</definedName>
    <definedName name="_FilterDatabase_0_0_0_0_0_0" localSheetId="14">Item_Product_Group_Map!$B$1:$H$221</definedName>
    <definedName name="_FilterDatabase_0_0_0_0_0_0" localSheetId="10">Operational_Cost!$A$1:$C$216</definedName>
    <definedName name="_FilterDatabase_0_0_0_0_0_0" localSheetId="6">Penalty_Fresh!$A$1:$O$169</definedName>
    <definedName name="_FilterDatabase_0_0_0_0_0_0" localSheetId="4">Selling_Price_Fresh!$A$1:$H$97</definedName>
    <definedName name="_FilterDatabase_0_0_0_0_0_0" localSheetId="26">Shelf_Life!$A$1:$C$369</definedName>
    <definedName name="_FilterDatabase_0_0_0_0_0_0" localSheetId="27">Yield!$A$1:$S$338</definedName>
    <definedName name="_FilterDatabase_0_0_0_0_0_0" localSheetId="25">Yield_Originals!$A$2:$AD$393</definedName>
    <definedName name="_FilterDatabase_0_0_0_0_0_0_0" localSheetId="18">Common_Data!$A$13:$D$381</definedName>
    <definedName name="_FilterDatabase_0_0_0_0_0_0_0" localSheetId="13">Cutting_Pattern!$A$1:$G$2</definedName>
    <definedName name="_FilterDatabase_0_0_0_0_0_0_0" localSheetId="1">Demand_Fresh!$A$1:$F$97</definedName>
    <definedName name="_FilterDatabase_0_0_0_0_0_0_0" localSheetId="2">Demand_Frozen!$A$1:$E$120</definedName>
    <definedName name="_FilterDatabase_0_0_0_0_0_0_0" localSheetId="24">Fresh_Frozen_Relation!$A$1:$B$52</definedName>
    <definedName name="_FilterDatabase_0_0_0_0_0_0_0" localSheetId="8">Holding_Cost_Fresh!$A$1:$N$169</definedName>
    <definedName name="_FilterDatabase_0_0_0_0_0_0_0" localSheetId="0">Information!$A$1:$C$29</definedName>
    <definedName name="_FilterDatabase_0_0_0_0_0_0_0" localSheetId="3">Initial_Inventory!$A$1:$B$239</definedName>
    <definedName name="_FilterDatabase_0_0_0_0_0_0_0" localSheetId="14">Item_Product_Group_Map!$B$1:$H$221</definedName>
    <definedName name="_FilterDatabase_0_0_0_0_0_0_0" localSheetId="10">Operational_Cost!$A$1:$C$216</definedName>
    <definedName name="_FilterDatabase_0_0_0_0_0_0_0" localSheetId="6">Penalty_Fresh!$A$1:$O$169</definedName>
    <definedName name="_FilterDatabase_0_0_0_0_0_0_0" localSheetId="4">Selling_Price_Fresh!$A$1:$H$97</definedName>
    <definedName name="_FilterDatabase_0_0_0_0_0_0_0" localSheetId="26">Shelf_Life!$A$1:$C$369</definedName>
    <definedName name="_FilterDatabase_0_0_0_0_0_0_0" localSheetId="27">Yield!$A$1:$AD$338</definedName>
    <definedName name="_FilterDatabase_0_0_0_0_0_0_0" localSheetId="25">Yield_Originals!$A$2:$AD$393</definedName>
    <definedName name="_FilterDatabase_0_0_0_0_0_0_0_0" localSheetId="18">Common_Data!$A$13:$D$381</definedName>
    <definedName name="_FilterDatabase_0_0_0_0_0_0_0_0" localSheetId="13">Cutting_Pattern!$A$1:$G$2</definedName>
    <definedName name="_FilterDatabase_0_0_0_0_0_0_0_0" localSheetId="1">Demand_Fresh!$A$1:$F$169</definedName>
    <definedName name="_FilterDatabase_0_0_0_0_0_0_0_0" localSheetId="2">Demand_Frozen!$A$1:$E$120</definedName>
    <definedName name="_FilterDatabase_0_0_0_0_0_0_0_0" localSheetId="24">Fresh_Frozen_Relation!$A$1:$B$137</definedName>
    <definedName name="_FilterDatabase_0_0_0_0_0_0_0_0" localSheetId="8">Holding_Cost_Fresh!$A$1:$N$169</definedName>
    <definedName name="_FilterDatabase_0_0_0_0_0_0_0_0" localSheetId="0">Information!$A$1:$C$29</definedName>
    <definedName name="_FilterDatabase_0_0_0_0_0_0_0_0" localSheetId="3">Initial_Inventory!$A$1:$B$336</definedName>
    <definedName name="_FilterDatabase_0_0_0_0_0_0_0_0" localSheetId="14">Item_Product_Group_Map!$B$1:$H$221</definedName>
    <definedName name="_FilterDatabase_0_0_0_0_0_0_0_0" localSheetId="10">Operational_Cost!$A$1:$C$216</definedName>
    <definedName name="_FilterDatabase_0_0_0_0_0_0_0_0" localSheetId="6">Penalty_Fresh!$A$1:$O$169</definedName>
    <definedName name="_FilterDatabase_0_0_0_0_0_0_0_0" localSheetId="4">Selling_Price_Fresh!$A$1:$H$97</definedName>
    <definedName name="_FilterDatabase_0_0_0_0_0_0_0_0" localSheetId="26">Shelf_Life!$A$1:$C$369</definedName>
    <definedName name="_FilterDatabase_0_0_0_0_0_0_0_0" localSheetId="27">Yield!$A$1:$S$303</definedName>
    <definedName name="_FilterDatabase_0_0_0_0_0_0_0_0" localSheetId="25">Yield_Originals!$A$2:$AD$393</definedName>
    <definedName name="_FilterDatabase_0_0_0_0_0_0_0_0_0" localSheetId="18">Common_Data!$A$13:$D$381</definedName>
    <definedName name="_FilterDatabase_0_0_0_0_0_0_0_0_0" localSheetId="13">Cutting_Pattern!$A$1:$G$2</definedName>
    <definedName name="_FilterDatabase_0_0_0_0_0_0_0_0_0" localSheetId="1">Demand_Fresh!$A$1:$F$97</definedName>
    <definedName name="_FilterDatabase_0_0_0_0_0_0_0_0_0" localSheetId="2">Demand_Frozen!$A$1:$E$120</definedName>
    <definedName name="_FilterDatabase_0_0_0_0_0_0_0_0_0" localSheetId="24">Fresh_Frozen_Relation!$A$1:$B$52</definedName>
    <definedName name="_FilterDatabase_0_0_0_0_0_0_0_0_0" localSheetId="8">Holding_Cost_Fresh!$A$1:$N$169</definedName>
    <definedName name="_FilterDatabase_0_0_0_0_0_0_0_0_0" localSheetId="0">Information!$A$1:$C$29</definedName>
    <definedName name="_FilterDatabase_0_0_0_0_0_0_0_0_0" localSheetId="3">Initial_Inventory!$A$1:$B$239</definedName>
    <definedName name="_FilterDatabase_0_0_0_0_0_0_0_0_0" localSheetId="14">Item_Product_Group_Map!$B$1:$H$221</definedName>
    <definedName name="_FilterDatabase_0_0_0_0_0_0_0_0_0" localSheetId="10">Operational_Cost!$A$1:$C$216</definedName>
    <definedName name="_FilterDatabase_0_0_0_0_0_0_0_0_0" localSheetId="6">Penalty_Fresh!$A$1:$O$169</definedName>
    <definedName name="_FilterDatabase_0_0_0_0_0_0_0_0_0" localSheetId="4">Selling_Price_Fresh!$A$1:$H$97</definedName>
    <definedName name="_FilterDatabase_0_0_0_0_0_0_0_0_0" localSheetId="26">Shelf_Life!$A$1:$C$369</definedName>
    <definedName name="_FilterDatabase_0_0_0_0_0_0_0_0_0" localSheetId="27">Yield!$A$1:$AD$338</definedName>
    <definedName name="_FilterDatabase_0_0_0_0_0_0_0_0_0" localSheetId="25">Yield_Originals!$A$2:$AD$393</definedName>
    <definedName name="_FilterDatabase_0_0_0_0_0_0_0_0_0_0" localSheetId="18">Common_Data!$A$13:$D$381</definedName>
    <definedName name="_FilterDatabase_0_0_0_0_0_0_0_0_0_0" localSheetId="13">Cutting_Pattern!$A$1:$G$2</definedName>
    <definedName name="_FilterDatabase_0_0_0_0_0_0_0_0_0_0" localSheetId="1">Demand_Fresh!$A$1:$F$169</definedName>
    <definedName name="_FilterDatabase_0_0_0_0_0_0_0_0_0_0" localSheetId="2">Demand_Frozen!$A$1:$E$120</definedName>
    <definedName name="_FilterDatabase_0_0_0_0_0_0_0_0_0_0" localSheetId="24">Fresh_Frozen_Relation!$A$1:$B$137</definedName>
    <definedName name="_FilterDatabase_0_0_0_0_0_0_0_0_0_0" localSheetId="8">Holding_Cost_Fresh!$A$1:$N$169</definedName>
    <definedName name="_FilterDatabase_0_0_0_0_0_0_0_0_0_0" localSheetId="0">Information!$A$1:$C$29</definedName>
    <definedName name="_FilterDatabase_0_0_0_0_0_0_0_0_0_0" localSheetId="3">Initial_Inventory!$A$1:$B$336</definedName>
    <definedName name="_FilterDatabase_0_0_0_0_0_0_0_0_0_0" localSheetId="14">Item_Product_Group_Map!$B$1:$H$221</definedName>
    <definedName name="_FilterDatabase_0_0_0_0_0_0_0_0_0_0" localSheetId="10">Operational_Cost!$A$1:$C$216</definedName>
    <definedName name="_FilterDatabase_0_0_0_0_0_0_0_0_0_0" localSheetId="6">Penalty_Fresh!$A$1:$O$169</definedName>
    <definedName name="_FilterDatabase_0_0_0_0_0_0_0_0_0_0" localSheetId="4">Selling_Price_Fresh!$A$1:$H$97</definedName>
    <definedName name="_FilterDatabase_0_0_0_0_0_0_0_0_0_0" localSheetId="26">Shelf_Life!$A$1:$C$369</definedName>
    <definedName name="_FilterDatabase_0_0_0_0_0_0_0_0_0_0" localSheetId="27">Yield!$A$1:$S$303</definedName>
    <definedName name="_FilterDatabase_0_0_0_0_0_0_0_0_0_0" localSheetId="25">Yield_Originals!$A$2:$AD$393</definedName>
    <definedName name="_FilterDatabase_0_0_0_0_0_0_0_0_0_0_0" localSheetId="18">Common_Data!$A$13:$D$381</definedName>
    <definedName name="_FilterDatabase_0_0_0_0_0_0_0_0_0_0_0" localSheetId="13">Cutting_Pattern!$A$1:$G$2</definedName>
    <definedName name="_FilterDatabase_0_0_0_0_0_0_0_0_0_0_0" localSheetId="1">Demand_Fresh!$A$1:$F$97</definedName>
    <definedName name="_FilterDatabase_0_0_0_0_0_0_0_0_0_0_0" localSheetId="2">Demand_Frozen!$A$1:$E$120</definedName>
    <definedName name="_FilterDatabase_0_0_0_0_0_0_0_0_0_0_0" localSheetId="24">Fresh_Frozen_Relation!$A$1:$B$52</definedName>
    <definedName name="_FilterDatabase_0_0_0_0_0_0_0_0_0_0_0" localSheetId="8">Holding_Cost_Fresh!$A$1:$N$169</definedName>
    <definedName name="_FilterDatabase_0_0_0_0_0_0_0_0_0_0_0" localSheetId="0">Information!$A$1:$C$29</definedName>
    <definedName name="_FilterDatabase_0_0_0_0_0_0_0_0_0_0_0" localSheetId="3">Initial_Inventory!$A$1:$B$239</definedName>
    <definedName name="_FilterDatabase_0_0_0_0_0_0_0_0_0_0_0" localSheetId="14">Item_Product_Group_Map!$B$1:$H$221</definedName>
    <definedName name="_FilterDatabase_0_0_0_0_0_0_0_0_0_0_0" localSheetId="10">Operational_Cost!$A$1:$C$216</definedName>
    <definedName name="_FilterDatabase_0_0_0_0_0_0_0_0_0_0_0" localSheetId="6">Penalty_Fresh!$A$1:$O$169</definedName>
    <definedName name="_FilterDatabase_0_0_0_0_0_0_0_0_0_0_0" localSheetId="4">Selling_Price_Fresh!$A$1:$H$97</definedName>
    <definedName name="_FilterDatabase_0_0_0_0_0_0_0_0_0_0_0" localSheetId="26">Shelf_Life!$A$1:$C$369</definedName>
    <definedName name="_FilterDatabase_0_0_0_0_0_0_0_0_0_0_0" localSheetId="27">Yield!$A$1:$S$303</definedName>
    <definedName name="_FilterDatabase_0_0_0_0_0_0_0_0_0_0_0" localSheetId="25">Yield_Originals!$A$2:$AD$393</definedName>
    <definedName name="_FilterDatabase_0_0_0_0_0_0_0_0_0_0_0_0" localSheetId="18">Common_Data!$A$13:$D$381</definedName>
    <definedName name="_FilterDatabase_0_0_0_0_0_0_0_0_0_0_0_0" localSheetId="13">Cutting_Pattern!$A$1:$G$2</definedName>
    <definedName name="_FilterDatabase_0_0_0_0_0_0_0_0_0_0_0_0" localSheetId="1">Demand_Fresh!$A$1:$F$169</definedName>
    <definedName name="_FilterDatabase_0_0_0_0_0_0_0_0_0_0_0_0" localSheetId="2">Demand_Frozen!$A$1:$E$120</definedName>
    <definedName name="_FilterDatabase_0_0_0_0_0_0_0_0_0_0_0_0" localSheetId="24">Fresh_Frozen_Relation!$A$1:$B$137</definedName>
    <definedName name="_FilterDatabase_0_0_0_0_0_0_0_0_0_0_0_0" localSheetId="8">Holding_Cost_Fresh!$A$1:$N$169</definedName>
    <definedName name="_FilterDatabase_0_0_0_0_0_0_0_0_0_0_0_0" localSheetId="0">Information!$A$1:$C$29</definedName>
    <definedName name="_FilterDatabase_0_0_0_0_0_0_0_0_0_0_0_0" localSheetId="3">Initial_Inventory!$A$1:$B$336</definedName>
    <definedName name="_FilterDatabase_0_0_0_0_0_0_0_0_0_0_0_0" localSheetId="14">Item_Product_Group_Map!$B$1:$H$221</definedName>
    <definedName name="_FilterDatabase_0_0_0_0_0_0_0_0_0_0_0_0" localSheetId="10">Operational_Cost!$A$1:$C$216</definedName>
    <definedName name="_FilterDatabase_0_0_0_0_0_0_0_0_0_0_0_0" localSheetId="6">Penalty_Fresh!$A$1:$O$169</definedName>
    <definedName name="_FilterDatabase_0_0_0_0_0_0_0_0_0_0_0_0" localSheetId="4">Selling_Price_Fresh!$A$1:$H$97</definedName>
    <definedName name="_FilterDatabase_0_0_0_0_0_0_0_0_0_0_0_0" localSheetId="26">Shelf_Life!$A$1:$C$369</definedName>
    <definedName name="_FilterDatabase_0_0_0_0_0_0_0_0_0_0_0_0" localSheetId="27">Yield!$A$1:$S$303</definedName>
    <definedName name="_FilterDatabase_0_0_0_0_0_0_0_0_0_0_0_0" localSheetId="25">Yield_Originals!$A$2:$AD$393</definedName>
    <definedName name="_FilterDatabase_0_0_0_0_0_0_0_0_0_0_0_0_0" localSheetId="18">Common_Data!$A$13:$D$381</definedName>
    <definedName name="_FilterDatabase_0_0_0_0_0_0_0_0_0_0_0_0_0" localSheetId="13">Cutting_Pattern!$A$1:$G$2</definedName>
    <definedName name="_FilterDatabase_0_0_0_0_0_0_0_0_0_0_0_0_0" localSheetId="1">Demand_Fresh!$A$1:$F$97</definedName>
    <definedName name="_FilterDatabase_0_0_0_0_0_0_0_0_0_0_0_0_0" localSheetId="2">Demand_Frozen!$A$1:$E$120</definedName>
    <definedName name="_FilterDatabase_0_0_0_0_0_0_0_0_0_0_0_0_0" localSheetId="24">Fresh_Frozen_Relation!$A$1:$B$52</definedName>
    <definedName name="_FilterDatabase_0_0_0_0_0_0_0_0_0_0_0_0_0" localSheetId="8">Holding_Cost_Fresh!$A$1:$N$169</definedName>
    <definedName name="_FilterDatabase_0_0_0_0_0_0_0_0_0_0_0_0_0" localSheetId="0">Information!$A$1:$C$29</definedName>
    <definedName name="_FilterDatabase_0_0_0_0_0_0_0_0_0_0_0_0_0" localSheetId="3">Initial_Inventory!$A$1:$B$239</definedName>
    <definedName name="_FilterDatabase_0_0_0_0_0_0_0_0_0_0_0_0_0" localSheetId="14">Item_Product_Group_Map!$B$1:$H$221</definedName>
    <definedName name="_FilterDatabase_0_0_0_0_0_0_0_0_0_0_0_0_0" localSheetId="10">Operational_Cost!$A$1:$C$216</definedName>
    <definedName name="_FilterDatabase_0_0_0_0_0_0_0_0_0_0_0_0_0" localSheetId="6">Penalty_Fresh!$A$1:$O$169</definedName>
    <definedName name="_FilterDatabase_0_0_0_0_0_0_0_0_0_0_0_0_0" localSheetId="4">Selling_Price_Fresh!$A$1:$H$97</definedName>
    <definedName name="_FilterDatabase_0_0_0_0_0_0_0_0_0_0_0_0_0" localSheetId="26">Shelf_Life!$A$1:$C$369</definedName>
    <definedName name="_FilterDatabase_0_0_0_0_0_0_0_0_0_0_0_0_0" localSheetId="27">Yield!$A$1:$S$303</definedName>
    <definedName name="_FilterDatabase_0_0_0_0_0_0_0_0_0_0_0_0_0" localSheetId="25">Yield_Originals!$A$2:$AD$393</definedName>
    <definedName name="_FilterDatabase_0_0_0_0_0_0_0_0_0_0_0_0_0_0" localSheetId="18">Common_Data!$A$13:$D$381</definedName>
    <definedName name="_FilterDatabase_0_0_0_0_0_0_0_0_0_0_0_0_0_0" localSheetId="13">Cutting_Pattern!$A$1:$G$2</definedName>
    <definedName name="_FilterDatabase_0_0_0_0_0_0_0_0_0_0_0_0_0_0" localSheetId="1">Demand_Fresh!$A$1:$F$169</definedName>
    <definedName name="_FilterDatabase_0_0_0_0_0_0_0_0_0_0_0_0_0_0" localSheetId="2">Demand_Frozen!$A$1:$E$120</definedName>
    <definedName name="_FilterDatabase_0_0_0_0_0_0_0_0_0_0_0_0_0_0" localSheetId="24">Fresh_Frozen_Relation!$A$1:$B$137</definedName>
    <definedName name="_FilterDatabase_0_0_0_0_0_0_0_0_0_0_0_0_0_0" localSheetId="8">Holding_Cost_Fresh!$A$1:$N$169</definedName>
    <definedName name="_FilterDatabase_0_0_0_0_0_0_0_0_0_0_0_0_0_0" localSheetId="0">Information!$A$1:$C$29</definedName>
    <definedName name="_FilterDatabase_0_0_0_0_0_0_0_0_0_0_0_0_0_0" localSheetId="3">Initial_Inventory!$A$1:$B$336</definedName>
    <definedName name="_FilterDatabase_0_0_0_0_0_0_0_0_0_0_0_0_0_0" localSheetId="14">Item_Product_Group_Map!$B$1:$H$221</definedName>
    <definedName name="_FilterDatabase_0_0_0_0_0_0_0_0_0_0_0_0_0_0" localSheetId="10">Operational_Cost!$A$1:$C$216</definedName>
    <definedName name="_FilterDatabase_0_0_0_0_0_0_0_0_0_0_0_0_0_0" localSheetId="6">Penalty_Fresh!$A$1:$O$169</definedName>
    <definedName name="_FilterDatabase_0_0_0_0_0_0_0_0_0_0_0_0_0_0" localSheetId="4">Selling_Price_Fresh!$A$1:$H$97</definedName>
    <definedName name="_FilterDatabase_0_0_0_0_0_0_0_0_0_0_0_0_0_0" localSheetId="26">Shelf_Life!$A$1:$C$369</definedName>
    <definedName name="_FilterDatabase_0_0_0_0_0_0_0_0_0_0_0_0_0_0" localSheetId="27">Yield!$A$1:$S$303</definedName>
    <definedName name="_FilterDatabase_0_0_0_0_0_0_0_0_0_0_0_0_0_0" localSheetId="25">Yield_Originals!$A$2:$AD$393</definedName>
    <definedName name="_FilterDatabase_0_0_0_0_0_0_0_0_0_0_0_0_0_0_0" localSheetId="18">Common_Data!$A$13:$D$381</definedName>
    <definedName name="_FilterDatabase_0_0_0_0_0_0_0_0_0_0_0_0_0_0_0" localSheetId="13">Cutting_Pattern!$A$1:$G$2</definedName>
    <definedName name="_FilterDatabase_0_0_0_0_0_0_0_0_0_0_0_0_0_0_0" localSheetId="1">Demand_Fresh!$A$1:$F$97</definedName>
    <definedName name="_FilterDatabase_0_0_0_0_0_0_0_0_0_0_0_0_0_0_0" localSheetId="2">Demand_Frozen!$A$1:$E$120</definedName>
    <definedName name="_FilterDatabase_0_0_0_0_0_0_0_0_0_0_0_0_0_0_0" localSheetId="24">Fresh_Frozen_Relation!$A$1:$B$52</definedName>
    <definedName name="_FilterDatabase_0_0_0_0_0_0_0_0_0_0_0_0_0_0_0" localSheetId="8">Holding_Cost_Fresh!$A$1:$N$169</definedName>
    <definedName name="_FilterDatabase_0_0_0_0_0_0_0_0_0_0_0_0_0_0_0" localSheetId="0">Information!$A$1:$C$29</definedName>
    <definedName name="_FilterDatabase_0_0_0_0_0_0_0_0_0_0_0_0_0_0_0" localSheetId="3">Initial_Inventory!$A$1:$B$239</definedName>
    <definedName name="_FilterDatabase_0_0_0_0_0_0_0_0_0_0_0_0_0_0_0" localSheetId="14">Item_Product_Group_Map!$B$1:$H$221</definedName>
    <definedName name="_FilterDatabase_0_0_0_0_0_0_0_0_0_0_0_0_0_0_0" localSheetId="10">Operational_Cost!$A$1:$C$216</definedName>
    <definedName name="_FilterDatabase_0_0_0_0_0_0_0_0_0_0_0_0_0_0_0" localSheetId="6">Penalty_Fresh!$A$1:$O$169</definedName>
    <definedName name="_FilterDatabase_0_0_0_0_0_0_0_0_0_0_0_0_0_0_0" localSheetId="4">Selling_Price_Fresh!$A$1:$H$97</definedName>
    <definedName name="_FilterDatabase_0_0_0_0_0_0_0_0_0_0_0_0_0_0_0" localSheetId="26">Shelf_Life!$A$1:$C$369</definedName>
    <definedName name="_FilterDatabase_0_0_0_0_0_0_0_0_0_0_0_0_0_0_0" localSheetId="27">Yield!$A$1:$S$303</definedName>
    <definedName name="_FilterDatabase_0_0_0_0_0_0_0_0_0_0_0_0_0_0_0" localSheetId="25">Yield_Originals!$A$2:$AD$393</definedName>
    <definedName name="_FilterDatabase_0_0_0_0_0_0_0_0_0_0_0_0_0_0_0_0" localSheetId="18">Common_Data!$A$13:$D$381</definedName>
    <definedName name="_FilterDatabase_0_0_0_0_0_0_0_0_0_0_0_0_0_0_0_0" localSheetId="13">Cutting_Pattern!$A$1:$G$2</definedName>
    <definedName name="_FilterDatabase_0_0_0_0_0_0_0_0_0_0_0_0_0_0_0_0" localSheetId="1">Demand_Fresh!$A$1:$F$169</definedName>
    <definedName name="_FilterDatabase_0_0_0_0_0_0_0_0_0_0_0_0_0_0_0_0" localSheetId="2">Demand_Frozen!$A$1:$E$120</definedName>
    <definedName name="_FilterDatabase_0_0_0_0_0_0_0_0_0_0_0_0_0_0_0_0" localSheetId="24">Fresh_Frozen_Relation!$A$1:$B$137</definedName>
    <definedName name="_FilterDatabase_0_0_0_0_0_0_0_0_0_0_0_0_0_0_0_0" localSheetId="8">Holding_Cost_Fresh!$A$1:$N$169</definedName>
    <definedName name="_FilterDatabase_0_0_0_0_0_0_0_0_0_0_0_0_0_0_0_0" localSheetId="0">Information!$A$1:$C$29</definedName>
    <definedName name="_FilterDatabase_0_0_0_0_0_0_0_0_0_0_0_0_0_0_0_0" localSheetId="3">Initial_Inventory!$A$1:$B$336</definedName>
    <definedName name="_FilterDatabase_0_0_0_0_0_0_0_0_0_0_0_0_0_0_0_0" localSheetId="14">Item_Product_Group_Map!$B$1:$H$221</definedName>
    <definedName name="_FilterDatabase_0_0_0_0_0_0_0_0_0_0_0_0_0_0_0_0" localSheetId="10">Operational_Cost!$A$1:$C$216</definedName>
    <definedName name="_FilterDatabase_0_0_0_0_0_0_0_0_0_0_0_0_0_0_0_0" localSheetId="6">Penalty_Fresh!$A$1:$O$169</definedName>
    <definedName name="_FilterDatabase_0_0_0_0_0_0_0_0_0_0_0_0_0_0_0_0" localSheetId="4">Selling_Price_Fresh!$A$1:$H$97</definedName>
    <definedName name="_FilterDatabase_0_0_0_0_0_0_0_0_0_0_0_0_0_0_0_0" localSheetId="26">Shelf_Life!$A$1:$C$369</definedName>
    <definedName name="_FilterDatabase_0_0_0_0_0_0_0_0_0_0_0_0_0_0_0_0" localSheetId="27">Yield!$A$1:$S$303</definedName>
    <definedName name="_FilterDatabase_0_0_0_0_0_0_0_0_0_0_0_0_0_0_0_0" localSheetId="25">Yield_Originals!$A$2:$AD$393</definedName>
    <definedName name="_FilterDatabase_0_0_0_0_0_0_0_0_0_0_0_0_0_0_0_0_0" localSheetId="18">Common_Data!$A$13:$D$381</definedName>
    <definedName name="_FilterDatabase_0_0_0_0_0_0_0_0_0_0_0_0_0_0_0_0_0" localSheetId="13">Cutting_Pattern!$A$1:$G$2</definedName>
    <definedName name="_FilterDatabase_0_0_0_0_0_0_0_0_0_0_0_0_0_0_0_0_0" localSheetId="1">Demand_Fresh!$A$1:$F$97</definedName>
    <definedName name="_FilterDatabase_0_0_0_0_0_0_0_0_0_0_0_0_0_0_0_0_0" localSheetId="2">Demand_Frozen!$A$1:$E$120</definedName>
    <definedName name="_FilterDatabase_0_0_0_0_0_0_0_0_0_0_0_0_0_0_0_0_0" localSheetId="24">Fresh_Frozen_Relation!$A$1:$B$52</definedName>
    <definedName name="_FilterDatabase_0_0_0_0_0_0_0_0_0_0_0_0_0_0_0_0_0" localSheetId="8">Holding_Cost_Fresh!$A$1:$N$169</definedName>
    <definedName name="_FilterDatabase_0_0_0_0_0_0_0_0_0_0_0_0_0_0_0_0_0" localSheetId="0">Information!$A$1:$C$29</definedName>
    <definedName name="_FilterDatabase_0_0_0_0_0_0_0_0_0_0_0_0_0_0_0_0_0" localSheetId="3">Initial_Inventory!$A$1:$B$239</definedName>
    <definedName name="_FilterDatabase_0_0_0_0_0_0_0_0_0_0_0_0_0_0_0_0_0" localSheetId="14">Item_Product_Group_Map!$B$1:$H$221</definedName>
    <definedName name="_FilterDatabase_0_0_0_0_0_0_0_0_0_0_0_0_0_0_0_0_0" localSheetId="10">Operational_Cost!$A$1:$C$216</definedName>
    <definedName name="_FilterDatabase_0_0_0_0_0_0_0_0_0_0_0_0_0_0_0_0_0" localSheetId="6">Penalty_Fresh!$A$1:$O$169</definedName>
    <definedName name="_FilterDatabase_0_0_0_0_0_0_0_0_0_0_0_0_0_0_0_0_0" localSheetId="4">Selling_Price_Fresh!$A$1:$H$97</definedName>
    <definedName name="_FilterDatabase_0_0_0_0_0_0_0_0_0_0_0_0_0_0_0_0_0" localSheetId="26">Shelf_Life!$A$1:$C$369</definedName>
    <definedName name="_FilterDatabase_0_0_0_0_0_0_0_0_0_0_0_0_0_0_0_0_0" localSheetId="27">Yield!$A$1:$S$303</definedName>
    <definedName name="_FilterDatabase_0_0_0_0_0_0_0_0_0_0_0_0_0_0_0_0_0" localSheetId="25">Yield_Originals!$A$2:$AD$393</definedName>
    <definedName name="_FilterDatabase_0_0_0_0_0_0_0_0_0_0_0_0_0_0_0_0_0_0" localSheetId="18">Common_Data!$A$13:$D$381</definedName>
    <definedName name="_FilterDatabase_0_0_0_0_0_0_0_0_0_0_0_0_0_0_0_0_0_0" localSheetId="13">Cutting_Pattern!$A$1:$G$2</definedName>
    <definedName name="_FilterDatabase_0_0_0_0_0_0_0_0_0_0_0_0_0_0_0_0_0_0" localSheetId="1">Demand_Fresh!$A$1:$F$169</definedName>
    <definedName name="_FilterDatabase_0_0_0_0_0_0_0_0_0_0_0_0_0_0_0_0_0_0" localSheetId="2">Demand_Frozen!$A$1:$E$120</definedName>
    <definedName name="_FilterDatabase_0_0_0_0_0_0_0_0_0_0_0_0_0_0_0_0_0_0" localSheetId="24">Fresh_Frozen_Relation!$A$1:$B$137</definedName>
    <definedName name="_FilterDatabase_0_0_0_0_0_0_0_0_0_0_0_0_0_0_0_0_0_0" localSheetId="8">Holding_Cost_Fresh!$A$1:$N$169</definedName>
    <definedName name="_FilterDatabase_0_0_0_0_0_0_0_0_0_0_0_0_0_0_0_0_0_0" localSheetId="0">Information!$A$1:$C$29</definedName>
    <definedName name="_FilterDatabase_0_0_0_0_0_0_0_0_0_0_0_0_0_0_0_0_0_0" localSheetId="3">Initial_Inventory!$A$1:$B$336</definedName>
    <definedName name="_FilterDatabase_0_0_0_0_0_0_0_0_0_0_0_0_0_0_0_0_0_0" localSheetId="14">Item_Product_Group_Map!$B$1:$H$221</definedName>
    <definedName name="_FilterDatabase_0_0_0_0_0_0_0_0_0_0_0_0_0_0_0_0_0_0" localSheetId="10">Operational_Cost!$A$1:$C$216</definedName>
    <definedName name="_FilterDatabase_0_0_0_0_0_0_0_0_0_0_0_0_0_0_0_0_0_0" localSheetId="6">Penalty_Fresh!$A$1:$O$169</definedName>
    <definedName name="_FilterDatabase_0_0_0_0_0_0_0_0_0_0_0_0_0_0_0_0_0_0" localSheetId="4">Selling_Price_Fresh!$A$1:$H$97</definedName>
    <definedName name="_FilterDatabase_0_0_0_0_0_0_0_0_0_0_0_0_0_0_0_0_0_0" localSheetId="26">Shelf_Life!$A$1:$C$369</definedName>
    <definedName name="_FilterDatabase_0_0_0_0_0_0_0_0_0_0_0_0_0_0_0_0_0_0" localSheetId="27">Yield!$A$1:$S$303</definedName>
    <definedName name="_FilterDatabase_0_0_0_0_0_0_0_0_0_0_0_0_0_0_0_0_0_0" localSheetId="25">Yield_Originals!$A$2:$AD$393</definedName>
    <definedName name="_FilterDatabase_0_0_0_0_0_0_0_0_0_0_0_0_0_0_0_0_0_0_0" localSheetId="18">Common_Data!$A$13:$D$381</definedName>
    <definedName name="_FilterDatabase_0_0_0_0_0_0_0_0_0_0_0_0_0_0_0_0_0_0_0" localSheetId="13">Cutting_Pattern!$A$1:$G$2</definedName>
    <definedName name="_FilterDatabase_0_0_0_0_0_0_0_0_0_0_0_0_0_0_0_0_0_0_0" localSheetId="1">Demand_Fresh!$A$1:$F$97</definedName>
    <definedName name="_FilterDatabase_0_0_0_0_0_0_0_0_0_0_0_0_0_0_0_0_0_0_0" localSheetId="2">Demand_Frozen!$A$1:$E$120</definedName>
    <definedName name="_FilterDatabase_0_0_0_0_0_0_0_0_0_0_0_0_0_0_0_0_0_0_0" localSheetId="24">Fresh_Frozen_Relation!$A$1:$B$52</definedName>
    <definedName name="_FilterDatabase_0_0_0_0_0_0_0_0_0_0_0_0_0_0_0_0_0_0_0" localSheetId="8">Holding_Cost_Fresh!$A$1:$N$169</definedName>
    <definedName name="_FilterDatabase_0_0_0_0_0_0_0_0_0_0_0_0_0_0_0_0_0_0_0" localSheetId="0">Information!$A$1:$C$29</definedName>
    <definedName name="_FilterDatabase_0_0_0_0_0_0_0_0_0_0_0_0_0_0_0_0_0_0_0" localSheetId="3">Initial_Inventory!$A$1:$B$336</definedName>
    <definedName name="_FilterDatabase_0_0_0_0_0_0_0_0_0_0_0_0_0_0_0_0_0_0_0" localSheetId="14">Item_Product_Group_Map!$B$1:$H$221</definedName>
    <definedName name="_FilterDatabase_0_0_0_0_0_0_0_0_0_0_0_0_0_0_0_0_0_0_0" localSheetId="10">Operational_Cost!$A$1:$C$216</definedName>
    <definedName name="_FilterDatabase_0_0_0_0_0_0_0_0_0_0_0_0_0_0_0_0_0_0_0" localSheetId="6">Penalty_Fresh!$A$1:$O$169</definedName>
    <definedName name="_FilterDatabase_0_0_0_0_0_0_0_0_0_0_0_0_0_0_0_0_0_0_0" localSheetId="4">Selling_Price_Fresh!$A$1:$H$97</definedName>
    <definedName name="_FilterDatabase_0_0_0_0_0_0_0_0_0_0_0_0_0_0_0_0_0_0_0" localSheetId="26">Shelf_Life!$A$1:$C$369</definedName>
    <definedName name="_FilterDatabase_0_0_0_0_0_0_0_0_0_0_0_0_0_0_0_0_0_0_0" localSheetId="27">Yield!$A$1:$S$303</definedName>
    <definedName name="_FilterDatabase_0_0_0_0_0_0_0_0_0_0_0_0_0_0_0_0_0_0_0" localSheetId="25">Yield_Originals!$A$2:$AD$393</definedName>
    <definedName name="_FilterDatabase_0_0_0_0_0_0_0_0_0_0_0_0_0_0_0_0_0_0_0_0" localSheetId="18">Common_Data!$A$13:$D$381</definedName>
    <definedName name="_FilterDatabase_0_0_0_0_0_0_0_0_0_0_0_0_0_0_0_0_0_0_0_0" localSheetId="13">Cutting_Pattern!$A$1:$G$2</definedName>
    <definedName name="_FilterDatabase_0_0_0_0_0_0_0_0_0_0_0_0_0_0_0_0_0_0_0_0" localSheetId="1">Demand_Fresh!$A$1:$F$169</definedName>
    <definedName name="_FilterDatabase_0_0_0_0_0_0_0_0_0_0_0_0_0_0_0_0_0_0_0_0" localSheetId="2">Demand_Frozen!$A$1:$E$120</definedName>
    <definedName name="_FilterDatabase_0_0_0_0_0_0_0_0_0_0_0_0_0_0_0_0_0_0_0_0" localSheetId="24">Fresh_Frozen_Relation!$A$1:$B$137</definedName>
    <definedName name="_FilterDatabase_0_0_0_0_0_0_0_0_0_0_0_0_0_0_0_0_0_0_0_0" localSheetId="8">Holding_Cost_Fresh!$A$1:$N$169</definedName>
    <definedName name="_FilterDatabase_0_0_0_0_0_0_0_0_0_0_0_0_0_0_0_0_0_0_0_0" localSheetId="0">Information!$A$1:$C$29</definedName>
    <definedName name="_FilterDatabase_0_0_0_0_0_0_0_0_0_0_0_0_0_0_0_0_0_0_0_0" localSheetId="3">Initial_Inventory!$A$1:$B$336</definedName>
    <definedName name="_FilterDatabase_0_0_0_0_0_0_0_0_0_0_0_0_0_0_0_0_0_0_0_0" localSheetId="14">Item_Product_Group_Map!$B$1:$H$221</definedName>
    <definedName name="_FilterDatabase_0_0_0_0_0_0_0_0_0_0_0_0_0_0_0_0_0_0_0_0" localSheetId="10">Operational_Cost!$A$1:$C$216</definedName>
    <definedName name="_FilterDatabase_0_0_0_0_0_0_0_0_0_0_0_0_0_0_0_0_0_0_0_0" localSheetId="6">Penalty_Fresh!$A$1:$O$169</definedName>
    <definedName name="_FilterDatabase_0_0_0_0_0_0_0_0_0_0_0_0_0_0_0_0_0_0_0_0" localSheetId="4">Selling_Price_Fresh!$A$1:$H$97</definedName>
    <definedName name="_FilterDatabase_0_0_0_0_0_0_0_0_0_0_0_0_0_0_0_0_0_0_0_0" localSheetId="26">Shelf_Life!$A$1:$C$369</definedName>
    <definedName name="_FilterDatabase_0_0_0_0_0_0_0_0_0_0_0_0_0_0_0_0_0_0_0_0" localSheetId="27">Yield!$A$1:$S$303</definedName>
    <definedName name="_FilterDatabase_0_0_0_0_0_0_0_0_0_0_0_0_0_0_0_0_0_0_0_0" localSheetId="25">Yield_Originals!$A$2:$AD$393</definedName>
    <definedName name="_FilterDatabase_0_0_0_0_0_0_0_0_0_0_0_0_0_0_0_0_0_0_0_0_0" localSheetId="18">Common_Data!$A$13:$D$381</definedName>
    <definedName name="_FilterDatabase_0_0_0_0_0_0_0_0_0_0_0_0_0_0_0_0_0_0_0_0_0" localSheetId="13">Cutting_Pattern!$A$1:$G$2</definedName>
    <definedName name="_FilterDatabase_0_0_0_0_0_0_0_0_0_0_0_0_0_0_0_0_0_0_0_0_0" localSheetId="1">Demand_Fresh!$A$1:$F$97</definedName>
    <definedName name="_FilterDatabase_0_0_0_0_0_0_0_0_0_0_0_0_0_0_0_0_0_0_0_0_0" localSheetId="2">Demand_Frozen!$A$1:$E$120</definedName>
    <definedName name="_FilterDatabase_0_0_0_0_0_0_0_0_0_0_0_0_0_0_0_0_0_0_0_0_0" localSheetId="24">Fresh_Frozen_Relation!$A$1:$B$52</definedName>
    <definedName name="_FilterDatabase_0_0_0_0_0_0_0_0_0_0_0_0_0_0_0_0_0_0_0_0_0" localSheetId="8">Holding_Cost_Fresh!$A$1:$N$169</definedName>
    <definedName name="_FilterDatabase_0_0_0_0_0_0_0_0_0_0_0_0_0_0_0_0_0_0_0_0_0" localSheetId="0">Information!$A$1:$C$29</definedName>
    <definedName name="_FilterDatabase_0_0_0_0_0_0_0_0_0_0_0_0_0_0_0_0_0_0_0_0_0" localSheetId="3">Initial_Inventory!$A$1:$B$336</definedName>
    <definedName name="_FilterDatabase_0_0_0_0_0_0_0_0_0_0_0_0_0_0_0_0_0_0_0_0_0" localSheetId="14">Item_Product_Group_Map!$B$1:$H$221</definedName>
    <definedName name="_FilterDatabase_0_0_0_0_0_0_0_0_0_0_0_0_0_0_0_0_0_0_0_0_0" localSheetId="10">Operational_Cost!$A$1:$C$216</definedName>
    <definedName name="_FilterDatabase_0_0_0_0_0_0_0_0_0_0_0_0_0_0_0_0_0_0_0_0_0" localSheetId="6">Penalty_Fresh!$A$1:$O$169</definedName>
    <definedName name="_FilterDatabase_0_0_0_0_0_0_0_0_0_0_0_0_0_0_0_0_0_0_0_0_0" localSheetId="4">Selling_Price_Fresh!$A$1:$H$97</definedName>
    <definedName name="_FilterDatabase_0_0_0_0_0_0_0_0_0_0_0_0_0_0_0_0_0_0_0_0_0" localSheetId="26">Shelf_Life!$A$1:$C$369</definedName>
    <definedName name="_FilterDatabase_0_0_0_0_0_0_0_0_0_0_0_0_0_0_0_0_0_0_0_0_0" localSheetId="27">Yield!$A$1:$S$303</definedName>
    <definedName name="_FilterDatabase_0_0_0_0_0_0_0_0_0_0_0_0_0_0_0_0_0_0_0_0_0" localSheetId="25">Yield_Originals!$A$2:$AD$393</definedName>
    <definedName name="_FilterDatabase_0_0_0_0_0_0_0_0_0_0_0_0_0_0_0_0_0_0_0_0_0_0" localSheetId="18">Common_Data!$A$13:$D$381</definedName>
    <definedName name="_FilterDatabase_0_0_0_0_0_0_0_0_0_0_0_0_0_0_0_0_0_0_0_0_0_0" localSheetId="13">Cutting_Pattern!$A$1:$G$2</definedName>
    <definedName name="_FilterDatabase_0_0_0_0_0_0_0_0_0_0_0_0_0_0_0_0_0_0_0_0_0_0" localSheetId="1">Demand_Fresh!$A$1:$F$169</definedName>
    <definedName name="_FilterDatabase_0_0_0_0_0_0_0_0_0_0_0_0_0_0_0_0_0_0_0_0_0_0" localSheetId="2">Demand_Frozen!$A$1:$E$120</definedName>
    <definedName name="_FilterDatabase_0_0_0_0_0_0_0_0_0_0_0_0_0_0_0_0_0_0_0_0_0_0" localSheetId="24">Fresh_Frozen_Relation!$A$1:$B$137</definedName>
    <definedName name="_FilterDatabase_0_0_0_0_0_0_0_0_0_0_0_0_0_0_0_0_0_0_0_0_0_0" localSheetId="8">Holding_Cost_Fresh!$A$1:$N$169</definedName>
    <definedName name="_FilterDatabase_0_0_0_0_0_0_0_0_0_0_0_0_0_0_0_0_0_0_0_0_0_0" localSheetId="0">Information!$A$1:$C$29</definedName>
    <definedName name="_FilterDatabase_0_0_0_0_0_0_0_0_0_0_0_0_0_0_0_0_0_0_0_0_0_0" localSheetId="3">Initial_Inventory!$A$1:$B$336</definedName>
    <definedName name="_FilterDatabase_0_0_0_0_0_0_0_0_0_0_0_0_0_0_0_0_0_0_0_0_0_0" localSheetId="14">Item_Product_Group_Map!$B$1:$H$221</definedName>
    <definedName name="_FilterDatabase_0_0_0_0_0_0_0_0_0_0_0_0_0_0_0_0_0_0_0_0_0_0" localSheetId="10">Operational_Cost!$A$1:$C$216</definedName>
    <definedName name="_FilterDatabase_0_0_0_0_0_0_0_0_0_0_0_0_0_0_0_0_0_0_0_0_0_0" localSheetId="6">Penalty_Fresh!$A$1:$O$169</definedName>
    <definedName name="_FilterDatabase_0_0_0_0_0_0_0_0_0_0_0_0_0_0_0_0_0_0_0_0_0_0" localSheetId="4">Selling_Price_Fresh!$A$1:$H$97</definedName>
    <definedName name="_FilterDatabase_0_0_0_0_0_0_0_0_0_0_0_0_0_0_0_0_0_0_0_0_0_0" localSheetId="26">Shelf_Life!$A$1:$C$369</definedName>
    <definedName name="_FilterDatabase_0_0_0_0_0_0_0_0_0_0_0_0_0_0_0_0_0_0_0_0_0_0" localSheetId="27">Yield!$A$1:$S$303</definedName>
    <definedName name="_FilterDatabase_0_0_0_0_0_0_0_0_0_0_0_0_0_0_0_0_0_0_0_0_0_0" localSheetId="25">Yield_Originals!$A$2:$AD$393</definedName>
    <definedName name="_FilterDatabase_0_0_0_0_0_0_0_0_0_0_0_0_0_0_0_0_0_0_0_0_0_0_0" localSheetId="18">Common_Data!$A$13:$D$381</definedName>
    <definedName name="_FilterDatabase_0_0_0_0_0_0_0_0_0_0_0_0_0_0_0_0_0_0_0_0_0_0_0" localSheetId="13">Cutting_Pattern!$A$1:$G$2</definedName>
    <definedName name="_FilterDatabase_0_0_0_0_0_0_0_0_0_0_0_0_0_0_0_0_0_0_0_0_0_0_0" localSheetId="1">Demand_Fresh!$A$1:$F$97</definedName>
    <definedName name="_FilterDatabase_0_0_0_0_0_0_0_0_0_0_0_0_0_0_0_0_0_0_0_0_0_0_0" localSheetId="2">Demand_Frozen!$A$1:$E$120</definedName>
    <definedName name="_FilterDatabase_0_0_0_0_0_0_0_0_0_0_0_0_0_0_0_0_0_0_0_0_0_0_0" localSheetId="24">Fresh_Frozen_Relation!$A$1:$B$52</definedName>
    <definedName name="_FilterDatabase_0_0_0_0_0_0_0_0_0_0_0_0_0_0_0_0_0_0_0_0_0_0_0" localSheetId="8">Holding_Cost_Fresh!$A$1:$N$169</definedName>
    <definedName name="_FilterDatabase_0_0_0_0_0_0_0_0_0_0_0_0_0_0_0_0_0_0_0_0_0_0_0" localSheetId="0">Information!$A$1:$C$29</definedName>
    <definedName name="_FilterDatabase_0_0_0_0_0_0_0_0_0_0_0_0_0_0_0_0_0_0_0_0_0_0_0" localSheetId="3">Initial_Inventory!$A$1:$B$336</definedName>
    <definedName name="_FilterDatabase_0_0_0_0_0_0_0_0_0_0_0_0_0_0_0_0_0_0_0_0_0_0_0" localSheetId="14">Item_Product_Group_Map!$B$1:$H$221</definedName>
    <definedName name="_FilterDatabase_0_0_0_0_0_0_0_0_0_0_0_0_0_0_0_0_0_0_0_0_0_0_0" localSheetId="10">Operational_Cost!$A$1:$C$216</definedName>
    <definedName name="_FilterDatabase_0_0_0_0_0_0_0_0_0_0_0_0_0_0_0_0_0_0_0_0_0_0_0" localSheetId="6">Penalty_Fresh!$A$1:$O$169</definedName>
    <definedName name="_FilterDatabase_0_0_0_0_0_0_0_0_0_0_0_0_0_0_0_0_0_0_0_0_0_0_0" localSheetId="4">Selling_Price_Fresh!$A$1:$H$97</definedName>
    <definedName name="_FilterDatabase_0_0_0_0_0_0_0_0_0_0_0_0_0_0_0_0_0_0_0_0_0_0_0" localSheetId="26">Shelf_Life!$A$1:$C$369</definedName>
    <definedName name="_FilterDatabase_0_0_0_0_0_0_0_0_0_0_0_0_0_0_0_0_0_0_0_0_0_0_0" localSheetId="27">Yield!$A$1:$S$303</definedName>
    <definedName name="_FilterDatabase_0_0_0_0_0_0_0_0_0_0_0_0_0_0_0_0_0_0_0_0_0_0_0" localSheetId="25">Yield_Originals!$A$2:$AD$393</definedName>
    <definedName name="_FilterDatabase_0_0_0_0_0_0_0_0_0_0_0_0_0_0_0_0_0_0_0_0_0_0_0_0" localSheetId="18">Common_Data!$A$13:$D$381</definedName>
    <definedName name="_FilterDatabase_0_0_0_0_0_0_0_0_0_0_0_0_0_0_0_0_0_0_0_0_0_0_0_0" localSheetId="13">Cutting_Pattern!$A$1:$G$2</definedName>
    <definedName name="_FilterDatabase_0_0_0_0_0_0_0_0_0_0_0_0_0_0_0_0_0_0_0_0_0_0_0_0" localSheetId="1">Demand_Fresh!$A$1:$F$169</definedName>
    <definedName name="_FilterDatabase_0_0_0_0_0_0_0_0_0_0_0_0_0_0_0_0_0_0_0_0_0_0_0_0" localSheetId="2">Demand_Frozen!$A$1:$E$120</definedName>
    <definedName name="_FilterDatabase_0_0_0_0_0_0_0_0_0_0_0_0_0_0_0_0_0_0_0_0_0_0_0_0" localSheetId="24">Fresh_Frozen_Relation!$A$1:$B$137</definedName>
    <definedName name="_FilterDatabase_0_0_0_0_0_0_0_0_0_0_0_0_0_0_0_0_0_0_0_0_0_0_0_0" localSheetId="8">Holding_Cost_Fresh!$A$1:$N$169</definedName>
    <definedName name="_FilterDatabase_0_0_0_0_0_0_0_0_0_0_0_0_0_0_0_0_0_0_0_0_0_0_0_0" localSheetId="0">Information!$A$1:$C$29</definedName>
    <definedName name="_FilterDatabase_0_0_0_0_0_0_0_0_0_0_0_0_0_0_0_0_0_0_0_0_0_0_0_0" localSheetId="3">Initial_Inventory!$A$1:$B$336</definedName>
    <definedName name="_FilterDatabase_0_0_0_0_0_0_0_0_0_0_0_0_0_0_0_0_0_0_0_0_0_0_0_0" localSheetId="14">Item_Product_Group_Map!$B$1:$H$221</definedName>
    <definedName name="_FilterDatabase_0_0_0_0_0_0_0_0_0_0_0_0_0_0_0_0_0_0_0_0_0_0_0_0" localSheetId="10">Operational_Cost!$A$1:$C$216</definedName>
    <definedName name="_FilterDatabase_0_0_0_0_0_0_0_0_0_0_0_0_0_0_0_0_0_0_0_0_0_0_0_0" localSheetId="6">Penalty_Fresh!$A$1:$O$169</definedName>
    <definedName name="_FilterDatabase_0_0_0_0_0_0_0_0_0_0_0_0_0_0_0_0_0_0_0_0_0_0_0_0" localSheetId="4">Selling_Price_Fresh!$A$1:$H$97</definedName>
    <definedName name="_FilterDatabase_0_0_0_0_0_0_0_0_0_0_0_0_0_0_0_0_0_0_0_0_0_0_0_0" localSheetId="26">Shelf_Life!$A$1:$C$369</definedName>
    <definedName name="_FilterDatabase_0_0_0_0_0_0_0_0_0_0_0_0_0_0_0_0_0_0_0_0_0_0_0_0" localSheetId="27">Yield!$A$1:$S$303</definedName>
    <definedName name="_FilterDatabase_0_0_0_0_0_0_0_0_0_0_0_0_0_0_0_0_0_0_0_0_0_0_0_0" localSheetId="25">Yield_Originals!$A$2:$AD$393</definedName>
    <definedName name="_FilterDatabase_0_0_0_0_0_0_0_0_0_0_0_0_0_0_0_0_0_0_0_0_0_0_0_0_0" localSheetId="18">Common_Data!$A$13:$D$381</definedName>
    <definedName name="_FilterDatabase_0_0_0_0_0_0_0_0_0_0_0_0_0_0_0_0_0_0_0_0_0_0_0_0_0" localSheetId="13">Cutting_Pattern!$A$1:$G$2</definedName>
    <definedName name="_FilterDatabase_0_0_0_0_0_0_0_0_0_0_0_0_0_0_0_0_0_0_0_0_0_0_0_0_0" localSheetId="1">Demand_Fresh!$A$1:$F$97</definedName>
    <definedName name="_FilterDatabase_0_0_0_0_0_0_0_0_0_0_0_0_0_0_0_0_0_0_0_0_0_0_0_0_0" localSheetId="2">Demand_Frozen!$A$1:$E$120</definedName>
    <definedName name="_FilterDatabase_0_0_0_0_0_0_0_0_0_0_0_0_0_0_0_0_0_0_0_0_0_0_0_0_0" localSheetId="24">Fresh_Frozen_Relation!$A$1:$B$52</definedName>
    <definedName name="_FilterDatabase_0_0_0_0_0_0_0_0_0_0_0_0_0_0_0_0_0_0_0_0_0_0_0_0_0" localSheetId="8">Holding_Cost_Fresh!$A$1:$N$169</definedName>
    <definedName name="_FilterDatabase_0_0_0_0_0_0_0_0_0_0_0_0_0_0_0_0_0_0_0_0_0_0_0_0_0" localSheetId="0">Information!$A$1:$C$29</definedName>
    <definedName name="_FilterDatabase_0_0_0_0_0_0_0_0_0_0_0_0_0_0_0_0_0_0_0_0_0_0_0_0_0" localSheetId="3">Initial_Inventory!$A$1:$B$336</definedName>
    <definedName name="_FilterDatabase_0_0_0_0_0_0_0_0_0_0_0_0_0_0_0_0_0_0_0_0_0_0_0_0_0" localSheetId="14">Item_Product_Group_Map!$B$1:$H$221</definedName>
    <definedName name="_FilterDatabase_0_0_0_0_0_0_0_0_0_0_0_0_0_0_0_0_0_0_0_0_0_0_0_0_0" localSheetId="10">Operational_Cost!$A$1:$C$216</definedName>
    <definedName name="_FilterDatabase_0_0_0_0_0_0_0_0_0_0_0_0_0_0_0_0_0_0_0_0_0_0_0_0_0" localSheetId="6">Penalty_Fresh!$A$1:$O$169</definedName>
    <definedName name="_FilterDatabase_0_0_0_0_0_0_0_0_0_0_0_0_0_0_0_0_0_0_0_0_0_0_0_0_0" localSheetId="4">Selling_Price_Fresh!$A$1:$H$97</definedName>
    <definedName name="_FilterDatabase_0_0_0_0_0_0_0_0_0_0_0_0_0_0_0_0_0_0_0_0_0_0_0_0_0" localSheetId="26">Shelf_Life!$A$1:$C$369</definedName>
    <definedName name="_FilterDatabase_0_0_0_0_0_0_0_0_0_0_0_0_0_0_0_0_0_0_0_0_0_0_0_0_0" localSheetId="27">Yield!$A$1:$S$303</definedName>
    <definedName name="_FilterDatabase_0_0_0_0_0_0_0_0_0_0_0_0_0_0_0_0_0_0_0_0_0_0_0_0_0" localSheetId="25">Yield_Originals!$A$2:$AD$393</definedName>
    <definedName name="_FilterDatabase_0_0_0_0_0_0_0_0_0_0_0_0_0_0_0_0_0_0_0_0_0_0_0_0_0_0" localSheetId="18">Common_Data!$A$13:$D$381</definedName>
    <definedName name="_FilterDatabase_0_0_0_0_0_0_0_0_0_0_0_0_0_0_0_0_0_0_0_0_0_0_0_0_0_0" localSheetId="13">Cutting_Pattern!$A$1:$G$2</definedName>
    <definedName name="_FilterDatabase_0_0_0_0_0_0_0_0_0_0_0_0_0_0_0_0_0_0_0_0_0_0_0_0_0_0" localSheetId="1">Demand_Fresh!$A$1:$F$169</definedName>
    <definedName name="_FilterDatabase_0_0_0_0_0_0_0_0_0_0_0_0_0_0_0_0_0_0_0_0_0_0_0_0_0_0" localSheetId="2">Demand_Frozen!$A$1:$E$120</definedName>
    <definedName name="_FilterDatabase_0_0_0_0_0_0_0_0_0_0_0_0_0_0_0_0_0_0_0_0_0_0_0_0_0_0" localSheetId="24">Fresh_Frozen_Relation!$A$1:$B$137</definedName>
    <definedName name="_FilterDatabase_0_0_0_0_0_0_0_0_0_0_0_0_0_0_0_0_0_0_0_0_0_0_0_0_0_0" localSheetId="8">Holding_Cost_Fresh!$A$1:$N$169</definedName>
    <definedName name="_FilterDatabase_0_0_0_0_0_0_0_0_0_0_0_0_0_0_0_0_0_0_0_0_0_0_0_0_0_0" localSheetId="0">Information!$A$1:$C$29</definedName>
    <definedName name="_FilterDatabase_0_0_0_0_0_0_0_0_0_0_0_0_0_0_0_0_0_0_0_0_0_0_0_0_0_0" localSheetId="3">Initial_Inventory!$A$1:$B$336</definedName>
    <definedName name="_FilterDatabase_0_0_0_0_0_0_0_0_0_0_0_0_0_0_0_0_0_0_0_0_0_0_0_0_0_0" localSheetId="14">Item_Product_Group_Map!$B$1:$H$221</definedName>
    <definedName name="_FilterDatabase_0_0_0_0_0_0_0_0_0_0_0_0_0_0_0_0_0_0_0_0_0_0_0_0_0_0" localSheetId="10">Operational_Cost!$A$1:$C$216</definedName>
    <definedName name="_FilterDatabase_0_0_0_0_0_0_0_0_0_0_0_0_0_0_0_0_0_0_0_0_0_0_0_0_0_0" localSheetId="6">Penalty_Fresh!$A$1:$O$169</definedName>
    <definedName name="_FilterDatabase_0_0_0_0_0_0_0_0_0_0_0_0_0_0_0_0_0_0_0_0_0_0_0_0_0_0" localSheetId="4">Selling_Price_Fresh!$A$1:$H$97</definedName>
    <definedName name="_FilterDatabase_0_0_0_0_0_0_0_0_0_0_0_0_0_0_0_0_0_0_0_0_0_0_0_0_0_0" localSheetId="26">Shelf_Life!$A$1:$C$369</definedName>
    <definedName name="_FilterDatabase_0_0_0_0_0_0_0_0_0_0_0_0_0_0_0_0_0_0_0_0_0_0_0_0_0_0" localSheetId="27">Yield!$A$1:$S$303</definedName>
    <definedName name="_FilterDatabase_0_0_0_0_0_0_0_0_0_0_0_0_0_0_0_0_0_0_0_0_0_0_0_0_0_0" localSheetId="25">Yield_Originals!$A$2:$AD$393</definedName>
    <definedName name="_FilterDatabase_0_0_0_0_0_0_0_0_0_0_0_0_0_0_0_0_0_0_0_0_0_0_0_0_0_0_0" localSheetId="18">Common_Data!$A$13:$D$381</definedName>
    <definedName name="_FilterDatabase_0_0_0_0_0_0_0_0_0_0_0_0_0_0_0_0_0_0_0_0_0_0_0_0_0_0_0" localSheetId="13">Cutting_Pattern!$A$1:$G$2</definedName>
    <definedName name="_FilterDatabase_0_0_0_0_0_0_0_0_0_0_0_0_0_0_0_0_0_0_0_0_0_0_0_0_0_0_0" localSheetId="1">Demand_Fresh!$A$1:$F$97</definedName>
    <definedName name="_FilterDatabase_0_0_0_0_0_0_0_0_0_0_0_0_0_0_0_0_0_0_0_0_0_0_0_0_0_0_0" localSheetId="2">Demand_Frozen!$A$1:$E$120</definedName>
    <definedName name="_FilterDatabase_0_0_0_0_0_0_0_0_0_0_0_0_0_0_0_0_0_0_0_0_0_0_0_0_0_0_0" localSheetId="24">Fresh_Frozen_Relation!$A$1:$B$52</definedName>
    <definedName name="_FilterDatabase_0_0_0_0_0_0_0_0_0_0_0_0_0_0_0_0_0_0_0_0_0_0_0_0_0_0_0" localSheetId="8">Holding_Cost_Fresh!$A$1:$N$169</definedName>
    <definedName name="_FilterDatabase_0_0_0_0_0_0_0_0_0_0_0_0_0_0_0_0_0_0_0_0_0_0_0_0_0_0_0" localSheetId="0">Information!$A$1:$C$29</definedName>
    <definedName name="_FilterDatabase_0_0_0_0_0_0_0_0_0_0_0_0_0_0_0_0_0_0_0_0_0_0_0_0_0_0_0" localSheetId="3">Initial_Inventory!$A$1:$B$336</definedName>
    <definedName name="_FilterDatabase_0_0_0_0_0_0_0_0_0_0_0_0_0_0_0_0_0_0_0_0_0_0_0_0_0_0_0" localSheetId="14">Item_Product_Group_Map!$B$1:$H$221</definedName>
    <definedName name="_FilterDatabase_0_0_0_0_0_0_0_0_0_0_0_0_0_0_0_0_0_0_0_0_0_0_0_0_0_0_0" localSheetId="10">Operational_Cost!$A$1:$C$216</definedName>
    <definedName name="_FilterDatabase_0_0_0_0_0_0_0_0_0_0_0_0_0_0_0_0_0_0_0_0_0_0_0_0_0_0_0" localSheetId="6">Penalty_Fresh!$A$1:$O$169</definedName>
    <definedName name="_FilterDatabase_0_0_0_0_0_0_0_0_0_0_0_0_0_0_0_0_0_0_0_0_0_0_0_0_0_0_0" localSheetId="4">Selling_Price_Fresh!$A$1:$H$97</definedName>
    <definedName name="_FilterDatabase_0_0_0_0_0_0_0_0_0_0_0_0_0_0_0_0_0_0_0_0_0_0_0_0_0_0_0" localSheetId="26">Shelf_Life!$A$1:$C$369</definedName>
    <definedName name="_FilterDatabase_0_0_0_0_0_0_0_0_0_0_0_0_0_0_0_0_0_0_0_0_0_0_0_0_0_0_0" localSheetId="27">Yield!$A$1:$S$303</definedName>
    <definedName name="_FilterDatabase_0_0_0_0_0_0_0_0_0_0_0_0_0_0_0_0_0_0_0_0_0_0_0_0_0_0_0" localSheetId="25">Yield_Originals!$A$2:$AD$393</definedName>
    <definedName name="_FilterDatabase_0_0_0_0_0_0_0_0_0_0_0_0_0_0_0_0_0_0_0_0_0_0_0_0_0_0_0_0" localSheetId="18">Common_Data!$A$13:$D$381</definedName>
    <definedName name="_FilterDatabase_0_0_0_0_0_0_0_0_0_0_0_0_0_0_0_0_0_0_0_0_0_0_0_0_0_0_0_0" localSheetId="13">Cutting_Pattern!$A$1:$G$2</definedName>
    <definedName name="_FilterDatabase_0_0_0_0_0_0_0_0_0_0_0_0_0_0_0_0_0_0_0_0_0_0_0_0_0_0_0_0" localSheetId="1">Demand_Fresh!$A$1:$F$169</definedName>
    <definedName name="_FilterDatabase_0_0_0_0_0_0_0_0_0_0_0_0_0_0_0_0_0_0_0_0_0_0_0_0_0_0_0_0" localSheetId="24">Fresh_Frozen_Relation!$A$1:$B$137</definedName>
    <definedName name="_FilterDatabase_0_0_0_0_0_0_0_0_0_0_0_0_0_0_0_0_0_0_0_0_0_0_0_0_0_0_0_0" localSheetId="8">Holding_Cost_Fresh!$A$1:$N$169</definedName>
    <definedName name="_FilterDatabase_0_0_0_0_0_0_0_0_0_0_0_0_0_0_0_0_0_0_0_0_0_0_0_0_0_0_0_0" localSheetId="0">Information!$A$1:$C$29</definedName>
    <definedName name="_FilterDatabase_0_0_0_0_0_0_0_0_0_0_0_0_0_0_0_0_0_0_0_0_0_0_0_0_0_0_0_0" localSheetId="3">Initial_Inventory!$A$1:$B$336</definedName>
    <definedName name="_FilterDatabase_0_0_0_0_0_0_0_0_0_0_0_0_0_0_0_0_0_0_0_0_0_0_0_0_0_0_0_0" localSheetId="14">Item_Product_Group_Map!$B$1:$H$221</definedName>
    <definedName name="_FilterDatabase_0_0_0_0_0_0_0_0_0_0_0_0_0_0_0_0_0_0_0_0_0_0_0_0_0_0_0_0" localSheetId="10">Operational_Cost!$A$1:$C$216</definedName>
    <definedName name="_FilterDatabase_0_0_0_0_0_0_0_0_0_0_0_0_0_0_0_0_0_0_0_0_0_0_0_0_0_0_0_0" localSheetId="6">Penalty_Fresh!$A$1:$O$169</definedName>
    <definedName name="_FilterDatabase_0_0_0_0_0_0_0_0_0_0_0_0_0_0_0_0_0_0_0_0_0_0_0_0_0_0_0_0" localSheetId="4">Selling_Price_Fresh!$A$1:$H$97</definedName>
    <definedName name="_FilterDatabase_0_0_0_0_0_0_0_0_0_0_0_0_0_0_0_0_0_0_0_0_0_0_0_0_0_0_0_0" localSheetId="25">Yield_Originals!$A$2:$AD$393</definedName>
    <definedName name="_FilterDatabase_0_0_0_0_0_0_0_0_0_0_0_0_0_0_0_0_0_0_0_0_0_0_0_0_0_0_0_0_0" localSheetId="18">Common_Data!$A$13:$D$381</definedName>
    <definedName name="_FilterDatabase_0_0_0_0_0_0_0_0_0_0_0_0_0_0_0_0_0_0_0_0_0_0_0_0_0_0_0_0_0" localSheetId="13">Cutting_Pattern!$A$1:$G$2</definedName>
    <definedName name="_FilterDatabase_0_0_0_0_0_0_0_0_0_0_0_0_0_0_0_0_0_0_0_0_0_0_0_0_0_0_0_0_0" localSheetId="1">Demand_Fresh!$A$1:$F$97</definedName>
    <definedName name="_FilterDatabase_0_0_0_0_0_0_0_0_0_0_0_0_0_0_0_0_0_0_0_0_0_0_0_0_0_0_0_0_0" localSheetId="24">Fresh_Frozen_Relation!$A$1:$B$137</definedName>
    <definedName name="_FilterDatabase_0_0_0_0_0_0_0_0_0_0_0_0_0_0_0_0_0_0_0_0_0_0_0_0_0_0_0_0_0" localSheetId="8">Holding_Cost_Fresh!$A$1:$N$169</definedName>
    <definedName name="_FilterDatabase_0_0_0_0_0_0_0_0_0_0_0_0_0_0_0_0_0_0_0_0_0_0_0_0_0_0_0_0_0" localSheetId="0">Information!$A$1:$C$29</definedName>
    <definedName name="_FilterDatabase_0_0_0_0_0_0_0_0_0_0_0_0_0_0_0_0_0_0_0_0_0_0_0_0_0_0_0_0_0" localSheetId="3">Initial_Inventory!$A$1:$B$336</definedName>
    <definedName name="_FilterDatabase_0_0_0_0_0_0_0_0_0_0_0_0_0_0_0_0_0_0_0_0_0_0_0_0_0_0_0_0_0" localSheetId="14">Item_Product_Group_Map!$B$1:$H$221</definedName>
    <definedName name="_FilterDatabase_0_0_0_0_0_0_0_0_0_0_0_0_0_0_0_0_0_0_0_0_0_0_0_0_0_0_0_0_0" localSheetId="10">Operational_Cost!$A$1:$C$216</definedName>
    <definedName name="_FilterDatabase_0_0_0_0_0_0_0_0_0_0_0_0_0_0_0_0_0_0_0_0_0_0_0_0_0_0_0_0_0" localSheetId="6">Penalty_Fresh!$A$1:$O$169</definedName>
    <definedName name="_FilterDatabase_0_0_0_0_0_0_0_0_0_0_0_0_0_0_0_0_0_0_0_0_0_0_0_0_0_0_0_0_0" localSheetId="4">Selling_Price_Fresh!$A$1:$H$97</definedName>
    <definedName name="_FilterDatabase_0_0_0_0_0_0_0_0_0_0_0_0_0_0_0_0_0_0_0_0_0_0_0_0_0_0_0_0_0" localSheetId="25">Yield_Originals!$A$2:$AD$393</definedName>
    <definedName name="_FilterDatabase_0_0_0_0_0_0_0_0_0_0_0_0_0_0_0_0_0_0_0_0_0_0_0_0_0_0_0_0_0_0" localSheetId="18">Common_Data!$A$13:$D$381</definedName>
    <definedName name="_FilterDatabase_0_0_0_0_0_0_0_0_0_0_0_0_0_0_0_0_0_0_0_0_0_0_0_0_0_0_0_0_0_0" localSheetId="13">Cutting_Pattern!$A$1:$G$2</definedName>
    <definedName name="_FilterDatabase_0_0_0_0_0_0_0_0_0_0_0_0_0_0_0_0_0_0_0_0_0_0_0_0_0_0_0_0_0_0" localSheetId="1">Demand_Fresh!$A$1:$F$169</definedName>
    <definedName name="_FilterDatabase_0_0_0_0_0_0_0_0_0_0_0_0_0_0_0_0_0_0_0_0_0_0_0_0_0_0_0_0_0_0" localSheetId="24">Fresh_Frozen_Relation!$A$1:$B$137</definedName>
    <definedName name="_FilterDatabase_0_0_0_0_0_0_0_0_0_0_0_0_0_0_0_0_0_0_0_0_0_0_0_0_0_0_0_0_0_0" localSheetId="8">Holding_Cost_Fresh!$A$1:$N$169</definedName>
    <definedName name="_FilterDatabase_0_0_0_0_0_0_0_0_0_0_0_0_0_0_0_0_0_0_0_0_0_0_0_0_0_0_0_0_0_0" localSheetId="0">Information!$A$1:$C$29</definedName>
    <definedName name="_FilterDatabase_0_0_0_0_0_0_0_0_0_0_0_0_0_0_0_0_0_0_0_0_0_0_0_0_0_0_0_0_0_0" localSheetId="3">Initial_Inventory!$A$1:$B$336</definedName>
    <definedName name="_FilterDatabase_0_0_0_0_0_0_0_0_0_0_0_0_0_0_0_0_0_0_0_0_0_0_0_0_0_0_0_0_0_0" localSheetId="14">Item_Product_Group_Map!$B$1:$H$221</definedName>
    <definedName name="_FilterDatabase_0_0_0_0_0_0_0_0_0_0_0_0_0_0_0_0_0_0_0_0_0_0_0_0_0_0_0_0_0_0" localSheetId="10">Operational_Cost!$A$1:$C$216</definedName>
    <definedName name="_FilterDatabase_0_0_0_0_0_0_0_0_0_0_0_0_0_0_0_0_0_0_0_0_0_0_0_0_0_0_0_0_0_0" localSheetId="6">Penalty_Fresh!$A$1:$O$169</definedName>
    <definedName name="_FilterDatabase_0_0_0_0_0_0_0_0_0_0_0_0_0_0_0_0_0_0_0_0_0_0_0_0_0_0_0_0_0_0" localSheetId="4">Selling_Price_Fresh!$A$1:$H$97</definedName>
    <definedName name="_FilterDatabase_0_0_0_0_0_0_0_0_0_0_0_0_0_0_0_0_0_0_0_0_0_0_0_0_0_0_0_0_0_0" localSheetId="25">Yield_Originals!$A$2:$AD$393</definedName>
    <definedName name="_FilterDatabase_0_0_0_0_0_0_0_0_0_0_0_0_0_0_0_0_0_0_0_0_0_0_0_0_0_0_0_0_0_0_0" localSheetId="18">Common_Data!$A$13:$D$381</definedName>
    <definedName name="_FilterDatabase_0_0_0_0_0_0_0_0_0_0_0_0_0_0_0_0_0_0_0_0_0_0_0_0_0_0_0_0_0_0_0" localSheetId="13">Cutting_Pattern!$A$1:$G$2</definedName>
    <definedName name="_FilterDatabase_0_0_0_0_0_0_0_0_0_0_0_0_0_0_0_0_0_0_0_0_0_0_0_0_0_0_0_0_0_0_0" localSheetId="1">Demand_Fresh!$A$1:$F$97</definedName>
    <definedName name="_FilterDatabase_0_0_0_0_0_0_0_0_0_0_0_0_0_0_0_0_0_0_0_0_0_0_0_0_0_0_0_0_0_0_0" localSheetId="24">Fresh_Frozen_Relation!$A$1:$B$137</definedName>
    <definedName name="_FilterDatabase_0_0_0_0_0_0_0_0_0_0_0_0_0_0_0_0_0_0_0_0_0_0_0_0_0_0_0_0_0_0_0" localSheetId="8">Holding_Cost_Fresh!$A$1:$N$169</definedName>
    <definedName name="_FilterDatabase_0_0_0_0_0_0_0_0_0_0_0_0_0_0_0_0_0_0_0_0_0_0_0_0_0_0_0_0_0_0_0" localSheetId="0">Information!$A$1:$C$29</definedName>
    <definedName name="_FilterDatabase_0_0_0_0_0_0_0_0_0_0_0_0_0_0_0_0_0_0_0_0_0_0_0_0_0_0_0_0_0_0_0" localSheetId="3">Initial_Inventory!$A$1:$B$336</definedName>
    <definedName name="_FilterDatabase_0_0_0_0_0_0_0_0_0_0_0_0_0_0_0_0_0_0_0_0_0_0_0_0_0_0_0_0_0_0_0" localSheetId="14">Item_Product_Group_Map!$B$1:$H$221</definedName>
    <definedName name="_FilterDatabase_0_0_0_0_0_0_0_0_0_0_0_0_0_0_0_0_0_0_0_0_0_0_0_0_0_0_0_0_0_0_0" localSheetId="10">Operational_Cost!$A$1:$C$216</definedName>
    <definedName name="_FilterDatabase_0_0_0_0_0_0_0_0_0_0_0_0_0_0_0_0_0_0_0_0_0_0_0_0_0_0_0_0_0_0_0" localSheetId="6">Penalty_Fresh!$A$1:$O$169</definedName>
    <definedName name="_FilterDatabase_0_0_0_0_0_0_0_0_0_0_0_0_0_0_0_0_0_0_0_0_0_0_0_0_0_0_0_0_0_0_0" localSheetId="4">Selling_Price_Fresh!$A$1:$H$97</definedName>
    <definedName name="_FilterDatabase_0_0_0_0_0_0_0_0_0_0_0_0_0_0_0_0_0_0_0_0_0_0_0_0_0_0_0_0_0_0_0" localSheetId="25">Yield_Originals!$A$2:$AD$393</definedName>
    <definedName name="_FilterDatabase_0_0_0_0_0_0_0_0_0_0_0_0_0_0_0_0_0_0_0_0_0_0_0_0_0_0_0_0_0_0_0_0" localSheetId="18">Common_Data!$A$13:$D$381</definedName>
    <definedName name="_FilterDatabase_0_0_0_0_0_0_0_0_0_0_0_0_0_0_0_0_0_0_0_0_0_0_0_0_0_0_0_0_0_0_0_0" localSheetId="13">Cutting_Pattern!$A$1:$G$2</definedName>
    <definedName name="_FilterDatabase_0_0_0_0_0_0_0_0_0_0_0_0_0_0_0_0_0_0_0_0_0_0_0_0_0_0_0_0_0_0_0_0" localSheetId="1">Demand_Fresh!$A$1:$F$169</definedName>
    <definedName name="_FilterDatabase_0_0_0_0_0_0_0_0_0_0_0_0_0_0_0_0_0_0_0_0_0_0_0_0_0_0_0_0_0_0_0_0" localSheetId="24">Fresh_Frozen_Relation!$A$1:$B$137</definedName>
    <definedName name="_FilterDatabase_0_0_0_0_0_0_0_0_0_0_0_0_0_0_0_0_0_0_0_0_0_0_0_0_0_0_0_0_0_0_0_0" localSheetId="8">Holding_Cost_Fresh!$A$1:$N$169</definedName>
    <definedName name="_FilterDatabase_0_0_0_0_0_0_0_0_0_0_0_0_0_0_0_0_0_0_0_0_0_0_0_0_0_0_0_0_0_0_0_0" localSheetId="0">Information!$A$1:$C$29</definedName>
    <definedName name="_FilterDatabase_0_0_0_0_0_0_0_0_0_0_0_0_0_0_0_0_0_0_0_0_0_0_0_0_0_0_0_0_0_0_0_0" localSheetId="3">Initial_Inventory!$A$1:$B$336</definedName>
    <definedName name="_FilterDatabase_0_0_0_0_0_0_0_0_0_0_0_0_0_0_0_0_0_0_0_0_0_0_0_0_0_0_0_0_0_0_0_0" localSheetId="14">Item_Product_Group_Map!$B$1:$H$221</definedName>
    <definedName name="_FilterDatabase_0_0_0_0_0_0_0_0_0_0_0_0_0_0_0_0_0_0_0_0_0_0_0_0_0_0_0_0_0_0_0_0" localSheetId="10">Operational_Cost!$A$1:$C$216</definedName>
    <definedName name="_FilterDatabase_0_0_0_0_0_0_0_0_0_0_0_0_0_0_0_0_0_0_0_0_0_0_0_0_0_0_0_0_0_0_0_0" localSheetId="6">Penalty_Fresh!$A$1:$O$169</definedName>
    <definedName name="_FilterDatabase_0_0_0_0_0_0_0_0_0_0_0_0_0_0_0_0_0_0_0_0_0_0_0_0_0_0_0_0_0_0_0_0" localSheetId="4">Selling_Price_Fresh!$A$1:$H$97</definedName>
    <definedName name="_FilterDatabase_0_0_0_0_0_0_0_0_0_0_0_0_0_0_0_0_0_0_0_0_0_0_0_0_0_0_0_0_0_0_0_0" localSheetId="25">Yield_Originals!$A$2:$AD$393</definedName>
    <definedName name="_FilterDatabase_0_0_0_0_0_0_0_0_0_0_0_0_0_0_0_0_0_0_0_0_0_0_0_0_0_0_0_0_0_0_0_0_0" localSheetId="18">Common_Data!$A$13:$D$381</definedName>
    <definedName name="_FilterDatabase_0_0_0_0_0_0_0_0_0_0_0_0_0_0_0_0_0_0_0_0_0_0_0_0_0_0_0_0_0_0_0_0_0" localSheetId="13">Cutting_Pattern!$A$1:$G$2</definedName>
    <definedName name="_FilterDatabase_0_0_0_0_0_0_0_0_0_0_0_0_0_0_0_0_0_0_0_0_0_0_0_0_0_0_0_0_0_0_0_0_0" localSheetId="1">Demand_Fresh!$A$1:$F$169</definedName>
    <definedName name="_FilterDatabase_0_0_0_0_0_0_0_0_0_0_0_0_0_0_0_0_0_0_0_0_0_0_0_0_0_0_0_0_0_0_0_0_0" localSheetId="24">Fresh_Frozen_Relation!$A$1:$B$137</definedName>
    <definedName name="_FilterDatabase_0_0_0_0_0_0_0_0_0_0_0_0_0_0_0_0_0_0_0_0_0_0_0_0_0_0_0_0_0_0_0_0_0" localSheetId="8">Holding_Cost_Fresh!$A$1:$N$169</definedName>
    <definedName name="_FilterDatabase_0_0_0_0_0_0_0_0_0_0_0_0_0_0_0_0_0_0_0_0_0_0_0_0_0_0_0_0_0_0_0_0_0" localSheetId="0">Information!$A$1:$C$29</definedName>
    <definedName name="_FilterDatabase_0_0_0_0_0_0_0_0_0_0_0_0_0_0_0_0_0_0_0_0_0_0_0_0_0_0_0_0_0_0_0_0_0" localSheetId="3">Initial_Inventory!$A$1:$B$336</definedName>
    <definedName name="_FilterDatabase_0_0_0_0_0_0_0_0_0_0_0_0_0_0_0_0_0_0_0_0_0_0_0_0_0_0_0_0_0_0_0_0_0" localSheetId="14">Item_Product_Group_Map!$B$1:$H$221</definedName>
    <definedName name="_FilterDatabase_0_0_0_0_0_0_0_0_0_0_0_0_0_0_0_0_0_0_0_0_0_0_0_0_0_0_0_0_0_0_0_0_0" localSheetId="10">Operational_Cost!$A$1:$C$216</definedName>
    <definedName name="_FilterDatabase_0_0_0_0_0_0_0_0_0_0_0_0_0_0_0_0_0_0_0_0_0_0_0_0_0_0_0_0_0_0_0_0_0" localSheetId="6">Penalty_Fresh!$A$1:$O$169</definedName>
    <definedName name="_FilterDatabase_0_0_0_0_0_0_0_0_0_0_0_0_0_0_0_0_0_0_0_0_0_0_0_0_0_0_0_0_0_0_0_0_0" localSheetId="4">Selling_Price_Fresh!$A$1:$H$97</definedName>
    <definedName name="_FilterDatabase_0_0_0_0_0_0_0_0_0_0_0_0_0_0_0_0_0_0_0_0_0_0_0_0_0_0_0_0_0_0_0_0_0" localSheetId="25">Yield_Originals!$A$2:$AD$393</definedName>
    <definedName name="_FilterDatabase_0_0_0_0_0_0_0_0_0_0_0_0_0_0_0_0_0_0_0_0_0_0_0_0_0_0_0_0_0_0_0_0_0_0" localSheetId="18">Common_Data!$A$13:$D$381</definedName>
    <definedName name="_FilterDatabase_0_0_0_0_0_0_0_0_0_0_0_0_0_0_0_0_0_0_0_0_0_0_0_0_0_0_0_0_0_0_0_0_0_0" localSheetId="13">Cutting_Pattern!$A$1:$G$2</definedName>
    <definedName name="_FilterDatabase_0_0_0_0_0_0_0_0_0_0_0_0_0_0_0_0_0_0_0_0_0_0_0_0_0_0_0_0_0_0_0_0_0_0" localSheetId="1">Demand_Fresh!$A$1:$F$169</definedName>
    <definedName name="_FilterDatabase_0_0_0_0_0_0_0_0_0_0_0_0_0_0_0_0_0_0_0_0_0_0_0_0_0_0_0_0_0_0_0_0_0_0" localSheetId="24">Fresh_Frozen_Relation!$A$1:$B$137</definedName>
    <definedName name="_FilterDatabase_0_0_0_0_0_0_0_0_0_0_0_0_0_0_0_0_0_0_0_0_0_0_0_0_0_0_0_0_0_0_0_0_0_0" localSheetId="8">Holding_Cost_Fresh!$A$1:$N$169</definedName>
    <definedName name="_FilterDatabase_0_0_0_0_0_0_0_0_0_0_0_0_0_0_0_0_0_0_0_0_0_0_0_0_0_0_0_0_0_0_0_0_0_0" localSheetId="0">Information!$A$1:$C$29</definedName>
    <definedName name="_FilterDatabase_0_0_0_0_0_0_0_0_0_0_0_0_0_0_0_0_0_0_0_0_0_0_0_0_0_0_0_0_0_0_0_0_0_0" localSheetId="3">Initial_Inventory!$A$1:$B$336</definedName>
    <definedName name="_FilterDatabase_0_0_0_0_0_0_0_0_0_0_0_0_0_0_0_0_0_0_0_0_0_0_0_0_0_0_0_0_0_0_0_0_0_0" localSheetId="14">Item_Product_Group_Map!$B$1:$H$221</definedName>
    <definedName name="_FilterDatabase_0_0_0_0_0_0_0_0_0_0_0_0_0_0_0_0_0_0_0_0_0_0_0_0_0_0_0_0_0_0_0_0_0_0" localSheetId="10">Operational_Cost!$A$1:$C$216</definedName>
    <definedName name="_FilterDatabase_0_0_0_0_0_0_0_0_0_0_0_0_0_0_0_0_0_0_0_0_0_0_0_0_0_0_0_0_0_0_0_0_0_0" localSheetId="6">Penalty_Fresh!$A$1:$O$169</definedName>
    <definedName name="_FilterDatabase_0_0_0_0_0_0_0_0_0_0_0_0_0_0_0_0_0_0_0_0_0_0_0_0_0_0_0_0_0_0_0_0_0_0" localSheetId="4">Selling_Price_Fresh!$A$1:$H$97</definedName>
    <definedName name="_FilterDatabase_0_0_0_0_0_0_0_0_0_0_0_0_0_0_0_0_0_0_0_0_0_0_0_0_0_0_0_0_0_0_0_0_0_0" localSheetId="25">Yield_Originals!$A$2:$AD$393</definedName>
    <definedName name="_FilterDatabase_0_0_0_0_0_0_0_0_0_0_0_0_0_0_0_0_0_0_0_0_0_0_0_0_0_0_0_0_0_0_0_0_0_0_0" localSheetId="18">Common_Data!$A$13:$D$381</definedName>
    <definedName name="_FilterDatabase_0_0_0_0_0_0_0_0_0_0_0_0_0_0_0_0_0_0_0_0_0_0_0_0_0_0_0_0_0_0_0_0_0_0_0" localSheetId="13">Cutting_Pattern!$A$1:$G$2</definedName>
    <definedName name="_FilterDatabase_0_0_0_0_0_0_0_0_0_0_0_0_0_0_0_0_0_0_0_0_0_0_0_0_0_0_0_0_0_0_0_0_0_0_0" localSheetId="1">Demand_Fresh!$A$1:$F$169</definedName>
    <definedName name="_FilterDatabase_0_0_0_0_0_0_0_0_0_0_0_0_0_0_0_0_0_0_0_0_0_0_0_0_0_0_0_0_0_0_0_0_0_0_0" localSheetId="24">Fresh_Frozen_Relation!$A$1:$B$137</definedName>
    <definedName name="_FilterDatabase_0_0_0_0_0_0_0_0_0_0_0_0_0_0_0_0_0_0_0_0_0_0_0_0_0_0_0_0_0_0_0_0_0_0_0" localSheetId="8">Holding_Cost_Fresh!$A$1:$N$169</definedName>
    <definedName name="_FilterDatabase_0_0_0_0_0_0_0_0_0_0_0_0_0_0_0_0_0_0_0_0_0_0_0_0_0_0_0_0_0_0_0_0_0_0_0" localSheetId="0">Information!$A$1:$C$29</definedName>
    <definedName name="_FilterDatabase_0_0_0_0_0_0_0_0_0_0_0_0_0_0_0_0_0_0_0_0_0_0_0_0_0_0_0_0_0_0_0_0_0_0_0" localSheetId="3">Initial_Inventory!$A$1:$B$336</definedName>
    <definedName name="_FilterDatabase_0_0_0_0_0_0_0_0_0_0_0_0_0_0_0_0_0_0_0_0_0_0_0_0_0_0_0_0_0_0_0_0_0_0_0" localSheetId="14">Item_Product_Group_Map!$B$1:$H$221</definedName>
    <definedName name="_FilterDatabase_0_0_0_0_0_0_0_0_0_0_0_0_0_0_0_0_0_0_0_0_0_0_0_0_0_0_0_0_0_0_0_0_0_0_0" localSheetId="10">Operational_Cost!$A$1:$C$216</definedName>
    <definedName name="_FilterDatabase_0_0_0_0_0_0_0_0_0_0_0_0_0_0_0_0_0_0_0_0_0_0_0_0_0_0_0_0_0_0_0_0_0_0_0" localSheetId="6">Penalty_Fresh!$A$1:$O$169</definedName>
    <definedName name="_FilterDatabase_0_0_0_0_0_0_0_0_0_0_0_0_0_0_0_0_0_0_0_0_0_0_0_0_0_0_0_0_0_0_0_0_0_0_0" localSheetId="4">Selling_Price_Fresh!$A$1:$H$97</definedName>
    <definedName name="_FilterDatabase_0_0_0_0_0_0_0_0_0_0_0_0_0_0_0_0_0_0_0_0_0_0_0_0_0_0_0_0_0_0_0_0_0_0_0" localSheetId="25">Yield_Originals!$A$2:$AD$393</definedName>
    <definedName name="_FilterDatabase_0_0_0_0_0_0_0_0_0_0_0_0_0_0_0_0_0_0_0_0_0_0_0_0_0_0_0_0_0_0_0_0_0_0_0_0" localSheetId="18">Common_Data!$A$13:$D$381</definedName>
    <definedName name="_FilterDatabase_0_0_0_0_0_0_0_0_0_0_0_0_0_0_0_0_0_0_0_0_0_0_0_0_0_0_0_0_0_0_0_0_0_0_0_0" localSheetId="13">Cutting_Pattern!$A$1:$G$2</definedName>
    <definedName name="_FilterDatabase_0_0_0_0_0_0_0_0_0_0_0_0_0_0_0_0_0_0_0_0_0_0_0_0_0_0_0_0_0_0_0_0_0_0_0_0" localSheetId="1">Demand_Fresh!$A$1:$F$169</definedName>
    <definedName name="_FilterDatabase_0_0_0_0_0_0_0_0_0_0_0_0_0_0_0_0_0_0_0_0_0_0_0_0_0_0_0_0_0_0_0_0_0_0_0_0" localSheetId="24">Fresh_Frozen_Relation!$A$1:$B$137</definedName>
    <definedName name="_FilterDatabase_0_0_0_0_0_0_0_0_0_0_0_0_0_0_0_0_0_0_0_0_0_0_0_0_0_0_0_0_0_0_0_0_0_0_0_0" localSheetId="8">Holding_Cost_Fresh!$A$1:$N$169</definedName>
    <definedName name="_FilterDatabase_0_0_0_0_0_0_0_0_0_0_0_0_0_0_0_0_0_0_0_0_0_0_0_0_0_0_0_0_0_0_0_0_0_0_0_0" localSheetId="0">Information!$A$1:$C$29</definedName>
    <definedName name="_FilterDatabase_0_0_0_0_0_0_0_0_0_0_0_0_0_0_0_0_0_0_0_0_0_0_0_0_0_0_0_0_0_0_0_0_0_0_0_0" localSheetId="3">Initial_Inventory!$A$1:$B$336</definedName>
    <definedName name="_FilterDatabase_0_0_0_0_0_0_0_0_0_0_0_0_0_0_0_0_0_0_0_0_0_0_0_0_0_0_0_0_0_0_0_0_0_0_0_0" localSheetId="14">Item_Product_Group_Map!$B$1:$H$221</definedName>
    <definedName name="_FilterDatabase_0_0_0_0_0_0_0_0_0_0_0_0_0_0_0_0_0_0_0_0_0_0_0_0_0_0_0_0_0_0_0_0_0_0_0_0" localSheetId="10">Operational_Cost!$A$1:$C$216</definedName>
    <definedName name="_FilterDatabase_0_0_0_0_0_0_0_0_0_0_0_0_0_0_0_0_0_0_0_0_0_0_0_0_0_0_0_0_0_0_0_0_0_0_0_0" localSheetId="6">Penalty_Fresh!$A$1:$O$169</definedName>
    <definedName name="_FilterDatabase_0_0_0_0_0_0_0_0_0_0_0_0_0_0_0_0_0_0_0_0_0_0_0_0_0_0_0_0_0_0_0_0_0_0_0_0" localSheetId="4">Selling_Price_Fresh!$A$1:$H$97</definedName>
    <definedName name="_FilterDatabase_0_0_0_0_0_0_0_0_0_0_0_0_0_0_0_0_0_0_0_0_0_0_0_0_0_0_0_0_0_0_0_0_0_0_0_0" localSheetId="25">Yield_Originals!$A$2:$AD$393</definedName>
    <definedName name="_FilterDatabase_0_0_0_0_0_0_0_0_0_0_0_0_0_0_0_0_0_0_0_0_0_0_0_0_0_0_0_0_0_0_0_0_0_0_0_0_0" localSheetId="18">Common_Data!$A$13:$D$381</definedName>
    <definedName name="_FilterDatabase_0_0_0_0_0_0_0_0_0_0_0_0_0_0_0_0_0_0_0_0_0_0_0_0_0_0_0_0_0_0_0_0_0_0_0_0_0" localSheetId="13">Cutting_Pattern!$A$1:$G$2</definedName>
    <definedName name="_FilterDatabase_0_0_0_0_0_0_0_0_0_0_0_0_0_0_0_0_0_0_0_0_0_0_0_0_0_0_0_0_0_0_0_0_0_0_0_0_0" localSheetId="1">Demand_Fresh!$A$1:$F$169</definedName>
    <definedName name="_FilterDatabase_0_0_0_0_0_0_0_0_0_0_0_0_0_0_0_0_0_0_0_0_0_0_0_0_0_0_0_0_0_0_0_0_0_0_0_0_0" localSheetId="24">Fresh_Frozen_Relation!$A$1:$B$137</definedName>
    <definedName name="_FilterDatabase_0_0_0_0_0_0_0_0_0_0_0_0_0_0_0_0_0_0_0_0_0_0_0_0_0_0_0_0_0_0_0_0_0_0_0_0_0" localSheetId="8">Holding_Cost_Fresh!$A$1:$N$169</definedName>
    <definedName name="_FilterDatabase_0_0_0_0_0_0_0_0_0_0_0_0_0_0_0_0_0_0_0_0_0_0_0_0_0_0_0_0_0_0_0_0_0_0_0_0_0" localSheetId="0">Information!$A$1:$C$29</definedName>
    <definedName name="_FilterDatabase_0_0_0_0_0_0_0_0_0_0_0_0_0_0_0_0_0_0_0_0_0_0_0_0_0_0_0_0_0_0_0_0_0_0_0_0_0" localSheetId="3">Initial_Inventory!$A$1:$B$336</definedName>
    <definedName name="_FilterDatabase_0_0_0_0_0_0_0_0_0_0_0_0_0_0_0_0_0_0_0_0_0_0_0_0_0_0_0_0_0_0_0_0_0_0_0_0_0" localSheetId="14">Item_Product_Group_Map!$B$1:$H$221</definedName>
    <definedName name="_FilterDatabase_0_0_0_0_0_0_0_0_0_0_0_0_0_0_0_0_0_0_0_0_0_0_0_0_0_0_0_0_0_0_0_0_0_0_0_0_0" localSheetId="10">Operational_Cost!$A$1:$C$216</definedName>
    <definedName name="_FilterDatabase_0_0_0_0_0_0_0_0_0_0_0_0_0_0_0_0_0_0_0_0_0_0_0_0_0_0_0_0_0_0_0_0_0_0_0_0_0" localSheetId="6">Penalty_Fresh!$A$1:$O$169</definedName>
    <definedName name="_FilterDatabase_0_0_0_0_0_0_0_0_0_0_0_0_0_0_0_0_0_0_0_0_0_0_0_0_0_0_0_0_0_0_0_0_0_0_0_0_0" localSheetId="4">Selling_Price_Fresh!$A$1:$H$97</definedName>
    <definedName name="_FilterDatabase_0_0_0_0_0_0_0_0_0_0_0_0_0_0_0_0_0_0_0_0_0_0_0_0_0_0_0_0_0_0_0_0_0_0_0_0_0" localSheetId="25">Yield_Originals!$A$2:$AD$393</definedName>
    <definedName name="ha" localSheetId="1">Demand_Fresh!$A$1:$F$169</definedName>
    <definedName name="ha" localSheetId="0">Information!$A$1:$C$29</definedName>
    <definedName name="ha" localSheetId="3">Initial_Inventory!$A$1:$B$336</definedName>
  </definedNames>
  <calcPr calcId="144525" iterateDelta="1E-4"/>
</workbook>
</file>

<file path=xl/calcChain.xml><?xml version="1.0" encoding="utf-8"?>
<calcChain xmlns="http://schemas.openxmlformats.org/spreadsheetml/2006/main">
  <c r="E55" i="28" l="1"/>
  <c r="D55" i="28"/>
  <c r="C55" i="28"/>
  <c r="E54" i="28"/>
  <c r="D54" i="28"/>
  <c r="C54" i="28"/>
  <c r="E53" i="28"/>
  <c r="D53" i="28"/>
  <c r="C53" i="28"/>
  <c r="E52" i="28"/>
  <c r="D52" i="28"/>
  <c r="C52" i="28"/>
  <c r="F52" i="28" s="1"/>
  <c r="E51" i="28"/>
  <c r="D51" i="28"/>
  <c r="C51" i="28"/>
  <c r="E50" i="28"/>
  <c r="D50" i="28"/>
  <c r="C50" i="28"/>
  <c r="E49" i="28"/>
  <c r="D49" i="28"/>
  <c r="C49" i="28"/>
  <c r="E48" i="28"/>
  <c r="D48" i="28"/>
  <c r="C48" i="28"/>
  <c r="F48" i="28" s="1"/>
  <c r="E47" i="28"/>
  <c r="D47" i="28"/>
  <c r="C47" i="28"/>
  <c r="E46" i="28"/>
  <c r="D46" i="28"/>
  <c r="C46" i="28"/>
  <c r="E45" i="28"/>
  <c r="D45" i="28"/>
  <c r="C45" i="28"/>
  <c r="E44" i="28"/>
  <c r="D44" i="28"/>
  <c r="C44" i="28"/>
  <c r="F44" i="28" s="1"/>
  <c r="E43" i="28"/>
  <c r="D43" i="28"/>
  <c r="C43" i="28"/>
  <c r="E42" i="28"/>
  <c r="D42" i="28"/>
  <c r="C42" i="28"/>
  <c r="E41" i="28"/>
  <c r="D41" i="28"/>
  <c r="C41" i="28"/>
  <c r="E40" i="28"/>
  <c r="D40" i="28"/>
  <c r="C40" i="28"/>
  <c r="F40" i="28" s="1"/>
  <c r="E39" i="28"/>
  <c r="D39" i="28"/>
  <c r="C39" i="28"/>
  <c r="E38" i="28"/>
  <c r="D38" i="28"/>
  <c r="C38" i="28"/>
  <c r="E37" i="28"/>
  <c r="D37" i="28"/>
  <c r="C37" i="28"/>
  <c r="E36" i="28"/>
  <c r="D36" i="28"/>
  <c r="C36" i="28"/>
  <c r="E35" i="28"/>
  <c r="D35" i="28"/>
  <c r="C35" i="28"/>
  <c r="E34" i="28"/>
  <c r="D34" i="28"/>
  <c r="G34" i="28" s="1"/>
  <c r="C34" i="28"/>
  <c r="E33" i="28"/>
  <c r="D33" i="28"/>
  <c r="C33" i="28"/>
  <c r="E32" i="28"/>
  <c r="D32" i="28"/>
  <c r="C32" i="28"/>
  <c r="F32" i="28" s="1"/>
  <c r="E31" i="28"/>
  <c r="D31" i="28"/>
  <c r="C31" i="28"/>
  <c r="F31" i="28" s="1"/>
  <c r="E30" i="28"/>
  <c r="D30" i="28"/>
  <c r="C30" i="28"/>
  <c r="E29" i="28"/>
  <c r="D29" i="28"/>
  <c r="C29" i="28"/>
  <c r="F29" i="28" s="1"/>
  <c r="E28" i="28"/>
  <c r="D28" i="28"/>
  <c r="C28" i="28"/>
  <c r="E27" i="28"/>
  <c r="D27" i="28"/>
  <c r="C27" i="28"/>
  <c r="F27" i="28" s="1"/>
  <c r="E26" i="28"/>
  <c r="D26" i="28"/>
  <c r="C26" i="28"/>
  <c r="E25" i="28"/>
  <c r="D25" i="28"/>
  <c r="C25" i="28"/>
  <c r="F25" i="28" s="1"/>
  <c r="E24" i="28"/>
  <c r="D24" i="28"/>
  <c r="C24" i="28"/>
  <c r="E23" i="28"/>
  <c r="D23" i="28"/>
  <c r="C23" i="28"/>
  <c r="F23" i="28" s="1"/>
  <c r="E22" i="28"/>
  <c r="D22" i="28"/>
  <c r="C22" i="28"/>
  <c r="E21" i="28"/>
  <c r="D21" i="28"/>
  <c r="C21" i="28"/>
  <c r="F21" i="28" s="1"/>
  <c r="E20" i="28"/>
  <c r="D20" i="28"/>
  <c r="C20" i="28"/>
  <c r="E19" i="28"/>
  <c r="D19" i="28"/>
  <c r="C19" i="28"/>
  <c r="F19" i="28" s="1"/>
  <c r="E18" i="28"/>
  <c r="D18" i="28"/>
  <c r="C18" i="28"/>
  <c r="E17" i="28"/>
  <c r="D17" i="28"/>
  <c r="C17" i="28"/>
  <c r="F17" i="28" s="1"/>
  <c r="E16" i="28"/>
  <c r="D16" i="28"/>
  <c r="C16" i="28"/>
  <c r="E15" i="28"/>
  <c r="D15" i="28"/>
  <c r="C15" i="28"/>
  <c r="F15" i="28" s="1"/>
  <c r="E14" i="28"/>
  <c r="D14" i="28"/>
  <c r="G14" i="28" s="1"/>
  <c r="C14" i="28"/>
  <c r="F14" i="28" s="1"/>
  <c r="E13" i="28"/>
  <c r="D13" i="28"/>
  <c r="G13" i="28" s="1"/>
  <c r="C13" i="28"/>
  <c r="E12" i="28"/>
  <c r="D12" i="28"/>
  <c r="C12" i="28"/>
  <c r="F12" i="28" s="1"/>
  <c r="E11" i="28"/>
  <c r="D11" i="28"/>
  <c r="G11" i="28" s="1"/>
  <c r="C11" i="28"/>
  <c r="E10" i="28"/>
  <c r="D10" i="28"/>
  <c r="C10" i="28"/>
  <c r="F10" i="28" s="1"/>
  <c r="E9" i="28"/>
  <c r="D9" i="28"/>
  <c r="G9" i="28" s="1"/>
  <c r="C9" i="28"/>
  <c r="F8" i="28"/>
  <c r="E8" i="28"/>
  <c r="D8" i="28"/>
  <c r="C8" i="28"/>
  <c r="T7" i="28"/>
  <c r="H12" i="28" s="1"/>
  <c r="E7" i="28"/>
  <c r="H7" i="28" s="1"/>
  <c r="D7" i="28"/>
  <c r="C7" i="28"/>
  <c r="F7" i="28" s="1"/>
  <c r="T6" i="28"/>
  <c r="E6" i="28"/>
  <c r="H6" i="28" s="1"/>
  <c r="D6" i="28"/>
  <c r="G6" i="28" s="1"/>
  <c r="C6" i="28"/>
  <c r="T5" i="28"/>
  <c r="E5" i="28"/>
  <c r="D5" i="28"/>
  <c r="G5" i="28" s="1"/>
  <c r="C5" i="28"/>
  <c r="F5" i="28" s="1"/>
  <c r="E4" i="28"/>
  <c r="H4" i="28" s="1"/>
  <c r="D4" i="28"/>
  <c r="C4" i="28"/>
  <c r="F4" i="28" s="1"/>
  <c r="E3" i="28"/>
  <c r="D3" i="28"/>
  <c r="G3" i="28" s="1"/>
  <c r="C3" i="28"/>
  <c r="F3" i="28" s="1"/>
  <c r="L1" i="28"/>
  <c r="F11" i="28" l="1"/>
  <c r="I5" i="28"/>
  <c r="H11" i="28"/>
  <c r="I11" i="28" s="1"/>
  <c r="H14" i="28"/>
  <c r="I14" i="28" s="1"/>
  <c r="H24" i="28"/>
  <c r="H36" i="28"/>
  <c r="H38" i="28"/>
  <c r="H42" i="28"/>
  <c r="H50" i="28"/>
  <c r="H54" i="28"/>
  <c r="H3" i="28"/>
  <c r="H5" i="28"/>
  <c r="G53" i="28"/>
  <c r="G51" i="28"/>
  <c r="G49" i="28"/>
  <c r="G47" i="28"/>
  <c r="G45" i="28"/>
  <c r="G43" i="28"/>
  <c r="G41" i="28"/>
  <c r="G39" i="28"/>
  <c r="G37" i="28"/>
  <c r="G35" i="28"/>
  <c r="G33" i="28"/>
  <c r="G31" i="28"/>
  <c r="G54" i="28"/>
  <c r="G52" i="28"/>
  <c r="G50" i="28"/>
  <c r="G48" i="28"/>
  <c r="G46" i="28"/>
  <c r="G44" i="28"/>
  <c r="G42" i="28"/>
  <c r="G40" i="28"/>
  <c r="G38" i="28"/>
  <c r="G10" i="28"/>
  <c r="G12" i="28"/>
  <c r="I12" i="28" s="1"/>
  <c r="G16" i="28"/>
  <c r="G18" i="28"/>
  <c r="G20" i="28"/>
  <c r="G22" i="28"/>
  <c r="G24" i="28"/>
  <c r="G26" i="28"/>
  <c r="G28" i="28"/>
  <c r="G30" i="28"/>
  <c r="F33" i="28"/>
  <c r="F34" i="28"/>
  <c r="G36" i="28"/>
  <c r="H37" i="28"/>
  <c r="F39" i="28"/>
  <c r="H41" i="28"/>
  <c r="F43" i="28"/>
  <c r="H45" i="28"/>
  <c r="F47" i="28"/>
  <c r="H49" i="28"/>
  <c r="F51" i="28"/>
  <c r="H53" i="28"/>
  <c r="F55" i="28"/>
  <c r="H9" i="28"/>
  <c r="H13" i="28"/>
  <c r="H16" i="28"/>
  <c r="H22" i="28"/>
  <c r="H35" i="28"/>
  <c r="H46" i="28"/>
  <c r="G8" i="28"/>
  <c r="I8" i="28" s="1"/>
  <c r="G4" i="28"/>
  <c r="I4" i="28" s="1"/>
  <c r="F6" i="28"/>
  <c r="I6" i="28" s="1"/>
  <c r="F9" i="28"/>
  <c r="I9" i="28" s="1"/>
  <c r="F13" i="28"/>
  <c r="I13" i="28" s="1"/>
  <c r="H15" i="28"/>
  <c r="H17" i="28"/>
  <c r="H19" i="28"/>
  <c r="H21" i="28"/>
  <c r="F22" i="28"/>
  <c r="F24" i="28"/>
  <c r="F26" i="28"/>
  <c r="H27" i="28"/>
  <c r="F28" i="28"/>
  <c r="H29" i="28"/>
  <c r="F30" i="28"/>
  <c r="H31" i="28"/>
  <c r="I31" i="28" s="1"/>
  <c r="H32" i="28"/>
  <c r="F35" i="28"/>
  <c r="F36" i="28"/>
  <c r="I36" i="28" s="1"/>
  <c r="F38" i="28"/>
  <c r="I38" i="28" s="1"/>
  <c r="H40" i="28"/>
  <c r="F42" i="28"/>
  <c r="H44" i="28"/>
  <c r="F46" i="28"/>
  <c r="I46" i="28" s="1"/>
  <c r="H48" i="28"/>
  <c r="F50" i="28"/>
  <c r="H52" i="28"/>
  <c r="F54" i="28"/>
  <c r="I54" i="28" s="1"/>
  <c r="G55" i="28"/>
  <c r="H18" i="28"/>
  <c r="H20" i="28"/>
  <c r="H26" i="28"/>
  <c r="H28" i="28"/>
  <c r="H30" i="28"/>
  <c r="I40" i="28"/>
  <c r="I44" i="28"/>
  <c r="G7" i="28"/>
  <c r="I7" i="28" s="1"/>
  <c r="H8" i="28"/>
  <c r="H10" i="28"/>
  <c r="I10" i="28" s="1"/>
  <c r="F16" i="28"/>
  <c r="F18" i="28"/>
  <c r="F20" i="28"/>
  <c r="H23" i="28"/>
  <c r="H25" i="28"/>
  <c r="G15" i="28"/>
  <c r="I15" i="28" s="1"/>
  <c r="G17" i="28"/>
  <c r="I17" i="28" s="1"/>
  <c r="G19" i="28"/>
  <c r="I19" i="28" s="1"/>
  <c r="G21" i="28"/>
  <c r="I21" i="28" s="1"/>
  <c r="G23" i="28"/>
  <c r="G25" i="28"/>
  <c r="G27" i="28"/>
  <c r="G29" i="28"/>
  <c r="I29" i="28" s="1"/>
  <c r="G32" i="28"/>
  <c r="I32" i="28" s="1"/>
  <c r="H33" i="28"/>
  <c r="H34" i="28"/>
  <c r="F37" i="28"/>
  <c r="H39" i="28"/>
  <c r="F41" i="28"/>
  <c r="H43" i="28"/>
  <c r="F45" i="28"/>
  <c r="H47" i="28"/>
  <c r="F49" i="28"/>
  <c r="H51" i="28"/>
  <c r="F53" i="28"/>
  <c r="H55" i="28"/>
  <c r="E2" i="19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2" i="8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2" i="7"/>
  <c r="I27" i="28" l="1"/>
  <c r="I52" i="28"/>
  <c r="G1" i="28"/>
  <c r="J48" i="28" s="1"/>
  <c r="I35" i="28"/>
  <c r="I25" i="28"/>
  <c r="I20" i="28"/>
  <c r="I23" i="28"/>
  <c r="I18" i="28"/>
  <c r="I48" i="28"/>
  <c r="L15" i="28"/>
  <c r="J15" i="28"/>
  <c r="K15" i="28"/>
  <c r="L48" i="28"/>
  <c r="K48" i="28"/>
  <c r="J32" i="28"/>
  <c r="L32" i="28"/>
  <c r="K32" i="28"/>
  <c r="L23" i="28"/>
  <c r="J23" i="28"/>
  <c r="L14" i="28"/>
  <c r="K14" i="28"/>
  <c r="L21" i="28"/>
  <c r="K21" i="28"/>
  <c r="L31" i="28"/>
  <c r="K31" i="28"/>
  <c r="L8" i="28"/>
  <c r="K8" i="28"/>
  <c r="L12" i="28"/>
  <c r="K12" i="28"/>
  <c r="K11" i="28"/>
  <c r="L11" i="28"/>
  <c r="L27" i="28"/>
  <c r="K27" i="28"/>
  <c r="L19" i="28"/>
  <c r="J19" i="28"/>
  <c r="K19" i="28"/>
  <c r="L10" i="28"/>
  <c r="J10" i="28"/>
  <c r="K10" i="28"/>
  <c r="L52" i="28"/>
  <c r="K52" i="28"/>
  <c r="L25" i="28"/>
  <c r="K25" i="28"/>
  <c r="L17" i="28"/>
  <c r="J17" i="28"/>
  <c r="K17" i="28"/>
  <c r="L54" i="28"/>
  <c r="K54" i="28"/>
  <c r="L29" i="28"/>
  <c r="K29" i="28"/>
  <c r="I41" i="28"/>
  <c r="L40" i="28"/>
  <c r="K40" i="28"/>
  <c r="J36" i="28"/>
  <c r="L36" i="28"/>
  <c r="K36" i="28"/>
  <c r="I30" i="28"/>
  <c r="I26" i="28"/>
  <c r="K9" i="28"/>
  <c r="L9" i="28"/>
  <c r="I51" i="28"/>
  <c r="I43" i="28"/>
  <c r="I3" i="28"/>
  <c r="J44" i="28"/>
  <c r="L44" i="28"/>
  <c r="K44" i="28"/>
  <c r="L38" i="28"/>
  <c r="K38" i="28"/>
  <c r="L13" i="28"/>
  <c r="K13" i="28"/>
  <c r="J13" i="28"/>
  <c r="L7" i="28"/>
  <c r="K7" i="28"/>
  <c r="I50" i="28"/>
  <c r="L35" i="28"/>
  <c r="I24" i="28"/>
  <c r="K6" i="28"/>
  <c r="L6" i="28"/>
  <c r="I34" i="28"/>
  <c r="J46" i="28"/>
  <c r="L46" i="28"/>
  <c r="K46" i="28"/>
  <c r="J5" i="28"/>
  <c r="K5" i="28"/>
  <c r="L5" i="28"/>
  <c r="I49" i="28"/>
  <c r="J20" i="28"/>
  <c r="L20" i="28"/>
  <c r="K18" i="28"/>
  <c r="I42" i="28"/>
  <c r="I53" i="28"/>
  <c r="I45" i="28"/>
  <c r="I37" i="28"/>
  <c r="I16" i="28"/>
  <c r="I28" i="28"/>
  <c r="I22" i="28"/>
  <c r="L4" i="28"/>
  <c r="K4" i="28"/>
  <c r="I55" i="28"/>
  <c r="I47" i="28"/>
  <c r="I39" i="28"/>
  <c r="I33" i="28"/>
  <c r="E369" i="26"/>
  <c r="D369" i="26"/>
  <c r="E368" i="26"/>
  <c r="D368" i="26"/>
  <c r="E367" i="26"/>
  <c r="D367" i="26"/>
  <c r="E366" i="26"/>
  <c r="D366" i="26"/>
  <c r="E365" i="26"/>
  <c r="D365" i="26"/>
  <c r="E364" i="26"/>
  <c r="D364" i="26"/>
  <c r="E363" i="26"/>
  <c r="D363" i="26"/>
  <c r="E362" i="26"/>
  <c r="D362" i="26"/>
  <c r="E361" i="26"/>
  <c r="D361" i="26"/>
  <c r="E360" i="26"/>
  <c r="D360" i="26"/>
  <c r="E359" i="26"/>
  <c r="D359" i="26"/>
  <c r="E358" i="26"/>
  <c r="D358" i="26"/>
  <c r="E357" i="26"/>
  <c r="D357" i="26"/>
  <c r="E356" i="26"/>
  <c r="D356" i="26"/>
  <c r="E355" i="26"/>
  <c r="D355" i="26"/>
  <c r="E354" i="26"/>
  <c r="D354" i="26"/>
  <c r="E353" i="26"/>
  <c r="D353" i="26"/>
  <c r="E352" i="26"/>
  <c r="D352" i="26"/>
  <c r="E351" i="26"/>
  <c r="D351" i="26"/>
  <c r="E350" i="26"/>
  <c r="D350" i="26"/>
  <c r="E349" i="26"/>
  <c r="D349" i="26"/>
  <c r="E348" i="26"/>
  <c r="D348" i="26"/>
  <c r="E347" i="26"/>
  <c r="D347" i="26"/>
  <c r="E346" i="26"/>
  <c r="D346" i="26"/>
  <c r="E345" i="26"/>
  <c r="D345" i="26"/>
  <c r="E344" i="26"/>
  <c r="D344" i="26"/>
  <c r="E343" i="26"/>
  <c r="D343" i="26"/>
  <c r="E342" i="26"/>
  <c r="D342" i="26"/>
  <c r="E341" i="26"/>
  <c r="D341" i="26"/>
  <c r="E340" i="26"/>
  <c r="D340" i="26"/>
  <c r="E339" i="26"/>
  <c r="D339" i="26"/>
  <c r="E338" i="26"/>
  <c r="D338" i="26"/>
  <c r="E337" i="26"/>
  <c r="D337" i="26"/>
  <c r="E336" i="26"/>
  <c r="D336" i="26"/>
  <c r="E335" i="26"/>
  <c r="D335" i="26"/>
  <c r="E334" i="26"/>
  <c r="D334" i="26"/>
  <c r="E333" i="26"/>
  <c r="D333" i="26"/>
  <c r="E332" i="26"/>
  <c r="D332" i="26"/>
  <c r="E331" i="26"/>
  <c r="D331" i="26"/>
  <c r="E330" i="26"/>
  <c r="D330" i="26"/>
  <c r="E329" i="26"/>
  <c r="D329" i="26"/>
  <c r="E328" i="26"/>
  <c r="D328" i="26"/>
  <c r="E327" i="26"/>
  <c r="D327" i="26"/>
  <c r="E326" i="26"/>
  <c r="D326" i="26"/>
  <c r="E325" i="26"/>
  <c r="D325" i="26"/>
  <c r="E324" i="26"/>
  <c r="D324" i="26"/>
  <c r="E323" i="26"/>
  <c r="D323" i="26"/>
  <c r="E322" i="26"/>
  <c r="D322" i="26"/>
  <c r="E321" i="26"/>
  <c r="D321" i="26"/>
  <c r="E320" i="26"/>
  <c r="D320" i="26"/>
  <c r="E319" i="26"/>
  <c r="D319" i="26"/>
  <c r="E318" i="26"/>
  <c r="D318" i="26"/>
  <c r="E317" i="26"/>
  <c r="D317" i="26"/>
  <c r="E316" i="26"/>
  <c r="D316" i="26"/>
  <c r="E315" i="26"/>
  <c r="D315" i="26"/>
  <c r="E314" i="26"/>
  <c r="D314" i="26"/>
  <c r="E313" i="26"/>
  <c r="D313" i="26"/>
  <c r="E312" i="26"/>
  <c r="D312" i="26"/>
  <c r="E311" i="26"/>
  <c r="D311" i="26"/>
  <c r="E310" i="26"/>
  <c r="D310" i="26"/>
  <c r="E309" i="26"/>
  <c r="D309" i="26"/>
  <c r="E308" i="26"/>
  <c r="D308" i="26"/>
  <c r="E307" i="26"/>
  <c r="D307" i="26"/>
  <c r="E306" i="26"/>
  <c r="D306" i="26"/>
  <c r="E305" i="26"/>
  <c r="D305" i="26"/>
  <c r="E304" i="26"/>
  <c r="D304" i="26"/>
  <c r="E303" i="26"/>
  <c r="D303" i="26"/>
  <c r="E302" i="26"/>
  <c r="D302" i="26"/>
  <c r="E301" i="26"/>
  <c r="D301" i="26"/>
  <c r="E300" i="26"/>
  <c r="D300" i="26"/>
  <c r="E299" i="26"/>
  <c r="D299" i="26"/>
  <c r="E298" i="26"/>
  <c r="D298" i="26"/>
  <c r="E297" i="26"/>
  <c r="D297" i="26"/>
  <c r="E296" i="26"/>
  <c r="D296" i="26"/>
  <c r="E295" i="26"/>
  <c r="D295" i="26"/>
  <c r="E294" i="26"/>
  <c r="D294" i="26"/>
  <c r="E293" i="26"/>
  <c r="D293" i="26"/>
  <c r="E292" i="26"/>
  <c r="D292" i="26"/>
  <c r="E291" i="26"/>
  <c r="D291" i="26"/>
  <c r="E290" i="26"/>
  <c r="D290" i="26"/>
  <c r="E289" i="26"/>
  <c r="D289" i="26"/>
  <c r="E288" i="26"/>
  <c r="D288" i="26"/>
  <c r="E287" i="26"/>
  <c r="D287" i="26"/>
  <c r="E286" i="26"/>
  <c r="D286" i="26"/>
  <c r="E285" i="26"/>
  <c r="D285" i="26"/>
  <c r="E284" i="26"/>
  <c r="D284" i="26"/>
  <c r="E283" i="26"/>
  <c r="D283" i="26"/>
  <c r="E282" i="26"/>
  <c r="D282" i="26"/>
  <c r="E281" i="26"/>
  <c r="D281" i="26"/>
  <c r="E280" i="26"/>
  <c r="D280" i="26"/>
  <c r="E279" i="26"/>
  <c r="D279" i="26"/>
  <c r="E278" i="26"/>
  <c r="D278" i="26"/>
  <c r="E277" i="26"/>
  <c r="D277" i="26"/>
  <c r="E276" i="26"/>
  <c r="D276" i="26"/>
  <c r="E275" i="26"/>
  <c r="D275" i="26"/>
  <c r="E274" i="26"/>
  <c r="D274" i="26"/>
  <c r="E273" i="26"/>
  <c r="D273" i="26"/>
  <c r="E272" i="26"/>
  <c r="D272" i="26"/>
  <c r="E271" i="26"/>
  <c r="D271" i="26"/>
  <c r="E270" i="26"/>
  <c r="D270" i="26"/>
  <c r="E269" i="26"/>
  <c r="D269" i="26"/>
  <c r="E268" i="26"/>
  <c r="D268" i="26"/>
  <c r="E267" i="26"/>
  <c r="D267" i="26"/>
  <c r="E266" i="26"/>
  <c r="D266" i="26"/>
  <c r="E265" i="26"/>
  <c r="D265" i="26"/>
  <c r="E264" i="26"/>
  <c r="D264" i="26"/>
  <c r="E263" i="26"/>
  <c r="D263" i="26"/>
  <c r="E262" i="26"/>
  <c r="D262" i="26"/>
  <c r="E261" i="26"/>
  <c r="D261" i="26"/>
  <c r="E260" i="26"/>
  <c r="D260" i="26"/>
  <c r="E259" i="26"/>
  <c r="D259" i="26"/>
  <c r="E258" i="26"/>
  <c r="D258" i="26"/>
  <c r="E257" i="26"/>
  <c r="D257" i="26"/>
  <c r="E256" i="26"/>
  <c r="D256" i="26"/>
  <c r="E255" i="26"/>
  <c r="D255" i="26"/>
  <c r="E254" i="26"/>
  <c r="D254" i="26"/>
  <c r="E253" i="26"/>
  <c r="D253" i="26"/>
  <c r="E252" i="26"/>
  <c r="D252" i="26"/>
  <c r="E251" i="26"/>
  <c r="D251" i="26"/>
  <c r="E250" i="26"/>
  <c r="D250" i="26"/>
  <c r="E249" i="26"/>
  <c r="D249" i="26"/>
  <c r="E248" i="26"/>
  <c r="D248" i="26"/>
  <c r="E247" i="26"/>
  <c r="D247" i="26"/>
  <c r="E246" i="26"/>
  <c r="D246" i="26"/>
  <c r="E245" i="26"/>
  <c r="D245" i="26"/>
  <c r="E244" i="26"/>
  <c r="D244" i="26"/>
  <c r="E243" i="26"/>
  <c r="D243" i="26"/>
  <c r="E242" i="26"/>
  <c r="D242" i="26"/>
  <c r="E241" i="26"/>
  <c r="D241" i="26"/>
  <c r="E240" i="26"/>
  <c r="D240" i="26"/>
  <c r="E239" i="26"/>
  <c r="D239" i="26"/>
  <c r="E238" i="26"/>
  <c r="D238" i="26"/>
  <c r="E237" i="26"/>
  <c r="D237" i="26"/>
  <c r="E236" i="26"/>
  <c r="D236" i="26"/>
  <c r="E235" i="26"/>
  <c r="D235" i="26"/>
  <c r="E234" i="26"/>
  <c r="D234" i="26"/>
  <c r="E233" i="26"/>
  <c r="D233" i="26"/>
  <c r="E232" i="26"/>
  <c r="D232" i="26"/>
  <c r="E231" i="26"/>
  <c r="D231" i="26"/>
  <c r="E230" i="26"/>
  <c r="D230" i="26"/>
  <c r="E229" i="26"/>
  <c r="D229" i="26"/>
  <c r="E228" i="26"/>
  <c r="D228" i="26"/>
  <c r="E227" i="26"/>
  <c r="D227" i="26"/>
  <c r="E226" i="26"/>
  <c r="D226" i="26"/>
  <c r="E225" i="26"/>
  <c r="D225" i="26"/>
  <c r="E224" i="26"/>
  <c r="D224" i="26"/>
  <c r="E223" i="26"/>
  <c r="D223" i="26"/>
  <c r="E222" i="26"/>
  <c r="D222" i="26"/>
  <c r="E221" i="26"/>
  <c r="D221" i="26"/>
  <c r="E220" i="26"/>
  <c r="D220" i="26"/>
  <c r="E219" i="26"/>
  <c r="D219" i="26"/>
  <c r="E218" i="26"/>
  <c r="D218" i="26"/>
  <c r="E217" i="26"/>
  <c r="D217" i="26"/>
  <c r="E216" i="26"/>
  <c r="D216" i="26"/>
  <c r="E215" i="26"/>
  <c r="D215" i="26"/>
  <c r="E214" i="26"/>
  <c r="D214" i="26"/>
  <c r="E213" i="26"/>
  <c r="D213" i="26"/>
  <c r="E212" i="26"/>
  <c r="D212" i="26"/>
  <c r="E211" i="26"/>
  <c r="D211" i="26"/>
  <c r="E210" i="26"/>
  <c r="D210" i="26"/>
  <c r="E209" i="26"/>
  <c r="D209" i="26"/>
  <c r="E208" i="26"/>
  <c r="D208" i="26"/>
  <c r="E207" i="26"/>
  <c r="D207" i="26"/>
  <c r="E206" i="26"/>
  <c r="D206" i="26"/>
  <c r="E205" i="26"/>
  <c r="D205" i="26"/>
  <c r="E204" i="26"/>
  <c r="D204" i="26"/>
  <c r="E203" i="26"/>
  <c r="D203" i="26"/>
  <c r="E202" i="26"/>
  <c r="D202" i="26"/>
  <c r="E201" i="26"/>
  <c r="D201" i="26"/>
  <c r="E200" i="26"/>
  <c r="D200" i="26"/>
  <c r="E199" i="26"/>
  <c r="D199" i="26"/>
  <c r="E198" i="26"/>
  <c r="D198" i="26"/>
  <c r="E197" i="26"/>
  <c r="D197" i="26"/>
  <c r="E196" i="26"/>
  <c r="D196" i="26"/>
  <c r="E195" i="26"/>
  <c r="D195" i="26"/>
  <c r="E194" i="26"/>
  <c r="D194" i="26"/>
  <c r="E193" i="26"/>
  <c r="D193" i="26"/>
  <c r="E192" i="26"/>
  <c r="D192" i="26"/>
  <c r="E191" i="26"/>
  <c r="D191" i="26"/>
  <c r="E190" i="26"/>
  <c r="D190" i="26"/>
  <c r="E189" i="26"/>
  <c r="D189" i="26"/>
  <c r="E188" i="26"/>
  <c r="D188" i="26"/>
  <c r="E187" i="26"/>
  <c r="D187" i="26"/>
  <c r="E186" i="26"/>
  <c r="D186" i="26"/>
  <c r="E185" i="26"/>
  <c r="D185" i="26"/>
  <c r="E184" i="26"/>
  <c r="D184" i="26"/>
  <c r="E183" i="26"/>
  <c r="D183" i="26"/>
  <c r="E182" i="26"/>
  <c r="D182" i="26"/>
  <c r="E181" i="26"/>
  <c r="D181" i="26"/>
  <c r="E180" i="26"/>
  <c r="D180" i="26"/>
  <c r="E179" i="26"/>
  <c r="D179" i="26"/>
  <c r="E178" i="26"/>
  <c r="D178" i="26"/>
  <c r="E177" i="26"/>
  <c r="D177" i="26"/>
  <c r="E176" i="26"/>
  <c r="D176" i="26"/>
  <c r="E175" i="26"/>
  <c r="D175" i="26"/>
  <c r="E174" i="26"/>
  <c r="D174" i="26"/>
  <c r="E173" i="26"/>
  <c r="D173" i="26"/>
  <c r="E172" i="26"/>
  <c r="D172" i="26"/>
  <c r="E171" i="26"/>
  <c r="D171" i="26"/>
  <c r="E170" i="26"/>
  <c r="D170" i="26"/>
  <c r="E169" i="26"/>
  <c r="D169" i="26"/>
  <c r="E168" i="26"/>
  <c r="D168" i="26"/>
  <c r="E167" i="26"/>
  <c r="D167" i="26"/>
  <c r="E166" i="26"/>
  <c r="D166" i="26"/>
  <c r="E165" i="26"/>
  <c r="D165" i="26"/>
  <c r="E164" i="26"/>
  <c r="D164" i="26"/>
  <c r="E163" i="26"/>
  <c r="D163" i="26"/>
  <c r="E162" i="26"/>
  <c r="D162" i="26"/>
  <c r="E161" i="26"/>
  <c r="D161" i="26"/>
  <c r="E160" i="26"/>
  <c r="D160" i="26"/>
  <c r="E159" i="26"/>
  <c r="D159" i="26"/>
  <c r="E158" i="26"/>
  <c r="D158" i="26"/>
  <c r="E157" i="26"/>
  <c r="D157" i="26"/>
  <c r="E156" i="26"/>
  <c r="D156" i="26"/>
  <c r="E155" i="26"/>
  <c r="D155" i="26"/>
  <c r="E154" i="26"/>
  <c r="D154" i="26"/>
  <c r="E153" i="26"/>
  <c r="D153" i="26"/>
  <c r="E152" i="26"/>
  <c r="D152" i="26"/>
  <c r="E151" i="26"/>
  <c r="D151" i="26"/>
  <c r="E150" i="26"/>
  <c r="D150" i="26"/>
  <c r="E149" i="26"/>
  <c r="D149" i="26"/>
  <c r="E148" i="26"/>
  <c r="D148" i="26"/>
  <c r="E147" i="26"/>
  <c r="D147" i="26"/>
  <c r="E146" i="26"/>
  <c r="D146" i="26"/>
  <c r="E145" i="26"/>
  <c r="D145" i="26"/>
  <c r="E144" i="26"/>
  <c r="D144" i="26"/>
  <c r="E143" i="26"/>
  <c r="D143" i="26"/>
  <c r="E142" i="26"/>
  <c r="D142" i="26"/>
  <c r="E141" i="26"/>
  <c r="D141" i="26"/>
  <c r="E140" i="26"/>
  <c r="D140" i="26"/>
  <c r="E139" i="26"/>
  <c r="D139" i="26"/>
  <c r="E138" i="26"/>
  <c r="D138" i="26"/>
  <c r="E137" i="26"/>
  <c r="D137" i="26"/>
  <c r="E136" i="26"/>
  <c r="D136" i="26"/>
  <c r="E135" i="26"/>
  <c r="D135" i="26"/>
  <c r="E134" i="26"/>
  <c r="D134" i="26"/>
  <c r="E133" i="26"/>
  <c r="D133" i="26"/>
  <c r="E132" i="26"/>
  <c r="D132" i="26"/>
  <c r="E131" i="26"/>
  <c r="D131" i="26"/>
  <c r="E130" i="26"/>
  <c r="D130" i="26"/>
  <c r="E129" i="26"/>
  <c r="D129" i="26"/>
  <c r="E128" i="26"/>
  <c r="D128" i="26"/>
  <c r="E127" i="26"/>
  <c r="D127" i="26"/>
  <c r="E126" i="26"/>
  <c r="D126" i="26"/>
  <c r="E125" i="26"/>
  <c r="D125" i="26"/>
  <c r="E124" i="26"/>
  <c r="D124" i="26"/>
  <c r="E123" i="26"/>
  <c r="D123" i="26"/>
  <c r="E122" i="26"/>
  <c r="D122" i="26"/>
  <c r="E121" i="26"/>
  <c r="D121" i="26"/>
  <c r="E120" i="26"/>
  <c r="D120" i="26"/>
  <c r="E119" i="26"/>
  <c r="D119" i="26"/>
  <c r="E118" i="26"/>
  <c r="D118" i="26"/>
  <c r="E117" i="26"/>
  <c r="D117" i="26"/>
  <c r="E116" i="26"/>
  <c r="D116" i="26"/>
  <c r="E115" i="26"/>
  <c r="D115" i="26"/>
  <c r="E114" i="26"/>
  <c r="D114" i="26"/>
  <c r="E113" i="26"/>
  <c r="D113" i="26"/>
  <c r="E112" i="26"/>
  <c r="D112" i="26"/>
  <c r="E111" i="26"/>
  <c r="D111" i="26"/>
  <c r="E110" i="26"/>
  <c r="D110" i="26"/>
  <c r="E109" i="26"/>
  <c r="D109" i="26"/>
  <c r="E108" i="26"/>
  <c r="D108" i="26"/>
  <c r="E107" i="26"/>
  <c r="D107" i="26"/>
  <c r="E106" i="26"/>
  <c r="D106" i="26"/>
  <c r="E105" i="26"/>
  <c r="D105" i="26"/>
  <c r="E104" i="26"/>
  <c r="D104" i="26"/>
  <c r="E103" i="26"/>
  <c r="D103" i="26"/>
  <c r="E102" i="26"/>
  <c r="D102" i="26"/>
  <c r="E101" i="26"/>
  <c r="D101" i="26"/>
  <c r="E100" i="26"/>
  <c r="D100" i="26"/>
  <c r="E99" i="26"/>
  <c r="D99" i="26"/>
  <c r="E98" i="26"/>
  <c r="D98" i="26"/>
  <c r="E97" i="26"/>
  <c r="D97" i="26"/>
  <c r="E96" i="26"/>
  <c r="D96" i="26"/>
  <c r="E95" i="26"/>
  <c r="D95" i="26"/>
  <c r="E94" i="26"/>
  <c r="D94" i="26"/>
  <c r="E93" i="26"/>
  <c r="D93" i="26"/>
  <c r="E92" i="26"/>
  <c r="D92" i="26"/>
  <c r="E91" i="26"/>
  <c r="D91" i="26"/>
  <c r="E90" i="26"/>
  <c r="D90" i="26"/>
  <c r="E89" i="26"/>
  <c r="D89" i="26"/>
  <c r="E88" i="26"/>
  <c r="D88" i="26"/>
  <c r="E87" i="26"/>
  <c r="D87" i="26"/>
  <c r="E86" i="26"/>
  <c r="D86" i="26"/>
  <c r="E85" i="26"/>
  <c r="D85" i="26"/>
  <c r="E84" i="26"/>
  <c r="D84" i="26"/>
  <c r="E83" i="26"/>
  <c r="D83" i="26"/>
  <c r="E82" i="26"/>
  <c r="D82" i="26"/>
  <c r="E81" i="26"/>
  <c r="D81" i="26"/>
  <c r="E80" i="26"/>
  <c r="D80" i="26"/>
  <c r="E79" i="26"/>
  <c r="D79" i="26"/>
  <c r="E78" i="26"/>
  <c r="D78" i="26"/>
  <c r="E77" i="26"/>
  <c r="D77" i="26"/>
  <c r="E76" i="26"/>
  <c r="D76" i="26"/>
  <c r="E75" i="26"/>
  <c r="D75" i="26"/>
  <c r="E74" i="26"/>
  <c r="D74" i="26"/>
  <c r="E73" i="26"/>
  <c r="D73" i="26"/>
  <c r="E72" i="26"/>
  <c r="D72" i="26"/>
  <c r="E71" i="26"/>
  <c r="D71" i="26"/>
  <c r="E70" i="26"/>
  <c r="D70" i="26"/>
  <c r="E69" i="26"/>
  <c r="D69" i="26"/>
  <c r="E68" i="26"/>
  <c r="D68" i="26"/>
  <c r="E67" i="26"/>
  <c r="D67" i="26"/>
  <c r="E66" i="26"/>
  <c r="D66" i="26"/>
  <c r="E65" i="26"/>
  <c r="D65" i="26"/>
  <c r="E64" i="26"/>
  <c r="D64" i="26"/>
  <c r="E63" i="26"/>
  <c r="D63" i="26"/>
  <c r="E62" i="26"/>
  <c r="D62" i="26"/>
  <c r="E61" i="26"/>
  <c r="D61" i="26"/>
  <c r="E60" i="26"/>
  <c r="D60" i="26"/>
  <c r="E59" i="26"/>
  <c r="D59" i="26"/>
  <c r="E58" i="26"/>
  <c r="D58" i="26"/>
  <c r="E57" i="26"/>
  <c r="D57" i="26"/>
  <c r="E56" i="26"/>
  <c r="D56" i="26"/>
  <c r="E55" i="26"/>
  <c r="D55" i="26"/>
  <c r="E54" i="26"/>
  <c r="D54" i="26"/>
  <c r="E53" i="26"/>
  <c r="D53" i="26"/>
  <c r="E52" i="26"/>
  <c r="D52" i="26"/>
  <c r="E51" i="26"/>
  <c r="D51" i="26"/>
  <c r="E50" i="26"/>
  <c r="D50" i="26"/>
  <c r="E49" i="26"/>
  <c r="D49" i="26"/>
  <c r="E48" i="26"/>
  <c r="D48" i="26"/>
  <c r="E47" i="26"/>
  <c r="D47" i="26"/>
  <c r="E46" i="26"/>
  <c r="D46" i="26"/>
  <c r="E45" i="26"/>
  <c r="D45" i="26"/>
  <c r="E44" i="26"/>
  <c r="D44" i="26"/>
  <c r="E43" i="26"/>
  <c r="D43" i="26"/>
  <c r="E42" i="26"/>
  <c r="D42" i="26"/>
  <c r="E41" i="26"/>
  <c r="D41" i="26"/>
  <c r="E40" i="26"/>
  <c r="D40" i="26"/>
  <c r="E39" i="26"/>
  <c r="D39" i="26"/>
  <c r="E38" i="26"/>
  <c r="D38" i="26"/>
  <c r="E37" i="26"/>
  <c r="D37" i="26"/>
  <c r="E36" i="26"/>
  <c r="D36" i="26"/>
  <c r="E35" i="26"/>
  <c r="D35" i="26"/>
  <c r="E34" i="26"/>
  <c r="D34" i="26"/>
  <c r="E33" i="26"/>
  <c r="D33" i="26"/>
  <c r="E32" i="26"/>
  <c r="D32" i="26"/>
  <c r="E31" i="26"/>
  <c r="D31" i="26"/>
  <c r="E30" i="26"/>
  <c r="D30" i="26"/>
  <c r="E29" i="26"/>
  <c r="D29" i="26"/>
  <c r="E28" i="26"/>
  <c r="D28" i="26"/>
  <c r="E27" i="26"/>
  <c r="D27" i="26"/>
  <c r="E26" i="26"/>
  <c r="D26" i="26"/>
  <c r="E25" i="26"/>
  <c r="D25" i="26"/>
  <c r="E24" i="26"/>
  <c r="D24" i="26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E14" i="26"/>
  <c r="D14" i="26"/>
  <c r="E13" i="26"/>
  <c r="D13" i="26"/>
  <c r="E12" i="26"/>
  <c r="D12" i="26"/>
  <c r="E11" i="26"/>
  <c r="D11" i="26"/>
  <c r="E10" i="26"/>
  <c r="D10" i="26"/>
  <c r="E9" i="26"/>
  <c r="D9" i="26"/>
  <c r="E8" i="26"/>
  <c r="D8" i="26"/>
  <c r="E7" i="26"/>
  <c r="D7" i="26"/>
  <c r="E6" i="26"/>
  <c r="D6" i="26"/>
  <c r="E5" i="26"/>
  <c r="D5" i="26"/>
  <c r="E4" i="26"/>
  <c r="D4" i="26"/>
  <c r="E3" i="26"/>
  <c r="D3" i="26"/>
  <c r="E2" i="26"/>
  <c r="D2" i="26"/>
  <c r="H393" i="25"/>
  <c r="H392" i="25"/>
  <c r="M391" i="25"/>
  <c r="H391" i="25"/>
  <c r="H390" i="25"/>
  <c r="H389" i="25"/>
  <c r="H388" i="25"/>
  <c r="H387" i="25"/>
  <c r="H386" i="25"/>
  <c r="M385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L362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I346" i="25"/>
  <c r="F346" i="25"/>
  <c r="I345" i="25"/>
  <c r="F345" i="25"/>
  <c r="I344" i="25"/>
  <c r="F344" i="25"/>
  <c r="I343" i="25"/>
  <c r="F343" i="25"/>
  <c r="I342" i="25"/>
  <c r="F342" i="25"/>
  <c r="I341" i="25"/>
  <c r="F341" i="25"/>
  <c r="I340" i="25"/>
  <c r="F340" i="25"/>
  <c r="I339" i="25"/>
  <c r="F339" i="25"/>
  <c r="I338" i="25"/>
  <c r="F338" i="25"/>
  <c r="I337" i="25"/>
  <c r="F337" i="25"/>
  <c r="I336" i="25"/>
  <c r="F336" i="25"/>
  <c r="I335" i="25"/>
  <c r="F335" i="25"/>
  <c r="I334" i="25"/>
  <c r="F334" i="25"/>
  <c r="I333" i="25"/>
  <c r="F333" i="25"/>
  <c r="I332" i="25"/>
  <c r="F332" i="25"/>
  <c r="I331" i="25"/>
  <c r="F331" i="25"/>
  <c r="I330" i="25"/>
  <c r="F330" i="25"/>
  <c r="I329" i="25"/>
  <c r="F329" i="25"/>
  <c r="I328" i="25"/>
  <c r="F328" i="25"/>
  <c r="I327" i="25"/>
  <c r="F327" i="25"/>
  <c r="I326" i="25"/>
  <c r="F326" i="25"/>
  <c r="I325" i="25"/>
  <c r="F325" i="25"/>
  <c r="I324" i="25"/>
  <c r="F324" i="25"/>
  <c r="I323" i="25"/>
  <c r="F323" i="25"/>
  <c r="I322" i="25"/>
  <c r="F322" i="25"/>
  <c r="I321" i="25"/>
  <c r="F321" i="25"/>
  <c r="I320" i="25"/>
  <c r="F320" i="25"/>
  <c r="I319" i="25"/>
  <c r="F319" i="25"/>
  <c r="I318" i="25"/>
  <c r="F318" i="25"/>
  <c r="I317" i="25"/>
  <c r="F317" i="25"/>
  <c r="I316" i="25"/>
  <c r="F316" i="25"/>
  <c r="M315" i="25"/>
  <c r="I315" i="25"/>
  <c r="F315" i="25"/>
  <c r="I314" i="25"/>
  <c r="F314" i="25"/>
  <c r="I313" i="25"/>
  <c r="F313" i="25"/>
  <c r="I312" i="25"/>
  <c r="F312" i="25"/>
  <c r="I311" i="25"/>
  <c r="F311" i="25"/>
  <c r="I310" i="25"/>
  <c r="F310" i="25"/>
  <c r="I309" i="25"/>
  <c r="F309" i="25"/>
  <c r="I308" i="25"/>
  <c r="F308" i="25"/>
  <c r="I307" i="25"/>
  <c r="F307" i="25"/>
  <c r="I306" i="25"/>
  <c r="F306" i="25"/>
  <c r="I305" i="25"/>
  <c r="F305" i="25"/>
  <c r="I304" i="25"/>
  <c r="F304" i="25"/>
  <c r="I303" i="25"/>
  <c r="F303" i="25"/>
  <c r="F302" i="25"/>
  <c r="F301" i="25"/>
  <c r="F300" i="25"/>
  <c r="F299" i="25"/>
  <c r="F298" i="25"/>
  <c r="F297" i="25"/>
  <c r="I296" i="25"/>
  <c r="F296" i="25"/>
  <c r="I295" i="25"/>
  <c r="F295" i="25"/>
  <c r="I294" i="25"/>
  <c r="F294" i="25"/>
  <c r="I293" i="25"/>
  <c r="F293" i="25"/>
  <c r="I292" i="25"/>
  <c r="F292" i="25"/>
  <c r="I291" i="25"/>
  <c r="F291" i="25"/>
  <c r="I290" i="25"/>
  <c r="F290" i="25"/>
  <c r="I289" i="25"/>
  <c r="F289" i="25"/>
  <c r="I288" i="25"/>
  <c r="F288" i="25"/>
  <c r="I287" i="25"/>
  <c r="F287" i="25"/>
  <c r="I286" i="25"/>
  <c r="F286" i="25"/>
  <c r="I285" i="25"/>
  <c r="F285" i="25"/>
  <c r="I284" i="25"/>
  <c r="F284" i="25"/>
  <c r="I283" i="25"/>
  <c r="F283" i="25"/>
  <c r="I282" i="25"/>
  <c r="F282" i="25"/>
  <c r="I281" i="25"/>
  <c r="F281" i="25"/>
  <c r="I280" i="25"/>
  <c r="F280" i="25"/>
  <c r="F279" i="25"/>
  <c r="F278" i="25"/>
  <c r="I277" i="25"/>
  <c r="F277" i="25"/>
  <c r="I276" i="25"/>
  <c r="F276" i="25"/>
  <c r="I275" i="25"/>
  <c r="F275" i="25"/>
  <c r="I274" i="25"/>
  <c r="F274" i="25"/>
  <c r="I273" i="25"/>
  <c r="F273" i="25"/>
  <c r="I272" i="25"/>
  <c r="F272" i="25"/>
  <c r="I271" i="25"/>
  <c r="F271" i="25"/>
  <c r="I270" i="25"/>
  <c r="F270" i="25"/>
  <c r="I269" i="25"/>
  <c r="F269" i="25"/>
  <c r="I268" i="25"/>
  <c r="F268" i="25"/>
  <c r="I267" i="25"/>
  <c r="F267" i="25"/>
  <c r="I266" i="25"/>
  <c r="F266" i="25"/>
  <c r="I265" i="25"/>
  <c r="F265" i="25"/>
  <c r="I264" i="25"/>
  <c r="F264" i="25"/>
  <c r="I263" i="25"/>
  <c r="F263" i="25"/>
  <c r="I262" i="25"/>
  <c r="F262" i="25"/>
  <c r="I261" i="25"/>
  <c r="F261" i="25"/>
  <c r="I260" i="25"/>
  <c r="F260" i="25"/>
  <c r="I259" i="25"/>
  <c r="F259" i="25"/>
  <c r="I258" i="25"/>
  <c r="F258" i="25"/>
  <c r="I257" i="25"/>
  <c r="F257" i="25"/>
  <c r="M256" i="25"/>
  <c r="H256" i="25"/>
  <c r="H255" i="25"/>
  <c r="H254" i="25"/>
  <c r="I253" i="25"/>
  <c r="F253" i="25"/>
  <c r="M252" i="25"/>
  <c r="I252" i="25"/>
  <c r="F252" i="25"/>
  <c r="I251" i="25"/>
  <c r="F251" i="25"/>
  <c r="M250" i="25"/>
  <c r="I250" i="25"/>
  <c r="F250" i="25"/>
  <c r="I249" i="25"/>
  <c r="F249" i="25"/>
  <c r="M248" i="25"/>
  <c r="I248" i="25"/>
  <c r="F248" i="25"/>
  <c r="I247" i="25"/>
  <c r="F247" i="25"/>
  <c r="M246" i="25"/>
  <c r="I246" i="25"/>
  <c r="F246" i="25"/>
  <c r="I245" i="25"/>
  <c r="F245" i="25"/>
  <c r="M244" i="25"/>
  <c r="I244" i="25"/>
  <c r="F244" i="25"/>
  <c r="F243" i="25"/>
  <c r="F242" i="25"/>
  <c r="F241" i="25"/>
  <c r="F240" i="25"/>
  <c r="F239" i="25"/>
  <c r="F238" i="25"/>
  <c r="F237" i="25"/>
  <c r="F236" i="25"/>
  <c r="L235" i="25"/>
  <c r="F235" i="25"/>
  <c r="L234" i="25"/>
  <c r="F234" i="25"/>
  <c r="F233" i="25"/>
  <c r="F232" i="25"/>
  <c r="F231" i="25"/>
  <c r="F230" i="25"/>
  <c r="F229" i="25"/>
  <c r="M228" i="25"/>
  <c r="F228" i="25"/>
  <c r="F227" i="25"/>
  <c r="F226" i="25"/>
  <c r="F225" i="25"/>
  <c r="L224" i="25"/>
  <c r="F224" i="25"/>
  <c r="F223" i="25"/>
  <c r="M222" i="25"/>
  <c r="F222" i="25"/>
  <c r="F221" i="25"/>
  <c r="F220" i="25"/>
  <c r="F219" i="25"/>
  <c r="F218" i="25"/>
  <c r="F217" i="25"/>
  <c r="L216" i="25"/>
  <c r="F216" i="25"/>
  <c r="I215" i="25"/>
  <c r="F215" i="25"/>
  <c r="L214" i="25"/>
  <c r="I214" i="25"/>
  <c r="F214" i="25"/>
  <c r="I213" i="25"/>
  <c r="F213" i="25"/>
  <c r="I212" i="25"/>
  <c r="F212" i="25"/>
  <c r="I211" i="25"/>
  <c r="F211" i="25"/>
  <c r="I210" i="25"/>
  <c r="F210" i="25"/>
  <c r="I209" i="25"/>
  <c r="F209" i="25"/>
  <c r="I208" i="25"/>
  <c r="F208" i="25"/>
  <c r="I207" i="25"/>
  <c r="F207" i="25"/>
  <c r="I206" i="25"/>
  <c r="F206" i="25"/>
  <c r="I205" i="25"/>
  <c r="F205" i="25"/>
  <c r="L204" i="25"/>
  <c r="I204" i="25"/>
  <c r="F204" i="25"/>
  <c r="F203" i="25"/>
  <c r="H202" i="25"/>
  <c r="H201" i="25"/>
  <c r="L200" i="25"/>
  <c r="H200" i="25"/>
  <c r="H199" i="25"/>
  <c r="H198" i="25"/>
  <c r="M197" i="25"/>
  <c r="H197" i="25"/>
  <c r="H196" i="25"/>
  <c r="H195" i="25"/>
  <c r="H194" i="25"/>
  <c r="H193" i="25"/>
  <c r="H192" i="25"/>
  <c r="H191" i="25"/>
  <c r="L190" i="25"/>
  <c r="H190" i="25"/>
  <c r="H189" i="25"/>
  <c r="H188" i="25"/>
  <c r="H187" i="25"/>
  <c r="H186" i="25"/>
  <c r="H185" i="25"/>
  <c r="H184" i="25"/>
  <c r="H183" i="25"/>
  <c r="H182" i="25"/>
  <c r="L181" i="25"/>
  <c r="H181" i="25"/>
  <c r="H180" i="25"/>
  <c r="H179" i="25"/>
  <c r="H178" i="25"/>
  <c r="H177" i="25"/>
  <c r="L176" i="25"/>
  <c r="H176" i="25"/>
  <c r="M175" i="25"/>
  <c r="H175" i="25"/>
  <c r="H174" i="25"/>
  <c r="H173" i="25"/>
  <c r="H172" i="25"/>
  <c r="H171" i="25"/>
  <c r="H170" i="25"/>
  <c r="H169" i="25"/>
  <c r="H168" i="25"/>
  <c r="M167" i="25"/>
  <c r="H167" i="25"/>
  <c r="H166" i="25"/>
  <c r="H165" i="25"/>
  <c r="L164" i="25"/>
  <c r="H164" i="25"/>
  <c r="H163" i="25"/>
  <c r="L162" i="25"/>
  <c r="H162" i="25"/>
  <c r="M161" i="25"/>
  <c r="H161" i="25"/>
  <c r="H160" i="25"/>
  <c r="H159" i="25"/>
  <c r="M158" i="25"/>
  <c r="M154" i="25"/>
  <c r="H154" i="25"/>
  <c r="H153" i="25"/>
  <c r="H152" i="25"/>
  <c r="L151" i="25"/>
  <c r="H151" i="25"/>
  <c r="H150" i="25"/>
  <c r="L149" i="25"/>
  <c r="H149" i="25"/>
  <c r="M148" i="25"/>
  <c r="H148" i="25"/>
  <c r="H147" i="25"/>
  <c r="M146" i="25"/>
  <c r="H146" i="25"/>
  <c r="H145" i="25"/>
  <c r="H144" i="25"/>
  <c r="L143" i="25"/>
  <c r="H143" i="25"/>
  <c r="H142" i="25"/>
  <c r="H141" i="25"/>
  <c r="M140" i="25"/>
  <c r="H140" i="25"/>
  <c r="L139" i="25"/>
  <c r="H139" i="25"/>
  <c r="M138" i="25"/>
  <c r="H138" i="25"/>
  <c r="L137" i="25"/>
  <c r="H137" i="25"/>
  <c r="H136" i="25"/>
  <c r="H135" i="25"/>
  <c r="M134" i="25"/>
  <c r="H134" i="25"/>
  <c r="H133" i="25"/>
  <c r="H132" i="25"/>
  <c r="L131" i="25"/>
  <c r="H131" i="25"/>
  <c r="H130" i="25"/>
  <c r="L129" i="25"/>
  <c r="H129" i="25"/>
  <c r="M128" i="25"/>
  <c r="H128" i="25"/>
  <c r="L127" i="25"/>
  <c r="H127" i="25"/>
  <c r="M126" i="25"/>
  <c r="H126" i="25"/>
  <c r="L125" i="25"/>
  <c r="H125" i="25"/>
  <c r="M124" i="25"/>
  <c r="H124" i="25"/>
  <c r="L123" i="25"/>
  <c r="H123" i="25"/>
  <c r="M122" i="25"/>
  <c r="H122" i="25"/>
  <c r="L121" i="25"/>
  <c r="H121" i="25"/>
  <c r="M120" i="25"/>
  <c r="H120" i="25"/>
  <c r="L119" i="25"/>
  <c r="H119" i="25"/>
  <c r="M118" i="25"/>
  <c r="H118" i="25"/>
  <c r="L117" i="25"/>
  <c r="H117" i="25"/>
  <c r="M116" i="25"/>
  <c r="H116" i="25"/>
  <c r="L115" i="25"/>
  <c r="H115" i="25"/>
  <c r="M114" i="25"/>
  <c r="H114" i="25"/>
  <c r="L113" i="25"/>
  <c r="H113" i="25"/>
  <c r="M112" i="25"/>
  <c r="H112" i="25"/>
  <c r="L111" i="25"/>
  <c r="H111" i="25"/>
  <c r="M110" i="25"/>
  <c r="H110" i="25"/>
  <c r="L109" i="25"/>
  <c r="H109" i="25"/>
  <c r="M108" i="25"/>
  <c r="H108" i="25"/>
  <c r="L107" i="25"/>
  <c r="H107" i="25"/>
  <c r="H106" i="25"/>
  <c r="H105" i="25"/>
  <c r="H104" i="25"/>
  <c r="H103" i="25"/>
  <c r="H102" i="25"/>
  <c r="H101" i="25"/>
  <c r="M100" i="25"/>
  <c r="H100" i="25"/>
  <c r="M99" i="25"/>
  <c r="H99" i="25"/>
  <c r="M98" i="25"/>
  <c r="H98" i="25"/>
  <c r="M97" i="25"/>
  <c r="H97" i="25"/>
  <c r="M96" i="25"/>
  <c r="H96" i="25"/>
  <c r="M95" i="25"/>
  <c r="H95" i="25"/>
  <c r="L94" i="25"/>
  <c r="H94" i="25"/>
  <c r="M93" i="25"/>
  <c r="H93" i="25"/>
  <c r="L92" i="25"/>
  <c r="H92" i="25"/>
  <c r="M91" i="25"/>
  <c r="H91" i="25"/>
  <c r="L90" i="25"/>
  <c r="H90" i="25"/>
  <c r="M89" i="25"/>
  <c r="H89" i="25"/>
  <c r="H88" i="25"/>
  <c r="H87" i="25"/>
  <c r="H86" i="25"/>
  <c r="H85" i="25"/>
  <c r="H84" i="25"/>
  <c r="H83" i="25"/>
  <c r="H82" i="25"/>
  <c r="M81" i="25"/>
  <c r="H81" i="25"/>
  <c r="H80" i="25"/>
  <c r="H79" i="25"/>
  <c r="M78" i="25"/>
  <c r="L76" i="25"/>
  <c r="M75" i="25"/>
  <c r="L75" i="25"/>
  <c r="M74" i="25"/>
  <c r="L72" i="25"/>
  <c r="M71" i="25"/>
  <c r="L71" i="25"/>
  <c r="M70" i="25"/>
  <c r="L68" i="25"/>
  <c r="H68" i="25"/>
  <c r="M67" i="25"/>
  <c r="H67" i="25"/>
  <c r="H63" i="25" s="1"/>
  <c r="J66" i="25"/>
  <c r="I66" i="25"/>
  <c r="H66" i="25"/>
  <c r="G66" i="25"/>
  <c r="F66" i="25"/>
  <c r="J65" i="25"/>
  <c r="I65" i="25"/>
  <c r="H65" i="25"/>
  <c r="G65" i="25"/>
  <c r="L65" i="25" s="1"/>
  <c r="F65" i="25"/>
  <c r="J64" i="25"/>
  <c r="I64" i="25"/>
  <c r="G64" i="25"/>
  <c r="L64" i="25" s="1"/>
  <c r="F64" i="25"/>
  <c r="J63" i="25"/>
  <c r="I63" i="25"/>
  <c r="G63" i="25"/>
  <c r="L63" i="25" s="1"/>
  <c r="F63" i="25"/>
  <c r="L62" i="25"/>
  <c r="M61" i="25"/>
  <c r="L61" i="25"/>
  <c r="M60" i="25"/>
  <c r="H60" i="25"/>
  <c r="L59" i="25"/>
  <c r="H59" i="25"/>
  <c r="M58" i="25"/>
  <c r="L58" i="25"/>
  <c r="H58" i="25"/>
  <c r="M57" i="25"/>
  <c r="H57" i="25"/>
  <c r="L56" i="25"/>
  <c r="M55" i="25"/>
  <c r="L55" i="25"/>
  <c r="M54" i="25"/>
  <c r="L52" i="25"/>
  <c r="M51" i="25"/>
  <c r="L51" i="25"/>
  <c r="M50" i="25"/>
  <c r="L48" i="25"/>
  <c r="M47" i="25"/>
  <c r="L47" i="25"/>
  <c r="M46" i="25"/>
  <c r="H44" i="25"/>
  <c r="L43" i="25"/>
  <c r="H43" i="25"/>
  <c r="M42" i="25"/>
  <c r="L42" i="25"/>
  <c r="H42" i="25"/>
  <c r="M41" i="25"/>
  <c r="H41" i="25"/>
  <c r="H40" i="25"/>
  <c r="L39" i="25"/>
  <c r="H39" i="25"/>
  <c r="M38" i="25"/>
  <c r="L38" i="25"/>
  <c r="H38" i="25"/>
  <c r="M37" i="25"/>
  <c r="H37" i="25"/>
  <c r="H36" i="25"/>
  <c r="L35" i="25"/>
  <c r="H35" i="25"/>
  <c r="H34" i="25"/>
  <c r="H33" i="25"/>
  <c r="H32" i="25"/>
  <c r="H31" i="25"/>
  <c r="M30" i="25"/>
  <c r="L30" i="25"/>
  <c r="M29" i="25"/>
  <c r="M28" i="25"/>
  <c r="L25" i="25"/>
  <c r="M24" i="25"/>
  <c r="L24" i="25"/>
  <c r="M23" i="25"/>
  <c r="L23" i="25"/>
  <c r="L21" i="25"/>
  <c r="M20" i="25"/>
  <c r="L20" i="25"/>
  <c r="M19" i="25"/>
  <c r="L19" i="25"/>
  <c r="L17" i="25"/>
  <c r="M16" i="25"/>
  <c r="L16" i="25"/>
  <c r="M15" i="25"/>
  <c r="L15" i="25"/>
  <c r="H14" i="25"/>
  <c r="M13" i="25"/>
  <c r="L13" i="25"/>
  <c r="H13" i="25"/>
  <c r="L11" i="25"/>
  <c r="M10" i="25"/>
  <c r="L10" i="25"/>
  <c r="H10" i="25"/>
  <c r="H9" i="25"/>
  <c r="M8" i="25"/>
  <c r="L8" i="25"/>
  <c r="M7" i="25"/>
  <c r="L7" i="25"/>
  <c r="H6" i="25"/>
  <c r="M5" i="25"/>
  <c r="L5" i="25"/>
  <c r="H5" i="25"/>
  <c r="M4" i="25"/>
  <c r="L4" i="25"/>
  <c r="H4" i="25"/>
  <c r="M3" i="25"/>
  <c r="L3" i="25"/>
  <c r="H3" i="25"/>
  <c r="N2" i="25"/>
  <c r="O2" i="25" s="1"/>
  <c r="M2" i="25"/>
  <c r="N1" i="25"/>
  <c r="M1" i="25"/>
  <c r="M236" i="25" s="1"/>
  <c r="L1" i="25"/>
  <c r="B6" i="23"/>
  <c r="B5" i="23"/>
  <c r="B4" i="23"/>
  <c r="B3" i="23"/>
  <c r="B5" i="20"/>
  <c r="B4" i="20"/>
  <c r="E1" i="20"/>
  <c r="B8" i="18"/>
  <c r="B6" i="18"/>
  <c r="B5" i="18"/>
  <c r="B4" i="16"/>
  <c r="B3" i="16"/>
  <c r="B2" i="16"/>
  <c r="E1" i="16"/>
  <c r="B5" i="16" s="1"/>
  <c r="B116" i="6"/>
  <c r="B112" i="6"/>
  <c r="B103" i="6"/>
  <c r="B102" i="6"/>
  <c r="B99" i="6"/>
  <c r="B98" i="6"/>
  <c r="B97" i="6"/>
  <c r="B95" i="6"/>
  <c r="B91" i="6"/>
  <c r="B89" i="6"/>
  <c r="B70" i="6"/>
  <c r="B68" i="6"/>
  <c r="B40" i="6"/>
  <c r="B31" i="6"/>
  <c r="B27" i="6"/>
  <c r="B20" i="6"/>
  <c r="B19" i="6"/>
  <c r="B14" i="6"/>
  <c r="B89" i="5"/>
  <c r="B79" i="5"/>
  <c r="B69" i="5"/>
  <c r="B65" i="5"/>
  <c r="B58" i="5"/>
  <c r="B44" i="5"/>
  <c r="B33" i="5" s="1"/>
  <c r="B37" i="5"/>
  <c r="B31" i="5"/>
  <c r="B20" i="5"/>
  <c r="J4" i="28" l="1"/>
  <c r="J18" i="28"/>
  <c r="J6" i="28"/>
  <c r="J35" i="28"/>
  <c r="J7" i="28"/>
  <c r="J38" i="28"/>
  <c r="J9" i="28"/>
  <c r="J29" i="28"/>
  <c r="J54" i="28"/>
  <c r="J11" i="28"/>
  <c r="J12" i="28"/>
  <c r="J31" i="28"/>
  <c r="J21" i="28"/>
  <c r="J14" i="28"/>
  <c r="L18" i="28"/>
  <c r="K20" i="28"/>
  <c r="K35" i="28"/>
  <c r="J40" i="28"/>
  <c r="J25" i="28"/>
  <c r="J52" i="28"/>
  <c r="J27" i="28"/>
  <c r="J8" i="28"/>
  <c r="K23" i="28"/>
  <c r="J42" i="28"/>
  <c r="L42" i="28"/>
  <c r="K42" i="28"/>
  <c r="L43" i="28"/>
  <c r="K43" i="28"/>
  <c r="J43" i="28"/>
  <c r="J26" i="28"/>
  <c r="L26" i="28"/>
  <c r="K26" i="28"/>
  <c r="L41" i="28"/>
  <c r="K41" i="28"/>
  <c r="J41" i="28"/>
  <c r="L55" i="28"/>
  <c r="K55" i="28"/>
  <c r="J55" i="28"/>
  <c r="J22" i="28"/>
  <c r="L22" i="28"/>
  <c r="K22" i="28"/>
  <c r="L45" i="28"/>
  <c r="K45" i="28"/>
  <c r="J45" i="28"/>
  <c r="J34" i="28"/>
  <c r="L34" i="28"/>
  <c r="K34" i="28"/>
  <c r="J24" i="28"/>
  <c r="L24" i="28"/>
  <c r="K24" i="28"/>
  <c r="J50" i="28"/>
  <c r="L50" i="28"/>
  <c r="K50" i="28"/>
  <c r="J30" i="28"/>
  <c r="L30" i="28"/>
  <c r="K30" i="28"/>
  <c r="L39" i="28"/>
  <c r="K39" i="28"/>
  <c r="J39" i="28"/>
  <c r="J16" i="28"/>
  <c r="L16" i="28"/>
  <c r="K16" i="28"/>
  <c r="L47" i="28"/>
  <c r="K47" i="28"/>
  <c r="J47" i="28"/>
  <c r="L37" i="28"/>
  <c r="K37" i="28"/>
  <c r="J37" i="28"/>
  <c r="L51" i="28"/>
  <c r="K51" i="28"/>
  <c r="J51" i="28"/>
  <c r="L33" i="28"/>
  <c r="K33" i="28"/>
  <c r="J33" i="28"/>
  <c r="J28" i="28"/>
  <c r="L28" i="28"/>
  <c r="K28" i="28"/>
  <c r="L53" i="28"/>
  <c r="K53" i="28"/>
  <c r="J53" i="28"/>
  <c r="L49" i="28"/>
  <c r="K49" i="28"/>
  <c r="J49" i="28"/>
  <c r="J3" i="28"/>
  <c r="L3" i="28"/>
  <c r="K3" i="28"/>
  <c r="M65" i="25"/>
  <c r="M63" i="25"/>
  <c r="P2" i="25"/>
  <c r="O1" i="25"/>
  <c r="O65" i="25" s="1"/>
  <c r="N390" i="25"/>
  <c r="N388" i="25"/>
  <c r="N386" i="25"/>
  <c r="N375" i="25"/>
  <c r="N379" i="25"/>
  <c r="N389" i="25"/>
  <c r="N377" i="25"/>
  <c r="N368" i="25"/>
  <c r="N366" i="25"/>
  <c r="N362" i="25"/>
  <c r="N391" i="25"/>
  <c r="N373" i="25"/>
  <c r="N371" i="25"/>
  <c r="N369" i="25"/>
  <c r="N370" i="25"/>
  <c r="N358" i="25"/>
  <c r="N351" i="25"/>
  <c r="N347" i="25"/>
  <c r="N338" i="25"/>
  <c r="N334" i="25"/>
  <c r="N330" i="25"/>
  <c r="N326" i="25"/>
  <c r="N324" i="25"/>
  <c r="N317" i="25"/>
  <c r="N313" i="25"/>
  <c r="N307" i="25"/>
  <c r="N302" i="25"/>
  <c r="N385" i="25"/>
  <c r="N376" i="25"/>
  <c r="N372" i="25"/>
  <c r="N367" i="25"/>
  <c r="N350" i="25"/>
  <c r="N337" i="25"/>
  <c r="N333" i="25"/>
  <c r="N329" i="25"/>
  <c r="N325" i="25"/>
  <c r="N306" i="25"/>
  <c r="N304" i="25"/>
  <c r="N387" i="25"/>
  <c r="N363" i="25"/>
  <c r="N359" i="25"/>
  <c r="N348" i="25"/>
  <c r="N339" i="25"/>
  <c r="N331" i="25"/>
  <c r="N308" i="25"/>
  <c r="N278" i="25"/>
  <c r="N332" i="25"/>
  <c r="N320" i="25"/>
  <c r="N309" i="25"/>
  <c r="N299" i="25"/>
  <c r="N290" i="25"/>
  <c r="N288" i="25"/>
  <c r="N286" i="25"/>
  <c r="N281" i="25"/>
  <c r="N378" i="25"/>
  <c r="N374" i="25"/>
  <c r="N360" i="25"/>
  <c r="N352" i="25"/>
  <c r="N314" i="25"/>
  <c r="N301" i="25"/>
  <c r="N289" i="25"/>
  <c r="N287" i="25"/>
  <c r="N255" i="25"/>
  <c r="N242" i="25"/>
  <c r="N238" i="25"/>
  <c r="N234" i="25"/>
  <c r="N230" i="25"/>
  <c r="N226" i="25"/>
  <c r="N224" i="25"/>
  <c r="N220" i="25"/>
  <c r="N213" i="25"/>
  <c r="N204" i="25"/>
  <c r="N202" i="25"/>
  <c r="N200" i="25"/>
  <c r="N198" i="25"/>
  <c r="N196" i="25"/>
  <c r="N194" i="25"/>
  <c r="N192" i="25"/>
  <c r="N190" i="25"/>
  <c r="N188" i="25"/>
  <c r="N176" i="25"/>
  <c r="N349" i="25"/>
  <c r="N328" i="25"/>
  <c r="N327" i="25"/>
  <c r="N315" i="25"/>
  <c r="N297" i="25"/>
  <c r="N252" i="25"/>
  <c r="N250" i="25"/>
  <c r="N248" i="25"/>
  <c r="N246" i="25"/>
  <c r="N244" i="25"/>
  <c r="N241" i="25"/>
  <c r="N235" i="25"/>
  <c r="N227" i="25"/>
  <c r="N221" i="25"/>
  <c r="N214" i="25"/>
  <c r="N207" i="25"/>
  <c r="N205" i="25"/>
  <c r="N181" i="25"/>
  <c r="N361" i="25"/>
  <c r="N305" i="25"/>
  <c r="N298" i="25"/>
  <c r="N259" i="25"/>
  <c r="N258" i="25"/>
  <c r="N257" i="25"/>
  <c r="N254" i="25"/>
  <c r="N243" i="25"/>
  <c r="N240" i="25"/>
  <c r="N239" i="25"/>
  <c r="N215" i="25"/>
  <c r="N201" i="25"/>
  <c r="N193" i="25"/>
  <c r="N185" i="25"/>
  <c r="N184" i="25"/>
  <c r="N183" i="25"/>
  <c r="N182" i="25"/>
  <c r="N180" i="25"/>
  <c r="N168" i="25"/>
  <c r="N166" i="25"/>
  <c r="N164" i="25"/>
  <c r="N162" i="25"/>
  <c r="N160" i="25"/>
  <c r="N153" i="25"/>
  <c r="N151" i="25"/>
  <c r="N149" i="25"/>
  <c r="N147" i="25"/>
  <c r="N145" i="25"/>
  <c r="N143" i="25"/>
  <c r="N141" i="25"/>
  <c r="N139" i="25"/>
  <c r="N137" i="25"/>
  <c r="N135" i="25"/>
  <c r="N133" i="25"/>
  <c r="N131" i="25"/>
  <c r="N129" i="25"/>
  <c r="N276" i="25"/>
  <c r="N256" i="25"/>
  <c r="N236" i="25"/>
  <c r="N222" i="25"/>
  <c r="N206" i="25"/>
  <c r="N195" i="25"/>
  <c r="N174" i="25"/>
  <c r="N158" i="25"/>
  <c r="N336" i="25"/>
  <c r="N335" i="25"/>
  <c r="N316" i="25"/>
  <c r="N279" i="25"/>
  <c r="N223" i="25"/>
  <c r="N165" i="25"/>
  <c r="N156" i="25"/>
  <c r="N152" i="25"/>
  <c r="N144" i="25"/>
  <c r="N136" i="25"/>
  <c r="N132" i="25"/>
  <c r="N125" i="25"/>
  <c r="N123" i="25"/>
  <c r="N121" i="25"/>
  <c r="N119" i="25"/>
  <c r="N117" i="25"/>
  <c r="N115" i="25"/>
  <c r="N113" i="25"/>
  <c r="N111" i="25"/>
  <c r="N109" i="25"/>
  <c r="N107" i="25"/>
  <c r="N94" i="25"/>
  <c r="N92" i="25"/>
  <c r="N90" i="25"/>
  <c r="N76" i="25"/>
  <c r="N72" i="25"/>
  <c r="N68" i="25"/>
  <c r="N62" i="25"/>
  <c r="N59" i="25"/>
  <c r="N56" i="25"/>
  <c r="N52" i="25"/>
  <c r="N48" i="25"/>
  <c r="N43" i="25"/>
  <c r="N39" i="25"/>
  <c r="N35" i="25"/>
  <c r="N25" i="25"/>
  <c r="N21" i="25"/>
  <c r="N17" i="25"/>
  <c r="N11" i="25"/>
  <c r="N300" i="25"/>
  <c r="N237" i="25"/>
  <c r="N228" i="25"/>
  <c r="N197" i="25"/>
  <c r="N191" i="25"/>
  <c r="N167" i="25"/>
  <c r="N154" i="25"/>
  <c r="N146" i="25"/>
  <c r="N138" i="25"/>
  <c r="N134" i="25"/>
  <c r="N127" i="25"/>
  <c r="N75" i="25"/>
  <c r="N71" i="25"/>
  <c r="N61" i="25"/>
  <c r="N58" i="25"/>
  <c r="N55" i="25"/>
  <c r="N51" i="25"/>
  <c r="N47" i="25"/>
  <c r="N42" i="25"/>
  <c r="N38" i="25"/>
  <c r="N30" i="25"/>
  <c r="N24" i="25"/>
  <c r="N20" i="25"/>
  <c r="N16" i="25"/>
  <c r="N13" i="25"/>
  <c r="N10" i="25"/>
  <c r="N8" i="25"/>
  <c r="N5" i="25"/>
  <c r="N4" i="25"/>
  <c r="N3" i="25"/>
  <c r="N161" i="25"/>
  <c r="N148" i="25"/>
  <c r="N128" i="25"/>
  <c r="N219" i="25"/>
  <c r="N175" i="25"/>
  <c r="N140" i="25"/>
  <c r="N126" i="25"/>
  <c r="N7" i="25"/>
  <c r="N12" i="25"/>
  <c r="N19" i="25"/>
  <c r="N36" i="25"/>
  <c r="N37" i="25"/>
  <c r="N40" i="25"/>
  <c r="N41" i="25"/>
  <c r="N44" i="25"/>
  <c r="N49" i="25"/>
  <c r="N70" i="25"/>
  <c r="N93" i="25"/>
  <c r="N96" i="25"/>
  <c r="N100" i="25"/>
  <c r="N110" i="25"/>
  <c r="N118" i="25"/>
  <c r="N142" i="25"/>
  <c r="N173" i="25"/>
  <c r="N229" i="25"/>
  <c r="N9" i="25"/>
  <c r="N15" i="25"/>
  <c r="N22" i="25"/>
  <c r="N29" i="25"/>
  <c r="N50" i="25"/>
  <c r="N63" i="25"/>
  <c r="N64" i="25"/>
  <c r="M64" i="25"/>
  <c r="H64" i="25"/>
  <c r="N73" i="25"/>
  <c r="N91" i="25"/>
  <c r="N97" i="25"/>
  <c r="N108" i="25"/>
  <c r="N116" i="25"/>
  <c r="N124" i="25"/>
  <c r="N189" i="25"/>
  <c r="N245" i="25"/>
  <c r="N249" i="25"/>
  <c r="N253" i="25"/>
  <c r="N6" i="25"/>
  <c r="N18" i="25"/>
  <c r="N27" i="25"/>
  <c r="N45" i="25"/>
  <c r="N53" i="25"/>
  <c r="N57" i="25"/>
  <c r="N60" i="25"/>
  <c r="N67" i="25"/>
  <c r="N74" i="25"/>
  <c r="N89" i="25"/>
  <c r="N98" i="25"/>
  <c r="N114" i="25"/>
  <c r="N122" i="25"/>
  <c r="N130" i="25"/>
  <c r="N157" i="25"/>
  <c r="N163" i="25"/>
  <c r="N233" i="25"/>
  <c r="N26" i="25"/>
  <c r="N78" i="25"/>
  <c r="B3" i="20"/>
  <c r="B2" i="20"/>
  <c r="N14" i="25"/>
  <c r="N23" i="25"/>
  <c r="N28" i="25"/>
  <c r="N46" i="25"/>
  <c r="N54" i="25"/>
  <c r="N65" i="25"/>
  <c r="N66" i="25"/>
  <c r="M66" i="25"/>
  <c r="L66" i="25"/>
  <c r="N69" i="25"/>
  <c r="N77" i="25"/>
  <c r="N81" i="25"/>
  <c r="N95" i="25"/>
  <c r="N99" i="25"/>
  <c r="N112" i="25"/>
  <c r="N120" i="25"/>
  <c r="N150" i="25"/>
  <c r="N199" i="25"/>
  <c r="N247" i="25"/>
  <c r="N251" i="25"/>
  <c r="L391" i="25"/>
  <c r="L389" i="25"/>
  <c r="L387" i="25"/>
  <c r="L385" i="25"/>
  <c r="L390" i="25"/>
  <c r="L378" i="25"/>
  <c r="L376" i="25"/>
  <c r="L375" i="25"/>
  <c r="L374" i="25"/>
  <c r="L372" i="25"/>
  <c r="L370" i="25"/>
  <c r="L367" i="25"/>
  <c r="L363" i="25"/>
  <c r="L361" i="25"/>
  <c r="L360" i="25"/>
  <c r="L366" i="25"/>
  <c r="L352" i="25"/>
  <c r="L349" i="25"/>
  <c r="L315" i="25"/>
  <c r="L314" i="25"/>
  <c r="L386" i="25"/>
  <c r="L369" i="25"/>
  <c r="L368" i="25"/>
  <c r="L348" i="25"/>
  <c r="L320" i="25"/>
  <c r="L316" i="25"/>
  <c r="L301" i="25"/>
  <c r="L373" i="25"/>
  <c r="L371" i="25"/>
  <c r="L302" i="25"/>
  <c r="L297" i="25"/>
  <c r="L388" i="25"/>
  <c r="L359" i="25"/>
  <c r="L358" i="25"/>
  <c r="L351" i="25"/>
  <c r="L347" i="25"/>
  <c r="L324" i="25"/>
  <c r="L300" i="25"/>
  <c r="L298" i="25"/>
  <c r="L293" i="25"/>
  <c r="L292" i="25"/>
  <c r="L291" i="25"/>
  <c r="L289" i="25"/>
  <c r="L287" i="25"/>
  <c r="L279" i="25"/>
  <c r="L276" i="25"/>
  <c r="L294" i="25"/>
  <c r="L256" i="25"/>
  <c r="L254" i="25"/>
  <c r="L240" i="25"/>
  <c r="L236" i="25"/>
  <c r="L228" i="25"/>
  <c r="L222" i="25"/>
  <c r="L215" i="25"/>
  <c r="L201" i="25"/>
  <c r="L199" i="25"/>
  <c r="L197" i="25"/>
  <c r="L195" i="25"/>
  <c r="L193" i="25"/>
  <c r="L191" i="25"/>
  <c r="L189" i="25"/>
  <c r="L183" i="25"/>
  <c r="L180" i="25"/>
  <c r="L175" i="25"/>
  <c r="L379" i="25"/>
  <c r="L304" i="25"/>
  <c r="L299" i="25"/>
  <c r="L295" i="25"/>
  <c r="L278" i="25"/>
  <c r="L259" i="25"/>
  <c r="L258" i="25"/>
  <c r="L257" i="25"/>
  <c r="L253" i="25"/>
  <c r="L251" i="25"/>
  <c r="L249" i="25"/>
  <c r="L247" i="25"/>
  <c r="L245" i="25"/>
  <c r="L243" i="25"/>
  <c r="L239" i="25"/>
  <c r="L237" i="25"/>
  <c r="L233" i="25"/>
  <c r="L229" i="25"/>
  <c r="L223" i="25"/>
  <c r="L219" i="25"/>
  <c r="L206" i="25"/>
  <c r="L182" i="25"/>
  <c r="L317" i="25"/>
  <c r="L281" i="25"/>
  <c r="L255" i="25"/>
  <c r="L252" i="25"/>
  <c r="L250" i="25"/>
  <c r="L248" i="25"/>
  <c r="L246" i="25"/>
  <c r="L244" i="25"/>
  <c r="L230" i="25"/>
  <c r="L227" i="25"/>
  <c r="L226" i="25"/>
  <c r="L202" i="25"/>
  <c r="L194" i="25"/>
  <c r="L173" i="25"/>
  <c r="L167" i="25"/>
  <c r="L165" i="25"/>
  <c r="L163" i="25"/>
  <c r="L161" i="25"/>
  <c r="L157" i="25"/>
  <c r="L154" i="25"/>
  <c r="L152" i="25"/>
  <c r="L150" i="25"/>
  <c r="L148" i="25"/>
  <c r="L146" i="25"/>
  <c r="L144" i="25"/>
  <c r="L142" i="25"/>
  <c r="L140" i="25"/>
  <c r="L138" i="25"/>
  <c r="L136" i="25"/>
  <c r="L134" i="25"/>
  <c r="L132" i="25"/>
  <c r="L130" i="25"/>
  <c r="L128" i="25"/>
  <c r="L290" i="25"/>
  <c r="L288" i="25"/>
  <c r="L286" i="25"/>
  <c r="L207" i="25"/>
  <c r="L205" i="25"/>
  <c r="L196" i="25"/>
  <c r="L188" i="25"/>
  <c r="L159" i="25"/>
  <c r="L156" i="25"/>
  <c r="L6" i="25"/>
  <c r="L9" i="25"/>
  <c r="M11" i="25"/>
  <c r="L12" i="25"/>
  <c r="L14" i="25"/>
  <c r="M17" i="25"/>
  <c r="L18" i="25"/>
  <c r="M21" i="25"/>
  <c r="L22" i="25"/>
  <c r="M25" i="25"/>
  <c r="L26" i="25"/>
  <c r="L27" i="25"/>
  <c r="M35" i="25"/>
  <c r="L36" i="25"/>
  <c r="M39" i="25"/>
  <c r="L40" i="25"/>
  <c r="M43" i="25"/>
  <c r="L44" i="25"/>
  <c r="L45" i="25"/>
  <c r="M48" i="25"/>
  <c r="L49" i="25"/>
  <c r="M52" i="25"/>
  <c r="L53" i="25"/>
  <c r="M56" i="25"/>
  <c r="M59" i="25"/>
  <c r="M62" i="25"/>
  <c r="O63" i="25"/>
  <c r="M68" i="25"/>
  <c r="L69" i="25"/>
  <c r="M72" i="25"/>
  <c r="L73" i="25"/>
  <c r="M76" i="25"/>
  <c r="L77" i="25"/>
  <c r="M90" i="25"/>
  <c r="M92" i="25"/>
  <c r="M94" i="25"/>
  <c r="M107" i="25"/>
  <c r="M109" i="25"/>
  <c r="M111" i="25"/>
  <c r="M113" i="25"/>
  <c r="M115" i="25"/>
  <c r="M117" i="25"/>
  <c r="M119" i="25"/>
  <c r="M121" i="25"/>
  <c r="M123" i="25"/>
  <c r="M125" i="25"/>
  <c r="M132" i="25"/>
  <c r="L135" i="25"/>
  <c r="M136" i="25"/>
  <c r="M144" i="25"/>
  <c r="L147" i="25"/>
  <c r="M152" i="25"/>
  <c r="L160" i="25"/>
  <c r="M165" i="25"/>
  <c r="L168" i="25"/>
  <c r="L174" i="25"/>
  <c r="L198" i="25"/>
  <c r="L213" i="25"/>
  <c r="L221" i="25"/>
  <c r="M227" i="25"/>
  <c r="M235" i="25"/>
  <c r="L238" i="25"/>
  <c r="L241" i="25"/>
  <c r="L242" i="25"/>
  <c r="L296" i="25"/>
  <c r="L377" i="25"/>
  <c r="M378" i="25"/>
  <c r="M376" i="25"/>
  <c r="M373" i="25"/>
  <c r="M371" i="25"/>
  <c r="M369" i="25"/>
  <c r="M390" i="25"/>
  <c r="M388" i="25"/>
  <c r="M386" i="25"/>
  <c r="M387" i="25"/>
  <c r="M360" i="25"/>
  <c r="M389" i="25"/>
  <c r="M379" i="25"/>
  <c r="M377" i="25"/>
  <c r="M368" i="25"/>
  <c r="M366" i="25"/>
  <c r="M362" i="25"/>
  <c r="M359" i="25"/>
  <c r="M375" i="25"/>
  <c r="M361" i="25"/>
  <c r="M348" i="25"/>
  <c r="M339" i="25"/>
  <c r="M335" i="25"/>
  <c r="M331" i="25"/>
  <c r="M327" i="25"/>
  <c r="M320" i="25"/>
  <c r="M316" i="25"/>
  <c r="M308" i="25"/>
  <c r="M301" i="25"/>
  <c r="M370" i="25"/>
  <c r="M358" i="25"/>
  <c r="M351" i="25"/>
  <c r="M347" i="25"/>
  <c r="M338" i="25"/>
  <c r="M334" i="25"/>
  <c r="M330" i="25"/>
  <c r="M326" i="25"/>
  <c r="M324" i="25"/>
  <c r="M317" i="25"/>
  <c r="M313" i="25"/>
  <c r="M307" i="25"/>
  <c r="M302" i="25"/>
  <c r="M372" i="25"/>
  <c r="M367" i="25"/>
  <c r="M336" i="25"/>
  <c r="M333" i="25"/>
  <c r="M328" i="25"/>
  <c r="M325" i="25"/>
  <c r="M314" i="25"/>
  <c r="M305" i="25"/>
  <c r="M300" i="25"/>
  <c r="M298" i="25"/>
  <c r="M293" i="25"/>
  <c r="M292" i="25"/>
  <c r="M291" i="25"/>
  <c r="M289" i="25"/>
  <c r="M287" i="25"/>
  <c r="M279" i="25"/>
  <c r="M276" i="25"/>
  <c r="M363" i="25"/>
  <c r="M350" i="25"/>
  <c r="M304" i="25"/>
  <c r="M296" i="25"/>
  <c r="M295" i="25"/>
  <c r="M294" i="25"/>
  <c r="M278" i="25"/>
  <c r="M299" i="25"/>
  <c r="M259" i="25"/>
  <c r="M258" i="25"/>
  <c r="M257" i="25"/>
  <c r="M253" i="25"/>
  <c r="M251" i="25"/>
  <c r="M249" i="25"/>
  <c r="M247" i="25"/>
  <c r="M245" i="25"/>
  <c r="M243" i="25"/>
  <c r="M239" i="25"/>
  <c r="M237" i="25"/>
  <c r="M233" i="25"/>
  <c r="M229" i="25"/>
  <c r="M223" i="25"/>
  <c r="M219" i="25"/>
  <c r="M206" i="25"/>
  <c r="M182" i="25"/>
  <c r="M374" i="25"/>
  <c r="M352" i="25"/>
  <c r="M329" i="25"/>
  <c r="M309" i="25"/>
  <c r="M290" i="25"/>
  <c r="M288" i="25"/>
  <c r="M286" i="25"/>
  <c r="M281" i="25"/>
  <c r="M255" i="25"/>
  <c r="M242" i="25"/>
  <c r="M238" i="25"/>
  <c r="M234" i="25"/>
  <c r="M230" i="25"/>
  <c r="M226" i="25"/>
  <c r="M224" i="25"/>
  <c r="M220" i="25"/>
  <c r="M216" i="25"/>
  <c r="M213" i="25"/>
  <c r="M204" i="25"/>
  <c r="M202" i="25"/>
  <c r="M200" i="25"/>
  <c r="M198" i="25"/>
  <c r="M196" i="25"/>
  <c r="M194" i="25"/>
  <c r="M192" i="25"/>
  <c r="M190" i="25"/>
  <c r="M188" i="25"/>
  <c r="M176" i="25"/>
  <c r="M174" i="25"/>
  <c r="M306" i="25"/>
  <c r="M297" i="25"/>
  <c r="M207" i="25"/>
  <c r="M205" i="25"/>
  <c r="M199" i="25"/>
  <c r="M191" i="25"/>
  <c r="M159" i="25"/>
  <c r="M156" i="25"/>
  <c r="M349" i="25"/>
  <c r="M254" i="25"/>
  <c r="M241" i="25"/>
  <c r="M240" i="25"/>
  <c r="M215" i="25"/>
  <c r="M214" i="25"/>
  <c r="M201" i="25"/>
  <c r="M193" i="25"/>
  <c r="M183" i="25"/>
  <c r="M181" i="25"/>
  <c r="M180" i="25"/>
  <c r="M168" i="25"/>
  <c r="M166" i="25"/>
  <c r="M164" i="25"/>
  <c r="M162" i="25"/>
  <c r="M160" i="25"/>
  <c r="M153" i="25"/>
  <c r="M151" i="25"/>
  <c r="M149" i="25"/>
  <c r="M147" i="25"/>
  <c r="M145" i="25"/>
  <c r="M143" i="25"/>
  <c r="M141" i="25"/>
  <c r="M139" i="25"/>
  <c r="M137" i="25"/>
  <c r="M135" i="25"/>
  <c r="M133" i="25"/>
  <c r="M131" i="25"/>
  <c r="M129" i="25"/>
  <c r="M127" i="25"/>
  <c r="M6" i="25"/>
  <c r="M9" i="25"/>
  <c r="M12" i="25"/>
  <c r="M14" i="25"/>
  <c r="M18" i="25"/>
  <c r="M22" i="25"/>
  <c r="M26" i="25"/>
  <c r="M27" i="25"/>
  <c r="L28" i="25"/>
  <c r="L29" i="25"/>
  <c r="M36" i="25"/>
  <c r="L37" i="25"/>
  <c r="M40" i="25"/>
  <c r="L41" i="25"/>
  <c r="M44" i="25"/>
  <c r="M45" i="25"/>
  <c r="L46" i="25"/>
  <c r="M49" i="25"/>
  <c r="L50" i="25"/>
  <c r="M53" i="25"/>
  <c r="L54" i="25"/>
  <c r="L57" i="25"/>
  <c r="L60" i="25"/>
  <c r="L67" i="25"/>
  <c r="M69" i="25"/>
  <c r="L70" i="25"/>
  <c r="M73" i="25"/>
  <c r="L74" i="25"/>
  <c r="M77" i="25"/>
  <c r="L78" i="25"/>
  <c r="L81" i="25"/>
  <c r="L89" i="25"/>
  <c r="L91" i="25"/>
  <c r="L93" i="25"/>
  <c r="L95" i="25"/>
  <c r="L96" i="25"/>
  <c r="L97" i="25"/>
  <c r="L98" i="25"/>
  <c r="L99" i="25"/>
  <c r="L100" i="25"/>
  <c r="L108" i="25"/>
  <c r="L110" i="25"/>
  <c r="L112" i="25"/>
  <c r="L114" i="25"/>
  <c r="L116" i="25"/>
  <c r="L118" i="25"/>
  <c r="L120" i="25"/>
  <c r="L122" i="25"/>
  <c r="L124" i="25"/>
  <c r="L126" i="25"/>
  <c r="M130" i="25"/>
  <c r="L133" i="25"/>
  <c r="L141" i="25"/>
  <c r="M142" i="25"/>
  <c r="L145" i="25"/>
  <c r="M150" i="25"/>
  <c r="L153" i="25"/>
  <c r="M157" i="25"/>
  <c r="L158" i="25"/>
  <c r="M163" i="25"/>
  <c r="L166" i="25"/>
  <c r="M173" i="25"/>
  <c r="M189" i="25"/>
  <c r="L192" i="25"/>
  <c r="M195" i="25"/>
  <c r="L220" i="25"/>
  <c r="M221" i="25"/>
  <c r="M332" i="25"/>
  <c r="M337" i="25"/>
  <c r="L350" i="25"/>
  <c r="Q2" i="25" l="1"/>
  <c r="P1" i="25"/>
  <c r="P64" i="25"/>
  <c r="O379" i="25"/>
  <c r="O377" i="25"/>
  <c r="O374" i="25"/>
  <c r="O372" i="25"/>
  <c r="O370" i="25"/>
  <c r="O391" i="25"/>
  <c r="O389" i="25"/>
  <c r="O387" i="25"/>
  <c r="O385" i="25"/>
  <c r="O373" i="25"/>
  <c r="O371" i="25"/>
  <c r="O369" i="25"/>
  <c r="O386" i="25"/>
  <c r="O367" i="25"/>
  <c r="O363" i="25"/>
  <c r="O361" i="25"/>
  <c r="O376" i="25"/>
  <c r="O368" i="25"/>
  <c r="O350" i="25"/>
  <c r="O337" i="25"/>
  <c r="O333" i="25"/>
  <c r="O329" i="25"/>
  <c r="O325" i="25"/>
  <c r="O306" i="25"/>
  <c r="O304" i="25"/>
  <c r="O388" i="25"/>
  <c r="O378" i="25"/>
  <c r="O359" i="25"/>
  <c r="O352" i="25"/>
  <c r="O349" i="25"/>
  <c r="O336" i="25"/>
  <c r="O332" i="25"/>
  <c r="O328" i="25"/>
  <c r="O315" i="25"/>
  <c r="O314" i="25"/>
  <c r="O309" i="25"/>
  <c r="O305" i="25"/>
  <c r="O375" i="25"/>
  <c r="O358" i="25"/>
  <c r="O351" i="25"/>
  <c r="O347" i="25"/>
  <c r="O324" i="25"/>
  <c r="O320" i="25"/>
  <c r="O299" i="25"/>
  <c r="O290" i="25"/>
  <c r="O288" i="25"/>
  <c r="O286" i="25"/>
  <c r="O281" i="25"/>
  <c r="O366" i="25"/>
  <c r="O362" i="25"/>
  <c r="O360" i="25"/>
  <c r="O338" i="25"/>
  <c r="O335" i="25"/>
  <c r="O330" i="25"/>
  <c r="O327" i="25"/>
  <c r="O313" i="25"/>
  <c r="O307" i="25"/>
  <c r="O297" i="25"/>
  <c r="O278" i="25"/>
  <c r="O252" i="25"/>
  <c r="O250" i="25"/>
  <c r="O248" i="25"/>
  <c r="O246" i="25"/>
  <c r="O244" i="25"/>
  <c r="O241" i="25"/>
  <c r="O235" i="25"/>
  <c r="O227" i="25"/>
  <c r="O221" i="25"/>
  <c r="O214" i="25"/>
  <c r="O207" i="25"/>
  <c r="O205" i="25"/>
  <c r="O181" i="25"/>
  <c r="O390" i="25"/>
  <c r="O348" i="25"/>
  <c r="O339" i="25"/>
  <c r="O326" i="25"/>
  <c r="O317" i="25"/>
  <c r="O316" i="25"/>
  <c r="O308" i="25"/>
  <c r="O298" i="25"/>
  <c r="O279" i="25"/>
  <c r="O276" i="25"/>
  <c r="O256" i="25"/>
  <c r="O254" i="25"/>
  <c r="O240" i="25"/>
  <c r="O236" i="25"/>
  <c r="O228" i="25"/>
  <c r="O222" i="25"/>
  <c r="O215" i="25"/>
  <c r="O201" i="25"/>
  <c r="O199" i="25"/>
  <c r="O197" i="25"/>
  <c r="O195" i="25"/>
  <c r="O193" i="25"/>
  <c r="O191" i="25"/>
  <c r="O189" i="25"/>
  <c r="O184" i="25"/>
  <c r="O183" i="25"/>
  <c r="O180" i="25"/>
  <c r="O175" i="25"/>
  <c r="O173" i="25"/>
  <c r="O217" i="25"/>
  <c r="O206" i="25"/>
  <c r="O196" i="25"/>
  <c r="O188" i="25"/>
  <c r="O174" i="25"/>
  <c r="O158" i="25"/>
  <c r="O301" i="25"/>
  <c r="O300" i="25"/>
  <c r="O289" i="25"/>
  <c r="O287" i="25"/>
  <c r="O253" i="25"/>
  <c r="O251" i="25"/>
  <c r="O249" i="25"/>
  <c r="O247" i="25"/>
  <c r="O245" i="25"/>
  <c r="O237" i="25"/>
  <c r="O233" i="25"/>
  <c r="O223" i="25"/>
  <c r="O219" i="25"/>
  <c r="O218" i="25"/>
  <c r="O204" i="25"/>
  <c r="O198" i="25"/>
  <c r="O190" i="25"/>
  <c r="O176" i="25"/>
  <c r="O167" i="25"/>
  <c r="O165" i="25"/>
  <c r="O163" i="25"/>
  <c r="O161" i="25"/>
  <c r="O157" i="25"/>
  <c r="O154" i="25"/>
  <c r="O152" i="25"/>
  <c r="O150" i="25"/>
  <c r="O148" i="25"/>
  <c r="O146" i="25"/>
  <c r="O144" i="25"/>
  <c r="O142" i="25"/>
  <c r="O140" i="25"/>
  <c r="O138" i="25"/>
  <c r="O136" i="25"/>
  <c r="O134" i="25"/>
  <c r="O132" i="25"/>
  <c r="O130" i="25"/>
  <c r="O128" i="25"/>
  <c r="O126" i="25"/>
  <c r="O334" i="25"/>
  <c r="O331" i="25"/>
  <c r="O257" i="25"/>
  <c r="O243" i="25"/>
  <c r="O242" i="25"/>
  <c r="O239" i="25"/>
  <c r="O238" i="25"/>
  <c r="O230" i="25"/>
  <c r="O226" i="25"/>
  <c r="O213" i="25"/>
  <c r="O182" i="25"/>
  <c r="O168" i="25"/>
  <c r="O160" i="25"/>
  <c r="O147" i="25"/>
  <c r="O135" i="25"/>
  <c r="O127" i="25"/>
  <c r="O75" i="25"/>
  <c r="O71" i="25"/>
  <c r="O61" i="25"/>
  <c r="O58" i="25"/>
  <c r="O55" i="25"/>
  <c r="O51" i="25"/>
  <c r="O47" i="25"/>
  <c r="O42" i="25"/>
  <c r="O38" i="25"/>
  <c r="O30" i="25"/>
  <c r="O24" i="25"/>
  <c r="O20" i="25"/>
  <c r="O16" i="25"/>
  <c r="O13" i="25"/>
  <c r="O10" i="25"/>
  <c r="O8" i="25"/>
  <c r="O5" i="25"/>
  <c r="O302" i="25"/>
  <c r="O224" i="25"/>
  <c r="O200" i="25"/>
  <c r="O194" i="25"/>
  <c r="O162" i="25"/>
  <c r="O149" i="25"/>
  <c r="O137" i="25"/>
  <c r="O129" i="25"/>
  <c r="O124" i="25"/>
  <c r="O122" i="25"/>
  <c r="O120" i="25"/>
  <c r="O118" i="25"/>
  <c r="O116" i="25"/>
  <c r="O114" i="25"/>
  <c r="O112" i="25"/>
  <c r="O110" i="25"/>
  <c r="O108" i="25"/>
  <c r="O100" i="25"/>
  <c r="O99" i="25"/>
  <c r="O98" i="25"/>
  <c r="O97" i="25"/>
  <c r="O96" i="25"/>
  <c r="O95" i="25"/>
  <c r="O93" i="25"/>
  <c r="O91" i="25"/>
  <c r="O89" i="25"/>
  <c r="O81" i="25"/>
  <c r="O78" i="25"/>
  <c r="O74" i="25"/>
  <c r="O70" i="25"/>
  <c r="O67" i="25"/>
  <c r="O60" i="25"/>
  <c r="O57" i="25"/>
  <c r="O54" i="25"/>
  <c r="O50" i="25"/>
  <c r="O46" i="25"/>
  <c r="O41" i="25"/>
  <c r="O37" i="25"/>
  <c r="O29" i="25"/>
  <c r="O28" i="25"/>
  <c r="O23" i="25"/>
  <c r="O19" i="25"/>
  <c r="O15" i="25"/>
  <c r="O7" i="25"/>
  <c r="O185" i="25"/>
  <c r="O164" i="25"/>
  <c r="O151" i="25"/>
  <c r="O143" i="25"/>
  <c r="O139" i="25"/>
  <c r="O131" i="25"/>
  <c r="O259" i="25"/>
  <c r="O234" i="25"/>
  <c r="O229" i="25"/>
  <c r="O123" i="25"/>
  <c r="O115" i="25"/>
  <c r="O107" i="25"/>
  <c r="O90" i="25"/>
  <c r="O76" i="25"/>
  <c r="O68" i="25"/>
  <c r="O62" i="25"/>
  <c r="O53" i="25"/>
  <c r="O45" i="25"/>
  <c r="O27" i="25"/>
  <c r="O18" i="25"/>
  <c r="O6" i="25"/>
  <c r="O49" i="25"/>
  <c r="O36" i="25"/>
  <c r="O166" i="25"/>
  <c r="O156" i="25"/>
  <c r="O121" i="25"/>
  <c r="O77" i="25"/>
  <c r="O69" i="25"/>
  <c r="O66" i="25"/>
  <c r="O25" i="25"/>
  <c r="O258" i="25"/>
  <c r="O202" i="25"/>
  <c r="O145" i="25"/>
  <c r="O141" i="25"/>
  <c r="O125" i="25"/>
  <c r="O117" i="25"/>
  <c r="O109" i="25"/>
  <c r="O92" i="25"/>
  <c r="O73" i="25"/>
  <c r="O52" i="25"/>
  <c r="O43" i="25"/>
  <c r="O39" i="25"/>
  <c r="O35" i="25"/>
  <c r="O22" i="25"/>
  <c r="O17" i="25"/>
  <c r="O9" i="25"/>
  <c r="O255" i="25"/>
  <c r="O225" i="25"/>
  <c r="O220" i="25"/>
  <c r="O153" i="25"/>
  <c r="O119" i="25"/>
  <c r="O111" i="25"/>
  <c r="O94" i="25"/>
  <c r="O72" i="25"/>
  <c r="O44" i="25"/>
  <c r="O40" i="25"/>
  <c r="O26" i="25"/>
  <c r="O21" i="25"/>
  <c r="O12" i="25"/>
  <c r="O192" i="25"/>
  <c r="O133" i="25"/>
  <c r="O113" i="25"/>
  <c r="O59" i="25"/>
  <c r="O56" i="25"/>
  <c r="O48" i="25"/>
  <c r="O14" i="25"/>
  <c r="O11" i="25"/>
  <c r="O64" i="25"/>
  <c r="P379" i="25" l="1"/>
  <c r="P367" i="25"/>
  <c r="P363" i="25"/>
  <c r="P361" i="25"/>
  <c r="P388" i="25"/>
  <c r="P372" i="25"/>
  <c r="P370" i="25"/>
  <c r="P336" i="25"/>
  <c r="P332" i="25"/>
  <c r="P328" i="25"/>
  <c r="P315" i="25"/>
  <c r="P314" i="25"/>
  <c r="P309" i="25"/>
  <c r="P305" i="25"/>
  <c r="P377" i="25"/>
  <c r="P362" i="25"/>
  <c r="P339" i="25"/>
  <c r="P335" i="25"/>
  <c r="P331" i="25"/>
  <c r="P327" i="25"/>
  <c r="P320" i="25"/>
  <c r="P316" i="25"/>
  <c r="P308" i="25"/>
  <c r="P301" i="25"/>
  <c r="P366" i="25"/>
  <c r="P350" i="25"/>
  <c r="P338" i="25"/>
  <c r="P330" i="25"/>
  <c r="P313" i="25"/>
  <c r="P307" i="25"/>
  <c r="P304" i="25"/>
  <c r="P297" i="25"/>
  <c r="P390" i="25"/>
  <c r="P337" i="25"/>
  <c r="P329" i="25"/>
  <c r="P317" i="25"/>
  <c r="P306" i="25"/>
  <c r="P300" i="25"/>
  <c r="P298" i="25"/>
  <c r="P289" i="25"/>
  <c r="P287" i="25"/>
  <c r="P279" i="25"/>
  <c r="P277" i="25"/>
  <c r="P276" i="25"/>
  <c r="P275" i="25"/>
  <c r="P274" i="25"/>
  <c r="P273" i="25"/>
  <c r="P272" i="25"/>
  <c r="P271" i="25"/>
  <c r="P270" i="25"/>
  <c r="P269" i="25"/>
  <c r="P268" i="25"/>
  <c r="P267" i="25"/>
  <c r="P266" i="25"/>
  <c r="P265" i="25"/>
  <c r="P264" i="25"/>
  <c r="P263" i="25"/>
  <c r="P373" i="25"/>
  <c r="P326" i="25"/>
  <c r="P290" i="25"/>
  <c r="P288" i="25"/>
  <c r="P286" i="25"/>
  <c r="P283" i="25"/>
  <c r="P281" i="25"/>
  <c r="P240" i="25"/>
  <c r="P236" i="25"/>
  <c r="P228" i="25"/>
  <c r="P222" i="25"/>
  <c r="P215" i="25"/>
  <c r="P211" i="25"/>
  <c r="P201" i="25"/>
  <c r="P199" i="25"/>
  <c r="P197" i="25"/>
  <c r="P195" i="25"/>
  <c r="P193" i="25"/>
  <c r="P191" i="25"/>
  <c r="P189" i="25"/>
  <c r="P186" i="25"/>
  <c r="P183" i="25"/>
  <c r="P175" i="25"/>
  <c r="P325" i="25"/>
  <c r="P262" i="25"/>
  <c r="P261" i="25"/>
  <c r="P260" i="25"/>
  <c r="P259" i="25"/>
  <c r="P258" i="25"/>
  <c r="P257" i="25"/>
  <c r="P253" i="25"/>
  <c r="P251" i="25"/>
  <c r="P249" i="25"/>
  <c r="P247" i="25"/>
  <c r="P245" i="25"/>
  <c r="P243" i="25"/>
  <c r="P239" i="25"/>
  <c r="P237" i="25"/>
  <c r="P233" i="25"/>
  <c r="P229" i="25"/>
  <c r="P223" i="25"/>
  <c r="P219" i="25"/>
  <c r="P218" i="25"/>
  <c r="P212" i="25"/>
  <c r="P208" i="25"/>
  <c r="P241" i="25"/>
  <c r="P231" i="25"/>
  <c r="P214" i="25"/>
  <c r="P204" i="25"/>
  <c r="P181" i="25"/>
  <c r="P157" i="25"/>
  <c r="P146" i="25"/>
  <c r="P144" i="25"/>
  <c r="P142" i="25"/>
  <c r="P140" i="25"/>
  <c r="P138" i="25"/>
  <c r="P136" i="25"/>
  <c r="P134" i="25"/>
  <c r="P132" i="25"/>
  <c r="P130" i="25"/>
  <c r="P128" i="25"/>
  <c r="P302" i="25"/>
  <c r="P299" i="25"/>
  <c r="P280" i="25"/>
  <c r="P278" i="25"/>
  <c r="P242" i="25"/>
  <c r="P238" i="25"/>
  <c r="P235" i="25"/>
  <c r="P234" i="25"/>
  <c r="P224" i="25"/>
  <c r="P221" i="25"/>
  <c r="P220" i="25"/>
  <c r="P213" i="25"/>
  <c r="P209" i="25"/>
  <c r="P200" i="25"/>
  <c r="P192" i="25"/>
  <c r="P173" i="25"/>
  <c r="P156" i="25"/>
  <c r="P333" i="25"/>
  <c r="P324" i="25"/>
  <c r="P285" i="25"/>
  <c r="P227" i="25"/>
  <c r="P194" i="25"/>
  <c r="P187" i="25"/>
  <c r="P124" i="25"/>
  <c r="P122" i="25"/>
  <c r="P120" i="25"/>
  <c r="P118" i="25"/>
  <c r="P116" i="25"/>
  <c r="P114" i="25"/>
  <c r="P112" i="25"/>
  <c r="P110" i="25"/>
  <c r="P108" i="25"/>
  <c r="P100" i="25"/>
  <c r="P99" i="25"/>
  <c r="P98" i="25"/>
  <c r="P97" i="25"/>
  <c r="P96" i="25"/>
  <c r="P95" i="25"/>
  <c r="P93" i="25"/>
  <c r="P91" i="25"/>
  <c r="P89" i="25"/>
  <c r="P78" i="25"/>
  <c r="P74" i="25"/>
  <c r="P70" i="25"/>
  <c r="P67" i="25"/>
  <c r="P60" i="25"/>
  <c r="P54" i="25"/>
  <c r="P50" i="25"/>
  <c r="P46" i="25"/>
  <c r="P34" i="25"/>
  <c r="P32" i="25"/>
  <c r="P29" i="25"/>
  <c r="P23" i="25"/>
  <c r="P19" i="25"/>
  <c r="P15" i="25"/>
  <c r="P7" i="25"/>
  <c r="P217" i="25"/>
  <c r="P170" i="25"/>
  <c r="P164" i="25"/>
  <c r="P126" i="25"/>
  <c r="P77" i="25"/>
  <c r="P73" i="25"/>
  <c r="P69" i="25"/>
  <c r="P53" i="25"/>
  <c r="P49" i="25"/>
  <c r="P45" i="25"/>
  <c r="P27" i="25"/>
  <c r="P22" i="25"/>
  <c r="P18" i="25"/>
  <c r="P12" i="25"/>
  <c r="P210" i="25"/>
  <c r="P166" i="25"/>
  <c r="P141" i="25"/>
  <c r="P368" i="25"/>
  <c r="P255" i="25"/>
  <c r="P252" i="25"/>
  <c r="P250" i="25"/>
  <c r="P248" i="25"/>
  <c r="P246" i="25"/>
  <c r="P244" i="25"/>
  <c r="P232" i="25"/>
  <c r="P225" i="25"/>
  <c r="P207" i="25"/>
  <c r="P202" i="25"/>
  <c r="P158" i="25"/>
  <c r="P153" i="25"/>
  <c r="P145" i="25"/>
  <c r="P133" i="25"/>
  <c r="P226" i="25"/>
  <c r="P135" i="25"/>
  <c r="P75" i="25"/>
  <c r="P61" i="25"/>
  <c r="P52" i="25"/>
  <c r="P31" i="25"/>
  <c r="P17" i="25"/>
  <c r="P13" i="25"/>
  <c r="P20" i="25"/>
  <c r="P127" i="25"/>
  <c r="P68" i="25"/>
  <c r="P62" i="25"/>
  <c r="P24" i="25"/>
  <c r="P10" i="25"/>
  <c r="P230" i="25"/>
  <c r="P72" i="25"/>
  <c r="P51" i="25"/>
  <c r="P21" i="25"/>
  <c r="P16" i="25"/>
  <c r="P5" i="25"/>
  <c r="P334" i="25"/>
  <c r="P147" i="25"/>
  <c r="P121" i="25"/>
  <c r="P113" i="25"/>
  <c r="P71" i="25"/>
  <c r="P66" i="25"/>
  <c r="P59" i="25"/>
  <c r="P56" i="25"/>
  <c r="P48" i="25"/>
  <c r="P25" i="25"/>
  <c r="P11" i="25"/>
  <c r="P8" i="25"/>
  <c r="P196" i="25"/>
  <c r="P160" i="25"/>
  <c r="P123" i="25"/>
  <c r="P115" i="25"/>
  <c r="P107" i="25"/>
  <c r="P90" i="25"/>
  <c r="P76" i="25"/>
  <c r="P55" i="25"/>
  <c r="P47" i="25"/>
  <c r="P94" i="25"/>
  <c r="P139" i="25"/>
  <c r="P162" i="25"/>
  <c r="P14" i="25"/>
  <c r="P143" i="25"/>
  <c r="P256" i="25"/>
  <c r="P9" i="25"/>
  <c r="P117" i="25"/>
  <c r="P152" i="25"/>
  <c r="P165" i="25"/>
  <c r="P150" i="25"/>
  <c r="P190" i="25"/>
  <c r="P184" i="25"/>
  <c r="P185" i="25"/>
  <c r="P389" i="25"/>
  <c r="P378" i="25"/>
  <c r="P167" i="25"/>
  <c r="P65" i="25"/>
  <c r="P163" i="25"/>
  <c r="P349" i="25"/>
  <c r="P376" i="25"/>
  <c r="P137" i="25"/>
  <c r="P33" i="25"/>
  <c r="P149" i="25"/>
  <c r="P92" i="25"/>
  <c r="P254" i="25"/>
  <c r="P148" i="25"/>
  <c r="P161" i="25"/>
  <c r="P174" i="25"/>
  <c r="P352" i="25"/>
  <c r="P385" i="25"/>
  <c r="P111" i="25"/>
  <c r="P119" i="25"/>
  <c r="P125" i="25"/>
  <c r="P6" i="25"/>
  <c r="P151" i="25"/>
  <c r="P176" i="25"/>
  <c r="P154" i="25"/>
  <c r="P198" i="25"/>
  <c r="P369" i="25"/>
  <c r="P386" i="25"/>
  <c r="P387" i="25"/>
  <c r="P131" i="25"/>
  <c r="P129" i="25"/>
  <c r="P63" i="25"/>
  <c r="P109" i="25"/>
  <c r="P169" i="25"/>
  <c r="P358" i="25"/>
  <c r="P351" i="25"/>
  <c r="P348" i="25"/>
  <c r="P371" i="25"/>
  <c r="P188" i="25"/>
  <c r="P347" i="25"/>
  <c r="P391" i="25"/>
  <c r="Q1" i="25"/>
  <c r="R2" i="25"/>
  <c r="R1" i="25" l="1"/>
  <c r="S2" i="25"/>
  <c r="Q391" i="25"/>
  <c r="Q372" i="25"/>
  <c r="Q370" i="25"/>
  <c r="Q385" i="25"/>
  <c r="Q389" i="25"/>
  <c r="Q377" i="25"/>
  <c r="Q367" i="25"/>
  <c r="Q339" i="25"/>
  <c r="Q335" i="25"/>
  <c r="Q331" i="25"/>
  <c r="Q327" i="25"/>
  <c r="Q319" i="25"/>
  <c r="Q308" i="25"/>
  <c r="Q301" i="25"/>
  <c r="Q363" i="25"/>
  <c r="Q338" i="25"/>
  <c r="Q334" i="25"/>
  <c r="Q330" i="25"/>
  <c r="Q326" i="25"/>
  <c r="Q324" i="25"/>
  <c r="Q313" i="25"/>
  <c r="Q307" i="25"/>
  <c r="Q302" i="25"/>
  <c r="Q337" i="25"/>
  <c r="Q332" i="25"/>
  <c r="Q329" i="25"/>
  <c r="Q310" i="25"/>
  <c r="Q309" i="25"/>
  <c r="Q306" i="25"/>
  <c r="Q300" i="25"/>
  <c r="Q298" i="25"/>
  <c r="Q289" i="25"/>
  <c r="Q287" i="25"/>
  <c r="Q279" i="25"/>
  <c r="Q277" i="25"/>
  <c r="Q276" i="25"/>
  <c r="Q275" i="25"/>
  <c r="Q274" i="25"/>
  <c r="Q273" i="25"/>
  <c r="Q272" i="25"/>
  <c r="Q271" i="25"/>
  <c r="Q270" i="25"/>
  <c r="Q269" i="25"/>
  <c r="Q268" i="25"/>
  <c r="Q267" i="25"/>
  <c r="Q266" i="25"/>
  <c r="Q265" i="25"/>
  <c r="Q264" i="25"/>
  <c r="Q352" i="25"/>
  <c r="Q349" i="25"/>
  <c r="Q321" i="25"/>
  <c r="Q278" i="25"/>
  <c r="Q379" i="25"/>
  <c r="Q328" i="25"/>
  <c r="Q325" i="25"/>
  <c r="Q304" i="25"/>
  <c r="Q297" i="25"/>
  <c r="Q262" i="25"/>
  <c r="Q261" i="25"/>
  <c r="Q260" i="25"/>
  <c r="Q259" i="25"/>
  <c r="Q258" i="25"/>
  <c r="Q257" i="25"/>
  <c r="Q253" i="25"/>
  <c r="Q251" i="25"/>
  <c r="Q249" i="25"/>
  <c r="Q247" i="25"/>
  <c r="Q245" i="25"/>
  <c r="Q243" i="25"/>
  <c r="Q239" i="25"/>
  <c r="Q237" i="25"/>
  <c r="Q233" i="25"/>
  <c r="Q229" i="25"/>
  <c r="Q223" i="25"/>
  <c r="Q219" i="25"/>
  <c r="Q218" i="25"/>
  <c r="Q212" i="25"/>
  <c r="Q208" i="25"/>
  <c r="Q203" i="25"/>
  <c r="Q361" i="25"/>
  <c r="Q285" i="25"/>
  <c r="Q280" i="25"/>
  <c r="Q242" i="25"/>
  <c r="Q238" i="25"/>
  <c r="Q234" i="25"/>
  <c r="Q232" i="25"/>
  <c r="Q230" i="25"/>
  <c r="Q226" i="25"/>
  <c r="Q225" i="25"/>
  <c r="Q224" i="25"/>
  <c r="Q220" i="25"/>
  <c r="Q217" i="25"/>
  <c r="Q213" i="25"/>
  <c r="Q209" i="25"/>
  <c r="Q204" i="25"/>
  <c r="Q387" i="25"/>
  <c r="Q299" i="25"/>
  <c r="Q290" i="25"/>
  <c r="Q288" i="25"/>
  <c r="Q286" i="25"/>
  <c r="Q256" i="25"/>
  <c r="Q236" i="25"/>
  <c r="Q235" i="25"/>
  <c r="Q222" i="25"/>
  <c r="Q221" i="25"/>
  <c r="Q195" i="25"/>
  <c r="Q173" i="25"/>
  <c r="Q156" i="25"/>
  <c r="Q318" i="25"/>
  <c r="Q252" i="25"/>
  <c r="Q250" i="25"/>
  <c r="Q248" i="25"/>
  <c r="Q246" i="25"/>
  <c r="Q244" i="25"/>
  <c r="Q228" i="25"/>
  <c r="Q227" i="25"/>
  <c r="Q210" i="25"/>
  <c r="Q197" i="25"/>
  <c r="Q189" i="25"/>
  <c r="Q187" i="25"/>
  <c r="Q175" i="25"/>
  <c r="Q170" i="25"/>
  <c r="Q254" i="25"/>
  <c r="Q241" i="25"/>
  <c r="Q240" i="25"/>
  <c r="Q201" i="25"/>
  <c r="Q191" i="25"/>
  <c r="Q167" i="25"/>
  <c r="Q154" i="25"/>
  <c r="Q146" i="25"/>
  <c r="Q134" i="25"/>
  <c r="Q126" i="25"/>
  <c r="Q105" i="25"/>
  <c r="Q101" i="25"/>
  <c r="Q85" i="25"/>
  <c r="Q77" i="25"/>
  <c r="Q73" i="25"/>
  <c r="Q69" i="25"/>
  <c r="Q53" i="25"/>
  <c r="Q49" i="25"/>
  <c r="Q45" i="25"/>
  <c r="Q27" i="25"/>
  <c r="Q22" i="25"/>
  <c r="Q18" i="25"/>
  <c r="Q12" i="25"/>
  <c r="Q305" i="25"/>
  <c r="Q263" i="25"/>
  <c r="Q231" i="25"/>
  <c r="Q211" i="25"/>
  <c r="Q207" i="25"/>
  <c r="Q184" i="25"/>
  <c r="Q181" i="25"/>
  <c r="Q161" i="25"/>
  <c r="Q158" i="25"/>
  <c r="Q148" i="25"/>
  <c r="Q128" i="25"/>
  <c r="Q76" i="25"/>
  <c r="Q72" i="25"/>
  <c r="Q62" i="25"/>
  <c r="Q56" i="25"/>
  <c r="Q52" i="25"/>
  <c r="Q48" i="25"/>
  <c r="Q25" i="25"/>
  <c r="Q21" i="25"/>
  <c r="Q17" i="25"/>
  <c r="Q11" i="25"/>
  <c r="Q193" i="25"/>
  <c r="Q157" i="25"/>
  <c r="Q142" i="25"/>
  <c r="Q322" i="25"/>
  <c r="Q314" i="25"/>
  <c r="Q281" i="25"/>
  <c r="Q215" i="25"/>
  <c r="Q214" i="25"/>
  <c r="Q199" i="25"/>
  <c r="Q183" i="25"/>
  <c r="Q163" i="25"/>
  <c r="Q150" i="25"/>
  <c r="Q130" i="25"/>
  <c r="Q336" i="25"/>
  <c r="Q186" i="25"/>
  <c r="Q144" i="25"/>
  <c r="Q122" i="25"/>
  <c r="Q114" i="25"/>
  <c r="Q106" i="25"/>
  <c r="Q102" i="25"/>
  <c r="Q98" i="25"/>
  <c r="Q89" i="25"/>
  <c r="Q74" i="25"/>
  <c r="Q67" i="25"/>
  <c r="Q60" i="25"/>
  <c r="Q51" i="25"/>
  <c r="Q32" i="25"/>
  <c r="Q16" i="25"/>
  <c r="Q5" i="25"/>
  <c r="Q55" i="25"/>
  <c r="Q19" i="25"/>
  <c r="Q99" i="25"/>
  <c r="Q87" i="25"/>
  <c r="Q83" i="25"/>
  <c r="Q79" i="25"/>
  <c r="Q23" i="25"/>
  <c r="Q13" i="25"/>
  <c r="Q333" i="25"/>
  <c r="Q152" i="25"/>
  <c r="Q124" i="25"/>
  <c r="Q116" i="25"/>
  <c r="Q108" i="25"/>
  <c r="Q97" i="25"/>
  <c r="Q91" i="25"/>
  <c r="Q88" i="25"/>
  <c r="Q84" i="25"/>
  <c r="Q71" i="25"/>
  <c r="Q50" i="25"/>
  <c r="Q34" i="25"/>
  <c r="Q29" i="25"/>
  <c r="Q20" i="25"/>
  <c r="Q15" i="25"/>
  <c r="Q8" i="25"/>
  <c r="Q165" i="25"/>
  <c r="Q132" i="25"/>
  <c r="Q118" i="25"/>
  <c r="Q110" i="25"/>
  <c r="Q100" i="25"/>
  <c r="Q96" i="25"/>
  <c r="Q93" i="25"/>
  <c r="Q78" i="25"/>
  <c r="Q70" i="25"/>
  <c r="Q47" i="25"/>
  <c r="Q24" i="25"/>
  <c r="Q10" i="25"/>
  <c r="Q7" i="25"/>
  <c r="Q350" i="25"/>
  <c r="Q283" i="25"/>
  <c r="Q120" i="25"/>
  <c r="Q112" i="25"/>
  <c r="Q95" i="25"/>
  <c r="Q75" i="25"/>
  <c r="Q65" i="25"/>
  <c r="Q61" i="25"/>
  <c r="Q54" i="25"/>
  <c r="Q46" i="25"/>
  <c r="Q63" i="25"/>
  <c r="Q66" i="25"/>
  <c r="Q125" i="25"/>
  <c r="Q6" i="25"/>
  <c r="Q90" i="25"/>
  <c r="Q107" i="25"/>
  <c r="Q115" i="25"/>
  <c r="Q59" i="25"/>
  <c r="Q80" i="25"/>
  <c r="Q121" i="25"/>
  <c r="Q127" i="25"/>
  <c r="Q176" i="25"/>
  <c r="Q109" i="25"/>
  <c r="Q111" i="25"/>
  <c r="Q169" i="25"/>
  <c r="Q147" i="25"/>
  <c r="Q198" i="25"/>
  <c r="Q143" i="25"/>
  <c r="Q196" i="25"/>
  <c r="Q255" i="25"/>
  <c r="Q192" i="25"/>
  <c r="Q200" i="25"/>
  <c r="Q354" i="25"/>
  <c r="Q386" i="25"/>
  <c r="Q362" i="25"/>
  <c r="Q373" i="25"/>
  <c r="Q68" i="25"/>
  <c r="Q86" i="25"/>
  <c r="Q188" i="25"/>
  <c r="Q133" i="25"/>
  <c r="Q151" i="25"/>
  <c r="Q164" i="25"/>
  <c r="Q92" i="25"/>
  <c r="Q33" i="25"/>
  <c r="Q162" i="25"/>
  <c r="Q14" i="25"/>
  <c r="Q113" i="25"/>
  <c r="Q160" i="25"/>
  <c r="Q153" i="25"/>
  <c r="Q371" i="25"/>
  <c r="Q378" i="25"/>
  <c r="Q104" i="25"/>
  <c r="Q117" i="25"/>
  <c r="Q123" i="25"/>
  <c r="Q129" i="25"/>
  <c r="Q31" i="25"/>
  <c r="Q94" i="25"/>
  <c r="Q145" i="25"/>
  <c r="Q166" i="25"/>
  <c r="Q194" i="25"/>
  <c r="Q202" i="25"/>
  <c r="Q351" i="25"/>
  <c r="Q358" i="25"/>
  <c r="Q347" i="25"/>
  <c r="Q353" i="25"/>
  <c r="Q348" i="25"/>
  <c r="Q376" i="25"/>
  <c r="Q388" i="25"/>
  <c r="Q149" i="25"/>
  <c r="Q119" i="25"/>
  <c r="Q131" i="25"/>
  <c r="Q185" i="25"/>
  <c r="Q368" i="25"/>
  <c r="Q366" i="25"/>
  <c r="Q103" i="25"/>
  <c r="Q9" i="25"/>
  <c r="Q174" i="25"/>
  <c r="Q190" i="25"/>
  <c r="Q369" i="25"/>
  <c r="Q390" i="25"/>
  <c r="Q64" i="25"/>
  <c r="T2" i="25" l="1"/>
  <c r="S1" i="25"/>
  <c r="R379" i="25"/>
  <c r="R385" i="25"/>
  <c r="R387" i="25"/>
  <c r="R377" i="25"/>
  <c r="R372" i="25"/>
  <c r="R363" i="25"/>
  <c r="R338" i="25"/>
  <c r="R334" i="25"/>
  <c r="R330" i="25"/>
  <c r="R326" i="25"/>
  <c r="R324" i="25"/>
  <c r="R323" i="25"/>
  <c r="R313" i="25"/>
  <c r="R307" i="25"/>
  <c r="R302" i="25"/>
  <c r="R391" i="25"/>
  <c r="R373" i="25"/>
  <c r="R361" i="25"/>
  <c r="R350" i="25"/>
  <c r="R337" i="25"/>
  <c r="R333" i="25"/>
  <c r="R329" i="25"/>
  <c r="R325" i="25"/>
  <c r="R321" i="25"/>
  <c r="R311" i="25"/>
  <c r="R310" i="25"/>
  <c r="R306" i="25"/>
  <c r="R304" i="25"/>
  <c r="R352" i="25"/>
  <c r="R349" i="25"/>
  <c r="R335" i="25"/>
  <c r="R327" i="25"/>
  <c r="R278" i="25"/>
  <c r="R389" i="25"/>
  <c r="R336" i="25"/>
  <c r="R328" i="25"/>
  <c r="R322" i="25"/>
  <c r="R318" i="25"/>
  <c r="R314" i="25"/>
  <c r="R305" i="25"/>
  <c r="R301" i="25"/>
  <c r="R299" i="25"/>
  <c r="R290" i="25"/>
  <c r="R288" i="25"/>
  <c r="R286" i="25"/>
  <c r="R285" i="25"/>
  <c r="R283" i="25"/>
  <c r="R281" i="25"/>
  <c r="R280" i="25"/>
  <c r="R369" i="25"/>
  <c r="R348" i="25"/>
  <c r="R339" i="25"/>
  <c r="R309" i="25"/>
  <c r="R308" i="25"/>
  <c r="R298" i="25"/>
  <c r="R279" i="25"/>
  <c r="R276" i="25"/>
  <c r="R275" i="25"/>
  <c r="R273" i="25"/>
  <c r="R271" i="25"/>
  <c r="R269" i="25"/>
  <c r="R267" i="25"/>
  <c r="R265" i="25"/>
  <c r="R242" i="25"/>
  <c r="R238" i="25"/>
  <c r="R234" i="25"/>
  <c r="R232" i="25"/>
  <c r="R225" i="25"/>
  <c r="R217" i="25"/>
  <c r="R213" i="25"/>
  <c r="R209" i="25"/>
  <c r="R204" i="25"/>
  <c r="R179" i="25"/>
  <c r="R178" i="25"/>
  <c r="R177" i="25"/>
  <c r="R370" i="25"/>
  <c r="R340" i="25"/>
  <c r="R319" i="25"/>
  <c r="R300" i="25"/>
  <c r="R263" i="25"/>
  <c r="R252" i="25"/>
  <c r="R250" i="25"/>
  <c r="R248" i="25"/>
  <c r="R246" i="25"/>
  <c r="R244" i="25"/>
  <c r="R241" i="25"/>
  <c r="R235" i="25"/>
  <c r="R231" i="25"/>
  <c r="R214" i="25"/>
  <c r="R210" i="25"/>
  <c r="R207" i="25"/>
  <c r="R289" i="25"/>
  <c r="R287" i="25"/>
  <c r="R277" i="25"/>
  <c r="R262" i="25"/>
  <c r="R260" i="25"/>
  <c r="R253" i="25"/>
  <c r="R251" i="25"/>
  <c r="R249" i="25"/>
  <c r="R247" i="25"/>
  <c r="R245" i="25"/>
  <c r="R237" i="25"/>
  <c r="R233" i="25"/>
  <c r="R218" i="25"/>
  <c r="R197" i="25"/>
  <c r="R189" i="25"/>
  <c r="R175" i="25"/>
  <c r="R170" i="25"/>
  <c r="R367" i="25"/>
  <c r="R312" i="25"/>
  <c r="R274" i="25"/>
  <c r="R272" i="25"/>
  <c r="R270" i="25"/>
  <c r="R268" i="25"/>
  <c r="R266" i="25"/>
  <c r="R264" i="25"/>
  <c r="R212" i="25"/>
  <c r="R199" i="25"/>
  <c r="R191" i="25"/>
  <c r="R158" i="25"/>
  <c r="R236" i="25"/>
  <c r="R211" i="25"/>
  <c r="R184" i="25"/>
  <c r="R161" i="25"/>
  <c r="R148" i="25"/>
  <c r="R128" i="25"/>
  <c r="R76" i="25"/>
  <c r="R72" i="25"/>
  <c r="R66" i="25"/>
  <c r="R62" i="25"/>
  <c r="R56" i="25"/>
  <c r="R52" i="25"/>
  <c r="R48" i="25"/>
  <c r="R25" i="25"/>
  <c r="R21" i="25"/>
  <c r="R17" i="25"/>
  <c r="R11" i="25"/>
  <c r="R261" i="25"/>
  <c r="R259" i="25"/>
  <c r="R256" i="25"/>
  <c r="R215" i="25"/>
  <c r="R193" i="25"/>
  <c r="R185" i="25"/>
  <c r="R183" i="25"/>
  <c r="R163" i="25"/>
  <c r="R157" i="25"/>
  <c r="R150" i="25"/>
  <c r="R142" i="25"/>
  <c r="R130" i="25"/>
  <c r="R75" i="25"/>
  <c r="R71" i="25"/>
  <c r="R61" i="25"/>
  <c r="R55" i="25"/>
  <c r="R51" i="25"/>
  <c r="R47" i="25"/>
  <c r="R24" i="25"/>
  <c r="R20" i="25"/>
  <c r="R16" i="25"/>
  <c r="R8" i="25"/>
  <c r="R208" i="25"/>
  <c r="R203" i="25"/>
  <c r="R173" i="25"/>
  <c r="R152" i="25"/>
  <c r="R144" i="25"/>
  <c r="R132" i="25"/>
  <c r="R258" i="25"/>
  <c r="R186" i="25"/>
  <c r="R165" i="25"/>
  <c r="R156" i="25"/>
  <c r="R332" i="25"/>
  <c r="R257" i="25"/>
  <c r="R254" i="25"/>
  <c r="R243" i="25"/>
  <c r="R239" i="25"/>
  <c r="R124" i="25"/>
  <c r="R116" i="25"/>
  <c r="R108" i="25"/>
  <c r="R97" i="25"/>
  <c r="R91" i="25"/>
  <c r="R88" i="25"/>
  <c r="R84" i="25"/>
  <c r="R73" i="25"/>
  <c r="R50" i="25"/>
  <c r="R34" i="25"/>
  <c r="R29" i="25"/>
  <c r="R22" i="25"/>
  <c r="R15" i="25"/>
  <c r="R85" i="25"/>
  <c r="R69" i="25"/>
  <c r="R65" i="25"/>
  <c r="R201" i="25"/>
  <c r="R171" i="25"/>
  <c r="R134" i="25"/>
  <c r="R102" i="25"/>
  <c r="R101" i="25"/>
  <c r="R53" i="25"/>
  <c r="R45" i="25"/>
  <c r="R195" i="25"/>
  <c r="R146" i="25"/>
  <c r="R118" i="25"/>
  <c r="R110" i="25"/>
  <c r="R100" i="25"/>
  <c r="R96" i="25"/>
  <c r="R93" i="25"/>
  <c r="R78" i="25"/>
  <c r="R70" i="25"/>
  <c r="R49" i="25"/>
  <c r="R19" i="25"/>
  <c r="R12" i="25"/>
  <c r="R7" i="25"/>
  <c r="R297" i="25"/>
  <c r="R240" i="25"/>
  <c r="R154" i="25"/>
  <c r="R120" i="25"/>
  <c r="R112" i="25"/>
  <c r="R99" i="25"/>
  <c r="R95" i="25"/>
  <c r="R77" i="25"/>
  <c r="R54" i="25"/>
  <c r="R46" i="25"/>
  <c r="R23" i="25"/>
  <c r="R14" i="25"/>
  <c r="R331" i="25"/>
  <c r="R167" i="25"/>
  <c r="R126" i="25"/>
  <c r="R122" i="25"/>
  <c r="R114" i="25"/>
  <c r="R106" i="25"/>
  <c r="R105" i="25"/>
  <c r="R98" i="25"/>
  <c r="R89" i="25"/>
  <c r="R74" i="25"/>
  <c r="R67" i="25"/>
  <c r="R60" i="25"/>
  <c r="R32" i="25"/>
  <c r="R27" i="25"/>
  <c r="R18" i="25"/>
  <c r="R6" i="25"/>
  <c r="R104" i="25"/>
  <c r="R117" i="25"/>
  <c r="R123" i="25"/>
  <c r="R129" i="25"/>
  <c r="R31" i="25"/>
  <c r="R79" i="25"/>
  <c r="R94" i="25"/>
  <c r="R13" i="25"/>
  <c r="R145" i="25"/>
  <c r="R166" i="25"/>
  <c r="R194" i="25"/>
  <c r="R202" i="25"/>
  <c r="R351" i="25"/>
  <c r="R358" i="25"/>
  <c r="R347" i="25"/>
  <c r="R388" i="25"/>
  <c r="R92" i="25"/>
  <c r="R33" i="25"/>
  <c r="R162" i="25"/>
  <c r="R378" i="25"/>
  <c r="R90" i="25"/>
  <c r="R107" i="25"/>
  <c r="R59" i="25"/>
  <c r="R127" i="25"/>
  <c r="R111" i="25"/>
  <c r="R196" i="25"/>
  <c r="R255" i="25"/>
  <c r="R192" i="25"/>
  <c r="R200" i="25"/>
  <c r="R353" i="25"/>
  <c r="R365" i="25"/>
  <c r="R386" i="25"/>
  <c r="R362" i="25"/>
  <c r="R68" i="25"/>
  <c r="R103" i="25"/>
  <c r="R86" i="25"/>
  <c r="R149" i="25"/>
  <c r="R87" i="25"/>
  <c r="R119" i="25"/>
  <c r="R169" i="25"/>
  <c r="R188" i="25"/>
  <c r="R10" i="25"/>
  <c r="R133" i="25"/>
  <c r="R131" i="25"/>
  <c r="R151" i="25"/>
  <c r="R164" i="25"/>
  <c r="R172" i="25"/>
  <c r="R187" i="25"/>
  <c r="R354" i="25"/>
  <c r="R371" i="25"/>
  <c r="R368" i="25"/>
  <c r="R366" i="25"/>
  <c r="R376" i="25"/>
  <c r="R113" i="25"/>
  <c r="R9" i="25"/>
  <c r="R63" i="25"/>
  <c r="R174" i="25"/>
  <c r="R160" i="25"/>
  <c r="R5" i="25"/>
  <c r="R153" i="25"/>
  <c r="R190" i="25"/>
  <c r="R390" i="25"/>
  <c r="R125" i="25"/>
  <c r="R115" i="25"/>
  <c r="R80" i="25"/>
  <c r="R121" i="25"/>
  <c r="R176" i="25"/>
  <c r="R109" i="25"/>
  <c r="R83" i="25"/>
  <c r="R147" i="25"/>
  <c r="R198" i="25"/>
  <c r="R143" i="25"/>
  <c r="R181" i="25"/>
  <c r="R364" i="25"/>
  <c r="R64" i="25"/>
  <c r="S378" i="25" l="1"/>
  <c r="S337" i="25"/>
  <c r="S333" i="25"/>
  <c r="S329" i="25"/>
  <c r="S325" i="25"/>
  <c r="S321" i="25"/>
  <c r="S311" i="25"/>
  <c r="S310" i="25"/>
  <c r="S306" i="25"/>
  <c r="S304" i="25"/>
  <c r="S336" i="25"/>
  <c r="S332" i="25"/>
  <c r="S328" i="25"/>
  <c r="S322" i="25"/>
  <c r="S318" i="25"/>
  <c r="S314" i="25"/>
  <c r="S309" i="25"/>
  <c r="S305" i="25"/>
  <c r="S301" i="25"/>
  <c r="S299" i="25"/>
  <c r="S290" i="25"/>
  <c r="S288" i="25"/>
  <c r="S286" i="25"/>
  <c r="S285" i="25"/>
  <c r="S283" i="25"/>
  <c r="S281" i="25"/>
  <c r="S280" i="25"/>
  <c r="S340" i="25"/>
  <c r="S339" i="25"/>
  <c r="S334" i="25"/>
  <c r="S331" i="25"/>
  <c r="S326" i="25"/>
  <c r="S308" i="25"/>
  <c r="S302" i="25"/>
  <c r="S297" i="25"/>
  <c r="S338" i="25"/>
  <c r="S327" i="25"/>
  <c r="S319" i="25"/>
  <c r="S307" i="25"/>
  <c r="S300" i="25"/>
  <c r="S263" i="25"/>
  <c r="S252" i="25"/>
  <c r="S250" i="25"/>
  <c r="S248" i="25"/>
  <c r="S246" i="25"/>
  <c r="S244" i="25"/>
  <c r="S241" i="25"/>
  <c r="S235" i="25"/>
  <c r="S231" i="25"/>
  <c r="S214" i="25"/>
  <c r="S210" i="25"/>
  <c r="S207" i="25"/>
  <c r="S376" i="25"/>
  <c r="S324" i="25"/>
  <c r="S289" i="25"/>
  <c r="S287" i="25"/>
  <c r="S277" i="25"/>
  <c r="S274" i="25"/>
  <c r="S272" i="25"/>
  <c r="S270" i="25"/>
  <c r="S268" i="25"/>
  <c r="S266" i="25"/>
  <c r="S264" i="25"/>
  <c r="S240" i="25"/>
  <c r="S236" i="25"/>
  <c r="S215" i="25"/>
  <c r="S211" i="25"/>
  <c r="S347" i="25"/>
  <c r="S312" i="25"/>
  <c r="S278" i="25"/>
  <c r="S276" i="25"/>
  <c r="S242" i="25"/>
  <c r="S238" i="25"/>
  <c r="S234" i="25"/>
  <c r="S213" i="25"/>
  <c r="S212" i="25"/>
  <c r="S209" i="25"/>
  <c r="S177" i="25"/>
  <c r="S158" i="25"/>
  <c r="S313" i="25"/>
  <c r="S279" i="25"/>
  <c r="S275" i="25"/>
  <c r="S273" i="25"/>
  <c r="S271" i="25"/>
  <c r="S269" i="25"/>
  <c r="S267" i="25"/>
  <c r="S265" i="25"/>
  <c r="S261" i="25"/>
  <c r="S259" i="25"/>
  <c r="S258" i="25"/>
  <c r="S257" i="25"/>
  <c r="S243" i="25"/>
  <c r="S239" i="25"/>
  <c r="S203" i="25"/>
  <c r="S185" i="25"/>
  <c r="S157" i="25"/>
  <c r="S298" i="25"/>
  <c r="S237" i="25"/>
  <c r="S75" i="25"/>
  <c r="S71" i="25"/>
  <c r="S61" i="25"/>
  <c r="S55" i="25"/>
  <c r="S51" i="25"/>
  <c r="S47" i="25"/>
  <c r="S24" i="25"/>
  <c r="S20" i="25"/>
  <c r="S16" i="25"/>
  <c r="S8" i="25"/>
  <c r="S368" i="25"/>
  <c r="S262" i="25"/>
  <c r="S260" i="25"/>
  <c r="S232" i="25"/>
  <c r="S208" i="25"/>
  <c r="S178" i="25"/>
  <c r="S156" i="25"/>
  <c r="S78" i="25"/>
  <c r="S74" i="25"/>
  <c r="S70" i="25"/>
  <c r="S54" i="25"/>
  <c r="S50" i="25"/>
  <c r="S46" i="25"/>
  <c r="S29" i="25"/>
  <c r="S23" i="25"/>
  <c r="S19" i="25"/>
  <c r="S15" i="25"/>
  <c r="S7" i="25"/>
  <c r="S196" i="25"/>
  <c r="S190" i="25"/>
  <c r="S155" i="25"/>
  <c r="S253" i="25"/>
  <c r="S251" i="25"/>
  <c r="S249" i="25"/>
  <c r="S247" i="25"/>
  <c r="S245" i="25"/>
  <c r="S233" i="25"/>
  <c r="S204" i="25"/>
  <c r="S179" i="25"/>
  <c r="S174" i="25"/>
  <c r="S86" i="25"/>
  <c r="S80" i="25"/>
  <c r="S72" i="25"/>
  <c r="S49" i="25"/>
  <c r="S21" i="25"/>
  <c r="S12" i="25"/>
  <c r="S107" i="25"/>
  <c r="S76" i="25"/>
  <c r="S45" i="25"/>
  <c r="S27" i="25"/>
  <c r="S18" i="25"/>
  <c r="S52" i="25"/>
  <c r="S31" i="25"/>
  <c r="S323" i="25"/>
  <c r="S85" i="25"/>
  <c r="S77" i="25"/>
  <c r="S69" i="25"/>
  <c r="S66" i="25"/>
  <c r="S56" i="25"/>
  <c r="S48" i="25"/>
  <c r="S25" i="25"/>
  <c r="S11" i="25"/>
  <c r="S330" i="25"/>
  <c r="S105" i="25"/>
  <c r="S101" i="25"/>
  <c r="S62" i="25"/>
  <c r="S53" i="25"/>
  <c r="S335" i="25"/>
  <c r="S149" i="25"/>
  <c r="S73" i="25"/>
  <c r="S22" i="25"/>
  <c r="S17" i="25"/>
  <c r="S109" i="25"/>
  <c r="S92" i="25"/>
  <c r="S146" i="25"/>
  <c r="S103" i="25"/>
  <c r="S93" i="25"/>
  <c r="S106" i="25"/>
  <c r="S113" i="25"/>
  <c r="S183" i="25"/>
  <c r="S67" i="25"/>
  <c r="S10" i="25"/>
  <c r="S87" i="25"/>
  <c r="S153" i="25"/>
  <c r="S172" i="25"/>
  <c r="S195" i="25"/>
  <c r="S188" i="25"/>
  <c r="S150" i="25"/>
  <c r="S163" i="25"/>
  <c r="S175" i="25"/>
  <c r="S350" i="25"/>
  <c r="S354" i="25"/>
  <c r="S371" i="25"/>
  <c r="S369" i="25"/>
  <c r="S364" i="25"/>
  <c r="S372" i="25"/>
  <c r="S390" i="25"/>
  <c r="S387" i="25"/>
  <c r="S112" i="25"/>
  <c r="S123" i="25"/>
  <c r="S32" i="25"/>
  <c r="S102" i="25"/>
  <c r="S118" i="25"/>
  <c r="S122" i="25"/>
  <c r="S68" i="25"/>
  <c r="S33" i="25"/>
  <c r="S91" i="25"/>
  <c r="S94" i="25"/>
  <c r="S160" i="25"/>
  <c r="S132" i="25"/>
  <c r="S145" i="25"/>
  <c r="S187" i="25"/>
  <c r="S154" i="25"/>
  <c r="S167" i="25"/>
  <c r="S194" i="25"/>
  <c r="S351" i="25"/>
  <c r="S189" i="25"/>
  <c r="S365" i="25"/>
  <c r="S367" i="25"/>
  <c r="S377" i="25"/>
  <c r="S352" i="25"/>
  <c r="S363" i="25"/>
  <c r="S391" i="25"/>
  <c r="S13" i="25"/>
  <c r="S60" i="25"/>
  <c r="S114" i="25"/>
  <c r="S120" i="25"/>
  <c r="S181" i="25"/>
  <c r="S6" i="25"/>
  <c r="S116" i="25"/>
  <c r="S119" i="25"/>
  <c r="S162" i="25"/>
  <c r="S144" i="25"/>
  <c r="S130" i="25"/>
  <c r="S128" i="25"/>
  <c r="S148" i="25"/>
  <c r="S161" i="25"/>
  <c r="S191" i="25"/>
  <c r="S358" i="25"/>
  <c r="S366" i="25"/>
  <c r="S370" i="25"/>
  <c r="S84" i="25"/>
  <c r="S90" i="25"/>
  <c r="S115" i="25"/>
  <c r="S14" i="25"/>
  <c r="S59" i="25"/>
  <c r="S110" i="25"/>
  <c r="S121" i="25"/>
  <c r="S127" i="25"/>
  <c r="S117" i="25"/>
  <c r="S34" i="25"/>
  <c r="S5" i="25"/>
  <c r="S108" i="25"/>
  <c r="S111" i="25"/>
  <c r="S124" i="25"/>
  <c r="S170" i="25"/>
  <c r="S147" i="25"/>
  <c r="S143" i="25"/>
  <c r="S198" i="25"/>
  <c r="S152" i="25"/>
  <c r="S165" i="25"/>
  <c r="S184" i="25"/>
  <c r="S255" i="25"/>
  <c r="S186" i="25"/>
  <c r="S192" i="25"/>
  <c r="S200" i="25"/>
  <c r="S254" i="25"/>
  <c r="S349" i="25"/>
  <c r="S362" i="25"/>
  <c r="S373" i="25"/>
  <c r="S389" i="25"/>
  <c r="S9" i="25"/>
  <c r="S88" i="25"/>
  <c r="S104" i="25"/>
  <c r="S193" i="25"/>
  <c r="S176" i="25"/>
  <c r="S89" i="25"/>
  <c r="S83" i="25"/>
  <c r="S125" i="25"/>
  <c r="S126" i="25"/>
  <c r="S142" i="25"/>
  <c r="S166" i="25"/>
  <c r="S201" i="25"/>
  <c r="S202" i="25"/>
  <c r="S197" i="25"/>
  <c r="S256" i="25"/>
  <c r="S353" i="25"/>
  <c r="S386" i="25"/>
  <c r="S379" i="25"/>
  <c r="S388" i="25"/>
  <c r="S134" i="25"/>
  <c r="S63" i="25"/>
  <c r="S65" i="25"/>
  <c r="S79" i="25"/>
  <c r="S129" i="25"/>
  <c r="S169" i="25"/>
  <c r="S133" i="25"/>
  <c r="S131" i="25"/>
  <c r="S151" i="25"/>
  <c r="S164" i="25"/>
  <c r="S173" i="25"/>
  <c r="S199" i="25"/>
  <c r="S171" i="25"/>
  <c r="S348" i="25"/>
  <c r="S361" i="25"/>
  <c r="S385" i="25"/>
  <c r="S64" i="25"/>
  <c r="U2" i="25"/>
  <c r="T1" i="25"/>
  <c r="U1" i="25" l="1"/>
  <c r="V2" i="25"/>
  <c r="T391" i="25"/>
  <c r="T389" i="25"/>
  <c r="T387" i="25"/>
  <c r="T385" i="25"/>
  <c r="T390" i="25"/>
  <c r="T377" i="25"/>
  <c r="T373" i="25"/>
  <c r="T371" i="25"/>
  <c r="T369" i="25"/>
  <c r="T367" i="25"/>
  <c r="T365" i="25"/>
  <c r="T364" i="25"/>
  <c r="T363" i="25"/>
  <c r="T361" i="25"/>
  <c r="T388" i="25"/>
  <c r="T366" i="25"/>
  <c r="T352" i="25"/>
  <c r="T379" i="25"/>
  <c r="T368" i="25"/>
  <c r="T340" i="25"/>
  <c r="T312" i="25"/>
  <c r="T301" i="25"/>
  <c r="T362" i="25"/>
  <c r="T302" i="25"/>
  <c r="T297" i="25"/>
  <c r="T376" i="25"/>
  <c r="T353" i="25"/>
  <c r="T351" i="25"/>
  <c r="T300" i="25"/>
  <c r="T298" i="25"/>
  <c r="T279" i="25"/>
  <c r="T370" i="25"/>
  <c r="T358" i="25"/>
  <c r="T354" i="25"/>
  <c r="T285" i="25"/>
  <c r="T284" i="25"/>
  <c r="T280" i="25"/>
  <c r="T256" i="25"/>
  <c r="T254" i="25"/>
  <c r="T240" i="25"/>
  <c r="T236" i="25"/>
  <c r="T211" i="25"/>
  <c r="T201" i="25"/>
  <c r="T199" i="25"/>
  <c r="T197" i="25"/>
  <c r="T195" i="25"/>
  <c r="T193" i="25"/>
  <c r="T191" i="25"/>
  <c r="T189" i="25"/>
  <c r="T186" i="25"/>
  <c r="T183" i="25"/>
  <c r="T175" i="25"/>
  <c r="T386" i="25"/>
  <c r="T350" i="25"/>
  <c r="T323" i="25"/>
  <c r="T299" i="25"/>
  <c r="T278" i="25"/>
  <c r="T243" i="25"/>
  <c r="T239" i="25"/>
  <c r="T237" i="25"/>
  <c r="T233" i="25"/>
  <c r="T203" i="25"/>
  <c r="T172" i="25"/>
  <c r="T378" i="25"/>
  <c r="T304" i="25"/>
  <c r="T255" i="25"/>
  <c r="T210" i="25"/>
  <c r="T202" i="25"/>
  <c r="T194" i="25"/>
  <c r="T187" i="25"/>
  <c r="T167" i="25"/>
  <c r="T165" i="25"/>
  <c r="T163" i="25"/>
  <c r="T161" i="25"/>
  <c r="T157" i="25"/>
  <c r="T154" i="25"/>
  <c r="T152" i="25"/>
  <c r="T150" i="25"/>
  <c r="T148" i="25"/>
  <c r="T146" i="25"/>
  <c r="T144" i="25"/>
  <c r="T142" i="25"/>
  <c r="T134" i="25"/>
  <c r="T132" i="25"/>
  <c r="T130" i="25"/>
  <c r="T128" i="25"/>
  <c r="T232" i="25"/>
  <c r="T196" i="25"/>
  <c r="T188" i="25"/>
  <c r="T179" i="25"/>
  <c r="T174" i="25"/>
  <c r="T156" i="25"/>
  <c r="T372" i="25"/>
  <c r="T235" i="25"/>
  <c r="T231" i="25"/>
  <c r="T200" i="25"/>
  <c r="T181" i="25"/>
  <c r="T178" i="25"/>
  <c r="T177" i="25"/>
  <c r="T176" i="25"/>
  <c r="T170" i="25"/>
  <c r="T166" i="25"/>
  <c r="T158" i="25"/>
  <c r="T153" i="25"/>
  <c r="T145" i="25"/>
  <c r="T133" i="25"/>
  <c r="T124" i="25"/>
  <c r="T122" i="25"/>
  <c r="T120" i="25"/>
  <c r="T118" i="25"/>
  <c r="T116" i="25"/>
  <c r="T114" i="25"/>
  <c r="T112" i="25"/>
  <c r="T110" i="25"/>
  <c r="T108" i="25"/>
  <c r="T106" i="25"/>
  <c r="T102" i="25"/>
  <c r="T93" i="25"/>
  <c r="T91" i="25"/>
  <c r="T89" i="25"/>
  <c r="T88" i="25"/>
  <c r="T84" i="25"/>
  <c r="T78" i="25"/>
  <c r="T74" i="25"/>
  <c r="T70" i="25"/>
  <c r="T67" i="25"/>
  <c r="T60" i="25"/>
  <c r="T54" i="25"/>
  <c r="T50" i="25"/>
  <c r="T46" i="25"/>
  <c r="T34" i="25"/>
  <c r="T32" i="25"/>
  <c r="T29" i="25"/>
  <c r="T23" i="25"/>
  <c r="T19" i="25"/>
  <c r="T15" i="25"/>
  <c r="T7" i="25"/>
  <c r="T281" i="25"/>
  <c r="T234" i="25"/>
  <c r="T214" i="25"/>
  <c r="T204" i="25"/>
  <c r="T190" i="25"/>
  <c r="T173" i="25"/>
  <c r="T169" i="25"/>
  <c r="T160" i="25"/>
  <c r="T155" i="25"/>
  <c r="T147" i="25"/>
  <c r="T127" i="25"/>
  <c r="T105" i="25"/>
  <c r="T101" i="25"/>
  <c r="T85" i="25"/>
  <c r="T77" i="25"/>
  <c r="T73" i="25"/>
  <c r="T69" i="25"/>
  <c r="T53" i="25"/>
  <c r="T49" i="25"/>
  <c r="T45" i="25"/>
  <c r="T27" i="25"/>
  <c r="T22" i="25"/>
  <c r="T18" i="25"/>
  <c r="T14" i="25"/>
  <c r="T12" i="25"/>
  <c r="T9" i="25"/>
  <c r="T6" i="25"/>
  <c r="T171" i="25"/>
  <c r="T149" i="25"/>
  <c r="T129" i="25"/>
  <c r="T126" i="25"/>
  <c r="T125" i="25"/>
  <c r="T283" i="25"/>
  <c r="T192" i="25"/>
  <c r="T162" i="25"/>
  <c r="T241" i="25"/>
  <c r="T151" i="25"/>
  <c r="T121" i="25"/>
  <c r="T113" i="25"/>
  <c r="T103" i="25"/>
  <c r="T71" i="25"/>
  <c r="T66" i="25"/>
  <c r="T59" i="25"/>
  <c r="T56" i="25"/>
  <c r="T48" i="25"/>
  <c r="T25" i="25"/>
  <c r="T20" i="25"/>
  <c r="T11" i="25"/>
  <c r="T8" i="25"/>
  <c r="T83" i="25"/>
  <c r="T31" i="25"/>
  <c r="T17" i="25"/>
  <c r="T13" i="25"/>
  <c r="T143" i="25"/>
  <c r="T72" i="25"/>
  <c r="T51" i="25"/>
  <c r="T33" i="25"/>
  <c r="T164" i="25"/>
  <c r="T131" i="25"/>
  <c r="T123" i="25"/>
  <c r="T115" i="25"/>
  <c r="T107" i="25"/>
  <c r="T104" i="25"/>
  <c r="T90" i="25"/>
  <c r="T76" i="25"/>
  <c r="T68" i="25"/>
  <c r="T62" i="25"/>
  <c r="T55" i="25"/>
  <c r="T47" i="25"/>
  <c r="T24" i="25"/>
  <c r="T10" i="25"/>
  <c r="T242" i="25"/>
  <c r="T238" i="25"/>
  <c r="T213" i="25"/>
  <c r="T198" i="25"/>
  <c r="T117" i="25"/>
  <c r="T109" i="25"/>
  <c r="T92" i="25"/>
  <c r="T87" i="25"/>
  <c r="T79" i="25"/>
  <c r="T75" i="25"/>
  <c r="T61" i="25"/>
  <c r="T52" i="25"/>
  <c r="T119" i="25"/>
  <c r="T111" i="25"/>
  <c r="T94" i="25"/>
  <c r="T86" i="25"/>
  <c r="T80" i="25"/>
  <c r="T64" i="25"/>
  <c r="T21" i="25"/>
  <c r="T16" i="25"/>
  <c r="T5" i="25"/>
  <c r="T264" i="25"/>
  <c r="T268" i="25"/>
  <c r="T272" i="25"/>
  <c r="T276" i="25"/>
  <c r="T208" i="25"/>
  <c r="T324" i="25"/>
  <c r="T269" i="25"/>
  <c r="T215" i="25"/>
  <c r="T321" i="25"/>
  <c r="T341" i="25"/>
  <c r="T342" i="25"/>
  <c r="T343" i="25"/>
  <c r="T344" i="25"/>
  <c r="T345" i="25"/>
  <c r="T346" i="25"/>
  <c r="T209" i="25"/>
  <c r="T270" i="25"/>
  <c r="T65" i="25"/>
  <c r="T261" i="25"/>
  <c r="T263" i="25"/>
  <c r="T265" i="25"/>
  <c r="T273" i="25"/>
  <c r="T314" i="25"/>
  <c r="T277" i="25"/>
  <c r="T275" i="25"/>
  <c r="T257" i="25"/>
  <c r="T258" i="25"/>
  <c r="T259" i="25"/>
  <c r="T260" i="25"/>
  <c r="T271" i="25"/>
  <c r="T311" i="25"/>
  <c r="T319" i="25"/>
  <c r="T322" i="25"/>
  <c r="T266" i="25"/>
  <c r="T274" i="25"/>
  <c r="T212" i="25"/>
  <c r="T262" i="25"/>
  <c r="T63" i="25"/>
  <c r="T267" i="25"/>
  <c r="T318" i="25"/>
  <c r="V1" i="25" l="1"/>
  <c r="W2" i="25"/>
  <c r="U381" i="25"/>
  <c r="U378" i="25"/>
  <c r="U376" i="25"/>
  <c r="U373" i="25"/>
  <c r="U371" i="25"/>
  <c r="U369" i="25"/>
  <c r="U390" i="25"/>
  <c r="U388" i="25"/>
  <c r="U386" i="25"/>
  <c r="U384" i="25"/>
  <c r="U380" i="25"/>
  <c r="U387" i="25"/>
  <c r="U389" i="25"/>
  <c r="U383" i="25"/>
  <c r="U379" i="25"/>
  <c r="U372" i="25"/>
  <c r="U370" i="25"/>
  <c r="U368" i="25"/>
  <c r="U366" i="25"/>
  <c r="U362" i="25"/>
  <c r="U391" i="25"/>
  <c r="U385" i="25"/>
  <c r="U361" i="25"/>
  <c r="U301" i="25"/>
  <c r="U365" i="25"/>
  <c r="U356" i="25"/>
  <c r="U351" i="25"/>
  <c r="U302" i="25"/>
  <c r="U382" i="25"/>
  <c r="U364" i="25"/>
  <c r="U353" i="25"/>
  <c r="U322" i="25"/>
  <c r="U318" i="25"/>
  <c r="U314" i="25"/>
  <c r="U300" i="25"/>
  <c r="U279" i="25"/>
  <c r="U358" i="25"/>
  <c r="U350" i="25"/>
  <c r="U304" i="25"/>
  <c r="U278" i="25"/>
  <c r="U363" i="25"/>
  <c r="U243" i="25"/>
  <c r="U239" i="25"/>
  <c r="U237" i="25"/>
  <c r="U233" i="25"/>
  <c r="U367" i="25"/>
  <c r="U355" i="25"/>
  <c r="U303" i="25"/>
  <c r="U283" i="25"/>
  <c r="U281" i="25"/>
  <c r="U255" i="25"/>
  <c r="U242" i="25"/>
  <c r="U238" i="25"/>
  <c r="U234" i="25"/>
  <c r="U232" i="25"/>
  <c r="U202" i="25"/>
  <c r="U200" i="25"/>
  <c r="U198" i="25"/>
  <c r="U196" i="25"/>
  <c r="U194" i="25"/>
  <c r="U192" i="25"/>
  <c r="U190" i="25"/>
  <c r="U188" i="25"/>
  <c r="U179" i="25"/>
  <c r="U178" i="25"/>
  <c r="U177" i="25"/>
  <c r="U176" i="25"/>
  <c r="U174" i="25"/>
  <c r="U169" i="25"/>
  <c r="U280" i="25"/>
  <c r="U199" i="25"/>
  <c r="U191" i="25"/>
  <c r="U172" i="25"/>
  <c r="U156" i="25"/>
  <c r="U352" i="25"/>
  <c r="U285" i="25"/>
  <c r="U254" i="25"/>
  <c r="U241" i="25"/>
  <c r="U240" i="25"/>
  <c r="U231" i="25"/>
  <c r="U215" i="25"/>
  <c r="U214" i="25"/>
  <c r="U211" i="25"/>
  <c r="U201" i="25"/>
  <c r="U193" i="25"/>
  <c r="U186" i="25"/>
  <c r="U183" i="25"/>
  <c r="U181" i="25"/>
  <c r="U173" i="25"/>
  <c r="U171" i="25"/>
  <c r="U166" i="25"/>
  <c r="U164" i="25"/>
  <c r="U162" i="25"/>
  <c r="U160" i="25"/>
  <c r="U155" i="25"/>
  <c r="U153" i="25"/>
  <c r="U151" i="25"/>
  <c r="U149" i="25"/>
  <c r="U147" i="25"/>
  <c r="U145" i="25"/>
  <c r="U143" i="25"/>
  <c r="U133" i="25"/>
  <c r="U131" i="25"/>
  <c r="U129" i="25"/>
  <c r="U127" i="25"/>
  <c r="U377" i="25"/>
  <c r="U354" i="25"/>
  <c r="U256" i="25"/>
  <c r="U197" i="25"/>
  <c r="U163" i="25"/>
  <c r="U157" i="25"/>
  <c r="U150" i="25"/>
  <c r="U142" i="25"/>
  <c r="U130" i="25"/>
  <c r="U105" i="25"/>
  <c r="U101" i="25"/>
  <c r="U85" i="25"/>
  <c r="U77" i="25"/>
  <c r="U73" i="25"/>
  <c r="U69" i="25"/>
  <c r="U53" i="25"/>
  <c r="U49" i="25"/>
  <c r="U45" i="25"/>
  <c r="U27" i="25"/>
  <c r="U22" i="25"/>
  <c r="U18" i="25"/>
  <c r="U14" i="25"/>
  <c r="U12" i="25"/>
  <c r="U9" i="25"/>
  <c r="U6" i="25"/>
  <c r="U321" i="25"/>
  <c r="U210" i="25"/>
  <c r="U175" i="25"/>
  <c r="U165" i="25"/>
  <c r="U152" i="25"/>
  <c r="U144" i="25"/>
  <c r="U132" i="25"/>
  <c r="U126" i="25"/>
  <c r="U125" i="25"/>
  <c r="U123" i="25"/>
  <c r="U121" i="25"/>
  <c r="U119" i="25"/>
  <c r="U117" i="25"/>
  <c r="U115" i="25"/>
  <c r="U113" i="25"/>
  <c r="U111" i="25"/>
  <c r="U109" i="25"/>
  <c r="U107" i="25"/>
  <c r="U104" i="25"/>
  <c r="U94" i="25"/>
  <c r="U92" i="25"/>
  <c r="U90" i="25"/>
  <c r="U86" i="25"/>
  <c r="U80" i="25"/>
  <c r="U76" i="25"/>
  <c r="U72" i="25"/>
  <c r="U68" i="25"/>
  <c r="U62" i="25"/>
  <c r="U59" i="25"/>
  <c r="U56" i="25"/>
  <c r="U52" i="25"/>
  <c r="U48" i="25"/>
  <c r="U25" i="25"/>
  <c r="U21" i="25"/>
  <c r="U17" i="25"/>
  <c r="U11" i="25"/>
  <c r="U195" i="25"/>
  <c r="U297" i="25"/>
  <c r="U189" i="25"/>
  <c r="U167" i="25"/>
  <c r="U154" i="25"/>
  <c r="U146" i="25"/>
  <c r="U134" i="25"/>
  <c r="U284" i="25"/>
  <c r="U235" i="25"/>
  <c r="U118" i="25"/>
  <c r="U110" i="25"/>
  <c r="U93" i="25"/>
  <c r="U78" i="25"/>
  <c r="U70" i="25"/>
  <c r="U55" i="25"/>
  <c r="U47" i="25"/>
  <c r="U24" i="25"/>
  <c r="U19" i="25"/>
  <c r="U10" i="25"/>
  <c r="U7" i="25"/>
  <c r="U67" i="25"/>
  <c r="U51" i="25"/>
  <c r="U16" i="25"/>
  <c r="U5" i="25"/>
  <c r="U161" i="25"/>
  <c r="U124" i="25"/>
  <c r="U116" i="25"/>
  <c r="U103" i="25"/>
  <c r="U91" i="25"/>
  <c r="U71" i="25"/>
  <c r="U50" i="25"/>
  <c r="U29" i="25"/>
  <c r="U15" i="25"/>
  <c r="U170" i="25"/>
  <c r="U120" i="25"/>
  <c r="U112" i="25"/>
  <c r="U87" i="25"/>
  <c r="U83" i="25"/>
  <c r="U79" i="25"/>
  <c r="U75" i="25"/>
  <c r="U61" i="25"/>
  <c r="U54" i="25"/>
  <c r="U46" i="25"/>
  <c r="U23" i="25"/>
  <c r="U13" i="25"/>
  <c r="U236" i="25"/>
  <c r="U187" i="25"/>
  <c r="U158" i="25"/>
  <c r="U148" i="25"/>
  <c r="U122" i="25"/>
  <c r="U114" i="25"/>
  <c r="U106" i="25"/>
  <c r="U102" i="25"/>
  <c r="U89" i="25"/>
  <c r="U74" i="25"/>
  <c r="U60" i="25"/>
  <c r="U128" i="25"/>
  <c r="U108" i="25"/>
  <c r="U88" i="25"/>
  <c r="U84" i="25"/>
  <c r="U63" i="25"/>
  <c r="U20" i="25"/>
  <c r="U8" i="25"/>
  <c r="U266" i="25"/>
  <c r="U270" i="25"/>
  <c r="U274" i="25"/>
  <c r="U212" i="25"/>
  <c r="U261" i="25"/>
  <c r="U64" i="25"/>
  <c r="U262" i="25"/>
  <c r="U213" i="25"/>
  <c r="U265" i="25"/>
  <c r="U273" i="25"/>
  <c r="U311" i="25"/>
  <c r="U319" i="25"/>
  <c r="U268" i="25"/>
  <c r="U276" i="25"/>
  <c r="U66" i="25"/>
  <c r="U208" i="25"/>
  <c r="U324" i="25"/>
  <c r="U342" i="25"/>
  <c r="U344" i="25"/>
  <c r="U346" i="25"/>
  <c r="U259" i="25"/>
  <c r="U323" i="25"/>
  <c r="U65" i="25"/>
  <c r="U263" i="25"/>
  <c r="U277" i="25"/>
  <c r="U267" i="25"/>
  <c r="U275" i="25"/>
  <c r="U312" i="25"/>
  <c r="U264" i="25"/>
  <c r="U272" i="25"/>
  <c r="U269" i="25"/>
  <c r="U341" i="25"/>
  <c r="U343" i="25"/>
  <c r="U345" i="25"/>
  <c r="U340" i="25"/>
  <c r="U209" i="25"/>
  <c r="U204" i="25"/>
  <c r="U257" i="25"/>
  <c r="U258" i="25"/>
  <c r="U260" i="25"/>
  <c r="U271" i="25"/>
  <c r="X2" i="25" l="1"/>
  <c r="W1" i="25"/>
  <c r="V390" i="25"/>
  <c r="V388" i="25"/>
  <c r="V386" i="25"/>
  <c r="V384" i="25"/>
  <c r="V380" i="25"/>
  <c r="V383" i="25"/>
  <c r="V379" i="25"/>
  <c r="V389" i="25"/>
  <c r="V372" i="25"/>
  <c r="V370" i="25"/>
  <c r="V368" i="25"/>
  <c r="V366" i="25"/>
  <c r="V362" i="25"/>
  <c r="V391" i="25"/>
  <c r="V382" i="25"/>
  <c r="V378" i="25"/>
  <c r="V376" i="25"/>
  <c r="V373" i="25"/>
  <c r="V365" i="25"/>
  <c r="V356" i="25"/>
  <c r="V351" i="25"/>
  <c r="V302" i="25"/>
  <c r="V387" i="25"/>
  <c r="V367" i="25"/>
  <c r="V358" i="25"/>
  <c r="V355" i="25"/>
  <c r="V354" i="25"/>
  <c r="V353" i="25"/>
  <c r="V350" i="25"/>
  <c r="V304" i="25"/>
  <c r="V340" i="25"/>
  <c r="V278" i="25"/>
  <c r="V385" i="25"/>
  <c r="V377" i="25"/>
  <c r="V361" i="25"/>
  <c r="V319" i="25"/>
  <c r="V312" i="25"/>
  <c r="V285" i="25"/>
  <c r="V284" i="25"/>
  <c r="V283" i="25"/>
  <c r="V281" i="25"/>
  <c r="V280" i="25"/>
  <c r="V255" i="25"/>
  <c r="V242" i="25"/>
  <c r="V238" i="25"/>
  <c r="V234" i="25"/>
  <c r="V232" i="25"/>
  <c r="V202" i="25"/>
  <c r="V200" i="25"/>
  <c r="V198" i="25"/>
  <c r="V196" i="25"/>
  <c r="V194" i="25"/>
  <c r="V192" i="25"/>
  <c r="V190" i="25"/>
  <c r="V188" i="25"/>
  <c r="V179" i="25"/>
  <c r="V178" i="25"/>
  <c r="V177" i="25"/>
  <c r="V176" i="25"/>
  <c r="V174" i="25"/>
  <c r="V381" i="25"/>
  <c r="V364" i="25"/>
  <c r="V318" i="25"/>
  <c r="V297" i="25"/>
  <c r="V241" i="25"/>
  <c r="V235" i="25"/>
  <c r="V231" i="25"/>
  <c r="V187" i="25"/>
  <c r="V181" i="25"/>
  <c r="V369" i="25"/>
  <c r="V352" i="25"/>
  <c r="V301" i="25"/>
  <c r="V300" i="25"/>
  <c r="V279" i="25"/>
  <c r="V275" i="25"/>
  <c r="V273" i="25"/>
  <c r="V271" i="25"/>
  <c r="V269" i="25"/>
  <c r="V267" i="25"/>
  <c r="V265" i="25"/>
  <c r="V254" i="25"/>
  <c r="V243" i="25"/>
  <c r="V240" i="25"/>
  <c r="V239" i="25"/>
  <c r="V215" i="25"/>
  <c r="V211" i="25"/>
  <c r="V201" i="25"/>
  <c r="V193" i="25"/>
  <c r="V186" i="25"/>
  <c r="V183" i="25"/>
  <c r="V173" i="25"/>
  <c r="V171" i="25"/>
  <c r="V166" i="25"/>
  <c r="V164" i="25"/>
  <c r="V162" i="25"/>
  <c r="V160" i="25"/>
  <c r="V155" i="25"/>
  <c r="V153" i="25"/>
  <c r="V151" i="25"/>
  <c r="V149" i="25"/>
  <c r="V147" i="25"/>
  <c r="V145" i="25"/>
  <c r="V143" i="25"/>
  <c r="V133" i="25"/>
  <c r="V131" i="25"/>
  <c r="V129" i="25"/>
  <c r="V127" i="25"/>
  <c r="V371" i="25"/>
  <c r="V322" i="25"/>
  <c r="V314" i="25"/>
  <c r="V256" i="25"/>
  <c r="V236" i="25"/>
  <c r="V208" i="25"/>
  <c r="V195" i="25"/>
  <c r="V170" i="25"/>
  <c r="V169" i="25"/>
  <c r="V158" i="25"/>
  <c r="V363" i="25"/>
  <c r="V262" i="25"/>
  <c r="V260" i="25"/>
  <c r="V175" i="25"/>
  <c r="V165" i="25"/>
  <c r="V156" i="25"/>
  <c r="V152" i="25"/>
  <c r="V144" i="25"/>
  <c r="V132" i="25"/>
  <c r="V126" i="25"/>
  <c r="V125" i="25"/>
  <c r="V123" i="25"/>
  <c r="V121" i="25"/>
  <c r="V119" i="25"/>
  <c r="V117" i="25"/>
  <c r="V115" i="25"/>
  <c r="V113" i="25"/>
  <c r="V111" i="25"/>
  <c r="V109" i="25"/>
  <c r="V107" i="25"/>
  <c r="V104" i="25"/>
  <c r="V94" i="25"/>
  <c r="V92" i="25"/>
  <c r="V90" i="25"/>
  <c r="V86" i="25"/>
  <c r="V80" i="25"/>
  <c r="V76" i="25"/>
  <c r="V72" i="25"/>
  <c r="V68" i="25"/>
  <c r="V62" i="25"/>
  <c r="V59" i="25"/>
  <c r="V56" i="25"/>
  <c r="V52" i="25"/>
  <c r="V48" i="25"/>
  <c r="V25" i="25"/>
  <c r="V21" i="25"/>
  <c r="V17" i="25"/>
  <c r="V11" i="25"/>
  <c r="V233" i="25"/>
  <c r="V199" i="25"/>
  <c r="V189" i="25"/>
  <c r="V167" i="25"/>
  <c r="V154" i="25"/>
  <c r="V146" i="25"/>
  <c r="V134" i="25"/>
  <c r="V103" i="25"/>
  <c r="V87" i="25"/>
  <c r="V83" i="25"/>
  <c r="V79" i="25"/>
  <c r="V75" i="25"/>
  <c r="V71" i="25"/>
  <c r="V61" i="25"/>
  <c r="V55" i="25"/>
  <c r="V51" i="25"/>
  <c r="V47" i="25"/>
  <c r="V24" i="25"/>
  <c r="V20" i="25"/>
  <c r="V16" i="25"/>
  <c r="V13" i="25"/>
  <c r="V10" i="25"/>
  <c r="V8" i="25"/>
  <c r="V5" i="25"/>
  <c r="V128" i="25"/>
  <c r="V161" i="25"/>
  <c r="V148" i="25"/>
  <c r="V237" i="25"/>
  <c r="V197" i="25"/>
  <c r="V163" i="25"/>
  <c r="V157" i="25"/>
  <c r="V130" i="25"/>
  <c r="V120" i="25"/>
  <c r="V112" i="25"/>
  <c r="V85" i="25"/>
  <c r="V77" i="25"/>
  <c r="V69" i="25"/>
  <c r="V54" i="25"/>
  <c r="V46" i="25"/>
  <c r="V23" i="25"/>
  <c r="V14" i="25"/>
  <c r="V88" i="25"/>
  <c r="V73" i="25"/>
  <c r="V63" i="25"/>
  <c r="V22" i="25"/>
  <c r="V15" i="25"/>
  <c r="V150" i="25"/>
  <c r="V110" i="25"/>
  <c r="V70" i="25"/>
  <c r="V49" i="25"/>
  <c r="V19" i="25"/>
  <c r="V12" i="25"/>
  <c r="V7" i="25"/>
  <c r="V191" i="25"/>
  <c r="V172" i="25"/>
  <c r="V122" i="25"/>
  <c r="V114" i="25"/>
  <c r="V106" i="25"/>
  <c r="V105" i="25"/>
  <c r="V102" i="25"/>
  <c r="V101" i="25"/>
  <c r="V89" i="25"/>
  <c r="V74" i="25"/>
  <c r="V67" i="25"/>
  <c r="V60" i="25"/>
  <c r="V53" i="25"/>
  <c r="V45" i="25"/>
  <c r="V27" i="25"/>
  <c r="V18" i="25"/>
  <c r="V6" i="25"/>
  <c r="V142" i="25"/>
  <c r="V124" i="25"/>
  <c r="V116" i="25"/>
  <c r="V108" i="25"/>
  <c r="V91" i="25"/>
  <c r="V84" i="25"/>
  <c r="V82" i="25"/>
  <c r="V50" i="25"/>
  <c r="V29" i="25"/>
  <c r="V9" i="25"/>
  <c r="V118" i="25"/>
  <c r="V93" i="25"/>
  <c r="V78" i="25"/>
  <c r="V263" i="25"/>
  <c r="V277" i="25"/>
  <c r="V324" i="25"/>
  <c r="V303" i="25"/>
  <c r="V341" i="25"/>
  <c r="V345" i="25"/>
  <c r="V258" i="25"/>
  <c r="V210" i="25"/>
  <c r="V270" i="25"/>
  <c r="V212" i="25"/>
  <c r="V213" i="25"/>
  <c r="V214" i="25"/>
  <c r="V321" i="25"/>
  <c r="V323" i="25"/>
  <c r="V64" i="25"/>
  <c r="V264" i="25"/>
  <c r="V268" i="25"/>
  <c r="V272" i="25"/>
  <c r="V66" i="25"/>
  <c r="V65" i="25"/>
  <c r="V257" i="25"/>
  <c r="V342" i="25"/>
  <c r="V346" i="25"/>
  <c r="V209" i="25"/>
  <c r="V276" i="25"/>
  <c r="V204" i="25"/>
  <c r="V343" i="25"/>
  <c r="V266" i="25"/>
  <c r="V274" i="25"/>
  <c r="V261" i="25"/>
  <c r="V259" i="25"/>
  <c r="V311" i="25"/>
  <c r="V344" i="25"/>
  <c r="W383" i="25" l="1"/>
  <c r="W379" i="25"/>
  <c r="W377" i="25"/>
  <c r="W372" i="25"/>
  <c r="W370" i="25"/>
  <c r="W368" i="25"/>
  <c r="W391" i="25"/>
  <c r="W389" i="25"/>
  <c r="W387" i="25"/>
  <c r="W385" i="25"/>
  <c r="W382" i="25"/>
  <c r="W384" i="25"/>
  <c r="W380" i="25"/>
  <c r="W378" i="25"/>
  <c r="W376" i="25"/>
  <c r="W386" i="25"/>
  <c r="W367" i="25"/>
  <c r="W365" i="25"/>
  <c r="W364" i="25"/>
  <c r="W363" i="25"/>
  <c r="W361" i="25"/>
  <c r="W358" i="25"/>
  <c r="W355" i="25"/>
  <c r="W354" i="25"/>
  <c r="W353" i="25"/>
  <c r="W350" i="25"/>
  <c r="W390" i="25"/>
  <c r="W381" i="25"/>
  <c r="W369" i="25"/>
  <c r="W352" i="25"/>
  <c r="W322" i="25"/>
  <c r="W318" i="25"/>
  <c r="W388" i="25"/>
  <c r="W351" i="25"/>
  <c r="W319" i="25"/>
  <c r="W312" i="25"/>
  <c r="W356" i="25"/>
  <c r="W323" i="25"/>
  <c r="W297" i="25"/>
  <c r="W344" i="25"/>
  <c r="W340" i="25"/>
  <c r="W278" i="25"/>
  <c r="W241" i="25"/>
  <c r="W235" i="25"/>
  <c r="W231" i="25"/>
  <c r="W187" i="25"/>
  <c r="W181" i="25"/>
  <c r="W371" i="25"/>
  <c r="W366" i="25"/>
  <c r="W345" i="25"/>
  <c r="W341" i="25"/>
  <c r="W302" i="25"/>
  <c r="W301" i="25"/>
  <c r="W279" i="25"/>
  <c r="W256" i="25"/>
  <c r="W254" i="25"/>
  <c r="W240" i="25"/>
  <c r="W236" i="25"/>
  <c r="W201" i="25"/>
  <c r="W199" i="25"/>
  <c r="W197" i="25"/>
  <c r="W195" i="25"/>
  <c r="W193" i="25"/>
  <c r="W191" i="25"/>
  <c r="W189" i="25"/>
  <c r="W186" i="25"/>
  <c r="W183" i="25"/>
  <c r="W175" i="25"/>
  <c r="W173" i="25"/>
  <c r="W171" i="25"/>
  <c r="W170" i="25"/>
  <c r="W373" i="25"/>
  <c r="W342" i="25"/>
  <c r="W232" i="25"/>
  <c r="W196" i="25"/>
  <c r="W188" i="25"/>
  <c r="W179" i="25"/>
  <c r="W174" i="25"/>
  <c r="W169" i="25"/>
  <c r="W158" i="25"/>
  <c r="W362" i="25"/>
  <c r="W343" i="25"/>
  <c r="W237" i="25"/>
  <c r="W233" i="25"/>
  <c r="W198" i="25"/>
  <c r="W190" i="25"/>
  <c r="W178" i="25"/>
  <c r="W176" i="25"/>
  <c r="W167" i="25"/>
  <c r="W165" i="25"/>
  <c r="W163" i="25"/>
  <c r="W161" i="25"/>
  <c r="W157" i="25"/>
  <c r="W154" i="25"/>
  <c r="W152" i="25"/>
  <c r="W150" i="25"/>
  <c r="W148" i="25"/>
  <c r="W146" i="25"/>
  <c r="W144" i="25"/>
  <c r="W142" i="25"/>
  <c r="W134" i="25"/>
  <c r="W132" i="25"/>
  <c r="W130" i="25"/>
  <c r="W128" i="25"/>
  <c r="W126" i="25"/>
  <c r="W300" i="25"/>
  <c r="W259" i="25"/>
  <c r="W234" i="25"/>
  <c r="W160" i="25"/>
  <c r="W155" i="25"/>
  <c r="W147" i="25"/>
  <c r="W127" i="25"/>
  <c r="W103" i="25"/>
  <c r="W87" i="25"/>
  <c r="W83" i="25"/>
  <c r="W79" i="25"/>
  <c r="W75" i="25"/>
  <c r="W71" i="25"/>
  <c r="W61" i="25"/>
  <c r="W55" i="25"/>
  <c r="W51" i="25"/>
  <c r="W47" i="25"/>
  <c r="W24" i="25"/>
  <c r="W20" i="25"/>
  <c r="W16" i="25"/>
  <c r="W13" i="25"/>
  <c r="W10" i="25"/>
  <c r="W8" i="25"/>
  <c r="W5" i="25"/>
  <c r="W346" i="25"/>
  <c r="W258" i="25"/>
  <c r="W255" i="25"/>
  <c r="W202" i="25"/>
  <c r="W192" i="25"/>
  <c r="W162" i="25"/>
  <c r="W149" i="25"/>
  <c r="W129" i="25"/>
  <c r="W124" i="25"/>
  <c r="W122" i="25"/>
  <c r="W120" i="25"/>
  <c r="W118" i="25"/>
  <c r="W116" i="25"/>
  <c r="W114" i="25"/>
  <c r="W112" i="25"/>
  <c r="W110" i="25"/>
  <c r="W108" i="25"/>
  <c r="W106" i="25"/>
  <c r="W102" i="25"/>
  <c r="W93" i="25"/>
  <c r="W91" i="25"/>
  <c r="W89" i="25"/>
  <c r="W88" i="25"/>
  <c r="W84" i="25"/>
  <c r="W78" i="25"/>
  <c r="W74" i="25"/>
  <c r="W70" i="25"/>
  <c r="W67" i="25"/>
  <c r="W60" i="25"/>
  <c r="W54" i="25"/>
  <c r="W50" i="25"/>
  <c r="W46" i="25"/>
  <c r="W29" i="25"/>
  <c r="W23" i="25"/>
  <c r="W19" i="25"/>
  <c r="W15" i="25"/>
  <c r="W7" i="25"/>
  <c r="W172" i="25"/>
  <c r="W151" i="25"/>
  <c r="W143" i="25"/>
  <c r="W257" i="25"/>
  <c r="W243" i="25"/>
  <c r="W242" i="25"/>
  <c r="W239" i="25"/>
  <c r="W238" i="25"/>
  <c r="W213" i="25"/>
  <c r="W164" i="25"/>
  <c r="W131" i="25"/>
  <c r="W145" i="25"/>
  <c r="W123" i="25"/>
  <c r="W115" i="25"/>
  <c r="W107" i="25"/>
  <c r="W105" i="25"/>
  <c r="W104" i="25"/>
  <c r="W101" i="25"/>
  <c r="W90" i="25"/>
  <c r="W76" i="25"/>
  <c r="W68" i="25"/>
  <c r="W62" i="25"/>
  <c r="W53" i="25"/>
  <c r="W45" i="25"/>
  <c r="W27" i="25"/>
  <c r="W18" i="25"/>
  <c r="W6" i="25"/>
  <c r="W80" i="25"/>
  <c r="W72" i="25"/>
  <c r="W21" i="25"/>
  <c r="W12" i="25"/>
  <c r="W125" i="25"/>
  <c r="W113" i="25"/>
  <c r="W85" i="25"/>
  <c r="W59" i="25"/>
  <c r="W56" i="25"/>
  <c r="W48" i="25"/>
  <c r="W11" i="25"/>
  <c r="W200" i="25"/>
  <c r="W177" i="25"/>
  <c r="W153" i="25"/>
  <c r="W117" i="25"/>
  <c r="W109" i="25"/>
  <c r="W92" i="25"/>
  <c r="W82" i="25"/>
  <c r="W73" i="25"/>
  <c r="W52" i="25"/>
  <c r="W22" i="25"/>
  <c r="W17" i="25"/>
  <c r="W9" i="25"/>
  <c r="W277" i="25"/>
  <c r="W166" i="25"/>
  <c r="W156" i="25"/>
  <c r="W133" i="25"/>
  <c r="W119" i="25"/>
  <c r="W111" i="25"/>
  <c r="W94" i="25"/>
  <c r="W86" i="25"/>
  <c r="W64" i="25"/>
  <c r="W49" i="25"/>
  <c r="W194" i="25"/>
  <c r="W121" i="25"/>
  <c r="W77" i="25"/>
  <c r="W69" i="25"/>
  <c r="W66" i="25"/>
  <c r="W25" i="25"/>
  <c r="W14" i="25"/>
  <c r="W63" i="25"/>
  <c r="W266" i="25"/>
  <c r="W270" i="25"/>
  <c r="W274" i="25"/>
  <c r="W285" i="25"/>
  <c r="W215" i="25"/>
  <c r="W267" i="25"/>
  <c r="W275" i="25"/>
  <c r="W314" i="25"/>
  <c r="W264" i="25"/>
  <c r="W272" i="25"/>
  <c r="W261" i="25"/>
  <c r="W260" i="25"/>
  <c r="W284" i="25"/>
  <c r="W321" i="25"/>
  <c r="W65" i="25"/>
  <c r="W263" i="25"/>
  <c r="W214" i="25"/>
  <c r="W324" i="25"/>
  <c r="W265" i="25"/>
  <c r="W209" i="25"/>
  <c r="W210" i="25"/>
  <c r="W276" i="25"/>
  <c r="W204" i="25"/>
  <c r="W281" i="25"/>
  <c r="W208" i="25"/>
  <c r="W269" i="25"/>
  <c r="W283" i="25"/>
  <c r="W293" i="25"/>
  <c r="W268" i="25"/>
  <c r="W280" i="25"/>
  <c r="W212" i="25"/>
  <c r="W304" i="25"/>
  <c r="W211" i="25"/>
  <c r="W271" i="25"/>
  <c r="W311" i="25"/>
  <c r="W296" i="25"/>
  <c r="W262" i="25"/>
  <c r="W273" i="25"/>
  <c r="W303" i="25"/>
  <c r="Y2" i="25"/>
  <c r="X1" i="25"/>
  <c r="X393" i="25" l="1"/>
  <c r="X391" i="25"/>
  <c r="X389" i="25"/>
  <c r="X387" i="25"/>
  <c r="X385" i="25"/>
  <c r="X382" i="25"/>
  <c r="X381" i="25"/>
  <c r="X386" i="25"/>
  <c r="X383" i="25"/>
  <c r="X379" i="25"/>
  <c r="X367" i="25"/>
  <c r="X365" i="25"/>
  <c r="X364" i="25"/>
  <c r="X363" i="25"/>
  <c r="X361" i="25"/>
  <c r="X392" i="25"/>
  <c r="X388" i="25"/>
  <c r="X377" i="25"/>
  <c r="X373" i="25"/>
  <c r="X371" i="25"/>
  <c r="X369" i="25"/>
  <c r="X390" i="25"/>
  <c r="X368" i="25"/>
  <c r="X358" i="25"/>
  <c r="X357" i="25"/>
  <c r="X352" i="25"/>
  <c r="X300" i="25"/>
  <c r="X384" i="25"/>
  <c r="X380" i="25"/>
  <c r="X376" i="25"/>
  <c r="X370" i="25"/>
  <c r="X362" i="25"/>
  <c r="X340" i="25"/>
  <c r="X312" i="25"/>
  <c r="X301" i="25"/>
  <c r="X356" i="25"/>
  <c r="X350" i="25"/>
  <c r="X323" i="25"/>
  <c r="X304" i="25"/>
  <c r="X297" i="25"/>
  <c r="X378" i="25"/>
  <c r="X355" i="25"/>
  <c r="X354" i="25"/>
  <c r="X366" i="25"/>
  <c r="X351" i="25"/>
  <c r="X303" i="25"/>
  <c r="X302" i="25"/>
  <c r="X283" i="25"/>
  <c r="X281" i="25"/>
  <c r="X256" i="25"/>
  <c r="X254" i="25"/>
  <c r="X236" i="25"/>
  <c r="X211" i="25"/>
  <c r="X201" i="25"/>
  <c r="X199" i="25"/>
  <c r="X197" i="25"/>
  <c r="X195" i="25"/>
  <c r="X193" i="25"/>
  <c r="X191" i="25"/>
  <c r="X189" i="25"/>
  <c r="X183" i="25"/>
  <c r="X175" i="25"/>
  <c r="X237" i="25"/>
  <c r="X233" i="25"/>
  <c r="X285" i="25"/>
  <c r="X214" i="25"/>
  <c r="X198" i="25"/>
  <c r="X190" i="25"/>
  <c r="X181" i="25"/>
  <c r="X178" i="25"/>
  <c r="X176" i="25"/>
  <c r="X170" i="25"/>
  <c r="X167" i="25"/>
  <c r="X165" i="25"/>
  <c r="X163" i="25"/>
  <c r="X161" i="25"/>
  <c r="X157" i="25"/>
  <c r="X154" i="25"/>
  <c r="X152" i="25"/>
  <c r="X150" i="25"/>
  <c r="X148" i="25"/>
  <c r="X146" i="25"/>
  <c r="X144" i="25"/>
  <c r="X142" i="25"/>
  <c r="X134" i="25"/>
  <c r="X132" i="25"/>
  <c r="X130" i="25"/>
  <c r="X128" i="25"/>
  <c r="X321" i="25"/>
  <c r="X311" i="25"/>
  <c r="X293" i="25"/>
  <c r="X284" i="25"/>
  <c r="X235" i="25"/>
  <c r="X234" i="25"/>
  <c r="X213" i="25"/>
  <c r="X200" i="25"/>
  <c r="X192" i="25"/>
  <c r="X177" i="25"/>
  <c r="X156" i="25"/>
  <c r="X255" i="25"/>
  <c r="X210" i="25"/>
  <c r="X202" i="25"/>
  <c r="X173" i="25"/>
  <c r="X169" i="25"/>
  <c r="X162" i="25"/>
  <c r="X149" i="25"/>
  <c r="X129" i="25"/>
  <c r="X124" i="25"/>
  <c r="X122" i="25"/>
  <c r="X120" i="25"/>
  <c r="X118" i="25"/>
  <c r="X116" i="25"/>
  <c r="X114" i="25"/>
  <c r="X112" i="25"/>
  <c r="X110" i="25"/>
  <c r="X108" i="25"/>
  <c r="X106" i="25"/>
  <c r="X102" i="25"/>
  <c r="X93" i="25"/>
  <c r="X91" i="25"/>
  <c r="X89" i="25"/>
  <c r="X88" i="25"/>
  <c r="X84" i="25"/>
  <c r="X78" i="25"/>
  <c r="X74" i="25"/>
  <c r="X70" i="25"/>
  <c r="X67" i="25"/>
  <c r="X65" i="25"/>
  <c r="X63" i="25"/>
  <c r="X60" i="25"/>
  <c r="X54" i="25"/>
  <c r="X50" i="25"/>
  <c r="X46" i="25"/>
  <c r="X29" i="25"/>
  <c r="X23" i="25"/>
  <c r="X19" i="25"/>
  <c r="X15" i="25"/>
  <c r="X7" i="25"/>
  <c r="X280" i="25"/>
  <c r="X196" i="25"/>
  <c r="X179" i="25"/>
  <c r="X164" i="25"/>
  <c r="X151" i="25"/>
  <c r="X143" i="25"/>
  <c r="X131" i="25"/>
  <c r="X105" i="25"/>
  <c r="X101" i="25"/>
  <c r="X85" i="25"/>
  <c r="X82" i="25"/>
  <c r="X77" i="25"/>
  <c r="X73" i="25"/>
  <c r="X69" i="25"/>
  <c r="X53" i="25"/>
  <c r="X49" i="25"/>
  <c r="X45" i="25"/>
  <c r="X27" i="25"/>
  <c r="X22" i="25"/>
  <c r="X18" i="25"/>
  <c r="X14" i="25"/>
  <c r="X12" i="25"/>
  <c r="X9" i="25"/>
  <c r="X6" i="25"/>
  <c r="X174" i="25"/>
  <c r="X158" i="25"/>
  <c r="X153" i="25"/>
  <c r="X145" i="25"/>
  <c r="X133" i="25"/>
  <c r="X125" i="25"/>
  <c r="X353" i="25"/>
  <c r="X194" i="25"/>
  <c r="X166" i="25"/>
  <c r="X188" i="25"/>
  <c r="X155" i="25"/>
  <c r="X117" i="25"/>
  <c r="X109" i="25"/>
  <c r="X92" i="25"/>
  <c r="X87" i="25"/>
  <c r="X83" i="25"/>
  <c r="X79" i="25"/>
  <c r="X75" i="25"/>
  <c r="X61" i="25"/>
  <c r="X52" i="25"/>
  <c r="X17" i="25"/>
  <c r="X13" i="25"/>
  <c r="X71" i="25"/>
  <c r="X66" i="25"/>
  <c r="X59" i="25"/>
  <c r="X56" i="25"/>
  <c r="X25" i="25"/>
  <c r="X11" i="25"/>
  <c r="X8" i="25"/>
  <c r="X123" i="25"/>
  <c r="X115" i="25"/>
  <c r="X107" i="25"/>
  <c r="X104" i="25"/>
  <c r="X90" i="25"/>
  <c r="X55" i="25"/>
  <c r="X147" i="25"/>
  <c r="X119" i="25"/>
  <c r="X111" i="25"/>
  <c r="X94" i="25"/>
  <c r="X86" i="25"/>
  <c r="X80" i="25"/>
  <c r="X72" i="25"/>
  <c r="X51" i="25"/>
  <c r="X21" i="25"/>
  <c r="X16" i="25"/>
  <c r="X5" i="25"/>
  <c r="X160" i="25"/>
  <c r="X127" i="25"/>
  <c r="X126" i="25"/>
  <c r="X121" i="25"/>
  <c r="X113" i="25"/>
  <c r="X103" i="25"/>
  <c r="X48" i="25"/>
  <c r="X20" i="25"/>
  <c r="X372" i="25"/>
  <c r="X76" i="25"/>
  <c r="X68" i="25"/>
  <c r="X62" i="25"/>
  <c r="X47" i="25"/>
  <c r="X24" i="25"/>
  <c r="X10" i="25"/>
  <c r="X209" i="25"/>
  <c r="X204" i="25"/>
  <c r="X257" i="25"/>
  <c r="X258" i="25"/>
  <c r="X259" i="25"/>
  <c r="X260" i="25"/>
  <c r="X271" i="25"/>
  <c r="X314" i="25"/>
  <c r="X215" i="25"/>
  <c r="X277" i="25"/>
  <c r="X267" i="25"/>
  <c r="X268" i="25"/>
  <c r="X276" i="25"/>
  <c r="X262" i="25"/>
  <c r="X269" i="25"/>
  <c r="X342" i="25"/>
  <c r="X344" i="25"/>
  <c r="X346" i="25"/>
  <c r="X266" i="25"/>
  <c r="X270" i="25"/>
  <c r="X274" i="25"/>
  <c r="X212" i="25"/>
  <c r="X261" i="25"/>
  <c r="X263" i="25"/>
  <c r="X296" i="25"/>
  <c r="X324" i="25"/>
  <c r="X265" i="25"/>
  <c r="X273" i="25"/>
  <c r="X275" i="25"/>
  <c r="X322" i="25"/>
  <c r="X319" i="25"/>
  <c r="X64" i="25"/>
  <c r="X264" i="25"/>
  <c r="X272" i="25"/>
  <c r="X318" i="25"/>
  <c r="X208" i="25"/>
  <c r="X341" i="25"/>
  <c r="X343" i="25"/>
  <c r="X345" i="25"/>
  <c r="Y1" i="25"/>
  <c r="Z2" i="25"/>
  <c r="AA2" i="25" l="1"/>
  <c r="Z1" i="25"/>
  <c r="Y381" i="25"/>
  <c r="Y378" i="25"/>
  <c r="Y376" i="25"/>
  <c r="Y373" i="25"/>
  <c r="Y371" i="25"/>
  <c r="Y369" i="25"/>
  <c r="Y392" i="25"/>
  <c r="Y390" i="25"/>
  <c r="Y388" i="25"/>
  <c r="Y386" i="25"/>
  <c r="Y384" i="25"/>
  <c r="Y380" i="25"/>
  <c r="Y391" i="25"/>
  <c r="Y382" i="25"/>
  <c r="Y377" i="25"/>
  <c r="Y393" i="25"/>
  <c r="Y385" i="25"/>
  <c r="Y366" i="25"/>
  <c r="Y387" i="25"/>
  <c r="Y383" i="25"/>
  <c r="Y379" i="25"/>
  <c r="Y370" i="25"/>
  <c r="Y367" i="25"/>
  <c r="Y301" i="25"/>
  <c r="Y372" i="25"/>
  <c r="Y364" i="25"/>
  <c r="Y356" i="25"/>
  <c r="Y351" i="25"/>
  <c r="Y302" i="25"/>
  <c r="Y389" i="25"/>
  <c r="Y365" i="25"/>
  <c r="Y361" i="25"/>
  <c r="Y358" i="25"/>
  <c r="Y357" i="25"/>
  <c r="Y355" i="25"/>
  <c r="Y354" i="25"/>
  <c r="Y368" i="25"/>
  <c r="Y352" i="25"/>
  <c r="Y303" i="25"/>
  <c r="Y300" i="25"/>
  <c r="Y350" i="25"/>
  <c r="Y318" i="25"/>
  <c r="Y297" i="25"/>
  <c r="Y237" i="25"/>
  <c r="Y233" i="25"/>
  <c r="Y322" i="25"/>
  <c r="Y314" i="25"/>
  <c r="Y285" i="25"/>
  <c r="Y284" i="25"/>
  <c r="Y280" i="25"/>
  <c r="Y255" i="25"/>
  <c r="Y234" i="25"/>
  <c r="Y202" i="25"/>
  <c r="Y200" i="25"/>
  <c r="Y198" i="25"/>
  <c r="Y196" i="25"/>
  <c r="Y194" i="25"/>
  <c r="Y192" i="25"/>
  <c r="Y190" i="25"/>
  <c r="Y188" i="25"/>
  <c r="Y176" i="25"/>
  <c r="Y174" i="25"/>
  <c r="Y169" i="25"/>
  <c r="Y311" i="25"/>
  <c r="Y256" i="25"/>
  <c r="Y236" i="25"/>
  <c r="Y235" i="25"/>
  <c r="Y195" i="25"/>
  <c r="Y156" i="25"/>
  <c r="Y353" i="25"/>
  <c r="Y283" i="25"/>
  <c r="Y281" i="25"/>
  <c r="Y197" i="25"/>
  <c r="Y189" i="25"/>
  <c r="Y175" i="25"/>
  <c r="Y166" i="25"/>
  <c r="Y164" i="25"/>
  <c r="Y162" i="25"/>
  <c r="Y160" i="25"/>
  <c r="Y155" i="25"/>
  <c r="Y153" i="25"/>
  <c r="Y151" i="25"/>
  <c r="Y149" i="25"/>
  <c r="Y147" i="25"/>
  <c r="Y145" i="25"/>
  <c r="Y143" i="25"/>
  <c r="Y133" i="25"/>
  <c r="Y131" i="25"/>
  <c r="Y129" i="25"/>
  <c r="Y127" i="25"/>
  <c r="Y304" i="25"/>
  <c r="Y199" i="25"/>
  <c r="Y193" i="25"/>
  <c r="Y183" i="25"/>
  <c r="Y167" i="25"/>
  <c r="Y154" i="25"/>
  <c r="Y146" i="25"/>
  <c r="Y134" i="25"/>
  <c r="Y105" i="25"/>
  <c r="Y101" i="25"/>
  <c r="Y85" i="25"/>
  <c r="Y82" i="25"/>
  <c r="Y77" i="25"/>
  <c r="Y73" i="25"/>
  <c r="Y69" i="25"/>
  <c r="Y53" i="25"/>
  <c r="Y49" i="25"/>
  <c r="Y45" i="25"/>
  <c r="Y27" i="25"/>
  <c r="Y22" i="25"/>
  <c r="Y18" i="25"/>
  <c r="Y14" i="25"/>
  <c r="Y12" i="25"/>
  <c r="Y9" i="25"/>
  <c r="Y6" i="25"/>
  <c r="Y161" i="25"/>
  <c r="Y158" i="25"/>
  <c r="Y148" i="25"/>
  <c r="Y128" i="25"/>
  <c r="Y125" i="25"/>
  <c r="Y123" i="25"/>
  <c r="Y121" i="25"/>
  <c r="Y119" i="25"/>
  <c r="Y117" i="25"/>
  <c r="Y115" i="25"/>
  <c r="Y113" i="25"/>
  <c r="Y111" i="25"/>
  <c r="Y109" i="25"/>
  <c r="Y107" i="25"/>
  <c r="Y104" i="25"/>
  <c r="Y94" i="25"/>
  <c r="Y92" i="25"/>
  <c r="Y90" i="25"/>
  <c r="Y86" i="25"/>
  <c r="Y80" i="25"/>
  <c r="Y76" i="25"/>
  <c r="Y72" i="25"/>
  <c r="Y68" i="25"/>
  <c r="Y62" i="25"/>
  <c r="Y59" i="25"/>
  <c r="Y56" i="25"/>
  <c r="Y52" i="25"/>
  <c r="Y48" i="25"/>
  <c r="Y25" i="25"/>
  <c r="Y21" i="25"/>
  <c r="Y17" i="25"/>
  <c r="Y11" i="25"/>
  <c r="Y201" i="25"/>
  <c r="Y191" i="25"/>
  <c r="Y170" i="25"/>
  <c r="Y163" i="25"/>
  <c r="Y157" i="25"/>
  <c r="Y150" i="25"/>
  <c r="Y130" i="25"/>
  <c r="Y254" i="25"/>
  <c r="Y142" i="25"/>
  <c r="Y126" i="25"/>
  <c r="Y152" i="25"/>
  <c r="Y122" i="25"/>
  <c r="Y114" i="25"/>
  <c r="Y106" i="25"/>
  <c r="Y102" i="25"/>
  <c r="Y89" i="25"/>
  <c r="Y74" i="25"/>
  <c r="Y67" i="25"/>
  <c r="Y60" i="25"/>
  <c r="Y51" i="25"/>
  <c r="Y16" i="25"/>
  <c r="Y5" i="25"/>
  <c r="Y78" i="25"/>
  <c r="Y70" i="25"/>
  <c r="Y47" i="25"/>
  <c r="Y24" i="25"/>
  <c r="Y10" i="25"/>
  <c r="Y7" i="25"/>
  <c r="Y181" i="25"/>
  <c r="Y112" i="25"/>
  <c r="Y83" i="25"/>
  <c r="Y75" i="25"/>
  <c r="Y65" i="25"/>
  <c r="Y54" i="25"/>
  <c r="Y46" i="25"/>
  <c r="Y165" i="25"/>
  <c r="Y132" i="25"/>
  <c r="Y124" i="25"/>
  <c r="Y116" i="25"/>
  <c r="Y108" i="25"/>
  <c r="Y103" i="25"/>
  <c r="Y91" i="25"/>
  <c r="Y88" i="25"/>
  <c r="Y84" i="25"/>
  <c r="Y71" i="25"/>
  <c r="Y63" i="25"/>
  <c r="Y50" i="25"/>
  <c r="Y29" i="25"/>
  <c r="Y20" i="25"/>
  <c r="Y15" i="25"/>
  <c r="Y8" i="25"/>
  <c r="Y173" i="25"/>
  <c r="Y118" i="25"/>
  <c r="Y110" i="25"/>
  <c r="Y93" i="25"/>
  <c r="Y55" i="25"/>
  <c r="Y19" i="25"/>
  <c r="Y144" i="25"/>
  <c r="Y120" i="25"/>
  <c r="Y87" i="25"/>
  <c r="Y79" i="25"/>
  <c r="Y61" i="25"/>
  <c r="Y23" i="25"/>
  <c r="Y13" i="25"/>
  <c r="Y64" i="25"/>
  <c r="Y263" i="25"/>
  <c r="Y296" i="25"/>
  <c r="Y277" i="25"/>
  <c r="Y267" i="25"/>
  <c r="Y275" i="25"/>
  <c r="Y323" i="25"/>
  <c r="Y257" i="25"/>
  <c r="Y259" i="25"/>
  <c r="Y271" i="25"/>
  <c r="Y319" i="25"/>
  <c r="Y66" i="25"/>
  <c r="Y266" i="25"/>
  <c r="Y274" i="25"/>
  <c r="Y261" i="25"/>
  <c r="Y273" i="25"/>
  <c r="Y264" i="25"/>
  <c r="Y268" i="25"/>
  <c r="Y272" i="25"/>
  <c r="Y276" i="25"/>
  <c r="Y262" i="25"/>
  <c r="Y324" i="25"/>
  <c r="Y269" i="25"/>
  <c r="Y321" i="25"/>
  <c r="Y341" i="25"/>
  <c r="Y342" i="25"/>
  <c r="Y343" i="25"/>
  <c r="Y344" i="25"/>
  <c r="Y345" i="25"/>
  <c r="Y346" i="25"/>
  <c r="Y312" i="25"/>
  <c r="Y258" i="25"/>
  <c r="Y260" i="25"/>
  <c r="Y270" i="25"/>
  <c r="Y340" i="25"/>
  <c r="Y265" i="25"/>
  <c r="Y293" i="25"/>
  <c r="Z392" i="25" l="1"/>
  <c r="Z390" i="25"/>
  <c r="Z388" i="25"/>
  <c r="Z386" i="25"/>
  <c r="Z384" i="25"/>
  <c r="Z380" i="25"/>
  <c r="Z383" i="25"/>
  <c r="Z379" i="25"/>
  <c r="Z393" i="25"/>
  <c r="Z385" i="25"/>
  <c r="Z373" i="25"/>
  <c r="Z371" i="25"/>
  <c r="Z369" i="25"/>
  <c r="Z366" i="25"/>
  <c r="Z387" i="25"/>
  <c r="Z381" i="25"/>
  <c r="Z372" i="25"/>
  <c r="Z370" i="25"/>
  <c r="Z368" i="25"/>
  <c r="Z376" i="25"/>
  <c r="Z364" i="25"/>
  <c r="Z356" i="25"/>
  <c r="Z351" i="25"/>
  <c r="Z389" i="25"/>
  <c r="Z378" i="25"/>
  <c r="Z377" i="25"/>
  <c r="Z361" i="25"/>
  <c r="Z355" i="25"/>
  <c r="Z354" i="25"/>
  <c r="Z353" i="25"/>
  <c r="Z350" i="25"/>
  <c r="Z352" i="25"/>
  <c r="Z367" i="25"/>
  <c r="Z255" i="25"/>
  <c r="Z202" i="25"/>
  <c r="Z200" i="25"/>
  <c r="Z198" i="25"/>
  <c r="Z196" i="25"/>
  <c r="Z194" i="25"/>
  <c r="Z192" i="25"/>
  <c r="Z190" i="25"/>
  <c r="Z188" i="25"/>
  <c r="Z176" i="25"/>
  <c r="Z174" i="25"/>
  <c r="Z181" i="25"/>
  <c r="Z365" i="25"/>
  <c r="Z358" i="25"/>
  <c r="Z197" i="25"/>
  <c r="Z189" i="25"/>
  <c r="Z175" i="25"/>
  <c r="Z166" i="25"/>
  <c r="Z164" i="25"/>
  <c r="Z162" i="25"/>
  <c r="Z160" i="25"/>
  <c r="Z155" i="25"/>
  <c r="Z153" i="25"/>
  <c r="Z151" i="25"/>
  <c r="Z149" i="25"/>
  <c r="Z147" i="25"/>
  <c r="Z145" i="25"/>
  <c r="Z143" i="25"/>
  <c r="Z133" i="25"/>
  <c r="Z131" i="25"/>
  <c r="Z129" i="25"/>
  <c r="Z127" i="25"/>
  <c r="Z199" i="25"/>
  <c r="Z191" i="25"/>
  <c r="Z173" i="25"/>
  <c r="Z158" i="25"/>
  <c r="Z357" i="25"/>
  <c r="Z161" i="25"/>
  <c r="Z148" i="25"/>
  <c r="Z128" i="25"/>
  <c r="Z125" i="25"/>
  <c r="Z123" i="25"/>
  <c r="Z121" i="25"/>
  <c r="Z119" i="25"/>
  <c r="Z117" i="25"/>
  <c r="Z115" i="25"/>
  <c r="Z113" i="25"/>
  <c r="Z111" i="25"/>
  <c r="Z109" i="25"/>
  <c r="Z107" i="25"/>
  <c r="Z104" i="25"/>
  <c r="Z94" i="25"/>
  <c r="Z92" i="25"/>
  <c r="Z90" i="25"/>
  <c r="Z86" i="25"/>
  <c r="Z80" i="25"/>
  <c r="Z76" i="25"/>
  <c r="Z72" i="25"/>
  <c r="Z68" i="25"/>
  <c r="Z62" i="25"/>
  <c r="Z59" i="25"/>
  <c r="Z56" i="25"/>
  <c r="Z52" i="25"/>
  <c r="Z48" i="25"/>
  <c r="Z25" i="25"/>
  <c r="Z21" i="25"/>
  <c r="Z17" i="25"/>
  <c r="Z11" i="25"/>
  <c r="Z254" i="25"/>
  <c r="Z201" i="25"/>
  <c r="Z195" i="25"/>
  <c r="Z170" i="25"/>
  <c r="Z163" i="25"/>
  <c r="Z157" i="25"/>
  <c r="Z150" i="25"/>
  <c r="Z142" i="25"/>
  <c r="Z130" i="25"/>
  <c r="Z126" i="25"/>
  <c r="Z103" i="25"/>
  <c r="Z87" i="25"/>
  <c r="Z83" i="25"/>
  <c r="Z79" i="25"/>
  <c r="Z75" i="25"/>
  <c r="Z71" i="25"/>
  <c r="Z61" i="25"/>
  <c r="Z55" i="25"/>
  <c r="Z51" i="25"/>
  <c r="Z47" i="25"/>
  <c r="Z24" i="25"/>
  <c r="Z20" i="25"/>
  <c r="Z16" i="25"/>
  <c r="Z13" i="25"/>
  <c r="Z10" i="25"/>
  <c r="Z8" i="25"/>
  <c r="Z5" i="25"/>
  <c r="Z165" i="25"/>
  <c r="Z156" i="25"/>
  <c r="Z152" i="25"/>
  <c r="Z144" i="25"/>
  <c r="Z132" i="25"/>
  <c r="Z391" i="25"/>
  <c r="Z382" i="25"/>
  <c r="Z183" i="25"/>
  <c r="Z146" i="25"/>
  <c r="Z124" i="25"/>
  <c r="Z116" i="25"/>
  <c r="Z108" i="25"/>
  <c r="Z91" i="25"/>
  <c r="Z88" i="25"/>
  <c r="Z84" i="25"/>
  <c r="Z73" i="25"/>
  <c r="Z63" i="25"/>
  <c r="Z50" i="25"/>
  <c r="Z29" i="25"/>
  <c r="Z22" i="25"/>
  <c r="Z15" i="25"/>
  <c r="Z9" i="25"/>
  <c r="Z77" i="25"/>
  <c r="Z46" i="25"/>
  <c r="Z23" i="25"/>
  <c r="Z14" i="25"/>
  <c r="Z122" i="25"/>
  <c r="Z114" i="25"/>
  <c r="Z106" i="25"/>
  <c r="Z105" i="25"/>
  <c r="Z89" i="25"/>
  <c r="Z74" i="25"/>
  <c r="Z60" i="25"/>
  <c r="Z27" i="25"/>
  <c r="Z18" i="25"/>
  <c r="Z6" i="25"/>
  <c r="Z193" i="25"/>
  <c r="Z154" i="25"/>
  <c r="Z118" i="25"/>
  <c r="Z110" i="25"/>
  <c r="Z93" i="25"/>
  <c r="Z78" i="25"/>
  <c r="Z70" i="25"/>
  <c r="Z49" i="25"/>
  <c r="Z19" i="25"/>
  <c r="Z12" i="25"/>
  <c r="Z7" i="25"/>
  <c r="Z167" i="25"/>
  <c r="Z134" i="25"/>
  <c r="Z120" i="25"/>
  <c r="Z112" i="25"/>
  <c r="Z85" i="25"/>
  <c r="Z69" i="25"/>
  <c r="Z65" i="25"/>
  <c r="Z54" i="25"/>
  <c r="Z256" i="25"/>
  <c r="Z169" i="25"/>
  <c r="Z102" i="25"/>
  <c r="Z101" i="25"/>
  <c r="Z67" i="25"/>
  <c r="Z53" i="25"/>
  <c r="Z45" i="25"/>
  <c r="Z64" i="25"/>
  <c r="Z66" i="25"/>
  <c r="AB2" i="25"/>
  <c r="AB1" i="25" s="1"/>
  <c r="AA1" i="25"/>
  <c r="AA383" i="25" l="1"/>
  <c r="AA379" i="25"/>
  <c r="AA377" i="25"/>
  <c r="AA372" i="25"/>
  <c r="AA370" i="25"/>
  <c r="AA368" i="25"/>
  <c r="AA393" i="25"/>
  <c r="AA391" i="25"/>
  <c r="AA389" i="25"/>
  <c r="AA387" i="25"/>
  <c r="AA385" i="25"/>
  <c r="AA382" i="25"/>
  <c r="AA392" i="25"/>
  <c r="AA388" i="25"/>
  <c r="AA381" i="25"/>
  <c r="AA390" i="25"/>
  <c r="AA378" i="25"/>
  <c r="AA376" i="25"/>
  <c r="AA367" i="25"/>
  <c r="AA365" i="25"/>
  <c r="AA364" i="25"/>
  <c r="AA361" i="25"/>
  <c r="AA358" i="25"/>
  <c r="AA384" i="25"/>
  <c r="AA380" i="25"/>
  <c r="AA369" i="25"/>
  <c r="AA355" i="25"/>
  <c r="AA354" i="25"/>
  <c r="AA353" i="25"/>
  <c r="AA350" i="25"/>
  <c r="AA371" i="25"/>
  <c r="AA366" i="25"/>
  <c r="AA357" i="25"/>
  <c r="AA352" i="25"/>
  <c r="AA373" i="25"/>
  <c r="AA386" i="25"/>
  <c r="AA282" i="25"/>
  <c r="AA181" i="25"/>
  <c r="AA256" i="25"/>
  <c r="AA254" i="25"/>
  <c r="AA201" i="25"/>
  <c r="AA199" i="25"/>
  <c r="AA197" i="25"/>
  <c r="AA195" i="25"/>
  <c r="AA193" i="25"/>
  <c r="AA191" i="25"/>
  <c r="AA189" i="25"/>
  <c r="AA183" i="25"/>
  <c r="AA175" i="25"/>
  <c r="AA173" i="25"/>
  <c r="AA170" i="25"/>
  <c r="AA356" i="25"/>
  <c r="AA200" i="25"/>
  <c r="AA192" i="25"/>
  <c r="AA158" i="25"/>
  <c r="AA255" i="25"/>
  <c r="AA202" i="25"/>
  <c r="AA194" i="25"/>
  <c r="AA169" i="25"/>
  <c r="AA167" i="25"/>
  <c r="AA165" i="25"/>
  <c r="AA163" i="25"/>
  <c r="AA161" i="25"/>
  <c r="AA157" i="25"/>
  <c r="AA154" i="25"/>
  <c r="AA152" i="25"/>
  <c r="AA150" i="25"/>
  <c r="AA148" i="25"/>
  <c r="AA146" i="25"/>
  <c r="AA144" i="25"/>
  <c r="AA142" i="25"/>
  <c r="AA134" i="25"/>
  <c r="AA132" i="25"/>
  <c r="AA130" i="25"/>
  <c r="AA128" i="25"/>
  <c r="AA126" i="25"/>
  <c r="AA196" i="25"/>
  <c r="AA190" i="25"/>
  <c r="AA164" i="25"/>
  <c r="AA151" i="25"/>
  <c r="AA143" i="25"/>
  <c r="AA131" i="25"/>
  <c r="AA103" i="25"/>
  <c r="AA79" i="25"/>
  <c r="AA75" i="25"/>
  <c r="AA71" i="25"/>
  <c r="AA61" i="25"/>
  <c r="AA55" i="25"/>
  <c r="AA51" i="25"/>
  <c r="AA47" i="25"/>
  <c r="AA24" i="25"/>
  <c r="AA20" i="25"/>
  <c r="AA16" i="25"/>
  <c r="AA13" i="25"/>
  <c r="AA10" i="25"/>
  <c r="AA8" i="25"/>
  <c r="AA5" i="25"/>
  <c r="AA351" i="25"/>
  <c r="AA174" i="25"/>
  <c r="AA166" i="25"/>
  <c r="AA156" i="25"/>
  <c r="AA153" i="25"/>
  <c r="AA145" i="25"/>
  <c r="AA133" i="25"/>
  <c r="AA124" i="25"/>
  <c r="AA122" i="25"/>
  <c r="AA120" i="25"/>
  <c r="AA118" i="25"/>
  <c r="AA116" i="25"/>
  <c r="AA114" i="25"/>
  <c r="AA112" i="25"/>
  <c r="AA110" i="25"/>
  <c r="AA108" i="25"/>
  <c r="AA106" i="25"/>
  <c r="AA102" i="25"/>
  <c r="AA93" i="25"/>
  <c r="AA91" i="25"/>
  <c r="AA89" i="25"/>
  <c r="AA78" i="25"/>
  <c r="AA74" i="25"/>
  <c r="AA70" i="25"/>
  <c r="AA67" i="25"/>
  <c r="AA60" i="25"/>
  <c r="AA54" i="25"/>
  <c r="AA50" i="25"/>
  <c r="AA46" i="25"/>
  <c r="AA29" i="25"/>
  <c r="AA23" i="25"/>
  <c r="AA19" i="25"/>
  <c r="AA15" i="25"/>
  <c r="AA7" i="25"/>
  <c r="AA188" i="25"/>
  <c r="AA160" i="25"/>
  <c r="AA155" i="25"/>
  <c r="AA127" i="25"/>
  <c r="AA198" i="25"/>
  <c r="AA147" i="25"/>
  <c r="AA119" i="25"/>
  <c r="AA111" i="25"/>
  <c r="AA94" i="25"/>
  <c r="AA80" i="25"/>
  <c r="AA72" i="25"/>
  <c r="AA49" i="25"/>
  <c r="AA21" i="25"/>
  <c r="AA12" i="25"/>
  <c r="AA53" i="25"/>
  <c r="AA129" i="25"/>
  <c r="AA109" i="25"/>
  <c r="AA92" i="25"/>
  <c r="AA73" i="25"/>
  <c r="AA17" i="25"/>
  <c r="AA121" i="25"/>
  <c r="AA113" i="25"/>
  <c r="AA77" i="25"/>
  <c r="AA69" i="25"/>
  <c r="AA59" i="25"/>
  <c r="AA56" i="25"/>
  <c r="AA48" i="25"/>
  <c r="AA25" i="25"/>
  <c r="AA14" i="25"/>
  <c r="AA11" i="25"/>
  <c r="AA149" i="25"/>
  <c r="AA125" i="25"/>
  <c r="AA123" i="25"/>
  <c r="AA115" i="25"/>
  <c r="AA107" i="25"/>
  <c r="AA105" i="25"/>
  <c r="AA104" i="25"/>
  <c r="AA101" i="25"/>
  <c r="AA90" i="25"/>
  <c r="AA76" i="25"/>
  <c r="AA68" i="25"/>
  <c r="AA62" i="25"/>
  <c r="AA45" i="25"/>
  <c r="AA27" i="25"/>
  <c r="AA18" i="25"/>
  <c r="AA6" i="25"/>
  <c r="AA176" i="25"/>
  <c r="AA162" i="25"/>
  <c r="AA117" i="25"/>
  <c r="AA52" i="25"/>
  <c r="AA22" i="25"/>
  <c r="AA9" i="25"/>
  <c r="AA65" i="25"/>
  <c r="AA66" i="25"/>
  <c r="AA63" i="25"/>
  <c r="AA64" i="25"/>
  <c r="AB393" i="25"/>
  <c r="AB391" i="25"/>
  <c r="AB389" i="25"/>
  <c r="AB387" i="25"/>
  <c r="AB385" i="25"/>
  <c r="AB382" i="25"/>
  <c r="AB381" i="25"/>
  <c r="AB390" i="25"/>
  <c r="AB378" i="25"/>
  <c r="AB376" i="25"/>
  <c r="AB372" i="25"/>
  <c r="AB370" i="25"/>
  <c r="AB368" i="25"/>
  <c r="AB367" i="25"/>
  <c r="AB365" i="25"/>
  <c r="AB364" i="25"/>
  <c r="AB361" i="25"/>
  <c r="AB384" i="25"/>
  <c r="AB380" i="25"/>
  <c r="AB377" i="25"/>
  <c r="AB371" i="25"/>
  <c r="AB366" i="25"/>
  <c r="AB357" i="25"/>
  <c r="AB352" i="25"/>
  <c r="AB392" i="25"/>
  <c r="AB386" i="25"/>
  <c r="AB373" i="25"/>
  <c r="AB358" i="25"/>
  <c r="AB383" i="25"/>
  <c r="AB379" i="25"/>
  <c r="AB369" i="25"/>
  <c r="AB351" i="25"/>
  <c r="AB388" i="25"/>
  <c r="AB355" i="25"/>
  <c r="AB256" i="25"/>
  <c r="AB254" i="25"/>
  <c r="AB201" i="25"/>
  <c r="AB199" i="25"/>
  <c r="AB197" i="25"/>
  <c r="AB195" i="25"/>
  <c r="AB193" i="25"/>
  <c r="AB191" i="25"/>
  <c r="AB189" i="25"/>
  <c r="AB183" i="25"/>
  <c r="AB175" i="25"/>
  <c r="AB356" i="25"/>
  <c r="AB255" i="25"/>
  <c r="AB202" i="25"/>
  <c r="AB194" i="25"/>
  <c r="AB173" i="25"/>
  <c r="AB169" i="25"/>
  <c r="AB167" i="25"/>
  <c r="AB165" i="25"/>
  <c r="AB163" i="25"/>
  <c r="AB161" i="25"/>
  <c r="AB157" i="25"/>
  <c r="AB154" i="25"/>
  <c r="AB152" i="25"/>
  <c r="AB150" i="25"/>
  <c r="AB148" i="25"/>
  <c r="AB146" i="25"/>
  <c r="AB144" i="25"/>
  <c r="AB142" i="25"/>
  <c r="AB134" i="25"/>
  <c r="AB132" i="25"/>
  <c r="AB130" i="25"/>
  <c r="AB128" i="25"/>
  <c r="AB196" i="25"/>
  <c r="AB188" i="25"/>
  <c r="AB174" i="25"/>
  <c r="AB170" i="25"/>
  <c r="AB156" i="25"/>
  <c r="AB192" i="25"/>
  <c r="AB166" i="25"/>
  <c r="AB158" i="25"/>
  <c r="AB153" i="25"/>
  <c r="AB145" i="25"/>
  <c r="AB133" i="25"/>
  <c r="AB126" i="25"/>
  <c r="AB124" i="25"/>
  <c r="AB122" i="25"/>
  <c r="AB120" i="25"/>
  <c r="AB118" i="25"/>
  <c r="AB116" i="25"/>
  <c r="AB114" i="25"/>
  <c r="AB112" i="25"/>
  <c r="AB110" i="25"/>
  <c r="AB108" i="25"/>
  <c r="AB106" i="25"/>
  <c r="AB102" i="25"/>
  <c r="AB93" i="25"/>
  <c r="AB91" i="25"/>
  <c r="AB89" i="25"/>
  <c r="AB78" i="25"/>
  <c r="AB74" i="25"/>
  <c r="AB70" i="25"/>
  <c r="AB67" i="25"/>
  <c r="AB65" i="25"/>
  <c r="AB63" i="25"/>
  <c r="AB60" i="25"/>
  <c r="AB54" i="25"/>
  <c r="AB50" i="25"/>
  <c r="AB46" i="25"/>
  <c r="AB29" i="25"/>
  <c r="AB23" i="25"/>
  <c r="AB19" i="25"/>
  <c r="AB15" i="25"/>
  <c r="AB7" i="25"/>
  <c r="AB198" i="25"/>
  <c r="AB160" i="25"/>
  <c r="AB155" i="25"/>
  <c r="AB147" i="25"/>
  <c r="AB127" i="25"/>
  <c r="AB105" i="25"/>
  <c r="AB101" i="25"/>
  <c r="AB77" i="25"/>
  <c r="AB73" i="25"/>
  <c r="AB69" i="25"/>
  <c r="AB53" i="25"/>
  <c r="AB49" i="25"/>
  <c r="AB45" i="25"/>
  <c r="AB27" i="25"/>
  <c r="AB22" i="25"/>
  <c r="AB18" i="25"/>
  <c r="AB14" i="25"/>
  <c r="AB12" i="25"/>
  <c r="AB9" i="25"/>
  <c r="AB6" i="25"/>
  <c r="AB200" i="25"/>
  <c r="AB181" i="25"/>
  <c r="AB176" i="25"/>
  <c r="AB162" i="25"/>
  <c r="AB149" i="25"/>
  <c r="AB129" i="25"/>
  <c r="AB125" i="25"/>
  <c r="AB282" i="25"/>
  <c r="AB164" i="25"/>
  <c r="AB131" i="25"/>
  <c r="AB121" i="25"/>
  <c r="AB113" i="25"/>
  <c r="AB103" i="25"/>
  <c r="AB71" i="25"/>
  <c r="AB66" i="25"/>
  <c r="AB59" i="25"/>
  <c r="AB56" i="25"/>
  <c r="AB48" i="25"/>
  <c r="AB25" i="25"/>
  <c r="AB20" i="25"/>
  <c r="AB11" i="25"/>
  <c r="AB8" i="25"/>
  <c r="AB61" i="25"/>
  <c r="AB52" i="25"/>
  <c r="AB119" i="25"/>
  <c r="AB111" i="25"/>
  <c r="AB94" i="25"/>
  <c r="AB80" i="25"/>
  <c r="AB21" i="25"/>
  <c r="AB16" i="25"/>
  <c r="AB5" i="25"/>
  <c r="AB123" i="25"/>
  <c r="AB115" i="25"/>
  <c r="AB107" i="25"/>
  <c r="AB104" i="25"/>
  <c r="AB90" i="25"/>
  <c r="AB76" i="25"/>
  <c r="AB68" i="25"/>
  <c r="AB62" i="25"/>
  <c r="AB55" i="25"/>
  <c r="AB47" i="25"/>
  <c r="AB24" i="25"/>
  <c r="AB10" i="25"/>
  <c r="AB143" i="25"/>
  <c r="AB117" i="25"/>
  <c r="AB109" i="25"/>
  <c r="AB92" i="25"/>
  <c r="AB79" i="25"/>
  <c r="AB75" i="25"/>
  <c r="AB17" i="25"/>
  <c r="AB13" i="25"/>
  <c r="AB190" i="25"/>
  <c r="AB151" i="25"/>
  <c r="AB72" i="25"/>
  <c r="AB64" i="25"/>
  <c r="AB51" i="25"/>
</calcChain>
</file>

<file path=xl/comments1.xml><?xml version="1.0" encoding="utf-8"?>
<comments xmlns="http://schemas.openxmlformats.org/spreadsheetml/2006/main">
  <authors>
    <author/>
  </authors>
  <commentList>
    <comment ref="B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>those in red is not available, using nearest sku price for the purpose of testing</t>
        </r>
      </text>
    </comment>
    <comment ref="C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B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sharedStrings.xml><?xml version="1.0" encoding="utf-8"?>
<sst xmlns="http://schemas.openxmlformats.org/spreadsheetml/2006/main" count="4795" uniqueCount="1510">
  <si>
    <t>NO</t>
  </si>
  <si>
    <t xml:space="preserve">Sheet Name </t>
  </si>
  <si>
    <t>Information</t>
  </si>
  <si>
    <t>Provided by</t>
  </si>
  <si>
    <t>Questions (From Ms Su)</t>
  </si>
  <si>
    <t>Answers (AVIOTA)</t>
  </si>
  <si>
    <t>Remarks (Clarification with AVIOTA on 21/9)</t>
  </si>
  <si>
    <t>PIC</t>
  </si>
  <si>
    <t>Phase 2</t>
  </si>
  <si>
    <t>Demand_Fresh</t>
  </si>
  <si>
    <t>Demand for each SKUs, over the planning horizon fresh (in Kg)</t>
  </si>
  <si>
    <t>Sales</t>
  </si>
  <si>
    <t>by product grouping or by sku, by day or by month?</t>
  </si>
  <si>
    <t>Demand at SKU level; Rolling it up to Product Group Level (or another level); Time/Date - As per planning horizon( Eg- Weekly Planning - Daily demand</t>
  </si>
  <si>
    <t>*Demand by Chill SKUs (IN KG)
*Weekly Demand (Mon-Sun, may suggest to monthly if required)
*Product Grouping will use file previous provided 
{File name: SKU_Bird Size Details Final as attached}</t>
  </si>
  <si>
    <t>Mark and Phoebe Heng</t>
  </si>
  <si>
    <t>Forecasting Model</t>
  </si>
  <si>
    <t>Demand_Frozen</t>
  </si>
  <si>
    <t>Demand for each SKUs, over the planning horizon frozen (in Kg)</t>
  </si>
  <si>
    <t>*Demand by Frozen SKUs (IN KG)
*Weekly Demand (Mon-Sun, may suggest to monthly if required)
*Product Grouping will use file previous provided 
{File name: SKU_Bird Size Details Final as attached}</t>
  </si>
  <si>
    <t>Selling_Price_Fresh</t>
  </si>
  <si>
    <t>Selling price of Fresh Products (per Kg) (in RM)</t>
  </si>
  <si>
    <t>each customer grouping has different tier in price for the same skus, how to input the data?</t>
  </si>
  <si>
    <t>Average Selling Price at the level defined above (Point 1)</t>
  </si>
  <si>
    <t>*Average selling price (RM/KG) by Chill SKU level.</t>
  </si>
  <si>
    <t>JDE: Sales Table to calculate average selling price (we defined period involved)</t>
  </si>
  <si>
    <t>Selling_Price_Frozen</t>
  </si>
  <si>
    <t>Selling price of Frozen Products (per Kg) (in RM)</t>
  </si>
  <si>
    <t>Average Selling Price at the level defined above (Point  2)</t>
  </si>
  <si>
    <t>*Average selling price (RM/KG) by Frozen SKU level.</t>
  </si>
  <si>
    <t>Holding_Cost_Fresh</t>
  </si>
  <si>
    <t>Holding cost of fresh products (per Kg per day) (in RM)</t>
  </si>
  <si>
    <t>Finance</t>
  </si>
  <si>
    <t>what is the duration of the holding cost based on?</t>
  </si>
  <si>
    <t>Need to be discussed</t>
  </si>
  <si>
    <t>*Holding Cost is refer to daily basis. (Would like to know the holding cost is fixed cost or by sku)</t>
  </si>
  <si>
    <t xml:space="preserve">Ms Ho HP /  Wong SM </t>
  </si>
  <si>
    <t>Mtech costing?</t>
  </si>
  <si>
    <t>Holding_Cost_Frozen</t>
  </si>
  <si>
    <t>Holding cost of frozen products (per Kg) (in RM)</t>
  </si>
  <si>
    <t>;</t>
  </si>
  <si>
    <t>Penalty_Fresh</t>
  </si>
  <si>
    <t>Penalization cost for unsatisfied demand fresh products (per Kg) (in RM)</t>
  </si>
  <si>
    <t>Penalty_Frozen</t>
  </si>
  <si>
    <t>Penalization cost for unsatisfied demand of fresh products (per Kg) (in RM)</t>
  </si>
  <si>
    <t>Cutting_Pattern</t>
  </si>
  <si>
    <t>Cutting Pattern with section wise and cut pattern (Refer Cutting Pattern diagram)</t>
  </si>
  <si>
    <t>Production</t>
  </si>
  <si>
    <t>Ahmad Zaki</t>
  </si>
  <si>
    <t>Operational_Cost</t>
  </si>
  <si>
    <t xml:space="preserve">Operational Cost of Pattern in regular time (per Pattern) (in RM) </t>
  </si>
  <si>
    <t>operational cost is based on per bird basis / per kg basis</t>
  </si>
  <si>
    <t>At what level cost is available (Need to be discussed)</t>
  </si>
  <si>
    <t>Ms Ho HP /  Wong SM (variable cost per kg)</t>
  </si>
  <si>
    <t>Operational_Cost_Overtime</t>
  </si>
  <si>
    <t>Operational Cost of Pattern in overtime (per Pattern) (in RM)</t>
  </si>
  <si>
    <t>operative cost x 1.5 ( inclusive Sunday, ph)</t>
  </si>
  <si>
    <t>Operation_Time</t>
  </si>
  <si>
    <t>Operation time (per pattern) Time require to perform different cutting pattern (in Hours)</t>
  </si>
  <si>
    <t>operational time is based on per bird basis / per kg basis</t>
  </si>
  <si>
    <t>Available_Hour_Regular</t>
  </si>
  <si>
    <t>Available working hours in regular time over the horizon (Hrs)</t>
  </si>
  <si>
    <t>*Weekly normal working hours by Day.</t>
  </si>
  <si>
    <t>Bird_Type_Ratio</t>
  </si>
  <si>
    <t>Availability ratio of S, M and L Different Size of Bird</t>
  </si>
  <si>
    <t>Planning</t>
  </si>
  <si>
    <t>Common_Data</t>
  </si>
  <si>
    <t>Warehouse Capacity Fresh (in Kg)</t>
  </si>
  <si>
    <t>CRM</t>
  </si>
  <si>
    <t>Warehouse Capacity Frozen (in Kg)</t>
  </si>
  <si>
    <t>Available Hour In Regular Time (Hours)</t>
  </si>
  <si>
    <t>Total over planning horizon (eg. If weekly plan- 7*daily working hrs)</t>
  </si>
  <si>
    <t>*Ignore this, as this is for total weekly normal working hour. (System will summarize from information on Sheet 13)</t>
  </si>
  <si>
    <t>Available Hour In Overtime (Hours)</t>
  </si>
  <si>
    <t>*Ignore this, as this is for total weekly normal working hour. (System will summarize from information on Sheet 18)</t>
  </si>
  <si>
    <t>Freezing Process Cost (per Kg)</t>
  </si>
  <si>
    <t>Freezing Process Capacity (in Kg)</t>
  </si>
  <si>
    <t>Freezing Process Duration (in Days)</t>
  </si>
  <si>
    <t>Minimum Availablity Ratio of number of birds over the horizon</t>
  </si>
  <si>
    <t>??</t>
  </si>
  <si>
    <t>kindly share what does this means.</t>
  </si>
  <si>
    <t>Minimum number of birds available on daily basis (Eg. 0.1*Number of Birds arriving at DPP; this is to get lower limit)</t>
  </si>
  <si>
    <t>*Ignore this.</t>
  </si>
  <si>
    <t>Shelf Life in Days</t>
  </si>
  <si>
    <t>shelf life is by sku, kindly share how to input?</t>
  </si>
  <si>
    <t>NDB (Can we use a common shelf life;minimum shelf life)</t>
  </si>
  <si>
    <t>*Please provide the Shelf life by SKUs first, will further discuss detail later with AVIOTA.</t>
  </si>
  <si>
    <t>Availability</t>
  </si>
  <si>
    <t>Availability of birds over the horizon ( Number of Birds )</t>
  </si>
  <si>
    <t>may I know day refer to date of the year or day of the week?</t>
  </si>
  <si>
    <t>This the estimated number of birds over the planning horizon</t>
  </si>
  <si>
    <t>*Weekly bird availability (By day)
*Same planning horizon with Demand input.</t>
  </si>
  <si>
    <t>Interface ??</t>
  </si>
  <si>
    <t>Yield</t>
  </si>
  <si>
    <t>Yield of each products from each pattern from each bird type (Kg)</t>
  </si>
  <si>
    <t>Product is based on product grouping or sku?</t>
  </si>
  <si>
    <t>Yield by each product level( defined in 1 &amp; 2) by pattern by bird size</t>
  </si>
  <si>
    <t xml:space="preserve">*Yield by Cutting Pattern by Bird Size. </t>
  </si>
  <si>
    <t>Available_Hour_Overtime</t>
  </si>
  <si>
    <t>Available working hours in overtime over the horizon (Hrs)</t>
  </si>
  <si>
    <t>is it the same as highlighted above?</t>
  </si>
  <si>
    <t>This is on daily basis</t>
  </si>
  <si>
    <t>*Weekly overtime working hours by Day.</t>
  </si>
  <si>
    <t>Initial_Inventory</t>
  </si>
  <si>
    <t>By product initial inventory of finished product ( in Kg)</t>
  </si>
  <si>
    <t>Why by product not not our finished product?</t>
  </si>
  <si>
    <t>Yes by finished product</t>
  </si>
  <si>
    <t>*Inventory by finished Product (IN KG)</t>
  </si>
  <si>
    <t>Interface from Mtech</t>
  </si>
  <si>
    <t xml:space="preserve">SKU Conversion </t>
  </si>
  <si>
    <t>Cost of converting from SKU1 to SKU2 (in RM)</t>
  </si>
  <si>
    <t>Planning &amp; Finance</t>
  </si>
  <si>
    <t>is the cost based on kg or bird?</t>
  </si>
  <si>
    <t>By KG</t>
  </si>
  <si>
    <t>*SKU conversion based on RM/KG</t>
  </si>
  <si>
    <t>Info Request By AVIOTA</t>
  </si>
  <si>
    <t>**Information for product mapping (Info like: By Section or processing line, By cutting pattern, By Product Group)</t>
  </si>
  <si>
    <t>(1) By Cutting Pattern</t>
  </si>
  <si>
    <t>(2) And, those products with its specification (which have contraint with certain bird size)</t>
  </si>
  <si>
    <t>item code</t>
  </si>
  <si>
    <t>BBR0F0000K02DC</t>
  </si>
  <si>
    <t>BBRSF0000K02DC</t>
  </si>
  <si>
    <t>BBRSMF000K04DC</t>
  </si>
  <si>
    <t>BFL0F0000K02DC</t>
  </si>
  <si>
    <t>BLG0F0000K02DC</t>
  </si>
  <si>
    <t>BLGSF0000K02DC</t>
  </si>
  <si>
    <t>BTH007585K04DC</t>
  </si>
  <si>
    <t>BTHSF0000K02DC</t>
  </si>
  <si>
    <t>BTHSMF000K04DC</t>
  </si>
  <si>
    <t>BTHSMF0FFK04DC</t>
  </si>
  <si>
    <t>C3JW07100K02DC</t>
  </si>
  <si>
    <t>C3JW09130K02DC</t>
  </si>
  <si>
    <t>C4PC00000P08DC</t>
  </si>
  <si>
    <t>C9PC00000P18DC</t>
  </si>
  <si>
    <t>C9PCKFC00P14DC</t>
  </si>
  <si>
    <t>C9PCKFC00P18DC</t>
  </si>
  <si>
    <t>C9PCWBM20P18DC</t>
  </si>
  <si>
    <t>CBRSH2332P10DC</t>
  </si>
  <si>
    <t>CCHICU000K02DC</t>
  </si>
  <si>
    <t>CCHICU000K06DC</t>
  </si>
  <si>
    <t>CDS008110K02DC</t>
  </si>
  <si>
    <t>CDS010140K02DC</t>
  </si>
  <si>
    <t>CDS010140P20DC</t>
  </si>
  <si>
    <t>CDS0CU000K02DC</t>
  </si>
  <si>
    <t>CKE0F0000K02DC</t>
  </si>
  <si>
    <t>CLG022270K06DC</t>
  </si>
  <si>
    <t>CLG022270P10DC</t>
  </si>
  <si>
    <t>CLG026340K06DC</t>
  </si>
  <si>
    <t>CRB015190K02DC</t>
  </si>
  <si>
    <t>CRB015190K06DC</t>
  </si>
  <si>
    <t>CRB019240K02DC</t>
  </si>
  <si>
    <t>CRB019240K06DC</t>
  </si>
  <si>
    <t>CTH013160K02DC</t>
  </si>
  <si>
    <t>CTH016210K02DC</t>
  </si>
  <si>
    <t>GCARF0000K10DC</t>
  </si>
  <si>
    <t>GFT0FBK00K06DC</t>
  </si>
  <si>
    <t>GFT0J0000K06DC</t>
  </si>
  <si>
    <t>GFT0RG000K06DC</t>
  </si>
  <si>
    <t>GGIZF0000K02DC</t>
  </si>
  <si>
    <t>GHD0F0000K05DC</t>
  </si>
  <si>
    <t>GLGBF0000K06DC</t>
  </si>
  <si>
    <t>GLH0F0000K02DC</t>
  </si>
  <si>
    <t>GLH0FBK00K02DC</t>
  </si>
  <si>
    <t>GLV002426K13DC</t>
  </si>
  <si>
    <t>GNKSF0000K06DC</t>
  </si>
  <si>
    <t>GSK0MF000K04DC</t>
  </si>
  <si>
    <t>GTL0F0000K06DC</t>
  </si>
  <si>
    <t>MPORBBSNDP05DC</t>
  </si>
  <si>
    <t>MPORBLBNDP04DC</t>
  </si>
  <si>
    <t>MPORBSTNDP10DC</t>
  </si>
  <si>
    <t>MPORC4TEXP08DC</t>
  </si>
  <si>
    <t>MPORC8TEXP16DC</t>
  </si>
  <si>
    <t>MPORC9MD0P18DC</t>
  </si>
  <si>
    <t>MPORC9MDSP18DC</t>
  </si>
  <si>
    <t>MPORC9WD0P18DC</t>
  </si>
  <si>
    <t>MPORFILNDP20DC</t>
  </si>
  <si>
    <t>MPORPWLNDP09DC</t>
  </si>
  <si>
    <t>MPORPWLNDP20DC</t>
  </si>
  <si>
    <t>MPORQLEKKP10DC</t>
  </si>
  <si>
    <t>MPORQTLBPP10DC</t>
  </si>
  <si>
    <t>MPORQTLHSP10DC</t>
  </si>
  <si>
    <t>MPORQTLHYP10DC</t>
  </si>
  <si>
    <t>MPORTHEKKP12DC</t>
  </si>
  <si>
    <t>MPORWBPM1P02DC</t>
  </si>
  <si>
    <t>MPORWHYM1P02DC</t>
  </si>
  <si>
    <t>MPORWKR00P10DC</t>
  </si>
  <si>
    <t>MPORWKRBPP10DC</t>
  </si>
  <si>
    <t>MPORWKRMXP10DC</t>
  </si>
  <si>
    <t>MPORWM1BPP02DC</t>
  </si>
  <si>
    <t>MPORWM1HSP02DC</t>
  </si>
  <si>
    <t>MPORWM1HSRETDC</t>
  </si>
  <si>
    <t>MPORWM1HYP02DC</t>
  </si>
  <si>
    <t>MPORWM1HYRETDC</t>
  </si>
  <si>
    <t>MPORWM1PKP02DC</t>
  </si>
  <si>
    <t>MPORWM1PKRETDC</t>
  </si>
  <si>
    <t>MPORWM4BPRETDC</t>
  </si>
  <si>
    <t>MPORWMHM1P02DC</t>
  </si>
  <si>
    <t>MPORWNDORP02DC</t>
  </si>
  <si>
    <t>MPORWNDORP04DC</t>
  </si>
  <si>
    <t>P3JW07090K02DC</t>
  </si>
  <si>
    <t>P3JW08100K02DC</t>
  </si>
  <si>
    <t>PDMTF0000K02DC</t>
  </si>
  <si>
    <t>PDMTMF000150DC</t>
  </si>
  <si>
    <t>PMJWF0000K02DC</t>
  </si>
  <si>
    <t>PMJWMF000150DC</t>
  </si>
  <si>
    <t>WBL1BP000P10DC</t>
  </si>
  <si>
    <t>WBL1SPG41P01DC</t>
  </si>
  <si>
    <t>WBL1SPHFGP01DC</t>
  </si>
  <si>
    <t>WBM1BP000P10DC</t>
  </si>
  <si>
    <t>WBM1SP000P01DC</t>
  </si>
  <si>
    <t>WBM2BP000P10DC</t>
  </si>
  <si>
    <t>WBM2SP000P01DC</t>
  </si>
  <si>
    <t>WBM2SPGCHP01DC</t>
  </si>
  <si>
    <t>WBS2BP000P10DC</t>
  </si>
  <si>
    <t>WNC03P000P03DC</t>
  </si>
  <si>
    <t>WNC03P0S2P03DC</t>
  </si>
  <si>
    <t>Go Back To Information Tab</t>
  </si>
  <si>
    <t>BBR0F0000K02DF</t>
  </si>
  <si>
    <t>BBRS07595P24DF</t>
  </si>
  <si>
    <t>BBRS16180K05DF</t>
  </si>
  <si>
    <t>BBRS1821FK02DF</t>
  </si>
  <si>
    <t>BBRS1823FK02DF</t>
  </si>
  <si>
    <t>BBRS2325FK06DF</t>
  </si>
  <si>
    <t>BBRSF0000K02DF</t>
  </si>
  <si>
    <t>BBRSF3540K02DF</t>
  </si>
  <si>
    <t>BCH019220K02DF</t>
  </si>
  <si>
    <t>BFL003540K02DF</t>
  </si>
  <si>
    <t>BFL0F0000K02DF</t>
  </si>
  <si>
    <t>BLG018230K02DF</t>
  </si>
  <si>
    <t>BLG0F0000K02DF</t>
  </si>
  <si>
    <t>BLGS07595P24DF</t>
  </si>
  <si>
    <t>BLGSF0000K02DF</t>
  </si>
  <si>
    <t>BTH005565K06DF</t>
  </si>
  <si>
    <t>BTH009100K06DF</t>
  </si>
  <si>
    <t>BTH0CU020K02DF</t>
  </si>
  <si>
    <t>BTH0F0000K02DF</t>
  </si>
  <si>
    <t>BTHS07595P24DF</t>
  </si>
  <si>
    <t>BTHSF0000K02DF</t>
  </si>
  <si>
    <t>BTHSMF000K04DF</t>
  </si>
  <si>
    <t>BTHSMF02CK02DF</t>
  </si>
  <si>
    <t>C3JW00BRUK02DF</t>
  </si>
  <si>
    <t>C3JW07100K02DF</t>
  </si>
  <si>
    <t>C3JW09120K04DF</t>
  </si>
  <si>
    <t>C3JW09130K02DF</t>
  </si>
  <si>
    <t>C3JW0913VP06DF</t>
  </si>
  <si>
    <t>C3JWL0000K02DF</t>
  </si>
  <si>
    <t>C9PC00000P18DF</t>
  </si>
  <si>
    <t>C9PC00KFCP18DF</t>
  </si>
  <si>
    <t>C9PCGCH00P18DF</t>
  </si>
  <si>
    <t>C9PCKFC00P14DF</t>
  </si>
  <si>
    <t>C9PCWBM20P18DF</t>
  </si>
  <si>
    <t>CBRSH2332P10DF</t>
  </si>
  <si>
    <t>CCHICU000K06DF</t>
  </si>
  <si>
    <t>CDS008110K02DF</t>
  </si>
  <si>
    <t>CDS010140K02DF</t>
  </si>
  <si>
    <t>CDS010140P20DF</t>
  </si>
  <si>
    <t>CDS01014VP06DF</t>
  </si>
  <si>
    <t>CDS0CU000K02DF</t>
  </si>
  <si>
    <t>CDS0J0000K02DF</t>
  </si>
  <si>
    <t>CDS0S0000K02DF</t>
  </si>
  <si>
    <t>CKE01218VP04DF</t>
  </si>
  <si>
    <t>CKE0F0000K02DF</t>
  </si>
  <si>
    <t>CLG022270K06DF</t>
  </si>
  <si>
    <t>CLG022270P10DF</t>
  </si>
  <si>
    <t>CLG026340K06DF</t>
  </si>
  <si>
    <t>CRB015190K02DF</t>
  </si>
  <si>
    <t>CRB019240K02DF</t>
  </si>
  <si>
    <t>CRB01924VP04DF</t>
  </si>
  <si>
    <t>CTH013160K02DF</t>
  </si>
  <si>
    <t>CTH015180P12DF</t>
  </si>
  <si>
    <t>CTH016190K02DF</t>
  </si>
  <si>
    <t>CTH016210K02DF</t>
  </si>
  <si>
    <t>CTH01621VP04DF</t>
  </si>
  <si>
    <t>GCARF0000K10DF</t>
  </si>
  <si>
    <t>GFAT000SKK01DF</t>
  </si>
  <si>
    <t>GFATF0000K05DF</t>
  </si>
  <si>
    <t>GFT0FBK00K06DF</t>
  </si>
  <si>
    <t>GFT0J0000K06DF</t>
  </si>
  <si>
    <t>GFT0RG000K06DF</t>
  </si>
  <si>
    <t>GGB0F0000K10DF</t>
  </si>
  <si>
    <t>GGIZF0000K02DF</t>
  </si>
  <si>
    <t>GGRDMMTPRK01DF</t>
  </si>
  <si>
    <t>GGRDMMTSKK02DF</t>
  </si>
  <si>
    <t>GLGBF0000K06DF</t>
  </si>
  <si>
    <t>GLH0F0000K02DF</t>
  </si>
  <si>
    <t>GNK0F0000K10DF</t>
  </si>
  <si>
    <t>GNKSF0000K06DF</t>
  </si>
  <si>
    <t>GSKNF0000K05DF</t>
  </si>
  <si>
    <t>GTL0F0000K06DF</t>
  </si>
  <si>
    <t>GTL0F0BRUK06DF</t>
  </si>
  <si>
    <t>MPORBBSAWP10DF</t>
  </si>
  <si>
    <t>MPORBFTEXK02DF</t>
  </si>
  <si>
    <t>MPORBSTEKP12DF</t>
  </si>
  <si>
    <t>MPORBTSTXK02DF</t>
  </si>
  <si>
    <t>MPORBTSWDP20DF</t>
  </si>
  <si>
    <t>MPORC9AW0P09DF</t>
  </si>
  <si>
    <t>MPORC9AWSP09DF</t>
  </si>
  <si>
    <t>MPORC9MD0P09DF</t>
  </si>
  <si>
    <t>MPORC9MDSP09DF</t>
  </si>
  <si>
    <t>MPORC9WD0P18DF</t>
  </si>
  <si>
    <t>MPORCH0BPP02DF</t>
  </si>
  <si>
    <t>MPORCHBBQP02DF</t>
  </si>
  <si>
    <t>MPORCHKROP10DF</t>
  </si>
  <si>
    <t>MPORCHORIP10DF</t>
  </si>
  <si>
    <t>MPORCHOWDP10DF</t>
  </si>
  <si>
    <t>MPORCKRBPP10DF</t>
  </si>
  <si>
    <t>MPORDMKRSP20DF</t>
  </si>
  <si>
    <t>MPORFLTEXK02DF</t>
  </si>
  <si>
    <t>MPORPDMT0K02CF</t>
  </si>
  <si>
    <t>MPORPMJW0K02CF</t>
  </si>
  <si>
    <t>MPORQLSORP10DF</t>
  </si>
  <si>
    <t>MPORTHDNYP20DF</t>
  </si>
  <si>
    <t>MPORWBPM1P01DF</t>
  </si>
  <si>
    <t>MPORWHSM1P01DF</t>
  </si>
  <si>
    <t>MPORWHYM1P01DF</t>
  </si>
  <si>
    <t>MPORWKR00P02DF</t>
  </si>
  <si>
    <t>MPORWKRBPP02DF</t>
  </si>
  <si>
    <t>MPORWKRMXP10DF</t>
  </si>
  <si>
    <t>MPORWMHM1P01DF</t>
  </si>
  <si>
    <t>MPORWNDORP01DF</t>
  </si>
  <si>
    <t>P3JW00BRUK02DF</t>
  </si>
  <si>
    <t>P3JW07090K02DF</t>
  </si>
  <si>
    <t>P3JW08100K02DF</t>
  </si>
  <si>
    <t>PDMT04050K02DF</t>
  </si>
  <si>
    <t>PDMTF0000K02DF</t>
  </si>
  <si>
    <t>PMJWF0000K02DF</t>
  </si>
  <si>
    <t>WBL1BP000P10DF</t>
  </si>
  <si>
    <t>WBL1SPHFGP01DF</t>
  </si>
  <si>
    <t>WBM1BP000P10DF</t>
  </si>
  <si>
    <t>WBM1SP000P01DF</t>
  </si>
  <si>
    <t>WBM1SP0JDP01DF</t>
  </si>
  <si>
    <t>WBM2BP000P10DF</t>
  </si>
  <si>
    <t>WBM2SP000P01DF</t>
  </si>
  <si>
    <t>WBS2BP000P10DF</t>
  </si>
  <si>
    <t>WNC03P000P03DF</t>
  </si>
  <si>
    <t>WNC03P0S2P03DF</t>
  </si>
  <si>
    <t>Initial Inventory</t>
  </si>
  <si>
    <t>BBR0F0000K02D</t>
  </si>
  <si>
    <t>BBR0FTRIMK05DC</t>
  </si>
  <si>
    <t>BBR0FTRIMK05D</t>
  </si>
  <si>
    <t>BBR0FTRWZK15DC</t>
  </si>
  <si>
    <t>BBR0FTRWZK15D</t>
  </si>
  <si>
    <t>BBRS07595P24DC</t>
  </si>
  <si>
    <t>BBRS07595P24D</t>
  </si>
  <si>
    <t>BBRS16180K05DC</t>
  </si>
  <si>
    <t>BBRS16180K05D</t>
  </si>
  <si>
    <t>BBRS1821FK02DC</t>
  </si>
  <si>
    <t>BBRS1821FK02D</t>
  </si>
  <si>
    <t>BBRS1823FK02DC</t>
  </si>
  <si>
    <t>BBRS1823FK02D</t>
  </si>
  <si>
    <t>BBRS2325FK06DC</t>
  </si>
  <si>
    <t>BBRS2325FK06D</t>
  </si>
  <si>
    <t>BBRSF0000K02D</t>
  </si>
  <si>
    <t>BBRSF3540K02DC</t>
  </si>
  <si>
    <t>BBRSF3540K02D</t>
  </si>
  <si>
    <t>BBRSMF000K04D</t>
  </si>
  <si>
    <t>BCH019220K02DC</t>
  </si>
  <si>
    <t>BCH019220K02D</t>
  </si>
  <si>
    <t>BCH0192JZK06DC</t>
  </si>
  <si>
    <t>BCH0192JZK06D</t>
  </si>
  <si>
    <t>BFL003540K02DC</t>
  </si>
  <si>
    <t>BFL003540K02D</t>
  </si>
  <si>
    <t>BFL004047K02DC</t>
  </si>
  <si>
    <t>BFL004047K02D</t>
  </si>
  <si>
    <t>BFL0F0000K02D</t>
  </si>
  <si>
    <t>BFL0FWOTZK12DC</t>
  </si>
  <si>
    <t>BFL0FWOTZK12D</t>
  </si>
  <si>
    <t>BFL0MEATZK02DC</t>
  </si>
  <si>
    <t>BFL0MEATZK02D</t>
  </si>
  <si>
    <t>BLG018230K02DC</t>
  </si>
  <si>
    <t>BLG018230K02D</t>
  </si>
  <si>
    <t>BLG0F0000K02D</t>
  </si>
  <si>
    <t>BLG0FTRIMK05DC</t>
  </si>
  <si>
    <t>BLG0FTRIMK05D</t>
  </si>
  <si>
    <t>BLGS07595P24DC</t>
  </si>
  <si>
    <t>BLGS07595P24D</t>
  </si>
  <si>
    <t>BLGSFBSDZK12DC</t>
  </si>
  <si>
    <t>BLGSFBSDZK12D</t>
  </si>
  <si>
    <t>BLGSMF000K05DC</t>
  </si>
  <si>
    <t>BLGSMF000K05D</t>
  </si>
  <si>
    <t>BTH005565K06DC</t>
  </si>
  <si>
    <t>BTH005565K06D</t>
  </si>
  <si>
    <t>BTH007585K04D</t>
  </si>
  <si>
    <t>BTH007585P12DC</t>
  </si>
  <si>
    <t>BTH007585P12D</t>
  </si>
  <si>
    <t>BTH009100K06DC</t>
  </si>
  <si>
    <t>BTH009100K06D</t>
  </si>
  <si>
    <t>BTH0CU020K02DC</t>
  </si>
  <si>
    <t>BTH0CU020K02D</t>
  </si>
  <si>
    <t>BTH0F0000K02DC</t>
  </si>
  <si>
    <t>BTH0F0000K02D</t>
  </si>
  <si>
    <t>BTHS07595P24DC</t>
  </si>
  <si>
    <t>BTHS07595P24D</t>
  </si>
  <si>
    <t>BTHSF0000K02D</t>
  </si>
  <si>
    <t>BTHSMF000K04D</t>
  </si>
  <si>
    <t>BTHSMF02CK02DC</t>
  </si>
  <si>
    <t>BTHSMF02CK02D</t>
  </si>
  <si>
    <t>C3JW00BRUK02DC</t>
  </si>
  <si>
    <t>C3JW00BRUK02D</t>
  </si>
  <si>
    <t>C3JW07100K02D</t>
  </si>
  <si>
    <t>C3JW09120K04DC</t>
  </si>
  <si>
    <t>C3JW09120K04D</t>
  </si>
  <si>
    <t>C3JW09130K02D</t>
  </si>
  <si>
    <t>C3JW0913VP06DC</t>
  </si>
  <si>
    <t>C3JW0913VP06D</t>
  </si>
  <si>
    <t>C3JWL0000K02DC</t>
  </si>
  <si>
    <t>C3JWL0000K02D</t>
  </si>
  <si>
    <t>C3JWNSBRUK02DC</t>
  </si>
  <si>
    <t>C3JWNSBRUK02D</t>
  </si>
  <si>
    <t>C9PC00KFCP18DC</t>
  </si>
  <si>
    <t>C9PC00KFCP18D</t>
  </si>
  <si>
    <t>C9PCAW000P18DC</t>
  </si>
  <si>
    <t>C9PCAW000P18D</t>
  </si>
  <si>
    <t>C9PCGCH00P18DC</t>
  </si>
  <si>
    <t>C9PCGCH00P18D</t>
  </si>
  <si>
    <t>C9PCKFC00P14D</t>
  </si>
  <si>
    <t>C9PCMD000P18DC</t>
  </si>
  <si>
    <t>C9PCMD000P18D</t>
  </si>
  <si>
    <t>C9PCMD00ZP18DC</t>
  </si>
  <si>
    <t>C9PCMD00ZP18D</t>
  </si>
  <si>
    <t>C9PCWBM20P18D</t>
  </si>
  <si>
    <t>CBR0F0000K06DC</t>
  </si>
  <si>
    <t>CBR0F0000K06D</t>
  </si>
  <si>
    <t>CBRSH2332P10D</t>
  </si>
  <si>
    <t>CCHICU000K02D</t>
  </si>
  <si>
    <t>CCHICU000K06D</t>
  </si>
  <si>
    <t>CDS008110K02D</t>
  </si>
  <si>
    <t>CDS0081BZK12DC</t>
  </si>
  <si>
    <t>CDS0081BZK12D</t>
  </si>
  <si>
    <t>CDS010140K02D</t>
  </si>
  <si>
    <t>CDS010140P20D</t>
  </si>
  <si>
    <t>CDS01014VP06DC</t>
  </si>
  <si>
    <t>CDS01014VP06D</t>
  </si>
  <si>
    <t>CDS0CU000K02D</t>
  </si>
  <si>
    <t>CDS0J0000K02DC</t>
  </si>
  <si>
    <t>CDS0J0000K02D</t>
  </si>
  <si>
    <t>CDS0S0000K02DC</t>
  </si>
  <si>
    <t>CDS0S0000K02D</t>
  </si>
  <si>
    <t>CKE01218VP04DC</t>
  </si>
  <si>
    <t>CKE01218VP04D</t>
  </si>
  <si>
    <t>CKE0F0000K02D</t>
  </si>
  <si>
    <t>CLG022270K06D</t>
  </si>
  <si>
    <t>CLG022270P10D</t>
  </si>
  <si>
    <t>CLG026340K06D</t>
  </si>
  <si>
    <t>CRB015190K02D</t>
  </si>
  <si>
    <t>CRB015190K06D</t>
  </si>
  <si>
    <t>CRB019240K02D</t>
  </si>
  <si>
    <t>CRB019240K06D</t>
  </si>
  <si>
    <t>CRB01924VP04DC</t>
  </si>
  <si>
    <t>CRB01924VP04D</t>
  </si>
  <si>
    <t>CTH013160K02D</t>
  </si>
  <si>
    <t>CTH015180P12DC</t>
  </si>
  <si>
    <t>CTH015180P12D</t>
  </si>
  <si>
    <t>CTH016190K02DC</t>
  </si>
  <si>
    <t>CTH016190K02D</t>
  </si>
  <si>
    <t>CTH016210K02D</t>
  </si>
  <si>
    <t>CTH01621VP04DC</t>
  </si>
  <si>
    <t>CTH01621VP04D</t>
  </si>
  <si>
    <t>FFNSNFGCH2X1FC</t>
  </si>
  <si>
    <t>FFNSNFGCH2X1F</t>
  </si>
  <si>
    <t>FFNSNUGSF2X1FC</t>
  </si>
  <si>
    <t>FFNSNUGSF2X1F</t>
  </si>
  <si>
    <t>FFNSNUGSF2X1HC</t>
  </si>
  <si>
    <t>FFNSNUGSF2X1H</t>
  </si>
  <si>
    <t>FFNSNUGSF2X1JC</t>
  </si>
  <si>
    <t>FFNSNUGSF2X1J</t>
  </si>
  <si>
    <t>FFOMBAL00400DC</t>
  </si>
  <si>
    <t>FFOMBAL00400D</t>
  </si>
  <si>
    <t>FFOMBAL00800DC</t>
  </si>
  <si>
    <t>FFOMBAL00800D</t>
  </si>
  <si>
    <t>FFOMBAL00850FC</t>
  </si>
  <si>
    <t>FFOMBAL00850F</t>
  </si>
  <si>
    <t>FFOMBALL0850FC</t>
  </si>
  <si>
    <t>FFOMBALL0850F</t>
  </si>
  <si>
    <t>FFOMBUR00600DC</t>
  </si>
  <si>
    <t>FFOMBUR00600D</t>
  </si>
  <si>
    <t>FFOMBUR00K01JC</t>
  </si>
  <si>
    <t>FFOMBUR00K01J</t>
  </si>
  <si>
    <t>FFOMML000200FC</t>
  </si>
  <si>
    <t>FFOMML000200F</t>
  </si>
  <si>
    <t>FFOMML000500DC</t>
  </si>
  <si>
    <t>FFOMML000500D</t>
  </si>
  <si>
    <t>FFOMML000P32DC</t>
  </si>
  <si>
    <t>FFOMML000P32D</t>
  </si>
  <si>
    <t>FFOMML0HR500DC</t>
  </si>
  <si>
    <t>FFOMML0HR500D</t>
  </si>
  <si>
    <t>FFOMNUG00400FC</t>
  </si>
  <si>
    <t>FFOMNUG00400F</t>
  </si>
  <si>
    <t>FFOMNUG00800DC</t>
  </si>
  <si>
    <t>FFOMNUG00800D</t>
  </si>
  <si>
    <t>FFOMNUG00800HC</t>
  </si>
  <si>
    <t>FFOMNUG00800H</t>
  </si>
  <si>
    <t>FFOMNUG00K01JC</t>
  </si>
  <si>
    <t>FFOMNUG00K01J</t>
  </si>
  <si>
    <t>FFOMNUG00K02FC</t>
  </si>
  <si>
    <t>FFOMNUG00K02F</t>
  </si>
  <si>
    <t>FFOMNUG12850FC</t>
  </si>
  <si>
    <t>FFOMNUG12850F</t>
  </si>
  <si>
    <t>FFOMNUGCZ800DC</t>
  </si>
  <si>
    <t>FFOMNUGCZ800D</t>
  </si>
  <si>
    <t>FFOMNUGGCP12CC</t>
  </si>
  <si>
    <t>FFOMNUGGCP12C</t>
  </si>
  <si>
    <t>FFOMNUGST800HC</t>
  </si>
  <si>
    <t>FFOMNUGST800H</t>
  </si>
  <si>
    <t>FFOMNUGSTK01JC</t>
  </si>
  <si>
    <t>FFOMNUGSTK01J</t>
  </si>
  <si>
    <t>FFOMNUGTE800DC</t>
  </si>
  <si>
    <t>FFOMNUGTE800D</t>
  </si>
  <si>
    <t>FFOMNUGTE850FC</t>
  </si>
  <si>
    <t>FFOMNUGTE850F</t>
  </si>
  <si>
    <t>FFOMNUGTEK01JC</t>
  </si>
  <si>
    <t>FFOMNUGTEK01J</t>
  </si>
  <si>
    <t>FGRBBC00K05DFC</t>
  </si>
  <si>
    <t>FGRBBC00K05DF</t>
  </si>
  <si>
    <t>FGRDCTG00K05DC</t>
  </si>
  <si>
    <t>FGRDCTG00K05D</t>
  </si>
  <si>
    <t>FGRDMDM00K05DC</t>
  </si>
  <si>
    <t>FGRDMDM00K05D</t>
  </si>
  <si>
    <t>FGRDMDMIMK06PC</t>
  </si>
  <si>
    <t>FGRDMDMIMK06P</t>
  </si>
  <si>
    <t>FGRDMGM00K05DC</t>
  </si>
  <si>
    <t>FGRDMGM00K05D</t>
  </si>
  <si>
    <t>FGRDMGWPPK05DC</t>
  </si>
  <si>
    <t>FGRDMGWPPK05D</t>
  </si>
  <si>
    <t>FPORBDSCBK02DC</t>
  </si>
  <si>
    <t>FPORBDSCBK02D</t>
  </si>
  <si>
    <t>FPORBUR00700FC</t>
  </si>
  <si>
    <t>FPORBUR00700F</t>
  </si>
  <si>
    <t>FPORCH0EKP10DC</t>
  </si>
  <si>
    <t>FPORCH0EKP10D</t>
  </si>
  <si>
    <t>FPORCH0ORP05DC</t>
  </si>
  <si>
    <t>FPORCH0ORP05D</t>
  </si>
  <si>
    <t>FPORCHI00800DC</t>
  </si>
  <si>
    <t>FPORCHI00800D</t>
  </si>
  <si>
    <t>FPORCHI00850FC</t>
  </si>
  <si>
    <t>FPORCHI00850F</t>
  </si>
  <si>
    <t>FPORCHIHT800DC</t>
  </si>
  <si>
    <t>FPORCHIHT800D</t>
  </si>
  <si>
    <t>FPORDLITEK01DC</t>
  </si>
  <si>
    <t>FPORDLITEK01D</t>
  </si>
  <si>
    <t>FPORDLITEP04DC</t>
  </si>
  <si>
    <t>FPORDLITEP04D</t>
  </si>
  <si>
    <t>FPORDT000800DC</t>
  </si>
  <si>
    <t>FPORDT000800D</t>
  </si>
  <si>
    <t>FPORDT0HS800DC</t>
  </si>
  <si>
    <t>FPORDT0HS800D</t>
  </si>
  <si>
    <t>FPORFILCBK02DC</t>
  </si>
  <si>
    <t>FPORFILCBK02D</t>
  </si>
  <si>
    <t>FPORFIN00400DC</t>
  </si>
  <si>
    <t>FPORFIN00400D</t>
  </si>
  <si>
    <t>FPORPCORN400FC</t>
  </si>
  <si>
    <t>FPORPCORN400F</t>
  </si>
  <si>
    <t>FPORSATAYP10DC</t>
  </si>
  <si>
    <t>FPORSATAYP10D</t>
  </si>
  <si>
    <t>FPORSATAYP12DC</t>
  </si>
  <si>
    <t>FPORSATAYP12D</t>
  </si>
  <si>
    <t>FPORTBSHRK01DC</t>
  </si>
  <si>
    <t>FPORTBSHRK01D</t>
  </si>
  <si>
    <t>FPORTL000400FC</t>
  </si>
  <si>
    <t>FPORTL000400F</t>
  </si>
  <si>
    <t>FPORWG0HS850FC</t>
  </si>
  <si>
    <t>FPORWG0HS850F</t>
  </si>
  <si>
    <t>FSGECKT00800DC</t>
  </si>
  <si>
    <t>FSGECKT00800D</t>
  </si>
  <si>
    <t>FSGECKT00850FC</t>
  </si>
  <si>
    <t>FSGECKT00850F</t>
  </si>
  <si>
    <t>FSGESFR00270HC</t>
  </si>
  <si>
    <t>FSGESFR00270H</t>
  </si>
  <si>
    <t>FSGESFR00270JC</t>
  </si>
  <si>
    <t>FSGESFR00270J</t>
  </si>
  <si>
    <t>FSGESFR00300DC</t>
  </si>
  <si>
    <t>FSGESFR00300D</t>
  </si>
  <si>
    <t>FSGESFR00300JC</t>
  </si>
  <si>
    <t>FSGESFR00300J</t>
  </si>
  <si>
    <t>FSGESFR00800DC</t>
  </si>
  <si>
    <t>FSGESFR00800D</t>
  </si>
  <si>
    <t>FSGESFR00P11FC</t>
  </si>
  <si>
    <t>FSGESFR00P11F</t>
  </si>
  <si>
    <t>FSGESFR00P12DC</t>
  </si>
  <si>
    <t>FSGESFR00P12D</t>
  </si>
  <si>
    <t>FSGESFR00P22FC</t>
  </si>
  <si>
    <t>FSGESFR00P22F</t>
  </si>
  <si>
    <t>FSGESFR00P30JC</t>
  </si>
  <si>
    <t>FSGESFR00P30J</t>
  </si>
  <si>
    <t>FSGESFRCZ300FC</t>
  </si>
  <si>
    <t>FSGESFRCZ300F</t>
  </si>
  <si>
    <t>FSGESFRCZ300JC</t>
  </si>
  <si>
    <t>FSGESFRCZ300J</t>
  </si>
  <si>
    <t>FSGESFRCZ800DC</t>
  </si>
  <si>
    <t>FSGESFRCZ800D</t>
  </si>
  <si>
    <t>FSGESFRCZP06DC</t>
  </si>
  <si>
    <t>FSGESFRCZP06D</t>
  </si>
  <si>
    <t>FSGESFRCZP12DC</t>
  </si>
  <si>
    <t>FSGESFRCZP12D</t>
  </si>
  <si>
    <t>FSGESFRCZP20FC</t>
  </si>
  <si>
    <t>FSGESFRCZP20F</t>
  </si>
  <si>
    <t>FSGESFRGCP32CC</t>
  </si>
  <si>
    <t>FSGESFRGCP32C</t>
  </si>
  <si>
    <t>FSGESFRHLP11CC</t>
  </si>
  <si>
    <t>FSGESFRHLP11C</t>
  </si>
  <si>
    <t>FSGESFRHY270HC</t>
  </si>
  <si>
    <t>FSGESFRHY270H</t>
  </si>
  <si>
    <t>FSGESFRHY300FC</t>
  </si>
  <si>
    <t>FSGESFRHY300F</t>
  </si>
  <si>
    <t>FSGESFRHYP20FC</t>
  </si>
  <si>
    <t>FSGESFRHYP20F</t>
  </si>
  <si>
    <t>GCARF0000K10D</t>
  </si>
  <si>
    <t>GCTGF0000K12DC</t>
  </si>
  <si>
    <t>GCTGF0000K12D</t>
  </si>
  <si>
    <t>GCTGFFILZK12DC</t>
  </si>
  <si>
    <t>GCTGFFILZK12D</t>
  </si>
  <si>
    <t>GFAT000SKK01DC</t>
  </si>
  <si>
    <t>GFAT000SKK01D</t>
  </si>
  <si>
    <t>GFATF0000K05DC</t>
  </si>
  <si>
    <t>GFATF0000K05D</t>
  </si>
  <si>
    <t>GFT0FBK00K06D</t>
  </si>
  <si>
    <t>GFT0J0000K06D</t>
  </si>
  <si>
    <t>GFT0RG000K06D</t>
  </si>
  <si>
    <t>GGB0F0000K10DC</t>
  </si>
  <si>
    <t>GGB0F0000K10D</t>
  </si>
  <si>
    <t>GGIZF0000K02D</t>
  </si>
  <si>
    <t>GGRDMMTPRK01DC</t>
  </si>
  <si>
    <t>GGRDMMTPRK01D</t>
  </si>
  <si>
    <t>GGRDMMTSKK02DC</t>
  </si>
  <si>
    <t>GGRDMMTSKK02D</t>
  </si>
  <si>
    <t>GHD0F0000K05D</t>
  </si>
  <si>
    <t>GLGBF0000K06D</t>
  </si>
  <si>
    <t>GLH0F0000K02D</t>
  </si>
  <si>
    <t>GNKSF0000K06D</t>
  </si>
  <si>
    <t>GSK0F0000K05DC</t>
  </si>
  <si>
    <t>GSK0F0000K05D</t>
  </si>
  <si>
    <t>GSK0MF000K04D</t>
  </si>
  <si>
    <t>GSKNF0000K05DC</t>
  </si>
  <si>
    <t>GSKNF0000K05D</t>
  </si>
  <si>
    <t>GSKTF0000K05DC</t>
  </si>
  <si>
    <t>GSKTF0000K05D</t>
  </si>
  <si>
    <t>GTL0F0000K06D</t>
  </si>
  <si>
    <t>GTL0F0BRUK06DC</t>
  </si>
  <si>
    <t>GTL0F0BRUK06D</t>
  </si>
  <si>
    <t>MCONBS000K02DC</t>
  </si>
  <si>
    <t>MCONBS000K02D</t>
  </si>
  <si>
    <t>MCONCS000K02DC</t>
  </si>
  <si>
    <t>MCONCS000K02D</t>
  </si>
  <si>
    <t>MPORBBSAWP10DC</t>
  </si>
  <si>
    <t>MPORBBSAWP10D</t>
  </si>
  <si>
    <t>MPORBBSNDP05D</t>
  </si>
  <si>
    <t>MPORBFTEXK02DC</t>
  </si>
  <si>
    <t>MPORBFTEXK02D</t>
  </si>
  <si>
    <t>MPORBSTEKP12DC</t>
  </si>
  <si>
    <t>MPORBSTEKP12D</t>
  </si>
  <si>
    <t>MPORBSTNDP10D</t>
  </si>
  <si>
    <t>MPORBTSTXK02DC</t>
  </si>
  <si>
    <t>MPORBTSTXK02D</t>
  </si>
  <si>
    <t>MPORBTSWDP20DC</t>
  </si>
  <si>
    <t>MPORBTSWDP20D</t>
  </si>
  <si>
    <t>MPORC9AW0P09DC</t>
  </si>
  <si>
    <t>MPORC9AW0P09D</t>
  </si>
  <si>
    <t>MPORC9AWSP09DC</t>
  </si>
  <si>
    <t>MPORC9AWSP09D</t>
  </si>
  <si>
    <t>MPORC9MD0P09DC</t>
  </si>
  <si>
    <t>MPORC9MD0P09D</t>
  </si>
  <si>
    <t>MPORC9MD0P18D</t>
  </si>
  <si>
    <t>MPORC9MDSP09DC</t>
  </si>
  <si>
    <t>MPORC9MDSP09D</t>
  </si>
  <si>
    <t>MPORC9MDSP18D</t>
  </si>
  <si>
    <t>MPORC9WD0P18D</t>
  </si>
  <si>
    <t>MPORCH0BPP02DC</t>
  </si>
  <si>
    <t>MPORCH0BPP02D</t>
  </si>
  <si>
    <t>MPORCHBBQP02DC</t>
  </si>
  <si>
    <t>MPORCHBBQP02D</t>
  </si>
  <si>
    <t>MPORCHKROP10DC</t>
  </si>
  <si>
    <t>MPORCHKROP10D</t>
  </si>
  <si>
    <t>MPORCHORIP10DC</t>
  </si>
  <si>
    <t>MPORCHORIP10D</t>
  </si>
  <si>
    <t>MPORCHOWDP10DC</t>
  </si>
  <si>
    <t>MPORCHOWDP10D</t>
  </si>
  <si>
    <t>MPORCKRBPP10DC</t>
  </si>
  <si>
    <t>MPORCKRBPP10D</t>
  </si>
  <si>
    <t>MPORFILNDP20D</t>
  </si>
  <si>
    <t>MPORFLTEXK02DC</t>
  </si>
  <si>
    <t>MPORFLTEXK02D</t>
  </si>
  <si>
    <t>MPORPDMT0K02CC</t>
  </si>
  <si>
    <t>MPORPDMT0K02C</t>
  </si>
  <si>
    <t>MPORPMJW0K02CC</t>
  </si>
  <si>
    <t>MPORPMJW0K02C</t>
  </si>
  <si>
    <t>MPORQTLHSP10D</t>
  </si>
  <si>
    <t>MPORTHDNYP20DC</t>
  </si>
  <si>
    <t>MPORTHDNYP20D</t>
  </si>
  <si>
    <t>MPORTHEKKP12D</t>
  </si>
  <si>
    <t>MPORWKR00P10D</t>
  </si>
  <si>
    <t>MPORWKRBPP10D</t>
  </si>
  <si>
    <t>MPORWM1BPP02D</t>
  </si>
  <si>
    <t>MPORWM1HYP02D</t>
  </si>
  <si>
    <t>MPORWMHM1P02D</t>
  </si>
  <si>
    <t>MPORWNDORP04D</t>
  </si>
  <si>
    <t>MPORWNDORZ01DC</t>
  </si>
  <si>
    <t>MPORWNDORZ01D</t>
  </si>
  <si>
    <t>P2JWF0000K02DC</t>
  </si>
  <si>
    <t>P2JWF0000K02D</t>
  </si>
  <si>
    <t>P3JW00BRUK02DC</t>
  </si>
  <si>
    <t>P3JW00BRUK02D</t>
  </si>
  <si>
    <t>P3JW07090K02D</t>
  </si>
  <si>
    <t>P3JW08100K02D</t>
  </si>
  <si>
    <t>P3JWLTGIFK02DC</t>
  </si>
  <si>
    <t>P3JWLTGIFK02D</t>
  </si>
  <si>
    <t>P3JWS0000K02DC</t>
  </si>
  <si>
    <t>P3JWS0000K02D</t>
  </si>
  <si>
    <t>P3JWSFPDZK12DC</t>
  </si>
  <si>
    <t>P3JWSFPDZK12D</t>
  </si>
  <si>
    <t>PDMT04050K02DC</t>
  </si>
  <si>
    <t>PDMT04050K02D</t>
  </si>
  <si>
    <t>PDMTF0000K02D</t>
  </si>
  <si>
    <t>PDMTFBRDZK12DC</t>
  </si>
  <si>
    <t>PDMTFBRDZK12D</t>
  </si>
  <si>
    <t>PDMTFFPDZK12DC</t>
  </si>
  <si>
    <t>PDMTFFPDZK12D</t>
  </si>
  <si>
    <t>PDMTMF000150D</t>
  </si>
  <si>
    <t>PMJWF0000K01DC</t>
  </si>
  <si>
    <t>PMJWF0000K01D</t>
  </si>
  <si>
    <t>PMJWF0000K02D</t>
  </si>
  <si>
    <t>PMJWF00FZK12DC</t>
  </si>
  <si>
    <t>PMJWF00FZK12D</t>
  </si>
  <si>
    <t>SBH0F000HP05DC</t>
  </si>
  <si>
    <t>SBH0F000HP05D</t>
  </si>
  <si>
    <t>WBL1BP000P10D</t>
  </si>
  <si>
    <t>WBL1SPG41P01D</t>
  </si>
  <si>
    <t>WBL1SPHFGP01D</t>
  </si>
  <si>
    <t>WBM1BP000P10D</t>
  </si>
  <si>
    <t>WBM1SP000P01D</t>
  </si>
  <si>
    <t>WBM1SP0JDP01DC</t>
  </si>
  <si>
    <t>WBM1SP0JDP01D</t>
  </si>
  <si>
    <t>WBM2BP000P10D</t>
  </si>
  <si>
    <t>WBM2DE00ZP10DC</t>
  </si>
  <si>
    <t>WBM2DE00ZP10D</t>
  </si>
  <si>
    <t>WBM2SP000P01D</t>
  </si>
  <si>
    <t>WBM2SPGCHP01D</t>
  </si>
  <si>
    <t>WBS2BP000P10D</t>
  </si>
  <si>
    <t>WBSM1214ZP10DC</t>
  </si>
  <si>
    <t>WBSM1214ZP10D</t>
  </si>
  <si>
    <t>WNC03P000P03D</t>
  </si>
  <si>
    <t>WNC03P0S2P03D</t>
  </si>
  <si>
    <t>WNCB0FP0ZP12DC</t>
  </si>
  <si>
    <t>WNCB0FP0ZP12D</t>
  </si>
  <si>
    <t>Selling Price Fresh (in RM/kg)</t>
  </si>
  <si>
    <t>Priority</t>
  </si>
  <si>
    <t>Selling Price Frozen (in RM/kg)</t>
  </si>
  <si>
    <t>Penalty_Cost_Fresh(in RM/kg)</t>
  </si>
  <si>
    <t>Penalty_Cost_Frozen(in RM/kg)</t>
  </si>
  <si>
    <t>Holding_Cost_Fresh (in RM/kg)</t>
  </si>
  <si>
    <t>Holding_Cost_Frozen(In RM/kg)</t>
  </si>
  <si>
    <t>Operational_Cost(In RM/kg)</t>
  </si>
  <si>
    <t>exclusive of freezing cost, holding cost, birds cost,</t>
  </si>
  <si>
    <t>packaging, consumable, labour, VOH?</t>
  </si>
  <si>
    <t>COGS</t>
  </si>
  <si>
    <t>Operational time (hr/kg)</t>
  </si>
  <si>
    <t>Line</t>
  </si>
  <si>
    <t>Section</t>
  </si>
  <si>
    <t>Sales Code</t>
  </si>
  <si>
    <t>Item</t>
  </si>
  <si>
    <t>Description</t>
  </si>
  <si>
    <t>Product group</t>
  </si>
  <si>
    <t xml:space="preserve">Suitable </t>
  </si>
  <si>
    <t>Lower Limit Dressed Bird Weight</t>
  </si>
  <si>
    <t>Upper Limit Dressed Bird Weight</t>
  </si>
  <si>
    <t>2202</t>
  </si>
  <si>
    <t>BBR02325ZK12DC</t>
  </si>
  <si>
    <t>BLBRSAC</t>
  </si>
  <si>
    <t>BL BREAST</t>
  </si>
  <si>
    <t>2.01_2.30_B</t>
  </si>
  <si>
    <t>2203</t>
  </si>
  <si>
    <t>BLBRSAF</t>
  </si>
  <si>
    <t>2206</t>
  </si>
  <si>
    <t>W-BLBRS</t>
  </si>
  <si>
    <t>2248</t>
  </si>
  <si>
    <t>BBR0F000ZK25DC</t>
  </si>
  <si>
    <t>M-BLBRS2325NDC</t>
  </si>
  <si>
    <t>BL BFLY BREAST</t>
  </si>
  <si>
    <t>1.60_1.80_B</t>
  </si>
  <si>
    <t>2200</t>
  </si>
  <si>
    <t>BBR0FTRFZK15DC</t>
  </si>
  <si>
    <t>FP-BSLBRSA</t>
  </si>
  <si>
    <t>BSL BREAST</t>
  </si>
  <si>
    <t>2216</t>
  </si>
  <si>
    <t>BSLBRSAC</t>
  </si>
  <si>
    <t>2217</t>
  </si>
  <si>
    <t>BBR0FTRIMK05DF</t>
  </si>
  <si>
    <t>BSLBRSAF</t>
  </si>
  <si>
    <t>2218</t>
  </si>
  <si>
    <t>BSLBRSMFC</t>
  </si>
  <si>
    <t>2219</t>
  </si>
  <si>
    <t>BSLBRSMFF</t>
  </si>
  <si>
    <t>2220</t>
  </si>
  <si>
    <t>BBRS12150K02DC</t>
  </si>
  <si>
    <t>BSLBRSMFK04C</t>
  </si>
  <si>
    <t>2221</t>
  </si>
  <si>
    <t>BBRS12150K02DF</t>
  </si>
  <si>
    <t>BSLBRSMFK04F</t>
  </si>
  <si>
    <t>2223</t>
  </si>
  <si>
    <t>BSLBRSMF2PF</t>
  </si>
  <si>
    <t>2225</t>
  </si>
  <si>
    <t>BSLBRSAPF</t>
  </si>
  <si>
    <t>2228</t>
  </si>
  <si>
    <t>BSB12150C</t>
  </si>
  <si>
    <t>2229</t>
  </si>
  <si>
    <t>BSB12150F</t>
  </si>
  <si>
    <t>2240</t>
  </si>
  <si>
    <t>W-BSLBRS</t>
  </si>
  <si>
    <t>2204</t>
  </si>
  <si>
    <t>M-BSB7585AWC</t>
  </si>
  <si>
    <t>2245</t>
  </si>
  <si>
    <t>BSB7595X24F</t>
  </si>
  <si>
    <t>2208</t>
  </si>
  <si>
    <t>BBRS7585ZP20DC</t>
  </si>
  <si>
    <t>FP-BRSTRIM</t>
  </si>
  <si>
    <t>2210</t>
  </si>
  <si>
    <t>FP-BRSTRIMWG</t>
  </si>
  <si>
    <t>2212</t>
  </si>
  <si>
    <t>BRSTRIMC</t>
  </si>
  <si>
    <t>2213</t>
  </si>
  <si>
    <t>BBRSF0000K03PF</t>
  </si>
  <si>
    <t>BRSTRIMF</t>
  </si>
  <si>
    <t>2232</t>
  </si>
  <si>
    <t>BBRSF000ZK25DC</t>
  </si>
  <si>
    <t>BSB1821C</t>
  </si>
  <si>
    <t>BSL BFLY BREAST</t>
  </si>
  <si>
    <t>2233</t>
  </si>
  <si>
    <t>BBRSF00FZK12DC</t>
  </si>
  <si>
    <t>BSB1821F</t>
  </si>
  <si>
    <t>2234</t>
  </si>
  <si>
    <t>BBRSF0NDZK12DC</t>
  </si>
  <si>
    <t>BSB2325FLYC</t>
  </si>
  <si>
    <t>2235</t>
  </si>
  <si>
    <t>BBRSF0PCZK12DC</t>
  </si>
  <si>
    <t>BSB2325FLYF</t>
  </si>
  <si>
    <t>2247</t>
  </si>
  <si>
    <t>BSB1823F</t>
  </si>
  <si>
    <t>2242</t>
  </si>
  <si>
    <t>BBRSF354ZK12DC</t>
  </si>
  <si>
    <t>BSB1618C</t>
  </si>
  <si>
    <t>BSL OPEN CUT BRS</t>
  </si>
  <si>
    <t>1.81_2.00_B</t>
  </si>
  <si>
    <t>2243</t>
  </si>
  <si>
    <t>BBRSFCHRZK12DC</t>
  </si>
  <si>
    <t>BSB1618F</t>
  </si>
  <si>
    <t>2252</t>
  </si>
  <si>
    <t>M-BSB1213NDC</t>
  </si>
  <si>
    <t>2215</t>
  </si>
  <si>
    <t>BBRSMF000K04DF</t>
  </si>
  <si>
    <t>SBBFIL3540F</t>
  </si>
  <si>
    <t>BRS STRIP</t>
  </si>
  <si>
    <t>2256</t>
  </si>
  <si>
    <t>BBRSMF000K05DC</t>
  </si>
  <si>
    <t>M-SBBFIL3554TEXC</t>
  </si>
  <si>
    <t>2236</t>
  </si>
  <si>
    <t>BBRSMF000K05DF</t>
  </si>
  <si>
    <t>FP-BSLBRSCUBEHR</t>
  </si>
  <si>
    <t>BRS CUBE</t>
  </si>
  <si>
    <t>2238</t>
  </si>
  <si>
    <t>BBRSMF02CK02DF</t>
  </si>
  <si>
    <t>FP-BSLBRSPCORN</t>
  </si>
  <si>
    <t>2006</t>
  </si>
  <si>
    <t>M-3JWJ0911NDC</t>
  </si>
  <si>
    <t>3JW JC</t>
  </si>
  <si>
    <t>2007</t>
  </si>
  <si>
    <t>BCH01922ZK12DC</t>
  </si>
  <si>
    <t>3JWPF</t>
  </si>
  <si>
    <t>2008</t>
  </si>
  <si>
    <t>BCH0192JZK06DF</t>
  </si>
  <si>
    <t>3JWJ0709C</t>
  </si>
  <si>
    <t>2009</t>
  </si>
  <si>
    <t>BCH02123ZK12DC</t>
  </si>
  <si>
    <t>3JWJ0709F</t>
  </si>
  <si>
    <t>2010</t>
  </si>
  <si>
    <t>3JWJ0810C</t>
  </si>
  <si>
    <t>2011</t>
  </si>
  <si>
    <t>BFL004047K02DF</t>
  </si>
  <si>
    <t>3JWJ0810F</t>
  </si>
  <si>
    <t>2012</t>
  </si>
  <si>
    <t>BFL02035ZK12DC</t>
  </si>
  <si>
    <t>3JWJCSC</t>
  </si>
  <si>
    <t>2013</t>
  </si>
  <si>
    <t>BFL03554ZK12DC</t>
  </si>
  <si>
    <t>3JWJCSF</t>
  </si>
  <si>
    <t>2017</t>
  </si>
  <si>
    <t>3JWJCLTGIF</t>
  </si>
  <si>
    <t>2014</t>
  </si>
  <si>
    <t>FP-3JWJCB</t>
  </si>
  <si>
    <t>2033</t>
  </si>
  <si>
    <t>BFL0F0000K02PF</t>
  </si>
  <si>
    <t>3JWJBRUNEIF</t>
  </si>
  <si>
    <t>2050</t>
  </si>
  <si>
    <t>BFL0F000ZK25DC</t>
  </si>
  <si>
    <t>W-WINGJC</t>
  </si>
  <si>
    <t>2000</t>
  </si>
  <si>
    <t>BFL0FFINZK12DC</t>
  </si>
  <si>
    <t>2JWAC</t>
  </si>
  <si>
    <t>2JW</t>
  </si>
  <si>
    <t>2001</t>
  </si>
  <si>
    <t>BFL0FTAYZK12DC</t>
  </si>
  <si>
    <t>2JWAF</t>
  </si>
  <si>
    <t>2004</t>
  </si>
  <si>
    <t>FP-2JWAHS</t>
  </si>
  <si>
    <t>2018</t>
  </si>
  <si>
    <t>DMETAC</t>
  </si>
  <si>
    <t>DMT</t>
  </si>
  <si>
    <t>2019</t>
  </si>
  <si>
    <t>DMETAF</t>
  </si>
  <si>
    <t>2020</t>
  </si>
  <si>
    <t>DMET3446C</t>
  </si>
  <si>
    <t>2023</t>
  </si>
  <si>
    <t>DMET4050F</t>
  </si>
  <si>
    <t>2026</t>
  </si>
  <si>
    <t>BLG0F000ZK25DC</t>
  </si>
  <si>
    <t>FP-DMETBRD</t>
  </si>
  <si>
    <t>2027</t>
  </si>
  <si>
    <t>FP-DMETBRDF</t>
  </si>
  <si>
    <t>2028</t>
  </si>
  <si>
    <t>FP-DMETA</t>
  </si>
  <si>
    <t>2029</t>
  </si>
  <si>
    <t>FP-DMETAF</t>
  </si>
  <si>
    <t>2030</t>
  </si>
  <si>
    <t>BLGSF000ZK25DC</t>
  </si>
  <si>
    <t>DMETMFC</t>
  </si>
  <si>
    <t>2031</t>
  </si>
  <si>
    <t>BLGSF00FZK12DC</t>
  </si>
  <si>
    <t>DMETMFF</t>
  </si>
  <si>
    <t>2046</t>
  </si>
  <si>
    <t>W-DRUMMET</t>
  </si>
  <si>
    <t>2034</t>
  </si>
  <si>
    <t>BLGSFBSDZK12DF</t>
  </si>
  <si>
    <t>MIDJWC</t>
  </si>
  <si>
    <t>MJW</t>
  </si>
  <si>
    <t>2035</t>
  </si>
  <si>
    <t>BLGSFTAYZK12DC</t>
  </si>
  <si>
    <t>MIDJWF</t>
  </si>
  <si>
    <t>2036</t>
  </si>
  <si>
    <t>MIDJW2636C</t>
  </si>
  <si>
    <t>2038</t>
  </si>
  <si>
    <t>MIDJW1KGC</t>
  </si>
  <si>
    <t>2039</t>
  </si>
  <si>
    <t>MIDJW1KGF</t>
  </si>
  <si>
    <t>2040</t>
  </si>
  <si>
    <t>BTH007585P12DF</t>
  </si>
  <si>
    <t>FP-MIDJW</t>
  </si>
  <si>
    <t>2041</t>
  </si>
  <si>
    <t>FP-MIDJWF</t>
  </si>
  <si>
    <t>2042</t>
  </si>
  <si>
    <t>BTH009100P10DC</t>
  </si>
  <si>
    <t>MIDJWMFC</t>
  </si>
  <si>
    <t>2043</t>
  </si>
  <si>
    <t>MIDJWMFF</t>
  </si>
  <si>
    <t>2048</t>
  </si>
  <si>
    <t>W-MJWA</t>
  </si>
  <si>
    <t>2249</t>
  </si>
  <si>
    <t>FILAPF</t>
  </si>
  <si>
    <t>FIL</t>
  </si>
  <si>
    <t>2250</t>
  </si>
  <si>
    <t>BTH0F000ZK25DC</t>
  </si>
  <si>
    <t>FILAC</t>
  </si>
  <si>
    <t>2251</t>
  </si>
  <si>
    <t>BTH0F00DZK12DC</t>
  </si>
  <si>
    <t>FILAF</t>
  </si>
  <si>
    <t>2260</t>
  </si>
  <si>
    <t>FP-FILFINGER</t>
  </si>
  <si>
    <t>2264</t>
  </si>
  <si>
    <t>BTHS5070ZK12DC</t>
  </si>
  <si>
    <t>W-FIL</t>
  </si>
  <si>
    <t>2266</t>
  </si>
  <si>
    <t>BTHS7090ZK12DC</t>
  </si>
  <si>
    <t>FP-FILAWOT</t>
  </si>
  <si>
    <t>FIL WOT</t>
  </si>
  <si>
    <t>2254</t>
  </si>
  <si>
    <t>BTHS8090ZK12DC</t>
  </si>
  <si>
    <t>FILACC</t>
  </si>
  <si>
    <t>2255</t>
  </si>
  <si>
    <t>BTHS8499ZK12DC</t>
  </si>
  <si>
    <t>FIL3540F</t>
  </si>
  <si>
    <t>2268</t>
  </si>
  <si>
    <t>M-FIL2035NDC</t>
  </si>
  <si>
    <t>2270</t>
  </si>
  <si>
    <t>M-FIL3554TEXC</t>
  </si>
  <si>
    <t>2253</t>
  </si>
  <si>
    <t>BTHSF000ZK25DC</t>
  </si>
  <si>
    <t>FP-FILMEAT</t>
  </si>
  <si>
    <t>2262</t>
  </si>
  <si>
    <t>BTHSF00FZK12DC</t>
  </si>
  <si>
    <t>FP-FILSATAY</t>
  </si>
  <si>
    <t>FIL CUBE</t>
  </si>
  <si>
    <t>2407</t>
  </si>
  <si>
    <t>CHOP1922F</t>
  </si>
  <si>
    <t>CHOP</t>
  </si>
  <si>
    <t>2423</t>
  </si>
  <si>
    <t>FP-CHOPJ</t>
  </si>
  <si>
    <t>2486</t>
  </si>
  <si>
    <t>M-CHOP1922C</t>
  </si>
  <si>
    <t>2488</t>
  </si>
  <si>
    <t>M-CHOP2123KRRC</t>
  </si>
  <si>
    <t>2400</t>
  </si>
  <si>
    <t>C10PCKP0ZP10DC</t>
  </si>
  <si>
    <t>BLLEGAC</t>
  </si>
  <si>
    <t>BL LEG</t>
  </si>
  <si>
    <t>2401</t>
  </si>
  <si>
    <t>BLLEGAF</t>
  </si>
  <si>
    <t>2403</t>
  </si>
  <si>
    <t>BLLEG1823F</t>
  </si>
  <si>
    <t>2404</t>
  </si>
  <si>
    <t>W-BLLEG</t>
  </si>
  <si>
    <t>2409</t>
  </si>
  <si>
    <t>C3JW0710ZK12DC</t>
  </si>
  <si>
    <t>BSL7595X24F</t>
  </si>
  <si>
    <t>BSL LEG</t>
  </si>
  <si>
    <t>2432</t>
  </si>
  <si>
    <t>BSLLEGAC</t>
  </si>
  <si>
    <t>2433</t>
  </si>
  <si>
    <t>BSLLEGAF</t>
  </si>
  <si>
    <t>2434</t>
  </si>
  <si>
    <t>BSLLEGMFC</t>
  </si>
  <si>
    <t>2436</t>
  </si>
  <si>
    <t>FP-BSLLEGA</t>
  </si>
  <si>
    <t>2440</t>
  </si>
  <si>
    <t>W-BSLLEG</t>
  </si>
  <si>
    <t>2002</t>
  </si>
  <si>
    <t>C3JW0WIPZK12DC</t>
  </si>
  <si>
    <t>FP-DSB</t>
  </si>
  <si>
    <t>DS</t>
  </si>
  <si>
    <t>2442</t>
  </si>
  <si>
    <t>BLTHIAC</t>
  </si>
  <si>
    <t>BL THI</t>
  </si>
  <si>
    <t>2443</t>
  </si>
  <si>
    <t>C3JWNSBRUK02DF</t>
  </si>
  <si>
    <t>BLTHIAF</t>
  </si>
  <si>
    <t>2444</t>
  </si>
  <si>
    <t>BT7585MFC</t>
  </si>
  <si>
    <t>2445</t>
  </si>
  <si>
    <t>C8PC0TEXZP08DC</t>
  </si>
  <si>
    <t>SBT758512F</t>
  </si>
  <si>
    <t>2446</t>
  </si>
  <si>
    <t>C8PC0TEXZP16DC</t>
  </si>
  <si>
    <t>SBT0910C</t>
  </si>
  <si>
    <t>2447</t>
  </si>
  <si>
    <t>BT0910MFK06F</t>
  </si>
  <si>
    <t>2449</t>
  </si>
  <si>
    <t>BLTHICU20F</t>
  </si>
  <si>
    <t>2450</t>
  </si>
  <si>
    <t>C9PC00WDZP18DC</t>
  </si>
  <si>
    <t>FP-BLTHIADLITE</t>
  </si>
  <si>
    <t>2453</t>
  </si>
  <si>
    <t>C9PC0WIPZP18DC</t>
  </si>
  <si>
    <t>BT5565MFK06F</t>
  </si>
  <si>
    <t>2454</t>
  </si>
  <si>
    <t>W-BLTHI</t>
  </si>
  <si>
    <t>2456</t>
  </si>
  <si>
    <t>C9PCAW000P18DF</t>
  </si>
  <si>
    <t>BSLTHIAC</t>
  </si>
  <si>
    <t>BSL THI</t>
  </si>
  <si>
    <t>2457</t>
  </si>
  <si>
    <t>C9PCAW00ZP18DC</t>
  </si>
  <si>
    <t>BSLTHIAF</t>
  </si>
  <si>
    <t>2458</t>
  </si>
  <si>
    <t>BSLTHIMFK04C</t>
  </si>
  <si>
    <t>2459</t>
  </si>
  <si>
    <t>BSLTHIMFK04F</t>
  </si>
  <si>
    <t>2462</t>
  </si>
  <si>
    <t>C9PCMD000P18DF</t>
  </si>
  <si>
    <t>BSLTHIFFMFK04C</t>
  </si>
  <si>
    <t>2470</t>
  </si>
  <si>
    <t>FP-BSLTHIA</t>
  </si>
  <si>
    <t>2474</t>
  </si>
  <si>
    <t>C9PCMDSTZP18DC</t>
  </si>
  <si>
    <t>W-BSLTHI</t>
  </si>
  <si>
    <t>2477</t>
  </si>
  <si>
    <t>BST7595X24F</t>
  </si>
  <si>
    <t>2478</t>
  </si>
  <si>
    <t>M-BSLTHI5070NDC</t>
  </si>
  <si>
    <t>2480</t>
  </si>
  <si>
    <t>M-BSLTHI7090WDC</t>
  </si>
  <si>
    <t>2482</t>
  </si>
  <si>
    <t>CBR0F0000K06DF</t>
  </si>
  <si>
    <t>M-BSLTHI8499TEXC</t>
  </si>
  <si>
    <t>2484</t>
  </si>
  <si>
    <t>M-BSLTHI8090EKC</t>
  </si>
  <si>
    <t>2430</t>
  </si>
  <si>
    <t>FP-BSDS</t>
  </si>
  <si>
    <t>BS DS</t>
  </si>
  <si>
    <t>2431</t>
  </si>
  <si>
    <t>CBRSHWIPZK12DC</t>
  </si>
  <si>
    <t>2461</t>
  </si>
  <si>
    <t>CCHI6080ZK06DC</t>
  </si>
  <si>
    <t>BSLTHIMF2PF</t>
  </si>
  <si>
    <t>BSL LEG (2 CUT)</t>
  </si>
  <si>
    <t>2438</t>
  </si>
  <si>
    <t>FP-BSLLEGSATAY</t>
  </si>
  <si>
    <t>BSL LEG CUBE</t>
  </si>
  <si>
    <t>1000</t>
  </si>
  <si>
    <t>3 JOINT WING MC (70-100G)</t>
  </si>
  <si>
    <t>3JW MC</t>
  </si>
  <si>
    <t>1001</t>
  </si>
  <si>
    <t>1002</t>
  </si>
  <si>
    <t>CCHICU000RETDC</t>
  </si>
  <si>
    <t xml:space="preserve">M-3 JOINT WING MC (70-110G) </t>
  </si>
  <si>
    <t>1003</t>
  </si>
  <si>
    <t>CCHICU000RETDF</t>
  </si>
  <si>
    <t>3 JOINT WING MC (90-120G)</t>
  </si>
  <si>
    <t>1004</t>
  </si>
  <si>
    <t>3 JOINT WING MC (90-130G)</t>
  </si>
  <si>
    <t>1005</t>
  </si>
  <si>
    <t>1006</t>
  </si>
  <si>
    <t>3 JOINT WING MC (90-130G) VP</t>
  </si>
  <si>
    <t>1007</t>
  </si>
  <si>
    <t>CDS00WIPZK12DC</t>
  </si>
  <si>
    <t>1009</t>
  </si>
  <si>
    <t>MARINATED CHICKEN WING (MC)</t>
  </si>
  <si>
    <t>1011</t>
  </si>
  <si>
    <t>MARINATED CHICKEN WING (MC)-NS</t>
  </si>
  <si>
    <t>1012</t>
  </si>
  <si>
    <t>WIP-WING MC</t>
  </si>
  <si>
    <t>1165</t>
  </si>
  <si>
    <t>FROZEN CHICKEN WING</t>
  </si>
  <si>
    <t>1014</t>
  </si>
  <si>
    <t>CHICKEN CUBE</t>
  </si>
  <si>
    <t>CUBE</t>
  </si>
  <si>
    <t>1015</t>
  </si>
  <si>
    <t>1016</t>
  </si>
  <si>
    <t>1018</t>
  </si>
  <si>
    <t xml:space="preserve">FP-CHICKEN CUBE 6080 </t>
  </si>
  <si>
    <t>1020</t>
  </si>
  <si>
    <t>1021</t>
  </si>
  <si>
    <t>CDS0L0000K02DC</t>
  </si>
  <si>
    <t>1030</t>
  </si>
  <si>
    <t>CDS0MD00ZP20DC</t>
  </si>
  <si>
    <t>DRUMSTICK CUBE</t>
  </si>
  <si>
    <t>1031</t>
  </si>
  <si>
    <t>DRUMSTICK CUBE FRZ</t>
  </si>
  <si>
    <t>1024</t>
  </si>
  <si>
    <t>DRUMSTICK (100-140G)</t>
  </si>
  <si>
    <t>1025</t>
  </si>
  <si>
    <t>CKE00WIPZK12DC</t>
  </si>
  <si>
    <t>1026</t>
  </si>
  <si>
    <t>DRUMSTICK (100-140G) 20PC</t>
  </si>
  <si>
    <t>1027</t>
  </si>
  <si>
    <t>DRUMSTICK (100-140G) 20 PC</t>
  </si>
  <si>
    <t>1028</t>
  </si>
  <si>
    <t>M-DRUMSTICK (80-110G) 20PC</t>
  </si>
  <si>
    <t>1032</t>
  </si>
  <si>
    <t>DRUMSTICK (100-140G) VP</t>
  </si>
  <si>
    <t>1033</t>
  </si>
  <si>
    <t>CKE0F000ZK12DC</t>
  </si>
  <si>
    <t>1034</t>
  </si>
  <si>
    <t>CLG000300K06DC</t>
  </si>
  <si>
    <t>DRUMSTICK (80-110G)</t>
  </si>
  <si>
    <t>1035</t>
  </si>
  <si>
    <t>CLG00WIPZK12DC</t>
  </si>
  <si>
    <t>1036</t>
  </si>
  <si>
    <t>DRUMSTICK L (110-140G)</t>
  </si>
  <si>
    <t>1038</t>
  </si>
  <si>
    <t>WIP-DRUMSTICK</t>
  </si>
  <si>
    <t>1080</t>
  </si>
  <si>
    <t>DRUMSTICK S (70-90G)</t>
  </si>
  <si>
    <t>1081</t>
  </si>
  <si>
    <t>1163</t>
  </si>
  <si>
    <t>CLG02227ZP10DC</t>
  </si>
  <si>
    <t>DRUMSTICK J (&gt;140G)</t>
  </si>
  <si>
    <t>1022</t>
  </si>
  <si>
    <t>CLG02528ZP10DC</t>
  </si>
  <si>
    <t>FP-KEEL</t>
  </si>
  <si>
    <t>KEEL</t>
  </si>
  <si>
    <t>1040</t>
  </si>
  <si>
    <t>1041</t>
  </si>
  <si>
    <t>1042</t>
  </si>
  <si>
    <t>CLG2227KZP10DC</t>
  </si>
  <si>
    <t>KEEL (120-180G) VP</t>
  </si>
  <si>
    <t>1043</t>
  </si>
  <si>
    <t>CRB00WIPZK12DC</t>
  </si>
  <si>
    <t>1044</t>
  </si>
  <si>
    <t>WIP-KEEL</t>
  </si>
  <si>
    <t>1060</t>
  </si>
  <si>
    <t>4 PC CUT WO SKIN X 2 BIRDS</t>
  </si>
  <si>
    <t>PIECE CUT</t>
  </si>
  <si>
    <t>1.60_1.80_A</t>
  </si>
  <si>
    <t>1064</t>
  </si>
  <si>
    <t>WIP-9 PC CUT</t>
  </si>
  <si>
    <t>1067</t>
  </si>
  <si>
    <t>9 PC CUT X 2 BIRD GCH (WO 3JW)</t>
  </si>
  <si>
    <t>1068</t>
  </si>
  <si>
    <t>9 PC CUT X 2 BIRDS</t>
  </si>
  <si>
    <t>1069</t>
  </si>
  <si>
    <t>1070</t>
  </si>
  <si>
    <t>9 PC CUT X 2 BIRDS (M2)</t>
  </si>
  <si>
    <t>1071</t>
  </si>
  <si>
    <t>1072</t>
  </si>
  <si>
    <t>CSLG2227ZP10DC</t>
  </si>
  <si>
    <t>9 PC CUT X 2 BIRDS (QSR)</t>
  </si>
  <si>
    <t>1073</t>
  </si>
  <si>
    <t>CTH00WIPZK12DC</t>
  </si>
  <si>
    <t>1074</t>
  </si>
  <si>
    <t>1075</t>
  </si>
  <si>
    <t>1140</t>
  </si>
  <si>
    <t>CTH013160P20DF</t>
  </si>
  <si>
    <t>M-8 PC CUT X 2 BIRDS TEXAS</t>
  </si>
  <si>
    <t>1142</t>
  </si>
  <si>
    <t>CTH01316ZK12DC</t>
  </si>
  <si>
    <t>M-9 PC CUT X 2 BIRDS WENDY</t>
  </si>
  <si>
    <t>1144</t>
  </si>
  <si>
    <t>CTH01316ZP20DC</t>
  </si>
  <si>
    <t>M-9 PC CUT X 2 BIRDS MCD</t>
  </si>
  <si>
    <t>1146</t>
  </si>
  <si>
    <t>M-9 PC CUT X 2 BIRDS MCD SLIT</t>
  </si>
  <si>
    <t>1148</t>
  </si>
  <si>
    <t>M-9 PC CUT X 2 BIRDS A&amp;W</t>
  </si>
  <si>
    <t>1162</t>
  </si>
  <si>
    <t>M-4 PC CUT X 2 BIRDS TEXAS</t>
  </si>
  <si>
    <t>1170</t>
  </si>
  <si>
    <t>M-10 PC CUT X 1 BIRD KRR</t>
  </si>
  <si>
    <t>1.81_2.00_A</t>
  </si>
  <si>
    <t>1086</t>
  </si>
  <si>
    <t>CTH016210P20DF</t>
  </si>
  <si>
    <t>WIP-Q LEG</t>
  </si>
  <si>
    <t>QUARTER LEG</t>
  </si>
  <si>
    <t>1088</t>
  </si>
  <si>
    <t>QUARTER LEG (220-270G)</t>
  </si>
  <si>
    <t>1089</t>
  </si>
  <si>
    <t>1090</t>
  </si>
  <si>
    <t>QUARTER LEG (220-270G) 10PC</t>
  </si>
  <si>
    <t>1091</t>
  </si>
  <si>
    <t>P2JWF0000K02DF</t>
  </si>
  <si>
    <t>QUARTER LEG (220-270G) 10 PC</t>
  </si>
  <si>
    <t>1100</t>
  </si>
  <si>
    <t>P2JWF0HSZK12DC</t>
  </si>
  <si>
    <t>QUARTER LEG (260-340G)</t>
  </si>
  <si>
    <t>1101</t>
  </si>
  <si>
    <t>P3JW00000K02PF</t>
  </si>
  <si>
    <t>1102</t>
  </si>
  <si>
    <t>P3JW0000ZK25DC</t>
  </si>
  <si>
    <t>QUARTER LEG (ABV 300G)</t>
  </si>
  <si>
    <t>1150</t>
  </si>
  <si>
    <t>M-QUARTER LEG (220-270G) 10PC KRR</t>
  </si>
  <si>
    <t>1152</t>
  </si>
  <si>
    <t>M-QUARTER LEG (250-280G) 10PC EK</t>
  </si>
  <si>
    <t>1154</t>
  </si>
  <si>
    <t>M-QUARTER LEG (220-270G) 10PC MAR</t>
  </si>
  <si>
    <t>1156</t>
  </si>
  <si>
    <t>M-SKINLESS QUARTER LEG (260-340G) 10PC KRR</t>
  </si>
  <si>
    <t>1104</t>
  </si>
  <si>
    <t xml:space="preserve">WIP-RIB </t>
  </si>
  <si>
    <t>RIB</t>
  </si>
  <si>
    <t>1106</t>
  </si>
  <si>
    <t>P3JW0911ZK12DC</t>
  </si>
  <si>
    <t>RIB (150-190G)</t>
  </si>
  <si>
    <t>1107</t>
  </si>
  <si>
    <t>P3JWLTGIFK02DF</t>
  </si>
  <si>
    <t>1108</t>
  </si>
  <si>
    <t>RIB (190-240G)</t>
  </si>
  <si>
    <t>1109</t>
  </si>
  <si>
    <t>P3JWS0000K02DF</t>
  </si>
  <si>
    <t>1110</t>
  </si>
  <si>
    <t>RIB (190-240G) VP</t>
  </si>
  <si>
    <t>1111</t>
  </si>
  <si>
    <t>PDMT03446K02DC</t>
  </si>
  <si>
    <t>1166</t>
  </si>
  <si>
    <t>1168</t>
  </si>
  <si>
    <t>1112</t>
  </si>
  <si>
    <t>S'LESS BREAST 1/2(230-320)10PC</t>
  </si>
  <si>
    <t>SWBH</t>
  </si>
  <si>
    <t>1113</t>
  </si>
  <si>
    <t>PDMTF000ZK25DC</t>
  </si>
  <si>
    <t>1114</t>
  </si>
  <si>
    <t>WIP-SWBH</t>
  </si>
  <si>
    <t>1116</t>
  </si>
  <si>
    <t>PDMTFBRDZK12DF</t>
  </si>
  <si>
    <t>WHOLE BREAST</t>
  </si>
  <si>
    <t>1117</t>
  </si>
  <si>
    <t>1118</t>
  </si>
  <si>
    <t>PDMTFFPDZK12DF</t>
  </si>
  <si>
    <t xml:space="preserve">WIP-THIGH </t>
  </si>
  <si>
    <t>THIGH MC</t>
  </si>
  <si>
    <t>1120</t>
  </si>
  <si>
    <t>THIGH (130-160G)</t>
  </si>
  <si>
    <t>1121</t>
  </si>
  <si>
    <t>PDMTMF000150DF</t>
  </si>
  <si>
    <t>1123</t>
  </si>
  <si>
    <t>PMJW02636K02DC</t>
  </si>
  <si>
    <t>THIGH (130-160G) 20 PC</t>
  </si>
  <si>
    <t>1129</t>
  </si>
  <si>
    <t>THIGH (150-180G)</t>
  </si>
  <si>
    <t>1131</t>
  </si>
  <si>
    <t>PMJWF0000K01DF</t>
  </si>
  <si>
    <t>THIGH (160-190G)</t>
  </si>
  <si>
    <t>1132</t>
  </si>
  <si>
    <t>THIGH (160-210G)</t>
  </si>
  <si>
    <t>1133</t>
  </si>
  <si>
    <t>1135</t>
  </si>
  <si>
    <t>PMJWF000ZK25DC</t>
  </si>
  <si>
    <t>THIGH (160-210G) 20 PC</t>
  </si>
  <si>
    <t>1136</t>
  </si>
  <si>
    <t>THIGH (160-210G) VP</t>
  </si>
  <si>
    <t>1137</t>
  </si>
  <si>
    <t>PMJWF00FZK12DF</t>
  </si>
  <si>
    <t>1158</t>
  </si>
  <si>
    <t>M-THIGH  (130-160G) EK</t>
  </si>
  <si>
    <t>1160</t>
  </si>
  <si>
    <t>PMJWMF000150DF</t>
  </si>
  <si>
    <t>M-THIGH (130-160G) 20PC NYONYA</t>
  </si>
  <si>
    <t>Day</t>
  </si>
  <si>
    <t>Available Hours</t>
  </si>
  <si>
    <t>MP available</t>
  </si>
  <si>
    <t>Bird Type</t>
  </si>
  <si>
    <t>Ratio</t>
  </si>
  <si>
    <t>Parameters</t>
  </si>
  <si>
    <t>Value</t>
  </si>
  <si>
    <t>Total Coldroom Manpower</t>
  </si>
  <si>
    <t>Available Hour In Regular Time (Hours)/ day</t>
  </si>
  <si>
    <t>Available Hour In Overtime (Hours)/day</t>
  </si>
  <si>
    <t>refer below by sku</t>
  </si>
  <si>
    <t>Availablity Ratio</t>
  </si>
  <si>
    <t>Shelf Life , days</t>
  </si>
  <si>
    <t>Days</t>
  </si>
  <si>
    <t>manpower avaialble</t>
  </si>
  <si>
    <t xml:space="preserve">SKU 1 </t>
  </si>
  <si>
    <t xml:space="preserve">SKU2 </t>
  </si>
  <si>
    <t>Labour Cost (RM/kg)</t>
  </si>
  <si>
    <t>Product Group</t>
  </si>
  <si>
    <t>Suitable Size</t>
  </si>
  <si>
    <t>Breast</t>
  </si>
  <si>
    <t>2 joint wing</t>
  </si>
  <si>
    <t>3 joint wing</t>
  </si>
  <si>
    <t>Boneless breast</t>
  </si>
  <si>
    <t>Boneless butterfly breast</t>
  </si>
  <si>
    <t>Boneless leg</t>
  </si>
  <si>
    <t>Boneless skinless drumstick</t>
  </si>
  <si>
    <t>Boneless skinless leg</t>
  </si>
  <si>
    <t>Boneless skinless leg satay</t>
  </si>
  <si>
    <t>Boneless skinless thigh</t>
  </si>
  <si>
    <t>Boneless thigh</t>
  </si>
  <si>
    <t>Chop</t>
  </si>
  <si>
    <t>Drummet</t>
  </si>
  <si>
    <t>Drumstick JC</t>
  </si>
  <si>
    <t>Fillet A</t>
  </si>
  <si>
    <t>Fillet meat</t>
  </si>
  <si>
    <t>Fillet satay</t>
  </si>
  <si>
    <t>Fillet wot</t>
  </si>
  <si>
    <t>Mid joint wing</t>
  </si>
  <si>
    <t>Skinnless boneless breast</t>
  </si>
  <si>
    <t>Skinnless boneless butterfly breast</t>
  </si>
  <si>
    <t xml:space="preserve">Bird Type </t>
  </si>
  <si>
    <t>Cost( per Bird)</t>
  </si>
  <si>
    <t>S</t>
  </si>
  <si>
    <t>M</t>
  </si>
  <si>
    <t>ML</t>
  </si>
  <si>
    <t>L</t>
  </si>
  <si>
    <t>XL</t>
  </si>
  <si>
    <t>RM/kg</t>
  </si>
  <si>
    <t>Fresh SKU</t>
  </si>
  <si>
    <t>Frozen SKU</t>
  </si>
  <si>
    <t>GSK0MF000K04DF</t>
  </si>
  <si>
    <t>SKU</t>
  </si>
  <si>
    <t>SKU Description</t>
  </si>
  <si>
    <t>Cutting Pattern</t>
  </si>
  <si>
    <t>Yield (S)</t>
  </si>
  <si>
    <t>Yield (M)</t>
  </si>
  <si>
    <t>Yield (ML)</t>
  </si>
  <si>
    <t>Yield (L0)</t>
  </si>
  <si>
    <t>Yield (L)</t>
  </si>
  <si>
    <t>Parts/bird</t>
  </si>
  <si>
    <t>BONELESS BREAST</t>
  </si>
  <si>
    <t>WIP-BONELESS BREAST</t>
  </si>
  <si>
    <t xml:space="preserve">FP-BREAST TRIM </t>
  </si>
  <si>
    <t>BREAST TRIMMING</t>
  </si>
  <si>
    <t xml:space="preserve">FP-BREAST TRIM WING </t>
  </si>
  <si>
    <t>S'LESS B'LESS BRS (75-95G)24P</t>
  </si>
  <si>
    <t>S'LESS B'LESS BREAST 120-150G</t>
  </si>
  <si>
    <t>M-S'LESS B'LESS BREAST (7585G) A&amp;W</t>
  </si>
  <si>
    <t>S'LESS B'LESS BREAST</t>
  </si>
  <si>
    <t>S'LEES B'LESS BREAST</t>
  </si>
  <si>
    <t xml:space="preserve">FP- S'LESS B'LESS BREAST </t>
  </si>
  <si>
    <t>S'LESS BLBRS FILLET (35-40G)</t>
  </si>
  <si>
    <t>S'LESS B'LESS BREAST (2 CUT)</t>
  </si>
  <si>
    <t>1,2,3</t>
  </si>
  <si>
    <t>2,3</t>
  </si>
  <si>
    <t>QLEG</t>
  </si>
  <si>
    <t>THIGH</t>
  </si>
  <si>
    <t>Shelf_Life</t>
  </si>
  <si>
    <t>freezing cost</t>
  </si>
  <si>
    <t>FFNSNFGCH2X1FF</t>
  </si>
  <si>
    <t>FFNSNUGSF2X1FF</t>
  </si>
  <si>
    <t>FFNSNUGSF2X1HF</t>
  </si>
  <si>
    <t>FFNSNUGSF2X1JF</t>
  </si>
  <si>
    <t>FFOMBAL00400DF</t>
  </si>
  <si>
    <t>FFOMBAL00800DF</t>
  </si>
  <si>
    <t>FFOMBAL00850FF</t>
  </si>
  <si>
    <t>FFOMBALL0850FF</t>
  </si>
  <si>
    <t>FFOMBUR00600DF</t>
  </si>
  <si>
    <t>FFOMBUR00800HF</t>
  </si>
  <si>
    <t>FFOMBUR00K01JF</t>
  </si>
  <si>
    <t>FFOMML000200FF</t>
  </si>
  <si>
    <t>FFOMML000500DF</t>
  </si>
  <si>
    <t>FFOMML000K01DF</t>
  </si>
  <si>
    <t>FFOMML000P32DF</t>
  </si>
  <si>
    <t>FFOMML0HR500DF</t>
  </si>
  <si>
    <t>FFOMNGCTEP12CF</t>
  </si>
  <si>
    <t>FFOMNUG00105JF</t>
  </si>
  <si>
    <t>FFOMNUG00400FF</t>
  </si>
  <si>
    <t>FFOMNUG00800DF</t>
  </si>
  <si>
    <t>FFOMNUG00800HF</t>
  </si>
  <si>
    <t>FFOMNUG00K01JF</t>
  </si>
  <si>
    <t>FFOMNUG00K02FF</t>
  </si>
  <si>
    <t>FFOMNUG12850FF</t>
  </si>
  <si>
    <t>FFOMNUGAJK01CF</t>
  </si>
  <si>
    <t>FFOMNUGBM850CF</t>
  </si>
  <si>
    <t>FFOMNUGCZ800DF</t>
  </si>
  <si>
    <t>FFOMNUGGCP12CF</t>
  </si>
  <si>
    <t>FFOMNUGHL400CF</t>
  </si>
  <si>
    <t>FFOMNUGHY800HF</t>
  </si>
  <si>
    <t>FFOMNUGLZ850CF</t>
  </si>
  <si>
    <t>FFOMNUGST800HF</t>
  </si>
  <si>
    <t>FFOMNUGSTK01JF</t>
  </si>
  <si>
    <t>FFOMNUGTE800DF</t>
  </si>
  <si>
    <t>FFOMNUGTE850FF</t>
  </si>
  <si>
    <t>FFOMNUGTEK01JF</t>
  </si>
  <si>
    <t>FPORBDSCBK02DF</t>
  </si>
  <si>
    <t>FPORBUR00700FF</t>
  </si>
  <si>
    <t>FPORCH0EKP10DF</t>
  </si>
  <si>
    <t>FPORCH0ORP05DF</t>
  </si>
  <si>
    <t>FPORCHI00800DF</t>
  </si>
  <si>
    <t>FPORCHI00850FF</t>
  </si>
  <si>
    <t>FPORCHI00K16DF</t>
  </si>
  <si>
    <t>FPORCHIHT800DF</t>
  </si>
  <si>
    <t>FPORCHIHTK16DF</t>
  </si>
  <si>
    <t>FPORDLITEK01DF</t>
  </si>
  <si>
    <t>FPORDLITEP04DF</t>
  </si>
  <si>
    <t>FPORDT000800DF</t>
  </si>
  <si>
    <t>FPORDT0HS800DF</t>
  </si>
  <si>
    <t>FPORFILCBK02DF</t>
  </si>
  <si>
    <t>FPORFIN00400DF</t>
  </si>
  <si>
    <t>FPORKATSUP06DF</t>
  </si>
  <si>
    <t>FPORKATSUP10DF</t>
  </si>
  <si>
    <t>FPORPCORN400FF</t>
  </si>
  <si>
    <t>FPORSATAYP10DF</t>
  </si>
  <si>
    <t>FPORSATAYP12DF</t>
  </si>
  <si>
    <t>FPORTBSHRK01DF</t>
  </si>
  <si>
    <t>FPORTL000400FF</t>
  </si>
  <si>
    <t>FPORWG0HS850FF</t>
  </si>
  <si>
    <t>FSGECKT00800DF</t>
  </si>
  <si>
    <t>FSGECKT00850FF</t>
  </si>
  <si>
    <t>FSGESFR00270HF</t>
  </si>
  <si>
    <t>FSGESFR00270JF</t>
  </si>
  <si>
    <t>FSGESFR00300DF</t>
  </si>
  <si>
    <t>FSGESFR00300JF</t>
  </si>
  <si>
    <t>FSGESFR00800DF</t>
  </si>
  <si>
    <t>FSGESFR00P05FF</t>
  </si>
  <si>
    <t>FSGESFR00P11FF</t>
  </si>
  <si>
    <t>FSGESFR00P12DF</t>
  </si>
  <si>
    <t>FSGESFR00P22FF</t>
  </si>
  <si>
    <t>FSGESFR00P30JF</t>
  </si>
  <si>
    <t>FSGESFRBM300CF</t>
  </si>
  <si>
    <t>FSGESFRCZ270FF</t>
  </si>
  <si>
    <t>FSGESFRCZ300FF</t>
  </si>
  <si>
    <t>FSGESFRCZ300JF</t>
  </si>
  <si>
    <t>FSGESFRCZ800DF</t>
  </si>
  <si>
    <t>FSGESFRCZP06DF</t>
  </si>
  <si>
    <t>FSGESFRCZP12DF</t>
  </si>
  <si>
    <t>FSGESFRCZP20FF</t>
  </si>
  <si>
    <t>FSGESFRGCP32CF</t>
  </si>
  <si>
    <t>FSGESFRHLP11CF</t>
  </si>
  <si>
    <t>FSGESFRHRP12DF</t>
  </si>
  <si>
    <t>FSGESFRHY270FF</t>
  </si>
  <si>
    <t>FSGESFRHY270HF</t>
  </si>
  <si>
    <t>FSGESFRHY300FF</t>
  </si>
  <si>
    <t>FSGESFRHYP20FF</t>
  </si>
  <si>
    <t>FSGESGCCZP32CF</t>
  </si>
  <si>
    <t>FSGESGCHYP32CF</t>
  </si>
  <si>
    <t>MCONSS000100DC</t>
  </si>
  <si>
    <t>MPOR3JWHSK01DC</t>
  </si>
  <si>
    <t>MPOR3JWHSRETDC</t>
  </si>
  <si>
    <t>MPOR3JWHYK01DC</t>
  </si>
  <si>
    <t>MPOR3JWHYRETDC</t>
  </si>
  <si>
    <t>MPOR3JWPKK01DC</t>
  </si>
  <si>
    <t>MPOR3JWPKRETDC</t>
  </si>
  <si>
    <t>MPORQLSBPP10DF</t>
  </si>
  <si>
    <t>MPORQLSORP10DC</t>
  </si>
  <si>
    <t>MPORWHSM1P02DC</t>
  </si>
  <si>
    <t>BBBRF0000K02PF</t>
  </si>
  <si>
    <t>BLG0FTRIMK05DF</t>
  </si>
  <si>
    <t>GFT0BDOT0K06DF</t>
  </si>
  <si>
    <t>GSK0F0000K05DF</t>
  </si>
  <si>
    <t>GSK0MF000K02DF</t>
  </si>
  <si>
    <t>GSK0MF000K05DC</t>
  </si>
  <si>
    <t>GSKTF0000K05DF</t>
  </si>
  <si>
    <t>SBH0F000HP05DF</t>
  </si>
  <si>
    <t>WJ03BP000P08DC</t>
  </si>
  <si>
    <t>WJ03BP000P08DF</t>
  </si>
  <si>
    <t>WNCB3P000P03DC</t>
  </si>
  <si>
    <t>WNCB3P000P03DF</t>
  </si>
  <si>
    <t>Marination Yield (%)</t>
  </si>
  <si>
    <t>Costing by SKU. Operation cost will be calculated based on standard cutting pattern of SKU</t>
  </si>
  <si>
    <t>CV</t>
  </si>
  <si>
    <t>Everything is variable</t>
  </si>
  <si>
    <t>Grade_A</t>
  </si>
  <si>
    <t>Grade_B</t>
  </si>
  <si>
    <t>Grade % is variable across size</t>
  </si>
  <si>
    <t>By load and size --&gt;get number of birds</t>
  </si>
  <si>
    <t>Bird1</t>
  </si>
  <si>
    <t>Bird2</t>
  </si>
  <si>
    <t>Bird3</t>
  </si>
  <si>
    <t>Ms Su</t>
  </si>
  <si>
    <t>WB SKUs</t>
  </si>
  <si>
    <t>8Pc</t>
  </si>
  <si>
    <t>6,7,8</t>
  </si>
  <si>
    <t>9--23</t>
  </si>
  <si>
    <t>25-34</t>
  </si>
  <si>
    <t>35,36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</si>
</sst>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_(* #,##0.00_);_(* \(#,##0.00\);_(* \-??_);_(@_)"/>
    <numFmt numFmtId="165" formatCode="_(* #,##0_);_(* \(#,##0\);_(* \-??_);_(@_)"/>
    <numFmt numFmtId="166" formatCode="[$RM-4409]* #,##0.00\ ;[$RM-4409]* \(#,##0.00\);[$RM-4409]* \-#\ ;@\ "/>
    <numFmt numFmtId="167" formatCode="_([$RM-4409]* #,##0.00_);_([$RM-4409]* \(#,##0.00\);_([$RM-4409]* \-??_);_(@_)"/>
    <numFmt numFmtId="168" formatCode="_([$RM-4409]* #,##0.000_);_([$RM-4409]* \(#,##0.000\);_([$RM-4409]* \-??_);_(@_)"/>
    <numFmt numFmtId="169" formatCode="0.00000"/>
    <numFmt numFmtId="170" formatCode="0.0%"/>
    <numFmt numFmtId="171" formatCode="0.000"/>
    <numFmt numFmtId="172" formatCode="_-* #,##0.00_-;\-* #,##0.00_-;_-* &quot;-&quot;??_-;_-@_-"/>
    <numFmt numFmtId="173" formatCode="_-* #,##0_-;\-* #,##0_-;_-* &quot;-&quot;??_-;_-@_-"/>
  </numFmts>
  <fonts count="4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u/>
      <sz val="11"/>
      <color rgb="FF0000FF"/>
      <name val="Calibri"/>
      <family val="2"/>
      <charset val="1"/>
    </font>
    <font>
      <u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/>
      <u/>
      <sz val="10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rgb="FFDDD9C3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>
      <left style="thin">
        <color rgb="FFDDD9C3"/>
      </left>
      <right style="thin">
        <color rgb="FFDDD9C3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DDD9C3"/>
      </left>
      <right style="thin">
        <color rgb="FFDDD9C3"/>
      </right>
      <top style="thin">
        <color rgb="FFDDD9C3"/>
      </top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rgb="FF9DC3E6"/>
      </bottom>
      <diagonal/>
    </border>
    <border>
      <left/>
      <right/>
      <top style="thin">
        <color rgb="FFFAC090"/>
      </top>
      <bottom style="thin">
        <color rgb="FFFAC09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61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5" fillId="0" borderId="0" applyBorder="0" applyProtection="0"/>
    <xf numFmtId="0" fontId="12" fillId="0" borderId="0"/>
    <xf numFmtId="0" fontId="23" fillId="0" borderId="16" applyNumberFormat="0" applyFill="0" applyAlignment="0" applyProtection="0"/>
    <xf numFmtId="0" fontId="24" fillId="0" borderId="17" applyNumberFormat="0" applyFill="0" applyAlignment="0" applyProtection="0"/>
    <xf numFmtId="0" fontId="25" fillId="0" borderId="18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0" applyNumberFormat="0" applyBorder="0" applyAlignment="0" applyProtection="0"/>
    <xf numFmtId="0" fontId="27" fillId="12" borderId="0" applyNumberFormat="0" applyBorder="0" applyAlignment="0" applyProtection="0"/>
    <xf numFmtId="0" fontId="28" fillId="14" borderId="19" applyNumberFormat="0" applyAlignment="0" applyProtection="0"/>
    <xf numFmtId="0" fontId="29" fillId="15" borderId="20" applyNumberFormat="0" applyAlignment="0" applyProtection="0"/>
    <xf numFmtId="0" fontId="30" fillId="15" borderId="19" applyNumberFormat="0" applyAlignment="0" applyProtection="0"/>
    <xf numFmtId="0" fontId="31" fillId="0" borderId="21" applyNumberFormat="0" applyFill="0" applyAlignment="0" applyProtection="0"/>
    <xf numFmtId="0" fontId="32" fillId="16" borderId="22" applyNumberFormat="0" applyAlignment="0" applyProtection="0"/>
    <xf numFmtId="0" fontId="33" fillId="0" borderId="0" applyNumberFormat="0" applyFill="0" applyBorder="0" applyAlignment="0" applyProtection="0"/>
    <xf numFmtId="0" fontId="34" fillId="0" borderId="24" applyNumberFormat="0" applyFill="0" applyAlignment="0" applyProtection="0"/>
    <xf numFmtId="0" fontId="35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35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35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5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5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5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4" fillId="42" borderId="0" applyBorder="0" applyProtection="0"/>
    <xf numFmtId="0" fontId="2" fillId="0" borderId="0"/>
    <xf numFmtId="9" fontId="2" fillId="0" borderId="0" applyFont="0" applyFill="0" applyBorder="0" applyAlignment="0" applyProtection="0"/>
    <xf numFmtId="0" fontId="36" fillId="0" borderId="0"/>
    <xf numFmtId="0" fontId="2" fillId="0" borderId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38" fillId="13" borderId="0" applyNumberFormat="0" applyBorder="0" applyAlignment="0" applyProtection="0"/>
    <xf numFmtId="0" fontId="2" fillId="17" borderId="23" applyNumberFormat="0" applyFont="0" applyAlignment="0" applyProtection="0"/>
    <xf numFmtId="0" fontId="39" fillId="0" borderId="0" applyNumberFormat="0" applyFill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41" borderId="0" applyNumberFormat="0" applyBorder="0" applyAlignment="0" applyProtection="0"/>
    <xf numFmtId="0" fontId="22" fillId="0" borderId="0"/>
    <xf numFmtId="164" fontId="22" fillId="0" borderId="0" applyBorder="0" applyProtection="0"/>
    <xf numFmtId="9" fontId="22" fillId="0" borderId="0" applyBorder="0" applyProtection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44">
    <xf numFmtId="0" fontId="0" fillId="0" borderId="0" xfId="0"/>
    <xf numFmtId="0" fontId="3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4" fillId="2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6" fillId="0" borderId="1" xfId="3" applyFont="1" applyBorder="1" applyAlignment="1" applyProtection="1">
      <alignment horizontal="left" vertical="top"/>
    </xf>
    <xf numFmtId="0" fontId="3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0" fillId="0" borderId="1" xfId="0" applyBorder="1"/>
    <xf numFmtId="0" fontId="3" fillId="4" borderId="1" xfId="0" applyFont="1" applyFill="1" applyBorder="1" applyAlignment="1">
      <alignment vertical="top" wrapText="1"/>
    </xf>
    <xf numFmtId="0" fontId="4" fillId="4" borderId="1" xfId="0" applyFont="1" applyFill="1" applyBorder="1" applyAlignment="1">
      <alignment vertical="top" wrapText="1"/>
    </xf>
    <xf numFmtId="0" fontId="6" fillId="5" borderId="1" xfId="3" applyFont="1" applyFill="1" applyBorder="1" applyAlignment="1" applyProtection="1">
      <alignment horizontal="left" vertical="top"/>
    </xf>
    <xf numFmtId="0" fontId="3" fillId="5" borderId="1" xfId="0" applyFont="1" applyFill="1" applyBorder="1" applyAlignment="1">
      <alignment vertical="top" wrapText="1"/>
    </xf>
    <xf numFmtId="0" fontId="3" fillId="6" borderId="1" xfId="0" applyFont="1" applyFill="1" applyBorder="1" applyAlignment="1">
      <alignment vertical="top" wrapText="1"/>
    </xf>
    <xf numFmtId="0" fontId="4" fillId="5" borderId="1" xfId="0" applyFont="1" applyFill="1" applyBorder="1" applyAlignment="1">
      <alignment vertical="top" wrapText="1"/>
    </xf>
    <xf numFmtId="0" fontId="4" fillId="0" borderId="2" xfId="0" applyFont="1" applyBorder="1" applyAlignment="1">
      <alignment vertical="top" wrapText="1"/>
    </xf>
    <xf numFmtId="0" fontId="3" fillId="7" borderId="0" xfId="0" applyFont="1" applyFill="1" applyAlignment="1">
      <alignment horizontal="left"/>
    </xf>
    <xf numFmtId="0" fontId="3" fillId="7" borderId="0" xfId="0" applyFont="1" applyFill="1" applyAlignment="1">
      <alignment wrapText="1"/>
    </xf>
    <xf numFmtId="0" fontId="4" fillId="7" borderId="3" xfId="0" applyFont="1" applyFill="1" applyBorder="1" applyAlignment="1">
      <alignment wrapText="1"/>
    </xf>
    <xf numFmtId="0" fontId="8" fillId="7" borderId="4" xfId="0" applyFont="1" applyFill="1" applyBorder="1" applyAlignment="1">
      <alignment wrapText="1"/>
    </xf>
    <xf numFmtId="0" fontId="4" fillId="7" borderId="4" xfId="0" applyFont="1" applyFill="1" applyBorder="1" applyAlignment="1">
      <alignment wrapText="1"/>
    </xf>
    <xf numFmtId="0" fontId="4" fillId="7" borderId="5" xfId="0" applyFont="1" applyFill="1" applyBorder="1" applyAlignment="1">
      <alignment wrapText="1"/>
    </xf>
    <xf numFmtId="0" fontId="9" fillId="8" borderId="6" xfId="0" applyFont="1" applyFill="1" applyBorder="1"/>
    <xf numFmtId="0" fontId="9" fillId="8" borderId="7" xfId="0" applyFont="1" applyFill="1" applyBorder="1"/>
    <xf numFmtId="0" fontId="5" fillId="0" borderId="0" xfId="3" applyFont="1" applyBorder="1" applyAlignment="1" applyProtection="1"/>
    <xf numFmtId="0" fontId="10" fillId="0" borderId="8" xfId="0" applyFont="1" applyBorder="1" applyAlignment="1">
      <alignment vertical="top"/>
    </xf>
    <xf numFmtId="3" fontId="10" fillId="0" borderId="9" xfId="0" applyNumberFormat="1" applyFont="1" applyBorder="1" applyAlignment="1">
      <alignment vertical="top"/>
    </xf>
    <xf numFmtId="0" fontId="0" fillId="0" borderId="6" xfId="0" applyBorder="1"/>
    <xf numFmtId="0" fontId="10" fillId="0" borderId="10" xfId="0" applyFont="1" applyBorder="1" applyAlignment="1">
      <alignment vertical="top"/>
    </xf>
    <xf numFmtId="3" fontId="10" fillId="0" borderId="11" xfId="0" applyNumberFormat="1" applyFont="1" applyBorder="1" applyAlignment="1">
      <alignment vertical="top"/>
    </xf>
    <xf numFmtId="0" fontId="0" fillId="0" borderId="12" xfId="0" applyBorder="1"/>
    <xf numFmtId="0" fontId="11" fillId="0" borderId="13" xfId="0" applyFont="1" applyBorder="1" applyAlignment="1">
      <alignment vertical="top"/>
    </xf>
    <xf numFmtId="165" fontId="0" fillId="0" borderId="6" xfId="1" applyNumberFormat="1" applyFont="1" applyBorder="1" applyAlignment="1" applyProtection="1"/>
    <xf numFmtId="165" fontId="0" fillId="0" borderId="0" xfId="1" applyNumberFormat="1" applyFont="1" applyBorder="1" applyAlignment="1" applyProtection="1"/>
    <xf numFmtId="0" fontId="12" fillId="0" borderId="0" xfId="0" applyFont="1"/>
    <xf numFmtId="0" fontId="13" fillId="0" borderId="0" xfId="0" applyFont="1" applyBorder="1" applyAlignment="1"/>
    <xf numFmtId="0" fontId="14" fillId="0" borderId="0" xfId="0" applyFont="1" applyBorder="1" applyAlignment="1"/>
    <xf numFmtId="0" fontId="0" fillId="0" borderId="0" xfId="0" applyFont="1" applyAlignment="1">
      <alignment wrapText="1"/>
    </xf>
    <xf numFmtId="0" fontId="15" fillId="0" borderId="0" xfId="0" applyFont="1" applyBorder="1" applyAlignment="1"/>
    <xf numFmtId="0" fontId="16" fillId="0" borderId="0" xfId="0" applyFont="1" applyBorder="1" applyAlignment="1" applyProtection="1">
      <alignment vertical="top" wrapText="1"/>
    </xf>
    <xf numFmtId="0" fontId="16" fillId="0" borderId="0" xfId="0" applyFont="1" applyBorder="1"/>
    <xf numFmtId="0" fontId="16" fillId="0" borderId="0" xfId="0" applyFont="1" applyBorder="1" applyAlignment="1" applyProtection="1">
      <alignment horizontal="left" vertical="top" wrapText="1"/>
    </xf>
    <xf numFmtId="0" fontId="17" fillId="0" borderId="0" xfId="0" applyFont="1" applyBorder="1" applyAlignment="1" applyProtection="1">
      <alignment horizontal="left" vertical="top" wrapText="1"/>
    </xf>
    <xf numFmtId="0" fontId="15" fillId="0" borderId="0" xfId="0" applyFont="1" applyBorder="1"/>
    <xf numFmtId="0" fontId="15" fillId="0" borderId="0" xfId="0" applyFont="1" applyBorder="1" applyAlignment="1" applyProtection="1">
      <alignment vertical="top" wrapText="1"/>
    </xf>
    <xf numFmtId="0" fontId="16" fillId="0" borderId="0" xfId="0" applyFont="1" applyBorder="1" applyAlignment="1" applyProtection="1">
      <alignment horizontal="left" wrapText="1"/>
    </xf>
    <xf numFmtId="0" fontId="15" fillId="0" borderId="0" xfId="0" applyFont="1" applyBorder="1" applyAlignment="1" applyProtection="1">
      <alignment horizontal="left" vertical="top" wrapText="1"/>
    </xf>
    <xf numFmtId="0" fontId="17" fillId="7" borderId="0" xfId="0" applyFont="1" applyFill="1" applyBorder="1" applyAlignment="1" applyProtection="1">
      <alignment horizontal="left" vertical="top" wrapText="1"/>
    </xf>
    <xf numFmtId="0" fontId="0" fillId="0" borderId="0" xfId="0" applyFont="1"/>
    <xf numFmtId="166" fontId="0" fillId="0" borderId="0" xfId="0" applyNumberFormat="1"/>
    <xf numFmtId="0" fontId="0" fillId="0" borderId="7" xfId="0" applyBorder="1"/>
    <xf numFmtId="167" fontId="0" fillId="0" borderId="0" xfId="0" applyNumberFormat="1"/>
    <xf numFmtId="0" fontId="0" fillId="0" borderId="0" xfId="0" applyFont="1" applyBorder="1"/>
    <xf numFmtId="0" fontId="0" fillId="0" borderId="11" xfId="0" applyBorder="1"/>
    <xf numFmtId="0" fontId="0" fillId="0" borderId="10" xfId="0" applyBorder="1"/>
    <xf numFmtId="166" fontId="18" fillId="0" borderId="0" xfId="0" applyNumberFormat="1" applyFont="1"/>
    <xf numFmtId="3" fontId="10" fillId="0" borderId="7" xfId="0" applyNumberFormat="1" applyFont="1" applyBorder="1" applyAlignment="1">
      <alignment vertical="top"/>
    </xf>
    <xf numFmtId="3" fontId="10" fillId="0" borderId="10" xfId="0" applyNumberFormat="1" applyFont="1" applyBorder="1" applyAlignment="1">
      <alignment vertical="top"/>
    </xf>
    <xf numFmtId="3" fontId="10" fillId="0" borderId="6" xfId="0" applyNumberFormat="1" applyFont="1" applyBorder="1" applyAlignment="1">
      <alignment vertical="top"/>
    </xf>
    <xf numFmtId="3" fontId="10" fillId="0" borderId="0" xfId="0" applyNumberFormat="1" applyFont="1" applyBorder="1" applyAlignment="1">
      <alignment vertical="top"/>
    </xf>
    <xf numFmtId="168" fontId="0" fillId="0" borderId="0" xfId="0" applyNumberFormat="1"/>
    <xf numFmtId="168" fontId="9" fillId="8" borderId="6" xfId="0" applyNumberFormat="1" applyFont="1" applyFill="1" applyBorder="1"/>
    <xf numFmtId="0" fontId="12" fillId="0" borderId="0" xfId="0" applyFont="1" applyAlignment="1">
      <alignment horizontal="center"/>
    </xf>
    <xf numFmtId="169" fontId="0" fillId="0" borderId="0" xfId="0" applyNumberFormat="1"/>
    <xf numFmtId="169" fontId="0" fillId="6" borderId="0" xfId="0" applyNumberFormat="1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2" fillId="9" borderId="0" xfId="0" applyFont="1" applyFill="1" applyAlignment="1">
      <alignment horizontal="center"/>
    </xf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0" borderId="0" xfId="0" applyFont="1" applyAlignment="1">
      <alignment vertical="center" wrapText="1"/>
    </xf>
    <xf numFmtId="0" fontId="0" fillId="6" borderId="0" xfId="0" applyFont="1" applyFill="1" applyAlignment="1">
      <alignment vertical="center" wrapText="1"/>
    </xf>
    <xf numFmtId="0" fontId="0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2" fontId="0" fillId="6" borderId="0" xfId="0" applyNumberFormat="1" applyFill="1" applyAlignment="1">
      <alignment horizontal="center"/>
    </xf>
    <xf numFmtId="0" fontId="0" fillId="0" borderId="14" xfId="0" applyFont="1" applyBorder="1"/>
    <xf numFmtId="0" fontId="13" fillId="0" borderId="0" xfId="0" applyFont="1"/>
    <xf numFmtId="0" fontId="0" fillId="0" borderId="15" xfId="0" applyFont="1" applyBorder="1"/>
    <xf numFmtId="9" fontId="22" fillId="0" borderId="0" xfId="2" applyBorder="1" applyProtection="1"/>
    <xf numFmtId="0" fontId="13" fillId="6" borderId="0" xfId="0" applyFont="1" applyFill="1"/>
    <xf numFmtId="164" fontId="0" fillId="0" borderId="0" xfId="0" applyNumberFormat="1"/>
    <xf numFmtId="165" fontId="0" fillId="0" borderId="0" xfId="0" applyNumberFormat="1"/>
    <xf numFmtId="16" fontId="0" fillId="0" borderId="0" xfId="0" applyNumberFormat="1" applyFont="1" applyAlignment="1">
      <alignment horizontal="right"/>
    </xf>
    <xf numFmtId="0" fontId="0" fillId="5" borderId="0" xfId="0" applyFill="1" applyAlignment="1">
      <alignment horizontal="center"/>
    </xf>
    <xf numFmtId="0" fontId="0" fillId="0" borderId="0" xfId="0" applyAlignme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13" fillId="6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/>
    <xf numFmtId="0" fontId="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170" fontId="0" fillId="5" borderId="0" xfId="0" applyNumberFormat="1" applyFill="1" applyAlignment="1">
      <alignment horizontal="center"/>
    </xf>
    <xf numFmtId="170" fontId="12" fillId="5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9" borderId="0" xfId="0" applyNumberFormat="1" applyFill="1" applyAlignment="1">
      <alignment horizontal="center"/>
    </xf>
    <xf numFmtId="171" fontId="0" fillId="0" borderId="0" xfId="0" applyNumberFormat="1" applyAlignment="1">
      <alignment horizontal="center"/>
    </xf>
    <xf numFmtId="171" fontId="0" fillId="10" borderId="0" xfId="0" applyNumberFormat="1" applyFill="1" applyAlignment="1">
      <alignment horizontal="center"/>
    </xf>
    <xf numFmtId="171" fontId="0" fillId="5" borderId="0" xfId="0" applyNumberFormat="1" applyFill="1" applyAlignment="1">
      <alignment horizontal="center"/>
    </xf>
    <xf numFmtId="0" fontId="0" fillId="0" borderId="14" xfId="0" applyFont="1" applyBorder="1" applyAlignment="1">
      <alignment horizontal="center"/>
    </xf>
    <xf numFmtId="9" fontId="0" fillId="5" borderId="0" xfId="0" applyNumberFormat="1" applyFill="1" applyAlignment="1">
      <alignment horizontal="center"/>
    </xf>
    <xf numFmtId="9" fontId="12" fillId="5" borderId="0" xfId="0" applyNumberFormat="1" applyFont="1" applyFill="1" applyAlignment="1">
      <alignment horizontal="center"/>
    </xf>
    <xf numFmtId="164" fontId="0" fillId="6" borderId="0" xfId="1" applyFont="1" applyFill="1" applyBorder="1" applyAlignment="1" applyProtection="1">
      <alignment horizontal="center" vertical="center"/>
    </xf>
    <xf numFmtId="171" fontId="12" fillId="6" borderId="0" xfId="0" applyNumberFormat="1" applyFont="1" applyFill="1" applyAlignment="1">
      <alignment horizontal="center"/>
    </xf>
    <xf numFmtId="171" fontId="12" fillId="9" borderId="0" xfId="0" applyNumberFormat="1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10" fontId="0" fillId="5" borderId="0" xfId="0" applyNumberFormat="1" applyFill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applyFont="1" applyBorder="1"/>
    <xf numFmtId="171" fontId="0" fillId="0" borderId="0" xfId="0" applyNumberFormat="1"/>
    <xf numFmtId="171" fontId="21" fillId="0" borderId="0" xfId="0" applyNumberFormat="1" applyFont="1"/>
    <xf numFmtId="0" fontId="12" fillId="0" borderId="0" xfId="4" applyFont="1"/>
    <xf numFmtId="9" fontId="22" fillId="0" borderId="0" xfId="2"/>
    <xf numFmtId="10" fontId="22" fillId="0" borderId="0" xfId="2" applyNumberFormat="1"/>
    <xf numFmtId="2" fontId="22" fillId="0" borderId="0" xfId="2" applyNumberFormat="1"/>
    <xf numFmtId="9" fontId="0" fillId="0" borderId="0" xfId="0" applyNumberFormat="1"/>
    <xf numFmtId="1" fontId="22" fillId="0" borderId="0" xfId="2" applyNumberFormat="1"/>
    <xf numFmtId="0" fontId="0" fillId="0" borderId="8" xfId="0" applyFont="1" applyBorder="1" applyAlignment="1">
      <alignment horizontal="left"/>
    </xf>
    <xf numFmtId="0" fontId="12" fillId="0" borderId="8" xfId="4" applyFont="1" applyBorder="1"/>
    <xf numFmtId="0" fontId="0" fillId="0" borderId="0" xfId="0"/>
    <xf numFmtId="0" fontId="5" fillId="0" borderId="0" xfId="3" applyFont="1" applyBorder="1" applyAlignment="1" applyProtection="1"/>
    <xf numFmtId="0" fontId="13" fillId="0" borderId="0" xfId="0" applyFont="1"/>
    <xf numFmtId="9" fontId="0" fillId="0" borderId="0" xfId="0" applyNumberFormat="1"/>
    <xf numFmtId="9" fontId="22" fillId="0" borderId="0" xfId="2"/>
    <xf numFmtId="10" fontId="22" fillId="0" borderId="0" xfId="2" applyNumberFormat="1"/>
    <xf numFmtId="173" fontId="22" fillId="0" borderId="0" xfId="2" applyNumberFormat="1"/>
    <xf numFmtId="173" fontId="2" fillId="0" borderId="25" xfId="38" applyNumberFormat="1" applyBorder="1"/>
    <xf numFmtId="0" fontId="0" fillId="0" borderId="0" xfId="0" applyNumberFormat="1"/>
    <xf numFmtId="0" fontId="0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16" fontId="0" fillId="0" borderId="0" xfId="0" applyNumberFormat="1" applyFont="1"/>
    <xf numFmtId="9" fontId="0" fillId="0" borderId="0" xfId="0" applyNumberFormat="1" applyFont="1"/>
    <xf numFmtId="0" fontId="6" fillId="0" borderId="1" xfId="3" applyFont="1" applyBorder="1" applyAlignment="1" applyProtection="1">
      <alignment horizontal="left" vertical="top"/>
    </xf>
  </cellXfs>
  <cellStyles count="61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47"/>
    <cellStyle name="60% - Accent2 2" xfId="48"/>
    <cellStyle name="60% - Accent3 2" xfId="49"/>
    <cellStyle name="60% - Accent4 2" xfId="50"/>
    <cellStyle name="60% - Accent5 2" xfId="51"/>
    <cellStyle name="60% - Accent6 2" xfId="52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2"/>
    <cellStyle name="Comma 2 2" xfId="60"/>
    <cellStyle name="Comma 3" xfId="54"/>
    <cellStyle name="Comma 4" xfId="43"/>
    <cellStyle name="Explanatory Text" xfId="4" builtinId="53" customBuiltin="1"/>
    <cellStyle name="Explanatory Text 2" xfId="37"/>
    <cellStyle name="Explanatory Text 3" xfId="56"/>
    <cellStyle name="Explanatory Text 4" xfId="46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44"/>
    <cellStyle name="Normal" xfId="0" builtinId="0"/>
    <cellStyle name="Normal 2" xfId="38"/>
    <cellStyle name="Normal 2 2" xfId="57"/>
    <cellStyle name="Normal 3" xfId="40"/>
    <cellStyle name="Normal 4" xfId="41"/>
    <cellStyle name="Normal 4 2" xfId="59"/>
    <cellStyle name="Normal 5" xfId="53"/>
    <cellStyle name="Note 2" xfId="45"/>
    <cellStyle name="Output" xfId="12" builtinId="21" customBuiltin="1"/>
    <cellStyle name="Percent" xfId="2" builtinId="5"/>
    <cellStyle name="Percent 2" xfId="39"/>
    <cellStyle name="Percent 2 2" xfId="58"/>
    <cellStyle name="Percent 3" xfId="55"/>
    <cellStyle name="Title 2" xfId="36"/>
    <cellStyle name="Total" xfId="17" builtinId="25" customBuiltin="1"/>
    <cellStyle name="Warning Text" xfId="16" builtinId="11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380760</xdr:colOff>
      <xdr:row>49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966744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380760</xdr:colOff>
      <xdr:row>49</xdr:row>
      <xdr:rowOff>190080</xdr:rowOff>
    </xdr:to>
    <xdr:sp macro="" textlink="">
      <xdr:nvSpPr>
        <xdr:cNvPr id="3" name="CustomShape 1" hidden="1"/>
        <xdr:cNvSpPr/>
      </xdr:nvSpPr>
      <xdr:spPr>
        <a:xfrm>
          <a:off x="0" y="0"/>
          <a:ext cx="966744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66675</xdr:colOff>
      <xdr:row>50</xdr:row>
      <xdr:rowOff>0</xdr:rowOff>
    </xdr:to>
    <xdr:sp macro="" textlink="">
      <xdr:nvSpPr>
        <xdr:cNvPr id="512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66675</xdr:colOff>
      <xdr:row>50</xdr:row>
      <xdr:rowOff>0</xdr:rowOff>
    </xdr:to>
    <xdr:sp macro="" textlink="">
      <xdr:nvSpPr>
        <xdr:cNvPr id="512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9000</xdr:colOff>
      <xdr:row>49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969588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333375</xdr:colOff>
      <xdr:row>50</xdr:row>
      <xdr:rowOff>0</xdr:rowOff>
    </xdr:to>
    <xdr:sp macro="" textlink="">
      <xdr:nvSpPr>
        <xdr:cNvPr id="921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119160</xdr:colOff>
      <xdr:row>49</xdr:row>
      <xdr:rowOff>176400</xdr:rowOff>
    </xdr:to>
    <xdr:sp macro="" textlink="">
      <xdr:nvSpPr>
        <xdr:cNvPr id="3" name="CustomShape 1" hidden="1"/>
        <xdr:cNvSpPr/>
      </xdr:nvSpPr>
      <xdr:spPr>
        <a:xfrm>
          <a:off x="0" y="0"/>
          <a:ext cx="7034040" cy="9510840"/>
        </a:xfrm>
        <a:prstGeom prst="rect">
          <a:avLst/>
        </a:prstGeom>
        <a:solidFill>
          <a:srgbClr val="FFFFFF"/>
        </a:solidFill>
        <a:ln w="9360"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304920</xdr:colOff>
      <xdr:row>779</xdr:row>
      <xdr:rowOff>300</xdr:rowOff>
    </xdr:to>
    <xdr:sp macro="" textlink="">
      <xdr:nvSpPr>
        <xdr:cNvPr id="4" name="CustomShape 1" hidden="1"/>
        <xdr:cNvSpPr/>
      </xdr:nvSpPr>
      <xdr:spPr>
        <a:xfrm>
          <a:off x="0" y="0"/>
          <a:ext cx="9858240" cy="864871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457200</xdr:colOff>
      <xdr:row>50</xdr:row>
      <xdr:rowOff>0</xdr:rowOff>
    </xdr:to>
    <xdr:sp macro="" textlink="">
      <xdr:nvSpPr>
        <xdr:cNvPr id="1741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topLeftCell="A28" zoomScaleNormal="100" workbookViewId="0">
      <selection activeCell="C29" sqref="C29"/>
    </sheetView>
  </sheetViews>
  <sheetFormatPr defaultRowHeight="15" outlineLevelRow="1" x14ac:dyDescent="0.25"/>
  <cols>
    <col min="1" max="1" width="3.5703125" style="1"/>
    <col min="2" max="2" width="20.7109375" style="1"/>
    <col min="3" max="3" width="32.7109375" style="2"/>
    <col min="4" max="6" width="0" style="2" hidden="1"/>
    <col min="7" max="7" width="0" style="3" hidden="1"/>
    <col min="8" max="8" width="23.42578125" style="4"/>
    <col min="9" max="9" width="36.5703125" style="4"/>
    <col min="10" max="1025" width="8.5703125"/>
  </cols>
  <sheetData>
    <row r="1" spans="1:9" ht="60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spans="1:9" ht="46.5" customHeight="1" outlineLevel="1" x14ac:dyDescent="0.25">
      <c r="A2" s="8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spans="1:9" ht="53.25" customHeight="1" outlineLevel="1" x14ac:dyDescent="0.25">
      <c r="A3" s="8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spans="1:9" ht="132" outlineLevel="1" x14ac:dyDescent="0.25">
      <c r="A4" s="8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spans="1:9" ht="132" outlineLevel="1" x14ac:dyDescent="0.25">
      <c r="A5" s="8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spans="1:9" ht="132" outlineLevel="1" x14ac:dyDescent="0.25">
      <c r="A6" s="8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spans="1:9" ht="132" outlineLevel="1" x14ac:dyDescent="0.25">
      <c r="A7" s="8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spans="1:9" ht="24" outlineLevel="1" x14ac:dyDescent="0.25">
      <c r="A8" s="8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spans="1:9" ht="36" outlineLevel="1" x14ac:dyDescent="0.25">
      <c r="A9" s="8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spans="1:9" ht="36" outlineLevel="1" x14ac:dyDescent="0.25">
      <c r="A10" s="8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spans="1:9" ht="96" x14ac:dyDescent="0.25">
      <c r="A11" s="8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spans="1:9" ht="96" x14ac:dyDescent="0.25">
      <c r="A12" s="8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spans="1:9" ht="96" x14ac:dyDescent="0.25">
      <c r="A13" s="8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spans="1:9" ht="60" x14ac:dyDescent="0.25">
      <c r="A14" s="8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spans="1:9" ht="24" x14ac:dyDescent="0.25">
      <c r="A15" s="8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spans="1:9" x14ac:dyDescent="0.25">
      <c r="A16" s="143">
        <v>15</v>
      </c>
      <c r="B16" s="143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spans="1:9" x14ac:dyDescent="0.25">
      <c r="A17" s="143"/>
      <c r="B17" s="143"/>
      <c r="C17" s="9" t="s">
        <v>69</v>
      </c>
      <c r="D17" s="9" t="s">
        <v>68</v>
      </c>
      <c r="E17" s="9"/>
      <c r="F17" s="9"/>
      <c r="G17" s="10"/>
      <c r="H17" s="11"/>
      <c r="I17" s="11"/>
    </row>
    <row r="18" spans="1:9" ht="180" x14ac:dyDescent="0.25">
      <c r="A18" s="143"/>
      <c r="B18" s="143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spans="1:9" ht="180" x14ac:dyDescent="0.25">
      <c r="A19" s="143"/>
      <c r="B19" s="143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spans="1:9" x14ac:dyDescent="0.25">
      <c r="A20" s="143"/>
      <c r="B20" s="143"/>
      <c r="C20" s="9" t="s">
        <v>75</v>
      </c>
      <c r="D20" s="9" t="s">
        <v>68</v>
      </c>
      <c r="E20" s="9"/>
      <c r="F20" s="9"/>
      <c r="G20" s="10"/>
      <c r="H20" s="11"/>
      <c r="I20" s="11"/>
    </row>
    <row r="21" spans="1:9" x14ac:dyDescent="0.25">
      <c r="A21" s="143"/>
      <c r="B21" s="143"/>
      <c r="C21" s="9" t="s">
        <v>76</v>
      </c>
      <c r="D21" s="9" t="s">
        <v>68</v>
      </c>
      <c r="E21" s="9"/>
      <c r="F21" s="9"/>
      <c r="G21" s="10"/>
      <c r="H21" s="11"/>
      <c r="I21" s="11"/>
    </row>
    <row r="22" spans="1:9" x14ac:dyDescent="0.25">
      <c r="A22" s="143"/>
      <c r="B22" s="143"/>
      <c r="C22" s="9" t="s">
        <v>77</v>
      </c>
      <c r="D22" s="9" t="s">
        <v>68</v>
      </c>
      <c r="E22" s="9"/>
      <c r="F22" s="9"/>
      <c r="G22" s="10"/>
      <c r="H22" s="11"/>
      <c r="I22" s="11"/>
    </row>
    <row r="23" spans="1:9" ht="156" x14ac:dyDescent="0.25">
      <c r="A23" s="143"/>
      <c r="B23" s="143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spans="1:9" ht="132" x14ac:dyDescent="0.25">
      <c r="A24" s="143"/>
      <c r="B24" s="143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spans="1:9" ht="120" x14ac:dyDescent="0.25">
      <c r="A25" s="8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spans="1:9" ht="96" x14ac:dyDescent="0.25">
      <c r="A26" s="8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spans="1:9" ht="60" x14ac:dyDescent="0.25">
      <c r="A27" s="16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spans="1:9" ht="72" x14ac:dyDescent="0.25">
      <c r="A28" s="8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spans="1:9" ht="48" x14ac:dyDescent="0.25">
      <c r="A29" s="8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spans="1:9" x14ac:dyDescent="0.25">
      <c r="A30" s="21"/>
      <c r="B30" s="21"/>
      <c r="C30" s="22"/>
      <c r="D30" s="22"/>
      <c r="E30" s="22"/>
      <c r="F30" s="22"/>
      <c r="G30" s="23"/>
    </row>
    <row r="31" spans="1:9" ht="48.75" x14ac:dyDescent="0.25">
      <c r="A31" s="21"/>
      <c r="B31" s="21"/>
      <c r="C31" s="22"/>
      <c r="D31" s="22"/>
      <c r="E31" s="22"/>
      <c r="F31" s="22"/>
      <c r="G31" s="24" t="s">
        <v>115</v>
      </c>
    </row>
    <row r="32" spans="1:9" ht="168.75" x14ac:dyDescent="0.25">
      <c r="A32" s="21"/>
      <c r="B32" s="21"/>
      <c r="C32" s="22"/>
      <c r="D32" s="22"/>
      <c r="E32" s="22"/>
      <c r="F32" s="22"/>
      <c r="G32" s="25" t="s">
        <v>116</v>
      </c>
    </row>
    <row r="33" spans="1:7" ht="36.75" x14ac:dyDescent="0.25">
      <c r="A33" s="21"/>
      <c r="B33" s="21"/>
      <c r="C33" s="22"/>
      <c r="D33" s="22"/>
      <c r="E33" s="22"/>
      <c r="F33" s="22"/>
      <c r="G33" s="25" t="s">
        <v>117</v>
      </c>
    </row>
    <row r="34" spans="1:7" ht="132.75" x14ac:dyDescent="0.25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N169"/>
  <sheetViews>
    <sheetView topLeftCell="A79" zoomScaleNormal="100" workbookViewId="0">
      <selection activeCell="G91" sqref="G91"/>
    </sheetView>
  </sheetViews>
  <sheetFormatPr defaultRowHeight="15" x14ac:dyDescent="0.25"/>
  <cols>
    <col min="1" max="1" width="19.7109375"/>
    <col min="2" max="5" width="8.7109375"/>
    <col min="6" max="6" width="6.140625"/>
    <col min="7" max="1025" width="8.5703125"/>
  </cols>
  <sheetData>
    <row r="1" spans="1:14" x14ac:dyDescent="0.25">
      <c r="A1" s="27" t="s">
        <v>119</v>
      </c>
      <c r="B1" s="27">
        <v>1</v>
      </c>
      <c r="C1" s="27">
        <v>2</v>
      </c>
      <c r="D1" s="27">
        <v>3</v>
      </c>
      <c r="E1" s="27">
        <v>4</v>
      </c>
      <c r="F1" s="27"/>
      <c r="G1" s="27"/>
      <c r="H1" s="27"/>
      <c r="I1" s="28"/>
      <c r="J1" s="28"/>
      <c r="K1" s="28"/>
      <c r="N1" s="29"/>
    </row>
    <row r="2" spans="1:14" x14ac:dyDescent="0.25">
      <c r="A2" s="30" t="s">
        <v>120</v>
      </c>
      <c r="B2" s="31">
        <v>319.78051249999999</v>
      </c>
      <c r="C2" s="31">
        <v>319.78051249999999</v>
      </c>
      <c r="D2" s="31">
        <v>319.78051249999999</v>
      </c>
      <c r="E2" s="31">
        <v>319.78051249999999</v>
      </c>
      <c r="I2" s="32"/>
      <c r="J2" s="32"/>
      <c r="K2" s="30"/>
      <c r="L2" s="31"/>
    </row>
    <row r="3" spans="1:14" x14ac:dyDescent="0.25">
      <c r="A3" s="30" t="s">
        <v>121</v>
      </c>
      <c r="B3" s="31">
        <v>113.394704166667</v>
      </c>
      <c r="C3" s="31">
        <v>113.394704166667</v>
      </c>
      <c r="D3" s="31">
        <v>113.394704166667</v>
      </c>
      <c r="E3" s="31">
        <v>113.394704166667</v>
      </c>
      <c r="I3" s="32"/>
      <c r="J3" s="32"/>
      <c r="K3" s="33"/>
      <c r="L3" s="34"/>
    </row>
    <row r="4" spans="1:14" x14ac:dyDescent="0.25">
      <c r="A4" s="30" t="s">
        <v>122</v>
      </c>
      <c r="B4" s="31">
        <v>5008</v>
      </c>
      <c r="C4" s="31">
        <v>5008</v>
      </c>
      <c r="D4" s="31">
        <v>5008</v>
      </c>
      <c r="E4" s="31">
        <v>5008</v>
      </c>
      <c r="I4" s="32"/>
      <c r="J4" s="32"/>
      <c r="K4" s="33"/>
      <c r="L4" s="34"/>
    </row>
    <row r="5" spans="1:14" x14ac:dyDescent="0.25">
      <c r="A5" s="30" t="s">
        <v>123</v>
      </c>
      <c r="B5" s="31">
        <v>429.35225416666702</v>
      </c>
      <c r="C5" s="31">
        <v>429.35225416666702</v>
      </c>
      <c r="D5" s="31">
        <v>429.35225416666702</v>
      </c>
      <c r="E5" s="31">
        <v>429.35225416666702</v>
      </c>
      <c r="I5" s="32"/>
      <c r="J5" s="32"/>
      <c r="K5" s="33"/>
      <c r="L5" s="34"/>
    </row>
    <row r="6" spans="1:14" x14ac:dyDescent="0.25">
      <c r="A6" s="30" t="s">
        <v>124</v>
      </c>
      <c r="B6" s="31">
        <v>77.523291666666694</v>
      </c>
      <c r="C6" s="31">
        <v>77.523291666666694</v>
      </c>
      <c r="D6" s="31">
        <v>77.523291666666694</v>
      </c>
      <c r="E6" s="31">
        <v>77.523291666666694</v>
      </c>
      <c r="I6" s="35"/>
      <c r="J6" s="35"/>
      <c r="K6" s="33"/>
      <c r="L6" s="34"/>
    </row>
    <row r="7" spans="1:14" x14ac:dyDescent="0.25">
      <c r="A7" s="30" t="s">
        <v>125</v>
      </c>
      <c r="B7" s="31">
        <v>5.3293916666666696</v>
      </c>
      <c r="C7" s="31">
        <v>5.3293916666666696</v>
      </c>
      <c r="D7" s="31">
        <v>5.3293916666666696</v>
      </c>
      <c r="E7" s="31">
        <v>5.3293916666666696</v>
      </c>
      <c r="K7" s="33"/>
      <c r="L7" s="34"/>
    </row>
    <row r="8" spans="1:14" x14ac:dyDescent="0.25">
      <c r="A8" s="30" t="s">
        <v>126</v>
      </c>
      <c r="B8" s="31">
        <v>300</v>
      </c>
      <c r="C8" s="31">
        <v>300</v>
      </c>
      <c r="D8" s="31">
        <v>600</v>
      </c>
      <c r="E8" s="31">
        <v>600</v>
      </c>
      <c r="K8" s="33"/>
      <c r="L8" s="34"/>
    </row>
    <row r="9" spans="1:14" x14ac:dyDescent="0.25">
      <c r="A9" s="30" t="s">
        <v>127</v>
      </c>
      <c r="B9" s="31">
        <v>1.6775</v>
      </c>
      <c r="C9" s="31">
        <v>1.6775</v>
      </c>
      <c r="D9" s="31">
        <v>1.6775</v>
      </c>
      <c r="E9" s="31">
        <v>1.6775</v>
      </c>
      <c r="K9" s="33"/>
      <c r="L9" s="34"/>
    </row>
    <row r="10" spans="1:14" x14ac:dyDescent="0.25">
      <c r="A10" s="30" t="s">
        <v>128</v>
      </c>
      <c r="B10" s="31">
        <v>900</v>
      </c>
      <c r="C10" s="31">
        <v>900</v>
      </c>
      <c r="D10" s="31">
        <v>0</v>
      </c>
      <c r="E10" s="31">
        <v>0</v>
      </c>
      <c r="K10" s="33"/>
      <c r="L10" s="34"/>
    </row>
    <row r="11" spans="1:14" x14ac:dyDescent="0.25">
      <c r="A11" s="30" t="s">
        <v>129</v>
      </c>
      <c r="B11" s="31"/>
      <c r="C11" s="31"/>
      <c r="D11" s="31">
        <v>300</v>
      </c>
      <c r="E11" s="31">
        <v>300</v>
      </c>
      <c r="K11" s="33"/>
      <c r="L11" s="34"/>
    </row>
    <row r="12" spans="1:14" x14ac:dyDescent="0.25">
      <c r="A12" s="30" t="s">
        <v>130</v>
      </c>
      <c r="B12" s="31">
        <v>175.321216666667</v>
      </c>
      <c r="C12" s="31">
        <v>175.321216666667</v>
      </c>
      <c r="D12" s="31">
        <v>175.321216666667</v>
      </c>
      <c r="E12" s="31">
        <v>175.321216666667</v>
      </c>
      <c r="K12" s="33"/>
      <c r="L12" s="34"/>
    </row>
    <row r="13" spans="1:14" x14ac:dyDescent="0.25">
      <c r="A13" s="30" t="s">
        <v>131</v>
      </c>
      <c r="B13" s="31">
        <v>363.71578333333298</v>
      </c>
      <c r="C13" s="31">
        <v>363.71578333333298</v>
      </c>
      <c r="D13" s="31">
        <v>363.71578333333298</v>
      </c>
      <c r="E13" s="31">
        <v>363.71578333333298</v>
      </c>
      <c r="K13" s="33"/>
      <c r="L13" s="34"/>
    </row>
    <row r="14" spans="1:14" x14ac:dyDescent="0.25">
      <c r="A14" s="30" t="s">
        <v>132</v>
      </c>
      <c r="B14" s="31">
        <v>339.263916666667</v>
      </c>
      <c r="C14" s="31">
        <v>339.263916666667</v>
      </c>
      <c r="D14" s="31">
        <v>339.263916666667</v>
      </c>
      <c r="E14" s="31">
        <v>339.263916666667</v>
      </c>
      <c r="K14" s="33"/>
      <c r="L14" s="34"/>
    </row>
    <row r="15" spans="1:14" x14ac:dyDescent="0.25">
      <c r="A15" s="30" t="s">
        <v>133</v>
      </c>
      <c r="B15" s="31">
        <v>0.12844166666666701</v>
      </c>
      <c r="C15" s="31">
        <v>0.12844166666666701</v>
      </c>
      <c r="D15" s="31">
        <v>0.12844166666666701</v>
      </c>
      <c r="E15" s="31">
        <v>0.12844166666666701</v>
      </c>
      <c r="K15" s="33"/>
      <c r="L15" s="34"/>
    </row>
    <row r="16" spans="1:14" x14ac:dyDescent="0.25">
      <c r="A16" s="30" t="s">
        <v>134</v>
      </c>
      <c r="B16" s="31">
        <v>4183.4704874999998</v>
      </c>
      <c r="C16" s="31">
        <v>4183.4704874999998</v>
      </c>
      <c r="D16" s="31">
        <v>4183.4704874999998</v>
      </c>
      <c r="E16" s="31">
        <v>4183.4704874999998</v>
      </c>
      <c r="K16" s="33"/>
      <c r="L16" s="34"/>
    </row>
    <row r="17" spans="1:12" x14ac:dyDescent="0.25">
      <c r="A17" s="30" t="s">
        <v>135</v>
      </c>
      <c r="B17" s="31">
        <v>2851.4382624999998</v>
      </c>
      <c r="C17" s="31">
        <v>2851.4382624999998</v>
      </c>
      <c r="D17" s="31">
        <v>2851.4382624999998</v>
      </c>
      <c r="E17" s="31">
        <v>2851.4382624999998</v>
      </c>
      <c r="K17" s="33"/>
      <c r="L17" s="34"/>
    </row>
    <row r="18" spans="1:12" x14ac:dyDescent="0.25">
      <c r="A18" s="30" t="s">
        <v>136</v>
      </c>
      <c r="B18" s="31">
        <v>2.3044166666666701</v>
      </c>
      <c r="C18" s="31">
        <v>2.3044166666666701</v>
      </c>
      <c r="D18" s="31">
        <v>2.3044166666666701</v>
      </c>
      <c r="E18" s="31">
        <v>2.3044166666666701</v>
      </c>
      <c r="K18" s="33"/>
      <c r="L18" s="34"/>
    </row>
    <row r="19" spans="1:12" x14ac:dyDescent="0.25">
      <c r="A19" s="30" t="s">
        <v>137</v>
      </c>
      <c r="B19" s="31">
        <v>4073.4956000000002</v>
      </c>
      <c r="C19" s="31">
        <v>4073.4956000000002</v>
      </c>
      <c r="D19" s="31">
        <v>4073.4956000000002</v>
      </c>
      <c r="E19" s="31">
        <v>4073.4956000000002</v>
      </c>
      <c r="K19" s="33"/>
      <c r="L19" s="34"/>
    </row>
    <row r="20" spans="1:12" x14ac:dyDescent="0.25">
      <c r="A20" s="30" t="s">
        <v>138</v>
      </c>
      <c r="B20" s="31">
        <v>9.31666666666667</v>
      </c>
      <c r="C20" s="31">
        <v>9.31666666666667</v>
      </c>
      <c r="D20" s="31">
        <v>9.31666666666667</v>
      </c>
      <c r="E20" s="31">
        <v>9.31666666666667</v>
      </c>
      <c r="K20" s="33"/>
      <c r="L20" s="34"/>
    </row>
    <row r="21" spans="1:12" x14ac:dyDescent="0.25">
      <c r="A21" s="30" t="s">
        <v>139</v>
      </c>
      <c r="B21" s="31">
        <v>121.925</v>
      </c>
      <c r="C21" s="31">
        <v>121.925</v>
      </c>
      <c r="D21" s="31">
        <v>121.925</v>
      </c>
      <c r="E21" s="31">
        <v>121.925</v>
      </c>
      <c r="K21" s="33"/>
      <c r="L21" s="34"/>
    </row>
    <row r="22" spans="1:12" x14ac:dyDescent="0.25">
      <c r="A22" s="30" t="s">
        <v>140</v>
      </c>
      <c r="B22" s="31">
        <v>752.11368749999997</v>
      </c>
      <c r="C22" s="31">
        <v>752.11368749999997</v>
      </c>
      <c r="D22" s="31">
        <v>752.11368749999997</v>
      </c>
      <c r="E22" s="31">
        <v>752.11368749999997</v>
      </c>
      <c r="K22" s="33"/>
      <c r="L22" s="34"/>
    </row>
    <row r="23" spans="1:12" x14ac:dyDescent="0.25">
      <c r="A23" s="30" t="s">
        <v>141</v>
      </c>
      <c r="B23" s="31">
        <v>633.91506249999998</v>
      </c>
      <c r="C23" s="31">
        <v>633.91506249999998</v>
      </c>
      <c r="D23" s="31">
        <v>633.91506249999998</v>
      </c>
      <c r="E23" s="31">
        <v>633.91506249999998</v>
      </c>
      <c r="K23" s="33"/>
      <c r="L23" s="34"/>
    </row>
    <row r="24" spans="1:12" x14ac:dyDescent="0.25">
      <c r="A24" s="30" t="s">
        <v>142</v>
      </c>
      <c r="B24" s="31">
        <v>22.591208333333299</v>
      </c>
      <c r="C24" s="31">
        <v>22.591208333333299</v>
      </c>
      <c r="D24" s="31">
        <v>22.591208333333299</v>
      </c>
      <c r="E24" s="31">
        <v>22.591208333333299</v>
      </c>
      <c r="K24" s="33"/>
      <c r="L24" s="34"/>
    </row>
    <row r="25" spans="1:12" x14ac:dyDescent="0.25">
      <c r="A25" s="30" t="s">
        <v>143</v>
      </c>
      <c r="B25" s="31">
        <v>42.114841666666699</v>
      </c>
      <c r="C25" s="31">
        <v>42.114841666666699</v>
      </c>
      <c r="D25" s="31">
        <v>42.114841666666699</v>
      </c>
      <c r="E25" s="31">
        <v>42.114841666666699</v>
      </c>
      <c r="K25" s="33"/>
      <c r="L25" s="34"/>
    </row>
    <row r="26" spans="1:12" x14ac:dyDescent="0.25">
      <c r="A26" s="30" t="s">
        <v>144</v>
      </c>
      <c r="B26" s="31">
        <v>195.92170416666701</v>
      </c>
      <c r="C26" s="31">
        <v>195.92170416666701</v>
      </c>
      <c r="D26" s="31">
        <v>195.92170416666701</v>
      </c>
      <c r="E26" s="31">
        <v>195.92170416666701</v>
      </c>
      <c r="K26" s="33"/>
      <c r="L26" s="34"/>
    </row>
    <row r="27" spans="1:12" x14ac:dyDescent="0.25">
      <c r="A27" s="30" t="s">
        <v>145</v>
      </c>
      <c r="B27" s="31">
        <v>43.298999999999999</v>
      </c>
      <c r="C27" s="31">
        <v>43.298999999999999</v>
      </c>
      <c r="D27" s="31">
        <v>43.298999999999999</v>
      </c>
      <c r="E27" s="31">
        <v>43.298999999999999</v>
      </c>
      <c r="K27" s="33"/>
      <c r="L27" s="34"/>
    </row>
    <row r="28" spans="1:12" x14ac:dyDescent="0.25">
      <c r="A28" s="30" t="s">
        <v>146</v>
      </c>
      <c r="B28" s="31">
        <v>50.439895833333303</v>
      </c>
      <c r="C28" s="31">
        <v>50.439895833333303</v>
      </c>
      <c r="D28" s="31">
        <v>50.439895833333303</v>
      </c>
      <c r="E28" s="31">
        <v>50.439895833333303</v>
      </c>
      <c r="K28" s="33"/>
      <c r="L28" s="34"/>
    </row>
    <row r="29" spans="1:12" x14ac:dyDescent="0.25">
      <c r="A29" s="30" t="s">
        <v>147</v>
      </c>
      <c r="B29" s="31">
        <v>206.525258333333</v>
      </c>
      <c r="C29" s="31">
        <v>206.525258333333</v>
      </c>
      <c r="D29" s="31">
        <v>206.525258333333</v>
      </c>
      <c r="E29" s="31">
        <v>206.525258333333</v>
      </c>
      <c r="K29" s="33"/>
      <c r="L29" s="34"/>
    </row>
    <row r="30" spans="1:12" x14ac:dyDescent="0.25">
      <c r="A30" s="30" t="s">
        <v>148</v>
      </c>
      <c r="B30" s="31">
        <v>123.289908333333</v>
      </c>
      <c r="C30" s="31">
        <v>123.289908333333</v>
      </c>
      <c r="D30" s="31">
        <v>123.289908333333</v>
      </c>
      <c r="E30" s="31">
        <v>123.289908333333</v>
      </c>
    </row>
    <row r="31" spans="1:12" x14ac:dyDescent="0.25">
      <c r="A31" s="30" t="s">
        <v>149</v>
      </c>
      <c r="B31" s="31">
        <v>2.3013750000000002</v>
      </c>
      <c r="C31" s="31">
        <v>2.3013750000000002</v>
      </c>
      <c r="D31" s="31">
        <v>2.3013750000000002</v>
      </c>
      <c r="E31" s="31">
        <v>2.3013750000000002</v>
      </c>
    </row>
    <row r="32" spans="1:12" x14ac:dyDescent="0.25">
      <c r="A32" s="30" t="s">
        <v>150</v>
      </c>
      <c r="B32" s="31">
        <v>253.55691250000001</v>
      </c>
      <c r="C32" s="31">
        <v>253.55691250000001</v>
      </c>
      <c r="D32" s="31">
        <v>253.55691250000001</v>
      </c>
      <c r="E32" s="31">
        <v>253.55691250000001</v>
      </c>
    </row>
    <row r="33" spans="1:5" x14ac:dyDescent="0.25">
      <c r="A33" s="30" t="s">
        <v>151</v>
      </c>
      <c r="B33" s="31">
        <v>12.066025</v>
      </c>
      <c r="C33" s="31">
        <v>12.066025</v>
      </c>
      <c r="D33" s="31">
        <v>12.066025</v>
      </c>
      <c r="E33" s="31">
        <v>12.066025</v>
      </c>
    </row>
    <row r="34" spans="1:5" x14ac:dyDescent="0.25">
      <c r="A34" s="30" t="s">
        <v>152</v>
      </c>
      <c r="B34" s="31">
        <v>423.03820833333299</v>
      </c>
      <c r="C34" s="31">
        <v>423.03820833333299</v>
      </c>
      <c r="D34" s="31">
        <v>423.03820833333299</v>
      </c>
      <c r="E34" s="31">
        <v>423.03820833333299</v>
      </c>
    </row>
    <row r="35" spans="1:5" x14ac:dyDescent="0.25">
      <c r="A35" s="30" t="s">
        <v>153</v>
      </c>
      <c r="B35" s="31">
        <v>1169.6150250000001</v>
      </c>
      <c r="C35" s="31">
        <v>1169.6150250000001</v>
      </c>
      <c r="D35" s="31">
        <v>1169.6150250000001</v>
      </c>
      <c r="E35" s="31">
        <v>1169.6150250000001</v>
      </c>
    </row>
    <row r="36" spans="1:5" x14ac:dyDescent="0.25">
      <c r="A36" s="30" t="s">
        <v>154</v>
      </c>
      <c r="B36" s="31">
        <v>43.910291666666701</v>
      </c>
      <c r="C36" s="31">
        <v>43.910291666666701</v>
      </c>
      <c r="D36" s="31">
        <v>43.910291666666701</v>
      </c>
      <c r="E36" s="31">
        <v>43.910291666666701</v>
      </c>
    </row>
    <row r="37" spans="1:5" x14ac:dyDescent="0.25">
      <c r="A37" s="30" t="s">
        <v>155</v>
      </c>
      <c r="B37" s="31">
        <v>0.8</v>
      </c>
      <c r="C37" s="31">
        <v>0.8</v>
      </c>
      <c r="D37" s="31">
        <v>0.8</v>
      </c>
      <c r="E37" s="31">
        <v>0.8</v>
      </c>
    </row>
    <row r="38" spans="1:5" x14ac:dyDescent="0.25">
      <c r="A38" s="30" t="s">
        <v>156</v>
      </c>
      <c r="B38" s="31">
        <v>340.84977916666702</v>
      </c>
      <c r="C38" s="31">
        <v>340.84977916666702</v>
      </c>
      <c r="D38" s="31">
        <v>340.84977916666702</v>
      </c>
      <c r="E38" s="31">
        <v>340.84977916666702</v>
      </c>
    </row>
    <row r="39" spans="1:5" x14ac:dyDescent="0.25">
      <c r="A39" s="30" t="s">
        <v>157</v>
      </c>
      <c r="B39" s="31">
        <v>0.27500000000000002</v>
      </c>
      <c r="C39" s="31">
        <v>0.27500000000000002</v>
      </c>
      <c r="D39" s="31">
        <v>0.27500000000000002</v>
      </c>
      <c r="E39" s="31">
        <v>0.27500000000000002</v>
      </c>
    </row>
    <row r="40" spans="1:5" x14ac:dyDescent="0.25">
      <c r="A40" s="30" t="s">
        <v>158</v>
      </c>
      <c r="B40" s="31">
        <v>800.64010416666702</v>
      </c>
      <c r="C40" s="31">
        <v>800.64010416666702</v>
      </c>
      <c r="D40" s="31">
        <v>800.64010416666702</v>
      </c>
      <c r="E40" s="31">
        <v>800.64010416666702</v>
      </c>
    </row>
    <row r="41" spans="1:5" x14ac:dyDescent="0.25">
      <c r="A41" s="30" t="s">
        <v>159</v>
      </c>
      <c r="B41" s="31">
        <v>88.1458333333333</v>
      </c>
      <c r="C41" s="31">
        <v>88.1458333333333</v>
      </c>
      <c r="D41" s="31">
        <v>88.1458333333333</v>
      </c>
      <c r="E41" s="31">
        <v>88.1458333333333</v>
      </c>
    </row>
    <row r="42" spans="1:5" x14ac:dyDescent="0.25">
      <c r="A42" s="30" t="s">
        <v>160</v>
      </c>
      <c r="B42" s="31">
        <v>128.342720833333</v>
      </c>
      <c r="C42" s="31">
        <v>128.342720833333</v>
      </c>
      <c r="D42" s="31">
        <v>128.342720833333</v>
      </c>
      <c r="E42" s="31">
        <v>128.342720833333</v>
      </c>
    </row>
    <row r="43" spans="1:5" x14ac:dyDescent="0.25">
      <c r="A43" s="30" t="s">
        <v>161</v>
      </c>
      <c r="B43" s="31">
        <v>826.36987083333304</v>
      </c>
      <c r="C43" s="31">
        <v>826.36987083333304</v>
      </c>
      <c r="D43" s="31">
        <v>826.36987083333304</v>
      </c>
      <c r="E43" s="31">
        <v>826.36987083333304</v>
      </c>
    </row>
    <row r="44" spans="1:5" x14ac:dyDescent="0.25">
      <c r="A44" s="30" t="s">
        <v>162</v>
      </c>
      <c r="B44" s="31">
        <v>21.35</v>
      </c>
      <c r="C44" s="31">
        <v>21.35</v>
      </c>
      <c r="D44" s="31">
        <v>21.35</v>
      </c>
      <c r="E44" s="31">
        <v>21.35</v>
      </c>
    </row>
    <row r="45" spans="1:5" x14ac:dyDescent="0.25">
      <c r="A45" s="30" t="s">
        <v>163</v>
      </c>
      <c r="B45" s="31">
        <v>9.8349499999999992</v>
      </c>
      <c r="C45" s="31">
        <v>9.8349499999999992</v>
      </c>
      <c r="D45" s="31">
        <v>9.8349499999999992</v>
      </c>
      <c r="E45" s="31">
        <v>9.8349499999999992</v>
      </c>
    </row>
    <row r="46" spans="1:5" x14ac:dyDescent="0.25">
      <c r="A46" s="30" t="s">
        <v>164</v>
      </c>
      <c r="B46" s="31">
        <v>8.0287666666666695</v>
      </c>
      <c r="C46" s="31">
        <v>8.0287666666666695</v>
      </c>
      <c r="D46" s="31">
        <v>8.0287666666666695</v>
      </c>
      <c r="E46" s="31">
        <v>8.0287666666666695</v>
      </c>
    </row>
    <row r="47" spans="1:5" x14ac:dyDescent="0.25">
      <c r="A47" s="30" t="s">
        <v>165</v>
      </c>
      <c r="B47" s="31">
        <v>1400</v>
      </c>
      <c r="C47" s="31">
        <v>1400</v>
      </c>
      <c r="D47" s="31">
        <v>1400</v>
      </c>
      <c r="E47" s="31">
        <v>1400</v>
      </c>
    </row>
    <row r="48" spans="1:5" x14ac:dyDescent="0.25">
      <c r="A48" s="30" t="s">
        <v>166</v>
      </c>
      <c r="B48" s="31">
        <v>265.05003333333298</v>
      </c>
      <c r="C48" s="31">
        <v>265.05003333333298</v>
      </c>
      <c r="D48" s="31">
        <v>265.05003333333298</v>
      </c>
      <c r="E48" s="31">
        <v>265.05003333333298</v>
      </c>
    </row>
    <row r="49" spans="1:5" x14ac:dyDescent="0.25">
      <c r="A49" s="30" t="s">
        <v>167</v>
      </c>
      <c r="B49" s="31">
        <v>39.678645833333299</v>
      </c>
      <c r="C49" s="31">
        <v>39.678645833333299</v>
      </c>
      <c r="D49" s="31">
        <v>39.678645833333299</v>
      </c>
      <c r="E49" s="31">
        <v>39.678645833333299</v>
      </c>
    </row>
    <row r="50" spans="1:5" x14ac:dyDescent="0.25">
      <c r="A50" s="30" t="s">
        <v>168</v>
      </c>
      <c r="B50" s="31">
        <v>158.900575</v>
      </c>
      <c r="C50" s="31">
        <v>158.900575</v>
      </c>
      <c r="D50" s="31">
        <v>158.900575</v>
      </c>
      <c r="E50" s="31">
        <v>158.900575</v>
      </c>
    </row>
    <row r="51" spans="1:5" x14ac:dyDescent="0.25">
      <c r="A51" s="30" t="s">
        <v>169</v>
      </c>
      <c r="B51" s="31">
        <v>66.139416666666705</v>
      </c>
      <c r="C51" s="31">
        <v>66.139416666666705</v>
      </c>
      <c r="D51" s="31">
        <v>66.139416666666705</v>
      </c>
      <c r="E51" s="31">
        <v>66.139416666666705</v>
      </c>
    </row>
    <row r="52" spans="1:5" x14ac:dyDescent="0.25">
      <c r="A52" s="30" t="s">
        <v>170</v>
      </c>
      <c r="B52" s="31">
        <v>71.273750000000007</v>
      </c>
      <c r="C52" s="31">
        <v>71.273750000000007</v>
      </c>
      <c r="D52" s="31">
        <v>71.273750000000007</v>
      </c>
      <c r="E52" s="31">
        <v>71.273750000000007</v>
      </c>
    </row>
    <row r="53" spans="1:5" x14ac:dyDescent="0.25">
      <c r="A53" s="30" t="s">
        <v>171</v>
      </c>
      <c r="B53" s="31">
        <v>3282.4262791666702</v>
      </c>
      <c r="C53" s="31">
        <v>3282.4262791666702</v>
      </c>
      <c r="D53" s="31">
        <v>3282.4262791666702</v>
      </c>
      <c r="E53" s="31">
        <v>3282.4262791666702</v>
      </c>
    </row>
    <row r="54" spans="1:5" x14ac:dyDescent="0.25">
      <c r="A54" s="30" t="s">
        <v>172</v>
      </c>
      <c r="B54" s="31">
        <v>3417.8713958333301</v>
      </c>
      <c r="C54" s="31">
        <v>3417.8713958333301</v>
      </c>
      <c r="D54" s="31">
        <v>3417.8713958333301</v>
      </c>
      <c r="E54" s="31">
        <v>3417.8713958333301</v>
      </c>
    </row>
    <row r="55" spans="1:5" x14ac:dyDescent="0.25">
      <c r="A55" s="30" t="s">
        <v>173</v>
      </c>
      <c r="B55" s="31">
        <v>14744.049537499999</v>
      </c>
      <c r="C55" s="31">
        <v>14744.049537499999</v>
      </c>
      <c r="D55" s="31">
        <v>14744.049537499999</v>
      </c>
      <c r="E55" s="31">
        <v>14744.049537499999</v>
      </c>
    </row>
    <row r="56" spans="1:5" x14ac:dyDescent="0.25">
      <c r="A56" s="30" t="s">
        <v>174</v>
      </c>
      <c r="B56" s="31">
        <v>282.166791666667</v>
      </c>
      <c r="C56" s="31">
        <v>282.166791666667</v>
      </c>
      <c r="D56" s="31">
        <v>282.166791666667</v>
      </c>
      <c r="E56" s="31">
        <v>282.166791666667</v>
      </c>
    </row>
    <row r="57" spans="1:5" x14ac:dyDescent="0.25">
      <c r="A57" s="30" t="s">
        <v>175</v>
      </c>
      <c r="B57" s="31">
        <v>131.86783333333301</v>
      </c>
      <c r="C57" s="31">
        <v>131.86783333333301</v>
      </c>
      <c r="D57" s="31">
        <v>131.86783333333301</v>
      </c>
      <c r="E57" s="31">
        <v>131.86783333333301</v>
      </c>
    </row>
    <row r="58" spans="1:5" x14ac:dyDescent="0.25">
      <c r="A58" s="30" t="s">
        <v>176</v>
      </c>
      <c r="B58" s="31">
        <v>10.7336666666667</v>
      </c>
      <c r="C58" s="31">
        <v>10.7336666666667</v>
      </c>
      <c r="D58" s="31">
        <v>10.7336666666667</v>
      </c>
      <c r="E58" s="31">
        <v>10.7336666666667</v>
      </c>
    </row>
    <row r="59" spans="1:5" x14ac:dyDescent="0.25">
      <c r="A59" s="30" t="s">
        <v>177</v>
      </c>
      <c r="B59" s="31">
        <v>74.023354166666707</v>
      </c>
      <c r="C59" s="31">
        <v>74.023354166666707</v>
      </c>
      <c r="D59" s="31">
        <v>74.023354166666707</v>
      </c>
      <c r="E59" s="31">
        <v>74.023354166666707</v>
      </c>
    </row>
    <row r="60" spans="1:5" x14ac:dyDescent="0.25">
      <c r="A60" s="30" t="s">
        <v>178</v>
      </c>
      <c r="B60" s="31">
        <v>8.1250416666666698</v>
      </c>
      <c r="C60" s="31">
        <v>8.1250416666666698</v>
      </c>
      <c r="D60" s="31">
        <v>8.1250416666666698</v>
      </c>
      <c r="E60" s="31">
        <v>8.1250416666666698</v>
      </c>
    </row>
    <row r="61" spans="1:5" x14ac:dyDescent="0.25">
      <c r="A61" s="30" t="s">
        <v>179</v>
      </c>
      <c r="B61" s="31">
        <v>41.055416666666702</v>
      </c>
      <c r="C61" s="31">
        <v>41.055416666666702</v>
      </c>
      <c r="D61" s="31">
        <v>41.055416666666702</v>
      </c>
      <c r="E61" s="31">
        <v>41.055416666666702</v>
      </c>
    </row>
    <row r="62" spans="1:5" x14ac:dyDescent="0.25">
      <c r="A62" s="30" t="s">
        <v>180</v>
      </c>
      <c r="B62" s="31">
        <v>30.032666666666699</v>
      </c>
      <c r="C62" s="31">
        <v>30.032666666666699</v>
      </c>
      <c r="D62" s="31">
        <v>30.032666666666699</v>
      </c>
      <c r="E62" s="31">
        <v>30.032666666666699</v>
      </c>
    </row>
    <row r="63" spans="1:5" x14ac:dyDescent="0.25">
      <c r="A63" s="30" t="s">
        <v>181</v>
      </c>
      <c r="B63" s="31">
        <v>11.6596666666667</v>
      </c>
      <c r="C63" s="31">
        <v>11.6596666666667</v>
      </c>
      <c r="D63" s="31">
        <v>11.6596666666667</v>
      </c>
      <c r="E63" s="31">
        <v>11.6596666666667</v>
      </c>
    </row>
    <row r="64" spans="1:5" x14ac:dyDescent="0.25">
      <c r="A64" s="30" t="s">
        <v>182</v>
      </c>
      <c r="B64" s="31">
        <v>81.710250000000002</v>
      </c>
      <c r="C64" s="31">
        <v>81.710250000000002</v>
      </c>
      <c r="D64" s="31">
        <v>81.710250000000002</v>
      </c>
      <c r="E64" s="31">
        <v>81.710250000000002</v>
      </c>
    </row>
    <row r="65" spans="1:5" x14ac:dyDescent="0.25">
      <c r="A65" s="30" t="s">
        <v>183</v>
      </c>
      <c r="B65" s="31">
        <v>297.69712500000003</v>
      </c>
      <c r="C65" s="31">
        <v>297.69712500000003</v>
      </c>
      <c r="D65" s="31">
        <v>297.69712500000003</v>
      </c>
      <c r="E65" s="31">
        <v>297.69712500000003</v>
      </c>
    </row>
    <row r="66" spans="1:5" x14ac:dyDescent="0.25">
      <c r="A66" s="30" t="s">
        <v>184</v>
      </c>
      <c r="B66" s="31">
        <v>125.59966666666701</v>
      </c>
      <c r="C66" s="31">
        <v>125.59966666666701</v>
      </c>
      <c r="D66" s="31">
        <v>125.59966666666701</v>
      </c>
      <c r="E66" s="31">
        <v>125.59966666666701</v>
      </c>
    </row>
    <row r="67" spans="1:5" x14ac:dyDescent="0.25">
      <c r="A67" s="30" t="s">
        <v>185</v>
      </c>
      <c r="B67" s="31">
        <v>2285.924325</v>
      </c>
      <c r="C67" s="31">
        <v>2285.924325</v>
      </c>
      <c r="D67" s="31">
        <v>2285.924325</v>
      </c>
      <c r="E67" s="31">
        <v>2285.924325</v>
      </c>
    </row>
    <row r="68" spans="1:5" x14ac:dyDescent="0.25">
      <c r="A68" s="30" t="s">
        <v>186</v>
      </c>
      <c r="B68" s="31">
        <v>2026.9779125</v>
      </c>
      <c r="C68" s="31">
        <v>2026.9779125</v>
      </c>
      <c r="D68" s="31">
        <v>2026.9779125</v>
      </c>
      <c r="E68" s="31">
        <v>2026.9779125</v>
      </c>
    </row>
    <row r="69" spans="1:5" x14ac:dyDescent="0.25">
      <c r="A69" s="30" t="s">
        <v>187</v>
      </c>
      <c r="B69" s="31">
        <v>79.28425</v>
      </c>
      <c r="C69" s="31">
        <v>79.28425</v>
      </c>
      <c r="D69" s="31">
        <v>79.28425</v>
      </c>
      <c r="E69" s="31">
        <v>79.28425</v>
      </c>
    </row>
    <row r="70" spans="1:5" x14ac:dyDescent="0.25">
      <c r="A70" s="30" t="s">
        <v>188</v>
      </c>
      <c r="B70" s="31">
        <v>51.650024999999999</v>
      </c>
      <c r="C70" s="31">
        <v>51.650024999999999</v>
      </c>
      <c r="D70" s="31">
        <v>51.650024999999999</v>
      </c>
      <c r="E70" s="31">
        <v>51.650024999999999</v>
      </c>
    </row>
    <row r="71" spans="1:5" x14ac:dyDescent="0.25">
      <c r="A71" s="30" t="s">
        <v>189</v>
      </c>
      <c r="B71" s="31">
        <v>246.75732916666701</v>
      </c>
      <c r="C71" s="31">
        <v>246.75732916666701</v>
      </c>
      <c r="D71" s="31">
        <v>246.75732916666701</v>
      </c>
      <c r="E71" s="31">
        <v>246.75732916666701</v>
      </c>
    </row>
    <row r="72" spans="1:5" x14ac:dyDescent="0.25">
      <c r="A72" s="30" t="s">
        <v>190</v>
      </c>
      <c r="B72" s="31">
        <v>8.8458333333333297</v>
      </c>
      <c r="C72" s="31">
        <v>8.8458333333333297</v>
      </c>
      <c r="D72" s="31">
        <v>8.8458333333333297</v>
      </c>
      <c r="E72" s="31">
        <v>8.8458333333333297</v>
      </c>
    </row>
    <row r="73" spans="1:5" x14ac:dyDescent="0.25">
      <c r="A73" s="30" t="s">
        <v>191</v>
      </c>
      <c r="B73" s="31">
        <v>68.693191666666706</v>
      </c>
      <c r="C73" s="31">
        <v>68.693191666666706</v>
      </c>
      <c r="D73" s="31">
        <v>68.693191666666706</v>
      </c>
      <c r="E73" s="31">
        <v>68.693191666666706</v>
      </c>
    </row>
    <row r="74" spans="1:5" x14ac:dyDescent="0.25">
      <c r="A74" s="30" t="s">
        <v>192</v>
      </c>
      <c r="B74" s="31">
        <v>0.13750000000000001</v>
      </c>
      <c r="C74" s="31">
        <v>0.13750000000000001</v>
      </c>
      <c r="D74" s="31">
        <v>0.13750000000000001</v>
      </c>
      <c r="E74" s="31">
        <v>0.13750000000000001</v>
      </c>
    </row>
    <row r="75" spans="1:5" x14ac:dyDescent="0.25">
      <c r="A75" s="30" t="s">
        <v>193</v>
      </c>
      <c r="B75" s="31">
        <v>137.89947916666699</v>
      </c>
      <c r="C75" s="31">
        <v>137.89947916666699</v>
      </c>
      <c r="D75" s="31">
        <v>137.89947916666699</v>
      </c>
      <c r="E75" s="31">
        <v>137.89947916666699</v>
      </c>
    </row>
    <row r="76" spans="1:5" x14ac:dyDescent="0.25">
      <c r="A76" s="30" t="s">
        <v>194</v>
      </c>
      <c r="B76" s="31">
        <v>7.4708333333333297</v>
      </c>
      <c r="C76" s="31">
        <v>7.4708333333333297</v>
      </c>
      <c r="D76" s="31">
        <v>7.4708333333333297</v>
      </c>
      <c r="E76" s="31">
        <v>7.4708333333333297</v>
      </c>
    </row>
    <row r="77" spans="1:5" x14ac:dyDescent="0.25">
      <c r="A77" s="30" t="s">
        <v>195</v>
      </c>
      <c r="B77" s="31">
        <v>11.494999999999999</v>
      </c>
      <c r="C77" s="31">
        <v>11.494999999999999</v>
      </c>
      <c r="D77" s="31">
        <v>11.494999999999999</v>
      </c>
      <c r="E77" s="31">
        <v>11.494999999999999</v>
      </c>
    </row>
    <row r="78" spans="1:5" x14ac:dyDescent="0.25">
      <c r="A78" s="30" t="s">
        <v>196</v>
      </c>
      <c r="B78" s="31">
        <v>188.203245833333</v>
      </c>
      <c r="C78" s="31">
        <v>188.203245833333</v>
      </c>
      <c r="D78" s="31">
        <v>188.203245833333</v>
      </c>
      <c r="E78" s="31">
        <v>188.203245833333</v>
      </c>
    </row>
    <row r="79" spans="1:5" x14ac:dyDescent="0.25">
      <c r="A79" s="30" t="s">
        <v>197</v>
      </c>
      <c r="B79" s="31">
        <v>348.55458333333303</v>
      </c>
      <c r="C79" s="31">
        <v>348.55458333333303</v>
      </c>
      <c r="D79" s="31">
        <v>348.55458333333303</v>
      </c>
      <c r="E79" s="31">
        <v>348.55458333333303</v>
      </c>
    </row>
    <row r="80" spans="1:5" x14ac:dyDescent="0.25">
      <c r="A80" s="30" t="s">
        <v>198</v>
      </c>
      <c r="B80" s="31">
        <v>2990.53920833333</v>
      </c>
      <c r="C80" s="31">
        <v>2990.53920833333</v>
      </c>
      <c r="D80" s="31">
        <v>2990.53920833333</v>
      </c>
      <c r="E80" s="31">
        <v>2990.53920833333</v>
      </c>
    </row>
    <row r="81" spans="1:11" x14ac:dyDescent="0.25">
      <c r="A81" s="30" t="s">
        <v>199</v>
      </c>
      <c r="B81" s="31">
        <v>47.7504833333333</v>
      </c>
      <c r="C81" s="31">
        <v>47.7504833333333</v>
      </c>
      <c r="D81" s="31">
        <v>47.7504833333333</v>
      </c>
      <c r="E81" s="31">
        <v>47.7504833333333</v>
      </c>
    </row>
    <row r="82" spans="1:11" x14ac:dyDescent="0.25">
      <c r="A82" s="30" t="s">
        <v>200</v>
      </c>
      <c r="B82" s="31">
        <v>97.472795833333294</v>
      </c>
      <c r="C82" s="31">
        <v>97.472795833333294</v>
      </c>
      <c r="D82" s="31">
        <v>97.472795833333294</v>
      </c>
      <c r="E82" s="31">
        <v>97.472795833333294</v>
      </c>
    </row>
    <row r="83" spans="1:11" x14ac:dyDescent="0.25">
      <c r="A83" s="30" t="s">
        <v>201</v>
      </c>
      <c r="B83" s="31">
        <v>201.440445833333</v>
      </c>
      <c r="C83" s="31">
        <v>201.440445833333</v>
      </c>
      <c r="D83" s="31">
        <v>201.440445833333</v>
      </c>
      <c r="E83" s="31">
        <v>201.440445833333</v>
      </c>
    </row>
    <row r="84" spans="1:11" x14ac:dyDescent="0.25">
      <c r="A84" s="30" t="s">
        <v>202</v>
      </c>
      <c r="B84" s="31">
        <v>300</v>
      </c>
      <c r="C84" s="31">
        <v>300</v>
      </c>
      <c r="D84" s="31"/>
      <c r="E84" s="31"/>
    </row>
    <row r="85" spans="1:11" x14ac:dyDescent="0.25">
      <c r="A85" s="30" t="s">
        <v>203</v>
      </c>
      <c r="B85" s="31">
        <v>3.9528166666666702</v>
      </c>
      <c r="C85" s="31">
        <v>3.9528166666666702</v>
      </c>
      <c r="D85" s="31">
        <v>3.9528166666666702</v>
      </c>
      <c r="E85" s="31">
        <v>3.9528166666666702</v>
      </c>
    </row>
    <row r="86" spans="1:11" x14ac:dyDescent="0.25">
      <c r="A86" s="30" t="s">
        <v>204</v>
      </c>
      <c r="B86" s="31">
        <v>200</v>
      </c>
      <c r="C86" s="31">
        <v>200</v>
      </c>
      <c r="D86" s="31"/>
      <c r="E86" s="31"/>
    </row>
    <row r="87" spans="1:11" x14ac:dyDescent="0.25">
      <c r="A87" s="30" t="s">
        <v>205</v>
      </c>
      <c r="B87" s="31">
        <v>2586.72571666667</v>
      </c>
      <c r="C87" s="31">
        <v>2586.72571666667</v>
      </c>
      <c r="D87" s="31">
        <v>2586.72571666667</v>
      </c>
      <c r="E87" s="31">
        <v>2586.72571666667</v>
      </c>
    </row>
    <row r="88" spans="1:11" x14ac:dyDescent="0.25">
      <c r="A88" s="30" t="s">
        <v>206</v>
      </c>
      <c r="B88" s="31">
        <v>851.81825000000003</v>
      </c>
      <c r="C88" s="31">
        <v>851.81825000000003</v>
      </c>
      <c r="D88" s="31">
        <v>851.81825000000003</v>
      </c>
      <c r="E88" s="31">
        <v>851.81825000000003</v>
      </c>
    </row>
    <row r="89" spans="1:11" x14ac:dyDescent="0.25">
      <c r="A89" s="30" t="s">
        <v>207</v>
      </c>
      <c r="B89" s="31">
        <v>1147.12580833333</v>
      </c>
      <c r="C89" s="31">
        <v>1147.12580833333</v>
      </c>
      <c r="D89" s="31">
        <v>1147.12580833333</v>
      </c>
      <c r="E89" s="31">
        <v>1147.12580833333</v>
      </c>
      <c r="J89" t="s">
        <v>1503</v>
      </c>
    </row>
    <row r="90" spans="1:11" x14ac:dyDescent="0.25">
      <c r="A90" s="30" t="s">
        <v>208</v>
      </c>
      <c r="B90" s="31">
        <v>6.0856666666666701</v>
      </c>
      <c r="C90" s="31">
        <v>6.0856666666666701</v>
      </c>
      <c r="D90" s="31">
        <v>6.0856666666666701</v>
      </c>
      <c r="E90" s="31">
        <v>6.0856666666666701</v>
      </c>
      <c r="H90" t="s">
        <v>1500</v>
      </c>
      <c r="I90">
        <v>4</v>
      </c>
      <c r="J90" t="s">
        <v>1376</v>
      </c>
      <c r="K90" t="s">
        <v>1504</v>
      </c>
    </row>
    <row r="91" spans="1:11" x14ac:dyDescent="0.25">
      <c r="A91" s="30" t="s">
        <v>209</v>
      </c>
      <c r="B91" s="31">
        <v>2015.09952916667</v>
      </c>
      <c r="C91" s="31">
        <v>2015.09952916667</v>
      </c>
      <c r="D91" s="31">
        <v>2015.09952916667</v>
      </c>
      <c r="E91" s="31">
        <v>2015.09952916667</v>
      </c>
      <c r="H91" t="s">
        <v>1501</v>
      </c>
      <c r="I91">
        <v>5</v>
      </c>
      <c r="J91" t="s">
        <v>1377</v>
      </c>
      <c r="K91" t="s">
        <v>1505</v>
      </c>
    </row>
    <row r="92" spans="1:11" x14ac:dyDescent="0.25">
      <c r="A92" s="30" t="s">
        <v>210</v>
      </c>
      <c r="B92" s="31">
        <v>6080.7344541666698</v>
      </c>
      <c r="C92" s="31">
        <v>6080.7344541666698</v>
      </c>
      <c r="D92" s="31">
        <v>6080.7344541666698</v>
      </c>
      <c r="E92" s="31">
        <v>6080.7344541666698</v>
      </c>
      <c r="H92" t="s">
        <v>1502</v>
      </c>
      <c r="I92">
        <v>1</v>
      </c>
      <c r="J92" t="s">
        <v>1506</v>
      </c>
    </row>
    <row r="93" spans="1:11" x14ac:dyDescent="0.25">
      <c r="A93" s="30" t="s">
        <v>211</v>
      </c>
      <c r="B93" s="31">
        <v>4171.9620458333302</v>
      </c>
      <c r="C93" s="31">
        <v>4171.9620458333302</v>
      </c>
      <c r="D93" s="31">
        <v>4171.9620458333302</v>
      </c>
      <c r="E93" s="31">
        <v>4171.9620458333302</v>
      </c>
      <c r="I93">
        <v>2</v>
      </c>
      <c r="J93" t="s">
        <v>1507</v>
      </c>
    </row>
    <row r="94" spans="1:11" x14ac:dyDescent="0.25">
      <c r="A94" s="30" t="s">
        <v>212</v>
      </c>
      <c r="B94" s="31">
        <v>610.04437499999995</v>
      </c>
      <c r="C94" s="31">
        <v>610.04437499999995</v>
      </c>
      <c r="D94" s="31">
        <v>610.04437499999995</v>
      </c>
      <c r="E94" s="31">
        <v>610.04437499999995</v>
      </c>
      <c r="I94">
        <v>3</v>
      </c>
      <c r="J94" t="s">
        <v>1508</v>
      </c>
    </row>
    <row r="95" spans="1:11" x14ac:dyDescent="0.25">
      <c r="A95" s="30" t="s">
        <v>213</v>
      </c>
      <c r="B95" s="31">
        <v>427.119104166667</v>
      </c>
      <c r="C95" s="31">
        <v>427.119104166667</v>
      </c>
      <c r="D95" s="31">
        <v>427.119104166667</v>
      </c>
      <c r="E95" s="31">
        <v>427.119104166667</v>
      </c>
      <c r="J95" t="s">
        <v>1509</v>
      </c>
    </row>
    <row r="96" spans="1:11" x14ac:dyDescent="0.25">
      <c r="A96" s="30" t="s">
        <v>214</v>
      </c>
      <c r="B96" s="31">
        <v>525.58270833333302</v>
      </c>
      <c r="C96" s="31">
        <v>525.58270833333302</v>
      </c>
      <c r="D96" s="31">
        <v>525.58270833333302</v>
      </c>
      <c r="E96" s="31">
        <v>525.58270833333302</v>
      </c>
    </row>
    <row r="97" spans="1:5" x14ac:dyDescent="0.25">
      <c r="A97" s="30" t="s">
        <v>215</v>
      </c>
      <c r="B97" s="31">
        <v>729.48633333333305</v>
      </c>
      <c r="C97" s="31">
        <v>729.48633333333305</v>
      </c>
      <c r="D97" s="31">
        <v>729.48633333333305</v>
      </c>
      <c r="E97" s="31">
        <v>729.48633333333305</v>
      </c>
    </row>
    <row r="98" spans="1:5" x14ac:dyDescent="0.25">
      <c r="A98" s="36"/>
      <c r="C98" s="31"/>
      <c r="D98" s="31"/>
      <c r="E98" s="31"/>
    </row>
    <row r="99" spans="1:5" x14ac:dyDescent="0.25">
      <c r="A99" s="36"/>
      <c r="C99" s="31"/>
      <c r="D99" s="31"/>
      <c r="E99" s="31"/>
    </row>
    <row r="100" spans="1:5" x14ac:dyDescent="0.25">
      <c r="A100" s="36"/>
      <c r="C100" s="31"/>
      <c r="D100" s="31"/>
      <c r="E100" s="31"/>
    </row>
    <row r="101" spans="1:5" x14ac:dyDescent="0.25">
      <c r="A101" s="36"/>
      <c r="C101" s="31"/>
      <c r="D101" s="31"/>
      <c r="E101" s="31"/>
    </row>
    <row r="102" spans="1:5" x14ac:dyDescent="0.25">
      <c r="A102" s="36"/>
      <c r="C102" s="31"/>
      <c r="D102" s="31"/>
      <c r="E102" s="31"/>
    </row>
    <row r="103" spans="1:5" x14ac:dyDescent="0.25">
      <c r="A103" s="36"/>
      <c r="C103" s="31"/>
      <c r="D103" s="31"/>
      <c r="E103" s="31"/>
    </row>
    <row r="104" spans="1:5" x14ac:dyDescent="0.25">
      <c r="A104" s="36"/>
      <c r="C104" s="31"/>
      <c r="D104" s="31"/>
      <c r="E104" s="31"/>
    </row>
    <row r="105" spans="1:5" x14ac:dyDescent="0.25">
      <c r="A105" s="36"/>
      <c r="C105" s="31"/>
      <c r="D105" s="31"/>
      <c r="E105" s="31"/>
    </row>
    <row r="106" spans="1:5" x14ac:dyDescent="0.25">
      <c r="A106" s="30"/>
      <c r="B106" s="31"/>
      <c r="C106" s="31"/>
      <c r="D106" s="31"/>
      <c r="E106" s="31"/>
    </row>
    <row r="107" spans="1:5" x14ac:dyDescent="0.25">
      <c r="A107" s="30"/>
      <c r="B107" s="31"/>
      <c r="C107" s="31"/>
      <c r="D107" s="31"/>
      <c r="E107" s="31"/>
    </row>
    <row r="108" spans="1:5" x14ac:dyDescent="0.25">
      <c r="A108" s="30"/>
      <c r="B108" s="31"/>
      <c r="C108" s="31"/>
      <c r="D108" s="31"/>
      <c r="E108" s="31"/>
    </row>
    <row r="109" spans="1:5" x14ac:dyDescent="0.25">
      <c r="A109" s="30"/>
      <c r="B109" s="31"/>
      <c r="C109" s="31"/>
      <c r="D109" s="31"/>
      <c r="E109" s="31"/>
    </row>
    <row r="110" spans="1:5" x14ac:dyDescent="0.25">
      <c r="A110" s="30"/>
      <c r="B110" s="31"/>
      <c r="C110" s="31"/>
      <c r="D110" s="31"/>
      <c r="E110" s="31"/>
    </row>
    <row r="111" spans="1:5" x14ac:dyDescent="0.25">
      <c r="A111" s="30"/>
      <c r="B111" s="31"/>
      <c r="C111" s="31"/>
      <c r="D111" s="31"/>
      <c r="E111" s="31"/>
    </row>
    <row r="112" spans="1:5" x14ac:dyDescent="0.25">
      <c r="A112" s="30"/>
      <c r="B112" s="31"/>
      <c r="C112" s="31"/>
      <c r="D112" s="31"/>
      <c r="E112" s="31"/>
    </row>
    <row r="113" spans="1:5" x14ac:dyDescent="0.25">
      <c r="A113" s="30"/>
      <c r="B113" s="31"/>
      <c r="C113" s="31"/>
      <c r="D113" s="31"/>
      <c r="E113" s="31"/>
    </row>
    <row r="114" spans="1:5" x14ac:dyDescent="0.25">
      <c r="A114" s="30"/>
      <c r="B114" s="31"/>
      <c r="C114" s="31"/>
      <c r="D114" s="31"/>
      <c r="E114" s="31"/>
    </row>
    <row r="115" spans="1:5" x14ac:dyDescent="0.25">
      <c r="A115" s="30"/>
      <c r="B115" s="31"/>
      <c r="C115" s="31"/>
      <c r="D115" s="31"/>
      <c r="E115" s="31"/>
    </row>
    <row r="116" spans="1:5" x14ac:dyDescent="0.25">
      <c r="A116" s="30"/>
      <c r="B116" s="31"/>
      <c r="C116" s="31"/>
      <c r="D116" s="31"/>
      <c r="E116" s="31"/>
    </row>
    <row r="117" spans="1:5" x14ac:dyDescent="0.25">
      <c r="A117" s="30"/>
      <c r="B117" s="31"/>
      <c r="C117" s="31"/>
      <c r="D117" s="31"/>
      <c r="E117" s="31"/>
    </row>
    <row r="118" spans="1:5" x14ac:dyDescent="0.25">
      <c r="A118" s="30"/>
      <c r="B118" s="31"/>
      <c r="C118" s="31"/>
      <c r="D118" s="31"/>
      <c r="E118" s="31"/>
    </row>
    <row r="119" spans="1:5" x14ac:dyDescent="0.25">
      <c r="A119" s="30"/>
      <c r="B119" s="31"/>
      <c r="C119" s="31"/>
      <c r="D119" s="31"/>
      <c r="E119" s="31"/>
    </row>
    <row r="120" spans="1:5" x14ac:dyDescent="0.25">
      <c r="A120" s="30"/>
      <c r="B120" s="31"/>
      <c r="C120" s="31"/>
      <c r="D120" s="31"/>
      <c r="E120" s="31"/>
    </row>
    <row r="121" spans="1:5" x14ac:dyDescent="0.25">
      <c r="A121" s="30"/>
      <c r="B121" s="31"/>
      <c r="C121" s="31"/>
      <c r="D121" s="31"/>
      <c r="E121" s="31"/>
    </row>
    <row r="122" spans="1:5" x14ac:dyDescent="0.25">
      <c r="A122" s="30"/>
      <c r="B122" s="31"/>
      <c r="C122" s="31"/>
      <c r="D122" s="31"/>
      <c r="E122" s="31"/>
    </row>
    <row r="123" spans="1:5" x14ac:dyDescent="0.25">
      <c r="A123" s="30"/>
      <c r="B123" s="31"/>
      <c r="C123" s="31"/>
      <c r="D123" s="31"/>
      <c r="E123" s="31"/>
    </row>
    <row r="124" spans="1:5" x14ac:dyDescent="0.25">
      <c r="A124" s="30"/>
      <c r="B124" s="31"/>
      <c r="C124" s="31"/>
      <c r="D124" s="31"/>
      <c r="E124" s="31"/>
    </row>
    <row r="125" spans="1:5" x14ac:dyDescent="0.25">
      <c r="A125" s="30"/>
      <c r="B125" s="31"/>
      <c r="C125" s="31"/>
      <c r="D125" s="31"/>
      <c r="E125" s="31"/>
    </row>
    <row r="126" spans="1:5" x14ac:dyDescent="0.25">
      <c r="A126" s="30"/>
      <c r="B126" s="31"/>
      <c r="C126" s="31"/>
      <c r="D126" s="31"/>
      <c r="E126" s="31"/>
    </row>
    <row r="127" spans="1:5" x14ac:dyDescent="0.25">
      <c r="A127" s="30"/>
      <c r="B127" s="31"/>
      <c r="C127" s="31"/>
      <c r="D127" s="31"/>
      <c r="E127" s="31"/>
    </row>
    <row r="128" spans="1:5" x14ac:dyDescent="0.25">
      <c r="A128" s="30"/>
      <c r="B128" s="31"/>
      <c r="C128" s="31"/>
      <c r="D128" s="31"/>
      <c r="E128" s="31"/>
    </row>
    <row r="129" spans="1:5" x14ac:dyDescent="0.25">
      <c r="A129" s="30"/>
      <c r="B129" s="31"/>
      <c r="C129" s="31"/>
      <c r="D129" s="31"/>
      <c r="E129" s="31"/>
    </row>
    <row r="130" spans="1:5" x14ac:dyDescent="0.25">
      <c r="A130" s="30"/>
      <c r="B130" s="31"/>
      <c r="C130" s="31"/>
      <c r="D130" s="31"/>
      <c r="E130" s="31"/>
    </row>
    <row r="131" spans="1:5" x14ac:dyDescent="0.25">
      <c r="A131" s="30"/>
      <c r="B131" s="31"/>
      <c r="C131" s="31"/>
      <c r="D131" s="31"/>
      <c r="E131" s="31"/>
    </row>
    <row r="132" spans="1:5" x14ac:dyDescent="0.25">
      <c r="A132" s="30"/>
      <c r="B132" s="31"/>
      <c r="C132" s="31"/>
      <c r="D132" s="31"/>
      <c r="E132" s="31"/>
    </row>
    <row r="133" spans="1:5" x14ac:dyDescent="0.25">
      <c r="A133" s="30"/>
      <c r="B133" s="31"/>
      <c r="C133" s="31"/>
      <c r="D133" s="31"/>
      <c r="E133" s="31"/>
    </row>
    <row r="134" spans="1:5" x14ac:dyDescent="0.25">
      <c r="A134" s="30"/>
      <c r="B134" s="31"/>
      <c r="C134" s="31"/>
      <c r="D134" s="31"/>
      <c r="E134" s="31"/>
    </row>
    <row r="135" spans="1:5" x14ac:dyDescent="0.25">
      <c r="A135" s="30"/>
      <c r="B135" s="31"/>
      <c r="C135" s="31"/>
      <c r="D135" s="31"/>
      <c r="E135" s="31"/>
    </row>
    <row r="136" spans="1:5" x14ac:dyDescent="0.25">
      <c r="A136" s="30"/>
      <c r="B136" s="31"/>
      <c r="C136" s="31"/>
      <c r="D136" s="31"/>
      <c r="E136" s="31"/>
    </row>
    <row r="137" spans="1:5" x14ac:dyDescent="0.25">
      <c r="A137" s="30"/>
      <c r="B137" s="31"/>
      <c r="C137" s="31"/>
      <c r="D137" s="31"/>
      <c r="E137" s="31"/>
    </row>
    <row r="138" spans="1:5" x14ac:dyDescent="0.25">
      <c r="A138" s="30"/>
      <c r="B138" s="31"/>
      <c r="C138" s="31"/>
      <c r="D138" s="31"/>
      <c r="E138" s="31"/>
    </row>
    <row r="139" spans="1:5" x14ac:dyDescent="0.25">
      <c r="A139" s="30"/>
      <c r="B139" s="31"/>
      <c r="C139" s="31"/>
      <c r="D139" s="31"/>
      <c r="E139" s="31"/>
    </row>
    <row r="140" spans="1:5" x14ac:dyDescent="0.25">
      <c r="A140" s="30"/>
      <c r="B140" s="31"/>
      <c r="C140" s="31"/>
      <c r="D140" s="31"/>
      <c r="E140" s="31"/>
    </row>
    <row r="141" spans="1:5" x14ac:dyDescent="0.25">
      <c r="A141" s="30"/>
      <c r="B141" s="31"/>
      <c r="C141" s="31"/>
      <c r="D141" s="31"/>
      <c r="E141" s="31"/>
    </row>
    <row r="142" spans="1:5" x14ac:dyDescent="0.25">
      <c r="A142" s="30"/>
      <c r="B142" s="31"/>
      <c r="C142" s="31"/>
      <c r="D142" s="31"/>
      <c r="E142" s="31"/>
    </row>
    <row r="143" spans="1:5" x14ac:dyDescent="0.25">
      <c r="A143" s="30"/>
      <c r="B143" s="31"/>
      <c r="C143" s="31"/>
      <c r="D143" s="31"/>
      <c r="E143" s="31"/>
    </row>
    <row r="144" spans="1:5" x14ac:dyDescent="0.25">
      <c r="A144" s="30"/>
      <c r="B144" s="31"/>
      <c r="C144" s="31"/>
      <c r="D144" s="31"/>
      <c r="E144" s="31"/>
    </row>
    <row r="145" spans="1:5" x14ac:dyDescent="0.25">
      <c r="A145" s="30"/>
      <c r="B145" s="31"/>
      <c r="C145" s="31"/>
      <c r="D145" s="31"/>
      <c r="E145" s="31"/>
    </row>
    <row r="146" spans="1:5" x14ac:dyDescent="0.25">
      <c r="A146" s="30"/>
      <c r="B146" s="31"/>
      <c r="C146" s="31"/>
      <c r="D146" s="31"/>
      <c r="E146" s="31"/>
    </row>
    <row r="147" spans="1:5" x14ac:dyDescent="0.25">
      <c r="A147" s="30"/>
      <c r="B147" s="31"/>
      <c r="C147" s="31"/>
      <c r="D147" s="31"/>
      <c r="E147" s="31"/>
    </row>
    <row r="148" spans="1:5" x14ac:dyDescent="0.25">
      <c r="A148" s="30"/>
      <c r="B148" s="31"/>
      <c r="C148" s="31"/>
      <c r="D148" s="31"/>
      <c r="E148" s="31"/>
    </row>
    <row r="149" spans="1:5" x14ac:dyDescent="0.25">
      <c r="A149" s="30"/>
      <c r="B149" s="31"/>
      <c r="C149" s="31"/>
      <c r="D149" s="31"/>
      <c r="E149" s="31"/>
    </row>
    <row r="150" spans="1:5" x14ac:dyDescent="0.25">
      <c r="A150" s="30"/>
      <c r="B150" s="31"/>
      <c r="C150" s="31"/>
      <c r="D150" s="31"/>
      <c r="E150" s="31"/>
    </row>
    <row r="151" spans="1:5" x14ac:dyDescent="0.25">
      <c r="A151" s="30"/>
      <c r="B151" s="31"/>
      <c r="C151" s="31"/>
      <c r="D151" s="31"/>
      <c r="E151" s="31"/>
    </row>
    <row r="152" spans="1:5" x14ac:dyDescent="0.25">
      <c r="A152" s="30"/>
      <c r="B152" s="31"/>
      <c r="C152" s="31"/>
      <c r="D152" s="31"/>
      <c r="E152" s="31"/>
    </row>
    <row r="153" spans="1:5" x14ac:dyDescent="0.25">
      <c r="A153" s="30"/>
      <c r="B153" s="31"/>
      <c r="C153" s="31"/>
      <c r="D153" s="31"/>
      <c r="E153" s="31"/>
    </row>
    <row r="154" spans="1:5" x14ac:dyDescent="0.25">
      <c r="A154" s="30"/>
      <c r="B154" s="31"/>
      <c r="C154" s="31"/>
      <c r="D154" s="31"/>
      <c r="E154" s="31"/>
    </row>
    <row r="155" spans="1:5" x14ac:dyDescent="0.25">
      <c r="A155" s="30"/>
      <c r="B155" s="31"/>
      <c r="C155" s="31"/>
      <c r="D155" s="31"/>
      <c r="E155" s="31"/>
    </row>
    <row r="156" spans="1:5" x14ac:dyDescent="0.25">
      <c r="A156" s="30"/>
      <c r="B156" s="31"/>
      <c r="C156" s="31"/>
      <c r="D156" s="31"/>
      <c r="E156" s="31"/>
    </row>
    <row r="157" spans="1:5" x14ac:dyDescent="0.25">
      <c r="A157" s="30"/>
      <c r="B157" s="31"/>
      <c r="C157" s="31"/>
      <c r="D157" s="31"/>
      <c r="E157" s="31"/>
    </row>
    <row r="158" spans="1:5" x14ac:dyDescent="0.25">
      <c r="A158" s="30"/>
      <c r="B158" s="31"/>
      <c r="C158" s="31"/>
      <c r="D158" s="31"/>
      <c r="E158" s="31"/>
    </row>
    <row r="159" spans="1:5" x14ac:dyDescent="0.25">
      <c r="A159" s="30"/>
      <c r="B159" s="31"/>
      <c r="C159" s="31"/>
      <c r="D159" s="31"/>
      <c r="E159" s="31"/>
    </row>
    <row r="160" spans="1:5" x14ac:dyDescent="0.25">
      <c r="A160" s="30"/>
      <c r="B160" s="31"/>
      <c r="C160" s="31"/>
      <c r="D160" s="31"/>
      <c r="E160" s="31"/>
    </row>
    <row r="161" spans="1:5" x14ac:dyDescent="0.25">
      <c r="A161" s="30"/>
      <c r="B161" s="31"/>
      <c r="C161" s="31"/>
      <c r="D161" s="31"/>
      <c r="E161" s="31"/>
    </row>
    <row r="162" spans="1:5" x14ac:dyDescent="0.25">
      <c r="A162" s="30"/>
      <c r="B162" s="31"/>
      <c r="C162" s="31"/>
      <c r="D162" s="31"/>
      <c r="E162" s="31"/>
    </row>
    <row r="163" spans="1:5" x14ac:dyDescent="0.25">
      <c r="A163" s="30"/>
      <c r="B163" s="31"/>
      <c r="C163" s="31"/>
      <c r="D163" s="31"/>
      <c r="E163" s="31"/>
    </row>
    <row r="164" spans="1:5" x14ac:dyDescent="0.25">
      <c r="A164" s="30"/>
      <c r="B164" s="31"/>
      <c r="C164" s="31"/>
      <c r="D164" s="31"/>
      <c r="E164" s="31"/>
    </row>
    <row r="165" spans="1:5" x14ac:dyDescent="0.25">
      <c r="A165" s="30"/>
      <c r="B165" s="31"/>
      <c r="C165" s="31"/>
      <c r="D165" s="31"/>
      <c r="E165" s="31"/>
    </row>
    <row r="166" spans="1:5" x14ac:dyDescent="0.25">
      <c r="A166" s="30"/>
      <c r="B166" s="31"/>
      <c r="C166" s="31"/>
      <c r="D166" s="31"/>
      <c r="E166" s="31"/>
    </row>
    <row r="167" spans="1:5" x14ac:dyDescent="0.25">
      <c r="C167" s="31"/>
      <c r="D167" s="31"/>
      <c r="E167" s="31"/>
    </row>
    <row r="168" spans="1:5" x14ac:dyDescent="0.25">
      <c r="C168" s="31"/>
      <c r="D168" s="31"/>
      <c r="E168" s="31"/>
    </row>
    <row r="169" spans="1:5" x14ac:dyDescent="0.25">
      <c r="C169" s="31"/>
      <c r="D169" s="31"/>
      <c r="E169" s="31"/>
    </row>
  </sheetData>
  <autoFilter ref="A1:F97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20"/>
  <sheetViews>
    <sheetView topLeftCell="A12" zoomScaleNormal="100" workbookViewId="0">
      <selection activeCell="C35" sqref="C35"/>
    </sheetView>
  </sheetViews>
  <sheetFormatPr defaultRowHeight="15" x14ac:dyDescent="0.25"/>
  <cols>
    <col min="1" max="1" width="17.28515625"/>
    <col min="2" max="5" width="7" bestFit="1" customWidth="1"/>
    <col min="6" max="6" width="6.5703125"/>
    <col min="7" max="1025" width="8.5703125"/>
  </cols>
  <sheetData>
    <row r="1" spans="1:11" x14ac:dyDescent="0.25">
      <c r="A1" s="27" t="s">
        <v>119</v>
      </c>
      <c r="B1" s="27">
        <v>1</v>
      </c>
      <c r="C1" s="27">
        <v>2</v>
      </c>
      <c r="D1" s="27">
        <v>3</v>
      </c>
      <c r="E1" s="27">
        <v>4</v>
      </c>
      <c r="K1" s="29" t="s">
        <v>216</v>
      </c>
    </row>
    <row r="2" spans="1:11" x14ac:dyDescent="0.25">
      <c r="A2" s="32" t="s">
        <v>217</v>
      </c>
      <c r="B2" s="37">
        <v>22.253408333333301</v>
      </c>
      <c r="C2" s="37">
        <v>22.253408333333301</v>
      </c>
      <c r="D2" s="37">
        <v>22.253408333333301</v>
      </c>
      <c r="E2" s="37">
        <v>22.253408333333301</v>
      </c>
      <c r="G2" s="36"/>
    </row>
    <row r="3" spans="1:11" x14ac:dyDescent="0.25">
      <c r="A3" s="32" t="s">
        <v>218</v>
      </c>
      <c r="B3" s="37">
        <v>365.054916666667</v>
      </c>
      <c r="C3" s="37">
        <v>365.054916666667</v>
      </c>
      <c r="D3" s="37">
        <v>365.054916666667</v>
      </c>
      <c r="E3" s="37">
        <v>365.054916666667</v>
      </c>
      <c r="G3" s="36"/>
    </row>
    <row r="4" spans="1:11" x14ac:dyDescent="0.25">
      <c r="A4" s="32" t="s">
        <v>219</v>
      </c>
      <c r="B4" s="37">
        <v>81.293999999999997</v>
      </c>
      <c r="C4" s="37">
        <v>81.293999999999997</v>
      </c>
      <c r="D4" s="37">
        <v>81.293999999999997</v>
      </c>
      <c r="E4" s="37">
        <v>81.293999999999997</v>
      </c>
      <c r="G4" s="36"/>
    </row>
    <row r="5" spans="1:11" x14ac:dyDescent="0.25">
      <c r="A5" s="32" t="s">
        <v>220</v>
      </c>
      <c r="B5" s="37">
        <v>71.904583333333306</v>
      </c>
      <c r="C5" s="37">
        <v>71.904583333333306</v>
      </c>
      <c r="D5" s="37">
        <v>71.904583333333306</v>
      </c>
      <c r="E5" s="37">
        <v>71.904583333333306</v>
      </c>
      <c r="G5" s="36"/>
    </row>
    <row r="6" spans="1:11" x14ac:dyDescent="0.25">
      <c r="A6" s="32" t="s">
        <v>221</v>
      </c>
      <c r="B6" s="37">
        <v>200.489458333333</v>
      </c>
      <c r="C6" s="37">
        <v>200.489458333333</v>
      </c>
      <c r="D6" s="37">
        <v>200.489458333333</v>
      </c>
      <c r="E6" s="37">
        <v>200.489458333333</v>
      </c>
      <c r="G6" s="36"/>
    </row>
    <row r="7" spans="1:11" x14ac:dyDescent="0.25">
      <c r="A7" s="32" t="s">
        <v>222</v>
      </c>
      <c r="B7" s="37">
        <v>6.3404166666666697</v>
      </c>
      <c r="C7" s="37">
        <v>6.3404166666666697</v>
      </c>
      <c r="D7" s="37">
        <v>6.3404166666666697</v>
      </c>
      <c r="E7" s="37">
        <v>6.3404166666666697</v>
      </c>
      <c r="G7" s="36"/>
    </row>
    <row r="8" spans="1:11" x14ac:dyDescent="0.25">
      <c r="A8" s="32" t="s">
        <v>223</v>
      </c>
      <c r="B8" s="37">
        <v>84.201391666666694</v>
      </c>
      <c r="C8" s="37">
        <v>84.201391666666694</v>
      </c>
      <c r="D8" s="37">
        <v>84.201391666666694</v>
      </c>
      <c r="E8" s="37">
        <v>84.201391666666694</v>
      </c>
      <c r="G8" s="36"/>
    </row>
    <row r="9" spans="1:11" x14ac:dyDescent="0.25">
      <c r="A9" t="s">
        <v>224</v>
      </c>
      <c r="B9" s="38">
        <v>44.939458333333299</v>
      </c>
      <c r="C9" s="38">
        <v>44.939458333333299</v>
      </c>
      <c r="D9" s="38">
        <v>44.939458333333299</v>
      </c>
      <c r="E9" s="38">
        <v>44.939458333333299</v>
      </c>
      <c r="G9" s="36"/>
    </row>
    <row r="10" spans="1:11" x14ac:dyDescent="0.25">
      <c r="A10" t="s">
        <v>225</v>
      </c>
      <c r="B10" s="38">
        <v>538.16502500000001</v>
      </c>
      <c r="C10" s="38">
        <v>538.16502500000001</v>
      </c>
      <c r="D10" s="38">
        <v>538.16502500000001</v>
      </c>
      <c r="E10" s="38">
        <v>538.16502500000001</v>
      </c>
      <c r="G10" s="36"/>
    </row>
    <row r="11" spans="1:11" x14ac:dyDescent="0.25">
      <c r="A11" t="s">
        <v>226</v>
      </c>
      <c r="B11" s="38">
        <v>78.422250000000005</v>
      </c>
      <c r="C11" s="38">
        <v>78.422250000000005</v>
      </c>
      <c r="D11" s="38">
        <v>78.422250000000005</v>
      </c>
      <c r="E11" s="38">
        <v>78.422250000000005</v>
      </c>
      <c r="G11" s="36"/>
    </row>
    <row r="12" spans="1:11" x14ac:dyDescent="0.25">
      <c r="A12" t="s">
        <v>227</v>
      </c>
      <c r="B12" s="38">
        <v>232.3118125</v>
      </c>
      <c r="C12" s="38">
        <v>232.3118125</v>
      </c>
      <c r="D12" s="38">
        <v>232.3118125</v>
      </c>
      <c r="E12" s="38">
        <v>232.3118125</v>
      </c>
      <c r="G12" s="36"/>
    </row>
    <row r="13" spans="1:11" x14ac:dyDescent="0.25">
      <c r="A13" t="s">
        <v>228</v>
      </c>
      <c r="B13" s="38">
        <v>153.158041666667</v>
      </c>
      <c r="C13" s="38">
        <v>153.158041666667</v>
      </c>
      <c r="D13" s="38">
        <v>153.158041666667</v>
      </c>
      <c r="E13" s="38">
        <v>153.158041666667</v>
      </c>
      <c r="G13" s="36"/>
    </row>
    <row r="14" spans="1:11" x14ac:dyDescent="0.25">
      <c r="A14" t="s">
        <v>229</v>
      </c>
      <c r="B14" s="38">
        <v>4.0530875000000002</v>
      </c>
      <c r="C14" s="38">
        <v>4.0530875000000002</v>
      </c>
      <c r="D14" s="38">
        <v>4.0530875000000002</v>
      </c>
      <c r="E14" s="38">
        <v>4.0530875000000002</v>
      </c>
      <c r="G14" s="36"/>
    </row>
    <row r="15" spans="1:11" x14ac:dyDescent="0.25">
      <c r="A15" t="s">
        <v>230</v>
      </c>
      <c r="B15" s="38">
        <v>1.466</v>
      </c>
      <c r="C15" s="38">
        <v>1.466</v>
      </c>
      <c r="D15" s="38">
        <v>1.466</v>
      </c>
      <c r="E15" s="38">
        <v>1.466</v>
      </c>
      <c r="G15" s="36"/>
    </row>
    <row r="16" spans="1:11" x14ac:dyDescent="0.25">
      <c r="A16" t="s">
        <v>231</v>
      </c>
      <c r="B16" s="38">
        <v>16.805216666666698</v>
      </c>
      <c r="C16" s="38">
        <v>16.805216666666698</v>
      </c>
      <c r="D16" s="38">
        <v>16.805216666666698</v>
      </c>
      <c r="E16" s="38">
        <v>16.805216666666698</v>
      </c>
      <c r="G16" s="36"/>
    </row>
    <row r="17" spans="1:7" x14ac:dyDescent="0.25">
      <c r="A17" t="s">
        <v>232</v>
      </c>
      <c r="B17" s="38">
        <v>17</v>
      </c>
      <c r="C17" s="38">
        <v>17</v>
      </c>
      <c r="D17" s="38">
        <v>17</v>
      </c>
      <c r="E17" s="38">
        <v>17</v>
      </c>
      <c r="G17" s="36"/>
    </row>
    <row r="18" spans="1:7" x14ac:dyDescent="0.25">
      <c r="A18" t="s">
        <v>233</v>
      </c>
      <c r="B18" s="38">
        <v>302.24004166666703</v>
      </c>
      <c r="C18" s="38">
        <v>302.24004166666703</v>
      </c>
      <c r="D18" s="38">
        <v>302.24004166666703</v>
      </c>
      <c r="E18" s="38">
        <v>302.24004166666703</v>
      </c>
      <c r="G18" s="36"/>
    </row>
    <row r="19" spans="1:7" x14ac:dyDescent="0.25">
      <c r="A19" t="s">
        <v>234</v>
      </c>
      <c r="B19" s="38">
        <v>36.35</v>
      </c>
      <c r="C19" s="38">
        <v>36.35</v>
      </c>
      <c r="D19" s="38">
        <v>36.35</v>
      </c>
      <c r="E19" s="38">
        <v>36.35</v>
      </c>
      <c r="G19" s="36"/>
    </row>
    <row r="20" spans="1:7" x14ac:dyDescent="0.25">
      <c r="A20" t="s">
        <v>235</v>
      </c>
      <c r="B20" s="38">
        <v>1.6666666666666701E-2</v>
      </c>
      <c r="C20" s="38">
        <v>1.6666666666666701E-2</v>
      </c>
      <c r="D20" s="38">
        <v>1.6666666666666701E-2</v>
      </c>
      <c r="E20" s="38">
        <v>1.6666666666666701E-2</v>
      </c>
      <c r="G20" s="36"/>
    </row>
    <row r="21" spans="1:7" x14ac:dyDescent="0.25">
      <c r="A21" t="s">
        <v>236</v>
      </c>
      <c r="B21" s="38">
        <v>431.283166666667</v>
      </c>
      <c r="C21" s="38">
        <v>431.283166666667</v>
      </c>
      <c r="D21" s="38">
        <v>431.283166666667</v>
      </c>
      <c r="E21" s="38">
        <v>431.283166666667</v>
      </c>
      <c r="G21" s="36"/>
    </row>
    <row r="22" spans="1:7" x14ac:dyDescent="0.25">
      <c r="A22" t="s">
        <v>237</v>
      </c>
      <c r="B22" s="38">
        <v>52.547208333333302</v>
      </c>
      <c r="C22" s="38">
        <v>52.547208333333302</v>
      </c>
      <c r="D22" s="38">
        <v>52.547208333333302</v>
      </c>
      <c r="E22" s="38">
        <v>52.547208333333302</v>
      </c>
      <c r="G22" s="36"/>
    </row>
    <row r="23" spans="1:7" x14ac:dyDescent="0.25">
      <c r="A23" t="s">
        <v>238</v>
      </c>
      <c r="B23" s="38">
        <v>135.59933333333299</v>
      </c>
      <c r="C23" s="38">
        <v>135.59933333333299</v>
      </c>
      <c r="D23" s="38">
        <v>135.59933333333299</v>
      </c>
      <c r="E23" s="38">
        <v>135.59933333333299</v>
      </c>
      <c r="G23" s="36"/>
    </row>
    <row r="24" spans="1:7" x14ac:dyDescent="0.25">
      <c r="A24" t="s">
        <v>239</v>
      </c>
      <c r="B24" s="38">
        <v>687.98389583333301</v>
      </c>
      <c r="C24" s="38">
        <v>687.98389583333301</v>
      </c>
      <c r="D24" s="38">
        <v>687.98389583333301</v>
      </c>
      <c r="E24" s="38">
        <v>687.98389583333301</v>
      </c>
      <c r="G24" s="36"/>
    </row>
    <row r="25" spans="1:7" x14ac:dyDescent="0.25">
      <c r="A25" t="s">
        <v>240</v>
      </c>
      <c r="B25" s="38">
        <v>240.7</v>
      </c>
      <c r="C25" s="38">
        <v>240.7</v>
      </c>
      <c r="D25" s="38">
        <v>240.7</v>
      </c>
      <c r="E25" s="38">
        <v>240.7</v>
      </c>
      <c r="G25" s="36"/>
    </row>
    <row r="26" spans="1:7" x14ac:dyDescent="0.25">
      <c r="A26" t="s">
        <v>241</v>
      </c>
      <c r="B26" s="38">
        <v>321.01352500000002</v>
      </c>
      <c r="C26" s="38">
        <v>321.01352500000002</v>
      </c>
      <c r="D26" s="38">
        <v>321.01352500000002</v>
      </c>
      <c r="E26" s="38">
        <v>321.01352500000002</v>
      </c>
      <c r="G26" s="36"/>
    </row>
    <row r="27" spans="1:7" x14ac:dyDescent="0.25">
      <c r="A27" t="s">
        <v>242</v>
      </c>
      <c r="B27" s="38">
        <v>3.4503750000000002</v>
      </c>
      <c r="C27" s="38">
        <v>3.4503750000000002</v>
      </c>
      <c r="D27" s="38">
        <v>3.4503750000000002</v>
      </c>
      <c r="E27" s="38">
        <v>3.4503750000000002</v>
      </c>
      <c r="G27" s="36"/>
    </row>
    <row r="28" spans="1:7" x14ac:dyDescent="0.25">
      <c r="A28" t="s">
        <v>243</v>
      </c>
      <c r="B28" s="38">
        <v>572.02136666666695</v>
      </c>
      <c r="C28" s="38">
        <v>572.02136666666695</v>
      </c>
      <c r="D28" s="38">
        <v>572.02136666666695</v>
      </c>
      <c r="E28" s="38">
        <v>572.02136666666695</v>
      </c>
      <c r="G28" s="36"/>
    </row>
    <row r="29" spans="1:7" x14ac:dyDescent="0.25">
      <c r="A29" t="s">
        <v>244</v>
      </c>
      <c r="B29" s="38">
        <v>3.4109583333333302</v>
      </c>
      <c r="C29" s="38">
        <v>3.4109583333333302</v>
      </c>
      <c r="D29" s="38">
        <v>3.4109583333333302</v>
      </c>
      <c r="E29" s="38">
        <v>3.4109583333333302</v>
      </c>
      <c r="G29" s="36"/>
    </row>
    <row r="30" spans="1:7" x14ac:dyDescent="0.25">
      <c r="A30" t="s">
        <v>245</v>
      </c>
      <c r="B30" s="38">
        <v>185</v>
      </c>
      <c r="C30" s="38">
        <v>185</v>
      </c>
      <c r="D30" s="38">
        <v>185</v>
      </c>
      <c r="E30" s="38">
        <v>185</v>
      </c>
      <c r="G30" s="36"/>
    </row>
    <row r="31" spans="1:7" x14ac:dyDescent="0.25">
      <c r="A31" t="s">
        <v>246</v>
      </c>
      <c r="B31" s="38">
        <v>1.8350000000000002E-2</v>
      </c>
      <c r="C31" s="38">
        <v>1.8350000000000002E-2</v>
      </c>
      <c r="D31" s="38">
        <v>1.8350000000000002E-2</v>
      </c>
      <c r="E31" s="38">
        <v>1.8350000000000002E-2</v>
      </c>
      <c r="G31" s="36"/>
    </row>
    <row r="32" spans="1:7" x14ac:dyDescent="0.25">
      <c r="A32" t="s">
        <v>247</v>
      </c>
      <c r="B32" s="38">
        <v>257.52579166666698</v>
      </c>
      <c r="C32" s="38">
        <v>257.52579166666698</v>
      </c>
      <c r="D32" s="38">
        <v>257.52579166666698</v>
      </c>
      <c r="E32" s="38">
        <v>257.52579166666698</v>
      </c>
      <c r="G32" s="36"/>
    </row>
    <row r="33" spans="1:7" x14ac:dyDescent="0.25">
      <c r="A33" t="s">
        <v>248</v>
      </c>
      <c r="B33" s="38">
        <v>1753.3309999999999</v>
      </c>
      <c r="C33" s="38">
        <v>1753.3309999999999</v>
      </c>
      <c r="D33" s="38">
        <v>1753.3309999999999</v>
      </c>
      <c r="E33" s="38">
        <v>1753.3309999999999</v>
      </c>
      <c r="G33" s="36"/>
    </row>
    <row r="34" spans="1:7" x14ac:dyDescent="0.25">
      <c r="A34" t="s">
        <v>249</v>
      </c>
      <c r="B34" s="38">
        <v>364.09654166666701</v>
      </c>
      <c r="C34" s="38">
        <v>364.09654166666701</v>
      </c>
      <c r="D34" s="38">
        <v>364.09654166666701</v>
      </c>
      <c r="E34" s="38">
        <v>364.09654166666701</v>
      </c>
      <c r="G34" s="36"/>
    </row>
    <row r="35" spans="1:7" x14ac:dyDescent="0.25">
      <c r="A35" t="s">
        <v>250</v>
      </c>
      <c r="B35" s="38">
        <v>66.074583333333294</v>
      </c>
      <c r="C35" s="38">
        <v>66.074583333333294</v>
      </c>
      <c r="D35" s="38">
        <v>66.074583333333294</v>
      </c>
      <c r="E35" s="38">
        <v>66.074583333333294</v>
      </c>
      <c r="G35" s="36"/>
    </row>
    <row r="36" spans="1:7" x14ac:dyDescent="0.25">
      <c r="A36" t="s">
        <v>251</v>
      </c>
      <c r="B36" s="38">
        <v>338.19074999999998</v>
      </c>
      <c r="C36" s="38">
        <v>338.19074999999998</v>
      </c>
      <c r="D36" s="38">
        <v>338.19074999999998</v>
      </c>
      <c r="E36" s="38">
        <v>338.19074999999998</v>
      </c>
      <c r="G36" s="36"/>
    </row>
    <row r="37" spans="1:7" x14ac:dyDescent="0.25">
      <c r="A37" t="s">
        <v>252</v>
      </c>
      <c r="B37" s="38">
        <v>370.69052916666698</v>
      </c>
      <c r="C37" s="38">
        <v>370.69052916666698</v>
      </c>
      <c r="D37" s="38">
        <v>370.69052916666698</v>
      </c>
      <c r="E37" s="38">
        <v>370.69052916666698</v>
      </c>
      <c r="G37" s="36"/>
    </row>
    <row r="38" spans="1:7" x14ac:dyDescent="0.25">
      <c r="A38" t="s">
        <v>253</v>
      </c>
      <c r="B38" s="38">
        <v>146.886541666667</v>
      </c>
      <c r="C38" s="38">
        <v>146.886541666667</v>
      </c>
      <c r="D38" s="38">
        <v>146.886541666667</v>
      </c>
      <c r="E38" s="38">
        <v>146.886541666667</v>
      </c>
      <c r="G38" s="36"/>
    </row>
    <row r="39" spans="1:7" x14ac:dyDescent="0.25">
      <c r="A39" t="s">
        <v>254</v>
      </c>
      <c r="B39" s="38">
        <v>107.420795833333</v>
      </c>
      <c r="C39" s="38">
        <v>107.420795833333</v>
      </c>
      <c r="D39" s="38">
        <v>107.420795833333</v>
      </c>
      <c r="E39" s="38">
        <v>107.420795833333</v>
      </c>
      <c r="G39" s="36"/>
    </row>
    <row r="40" spans="1:7" x14ac:dyDescent="0.25">
      <c r="A40" t="s">
        <v>255</v>
      </c>
      <c r="B40" s="38">
        <v>4.5022500000000001</v>
      </c>
      <c r="C40" s="38">
        <v>4.5022500000000001</v>
      </c>
      <c r="D40" s="38">
        <v>4.5022500000000001</v>
      </c>
      <c r="E40" s="38">
        <v>4.5022500000000001</v>
      </c>
      <c r="G40" s="36"/>
    </row>
    <row r="41" spans="1:7" x14ac:dyDescent="0.25">
      <c r="A41" t="s">
        <v>256</v>
      </c>
      <c r="B41" s="38">
        <v>6.11279166666667</v>
      </c>
      <c r="C41" s="38">
        <v>6.11279166666667</v>
      </c>
      <c r="D41" s="38">
        <v>6.11279166666667</v>
      </c>
      <c r="E41" s="38">
        <v>6.11279166666667</v>
      </c>
      <c r="G41" s="36"/>
    </row>
    <row r="42" spans="1:7" x14ac:dyDescent="0.25">
      <c r="A42" t="s">
        <v>257</v>
      </c>
      <c r="B42" s="38">
        <v>35.357791666666699</v>
      </c>
      <c r="C42" s="38">
        <v>35.357791666666699</v>
      </c>
      <c r="D42" s="38">
        <v>35.357791666666699</v>
      </c>
      <c r="E42" s="38">
        <v>35.357791666666699</v>
      </c>
      <c r="G42" s="36"/>
    </row>
    <row r="43" spans="1:7" x14ac:dyDescent="0.25">
      <c r="A43" t="s">
        <v>258</v>
      </c>
      <c r="B43" s="38">
        <v>5.7</v>
      </c>
      <c r="C43" s="38">
        <v>5.7</v>
      </c>
      <c r="D43" s="38">
        <v>5.7</v>
      </c>
      <c r="E43" s="38">
        <v>5.7</v>
      </c>
      <c r="G43" s="36"/>
    </row>
    <row r="44" spans="1:7" x14ac:dyDescent="0.25">
      <c r="A44" t="s">
        <v>259</v>
      </c>
      <c r="B44" s="38">
        <v>41.108750000000001</v>
      </c>
      <c r="C44" s="38">
        <v>41.108750000000001</v>
      </c>
      <c r="D44" s="38">
        <v>41.108750000000001</v>
      </c>
      <c r="E44" s="38">
        <v>41.108750000000001</v>
      </c>
      <c r="G44" s="36"/>
    </row>
    <row r="45" spans="1:7" x14ac:dyDescent="0.25">
      <c r="A45" t="s">
        <v>260</v>
      </c>
      <c r="B45" s="38">
        <v>1.65083333333333</v>
      </c>
      <c r="C45" s="38">
        <v>1.65083333333333</v>
      </c>
      <c r="D45" s="38">
        <v>1.65083333333333</v>
      </c>
      <c r="E45" s="38">
        <v>1.65083333333333</v>
      </c>
      <c r="G45" s="36"/>
    </row>
    <row r="46" spans="1:7" x14ac:dyDescent="0.25">
      <c r="A46" t="s">
        <v>261</v>
      </c>
      <c r="B46" s="38">
        <v>140.43316666666701</v>
      </c>
      <c r="C46" s="38">
        <v>140.43316666666701</v>
      </c>
      <c r="D46" s="38">
        <v>140.43316666666701</v>
      </c>
      <c r="E46" s="38">
        <v>140.43316666666701</v>
      </c>
      <c r="G46" s="36"/>
    </row>
    <row r="47" spans="1:7" x14ac:dyDescent="0.25">
      <c r="A47" t="s">
        <v>262</v>
      </c>
      <c r="B47" s="38">
        <v>33.011375000000001</v>
      </c>
      <c r="C47" s="38">
        <v>33.011375000000001</v>
      </c>
      <c r="D47" s="38">
        <v>33.011375000000001</v>
      </c>
      <c r="E47" s="38">
        <v>33.011375000000001</v>
      </c>
      <c r="G47" s="36"/>
    </row>
    <row r="48" spans="1:7" x14ac:dyDescent="0.25">
      <c r="A48" t="s">
        <v>263</v>
      </c>
      <c r="B48" s="38">
        <v>71.176150000000007</v>
      </c>
      <c r="C48" s="38">
        <v>71.176150000000007</v>
      </c>
      <c r="D48" s="38">
        <v>71.176150000000007</v>
      </c>
      <c r="E48" s="38">
        <v>71.176150000000007</v>
      </c>
      <c r="G48" s="36"/>
    </row>
    <row r="49" spans="1:7" x14ac:dyDescent="0.25">
      <c r="A49" t="s">
        <v>264</v>
      </c>
      <c r="B49" s="38">
        <v>22.796524999999999</v>
      </c>
      <c r="C49" s="38">
        <v>22.796524999999999</v>
      </c>
      <c r="D49" s="38">
        <v>22.796524999999999</v>
      </c>
      <c r="E49" s="38">
        <v>22.796524999999999</v>
      </c>
      <c r="G49" s="36"/>
    </row>
    <row r="50" spans="1:7" x14ac:dyDescent="0.25">
      <c r="A50" t="s">
        <v>265</v>
      </c>
      <c r="B50" s="38">
        <v>79.833666666666701</v>
      </c>
      <c r="C50" s="38">
        <v>79.833666666666701</v>
      </c>
      <c r="D50" s="38">
        <v>79.833666666666701</v>
      </c>
      <c r="E50" s="38">
        <v>79.833666666666701</v>
      </c>
      <c r="G50" s="36"/>
    </row>
    <row r="51" spans="1:7" x14ac:dyDescent="0.25">
      <c r="A51" t="s">
        <v>266</v>
      </c>
      <c r="B51" s="38">
        <v>124.50858333333299</v>
      </c>
      <c r="C51" s="38">
        <v>124.50858333333299</v>
      </c>
      <c r="D51" s="38">
        <v>124.50858333333299</v>
      </c>
      <c r="E51" s="38">
        <v>124.50858333333299</v>
      </c>
      <c r="G51" s="36"/>
    </row>
    <row r="52" spans="1:7" x14ac:dyDescent="0.25">
      <c r="A52" t="s">
        <v>267</v>
      </c>
      <c r="B52" s="38">
        <v>1.1872083333333301</v>
      </c>
      <c r="C52" s="38">
        <v>1.1872083333333301</v>
      </c>
      <c r="D52" s="38">
        <v>1.1872083333333301</v>
      </c>
      <c r="E52" s="38">
        <v>1.1872083333333301</v>
      </c>
      <c r="G52" s="36"/>
    </row>
    <row r="53" spans="1:7" x14ac:dyDescent="0.25">
      <c r="A53" t="s">
        <v>268</v>
      </c>
      <c r="B53" s="38">
        <v>177.43620833333301</v>
      </c>
      <c r="C53" s="38">
        <v>177.43620833333301</v>
      </c>
      <c r="D53" s="38">
        <v>177.43620833333301</v>
      </c>
      <c r="E53" s="38">
        <v>177.43620833333301</v>
      </c>
      <c r="G53" s="36"/>
    </row>
    <row r="54" spans="1:7" x14ac:dyDescent="0.25">
      <c r="A54" t="s">
        <v>269</v>
      </c>
      <c r="B54" s="38">
        <v>404.126708333333</v>
      </c>
      <c r="C54" s="38">
        <v>404.126708333333</v>
      </c>
      <c r="D54" s="38">
        <v>404.126708333333</v>
      </c>
      <c r="E54" s="38">
        <v>404.126708333333</v>
      </c>
      <c r="G54" s="36"/>
    </row>
    <row r="55" spans="1:7" x14ac:dyDescent="0.25">
      <c r="A55" t="s">
        <v>270</v>
      </c>
      <c r="B55" s="38">
        <v>215.60708333333301</v>
      </c>
      <c r="C55" s="38">
        <v>215.60708333333301</v>
      </c>
      <c r="D55" s="38">
        <v>215.60708333333301</v>
      </c>
      <c r="E55" s="38">
        <v>215.60708333333301</v>
      </c>
      <c r="G55" s="36"/>
    </row>
    <row r="56" spans="1:7" x14ac:dyDescent="0.25">
      <c r="A56" t="s">
        <v>271</v>
      </c>
      <c r="B56" s="38">
        <v>444.00892916666697</v>
      </c>
      <c r="C56" s="38">
        <v>444.00892916666697</v>
      </c>
      <c r="D56" s="38">
        <v>444.00892916666697</v>
      </c>
      <c r="E56" s="38">
        <v>444.00892916666697</v>
      </c>
      <c r="G56" s="36"/>
    </row>
    <row r="57" spans="1:7" x14ac:dyDescent="0.25">
      <c r="A57" t="s">
        <v>272</v>
      </c>
      <c r="B57" s="38">
        <v>1.469125</v>
      </c>
      <c r="C57" s="38">
        <v>1.469125</v>
      </c>
      <c r="D57" s="38">
        <v>1.469125</v>
      </c>
      <c r="E57" s="38">
        <v>1.469125</v>
      </c>
      <c r="G57" s="36"/>
    </row>
    <row r="58" spans="1:7" x14ac:dyDescent="0.25">
      <c r="A58" t="s">
        <v>273</v>
      </c>
      <c r="B58" s="38">
        <v>172.75231249999999</v>
      </c>
      <c r="C58" s="38">
        <v>172.75231249999999</v>
      </c>
      <c r="D58" s="38">
        <v>172.75231249999999</v>
      </c>
      <c r="E58" s="38">
        <v>172.75231249999999</v>
      </c>
      <c r="G58" s="36"/>
    </row>
    <row r="59" spans="1:7" x14ac:dyDescent="0.25">
      <c r="A59" t="s">
        <v>274</v>
      </c>
      <c r="B59" s="38">
        <v>4.6510416666666696</v>
      </c>
      <c r="C59" s="38">
        <v>4.6510416666666696</v>
      </c>
      <c r="D59" s="38">
        <v>4.6510416666666696</v>
      </c>
      <c r="E59" s="38">
        <v>4.6510416666666696</v>
      </c>
      <c r="G59" s="36"/>
    </row>
    <row r="60" spans="1:7" x14ac:dyDescent="0.25">
      <c r="A60" t="s">
        <v>275</v>
      </c>
      <c r="B60" s="38">
        <v>358.981291666667</v>
      </c>
      <c r="C60" s="38">
        <v>358.981291666667</v>
      </c>
      <c r="D60" s="38">
        <v>358.981291666667</v>
      </c>
      <c r="E60" s="38">
        <v>358.981291666667</v>
      </c>
      <c r="G60" s="36"/>
    </row>
    <row r="61" spans="1:7" x14ac:dyDescent="0.25">
      <c r="A61" t="s">
        <v>276</v>
      </c>
      <c r="B61" s="38">
        <v>1560.91333333333</v>
      </c>
      <c r="C61" s="38">
        <v>1560.91333333333</v>
      </c>
      <c r="D61" s="38">
        <v>1560.91333333333</v>
      </c>
      <c r="E61" s="38">
        <v>1560.91333333333</v>
      </c>
      <c r="G61" s="36"/>
    </row>
    <row r="62" spans="1:7" x14ac:dyDescent="0.25">
      <c r="A62" t="s">
        <v>277</v>
      </c>
      <c r="B62" s="38">
        <v>1512.10805</v>
      </c>
      <c r="C62" s="38">
        <v>1512.10805</v>
      </c>
      <c r="D62" s="38">
        <v>1512.10805</v>
      </c>
      <c r="E62" s="38">
        <v>1512.10805</v>
      </c>
      <c r="G62" s="36"/>
    </row>
    <row r="63" spans="1:7" x14ac:dyDescent="0.25">
      <c r="A63" t="s">
        <v>278</v>
      </c>
      <c r="B63" s="38">
        <v>891.82318333333296</v>
      </c>
      <c r="C63" s="38">
        <v>891.82318333333296</v>
      </c>
      <c r="D63" s="38">
        <v>891.82318333333296</v>
      </c>
      <c r="E63" s="38">
        <v>891.82318333333296</v>
      </c>
      <c r="G63" s="36"/>
    </row>
    <row r="64" spans="1:7" x14ac:dyDescent="0.25">
      <c r="A64" t="s">
        <v>279</v>
      </c>
      <c r="B64" s="38">
        <v>4.1666666666666699E-2</v>
      </c>
      <c r="C64" s="38">
        <v>4.1666666666666699E-2</v>
      </c>
      <c r="D64" s="38">
        <v>4.1666666666666699E-2</v>
      </c>
      <c r="E64" s="38">
        <v>4.1666666666666699E-2</v>
      </c>
      <c r="G64" s="36"/>
    </row>
    <row r="65" spans="1:7" x14ac:dyDescent="0.25">
      <c r="A65" t="s">
        <v>280</v>
      </c>
      <c r="B65" s="38">
        <v>969.92756666666696</v>
      </c>
      <c r="C65" s="38">
        <v>969.92756666666696</v>
      </c>
      <c r="D65" s="38">
        <v>969.92756666666696</v>
      </c>
      <c r="E65" s="38">
        <v>969.92756666666696</v>
      </c>
      <c r="G65" s="36"/>
    </row>
    <row r="66" spans="1:7" x14ac:dyDescent="0.25">
      <c r="A66" t="s">
        <v>281</v>
      </c>
      <c r="B66" s="38">
        <v>45.6041666666667</v>
      </c>
      <c r="C66" s="38">
        <v>45.6041666666667</v>
      </c>
      <c r="D66" s="38">
        <v>45.6041666666667</v>
      </c>
      <c r="E66" s="38">
        <v>45.6041666666667</v>
      </c>
      <c r="G66" s="36"/>
    </row>
    <row r="67" spans="1:7" x14ac:dyDescent="0.25">
      <c r="A67" t="s">
        <v>282</v>
      </c>
      <c r="B67" s="38">
        <v>38.183333333333302</v>
      </c>
      <c r="C67" s="38">
        <v>38.183333333333302</v>
      </c>
      <c r="D67" s="38">
        <v>38.183333333333302</v>
      </c>
      <c r="E67" s="38">
        <v>38.183333333333302</v>
      </c>
      <c r="G67" s="36"/>
    </row>
    <row r="68" spans="1:7" x14ac:dyDescent="0.25">
      <c r="A68" t="s">
        <v>283</v>
      </c>
      <c r="B68" s="38">
        <v>0.125</v>
      </c>
      <c r="C68" s="38">
        <v>0.125</v>
      </c>
      <c r="D68" s="38">
        <v>0.125</v>
      </c>
      <c r="E68" s="38">
        <v>0.125</v>
      </c>
      <c r="G68" s="36"/>
    </row>
    <row r="69" spans="1:7" x14ac:dyDescent="0.25">
      <c r="A69" t="s">
        <v>284</v>
      </c>
      <c r="B69" s="38">
        <v>400.50479999999999</v>
      </c>
      <c r="C69" s="38">
        <v>400.50479999999999</v>
      </c>
      <c r="D69" s="38">
        <v>400.50479999999999</v>
      </c>
      <c r="E69" s="38">
        <v>400.50479999999999</v>
      </c>
      <c r="G69" s="36"/>
    </row>
    <row r="70" spans="1:7" x14ac:dyDescent="0.25">
      <c r="A70" t="s">
        <v>285</v>
      </c>
      <c r="B70" s="38">
        <v>4.1666666666666699E-2</v>
      </c>
      <c r="C70" s="38">
        <v>4.1666666666666699E-2</v>
      </c>
      <c r="D70" s="38">
        <v>4.1666666666666699E-2</v>
      </c>
      <c r="E70" s="38">
        <v>4.1666666666666699E-2</v>
      </c>
      <c r="G70" s="36"/>
    </row>
    <row r="71" spans="1:7" x14ac:dyDescent="0.25">
      <c r="A71" t="s">
        <v>286</v>
      </c>
      <c r="B71" s="38">
        <v>1089.2972208333299</v>
      </c>
      <c r="C71" s="38">
        <v>1089.2972208333299</v>
      </c>
      <c r="D71" s="38">
        <v>1089.2972208333299</v>
      </c>
      <c r="E71" s="38">
        <v>1089.2972208333299</v>
      </c>
      <c r="G71" s="36"/>
    </row>
    <row r="72" spans="1:7" x14ac:dyDescent="0.25">
      <c r="A72" t="s">
        <v>287</v>
      </c>
      <c r="B72" s="38">
        <v>687.85331250000002</v>
      </c>
      <c r="C72" s="38">
        <v>687.85331250000002</v>
      </c>
      <c r="D72" s="38">
        <v>687.85331250000002</v>
      </c>
      <c r="E72" s="38">
        <v>687.85331250000002</v>
      </c>
      <c r="G72" s="36"/>
    </row>
    <row r="73" spans="1:7" x14ac:dyDescent="0.25">
      <c r="A73" t="s">
        <v>288</v>
      </c>
      <c r="B73" s="38">
        <v>463.86292916666702</v>
      </c>
      <c r="C73" s="38">
        <v>463.86292916666702</v>
      </c>
      <c r="D73" s="38">
        <v>463.86292916666702</v>
      </c>
      <c r="E73" s="38">
        <v>463.86292916666702</v>
      </c>
      <c r="G73" s="36"/>
    </row>
    <row r="74" spans="1:7" x14ac:dyDescent="0.25">
      <c r="A74" t="s">
        <v>289</v>
      </c>
      <c r="B74" s="38">
        <v>50</v>
      </c>
      <c r="C74" s="38">
        <v>50</v>
      </c>
      <c r="D74" s="38">
        <v>50</v>
      </c>
      <c r="E74" s="38">
        <v>50</v>
      </c>
      <c r="G74" s="36"/>
    </row>
    <row r="75" spans="1:7" x14ac:dyDescent="0.25">
      <c r="A75" t="s">
        <v>290</v>
      </c>
      <c r="B75" s="38">
        <v>149.32762500000001</v>
      </c>
      <c r="C75" s="38">
        <v>149.32762500000001</v>
      </c>
      <c r="D75" s="38">
        <v>149.32762500000001</v>
      </c>
      <c r="E75" s="38">
        <v>149.32762500000001</v>
      </c>
      <c r="G75" s="36"/>
    </row>
    <row r="76" spans="1:7" x14ac:dyDescent="0.25">
      <c r="A76" t="s">
        <v>291</v>
      </c>
      <c r="B76" s="38">
        <v>135.67925</v>
      </c>
      <c r="C76" s="38">
        <v>135.67925</v>
      </c>
      <c r="D76" s="38">
        <v>135.67925</v>
      </c>
      <c r="E76" s="38">
        <v>135.67925</v>
      </c>
      <c r="G76" s="36"/>
    </row>
    <row r="77" spans="1:7" x14ac:dyDescent="0.25">
      <c r="A77" t="s">
        <v>292</v>
      </c>
      <c r="B77" s="38">
        <v>430.46495833333302</v>
      </c>
      <c r="C77" s="38">
        <v>430.46495833333302</v>
      </c>
      <c r="D77" s="38">
        <v>430.46495833333302</v>
      </c>
      <c r="E77" s="38">
        <v>430.46495833333302</v>
      </c>
      <c r="G77" s="36"/>
    </row>
    <row r="78" spans="1:7" x14ac:dyDescent="0.25">
      <c r="A78" t="s">
        <v>293</v>
      </c>
      <c r="B78" s="38">
        <v>350.01262500000001</v>
      </c>
      <c r="C78" s="38">
        <v>350.01262500000001</v>
      </c>
      <c r="D78" s="38">
        <v>350.01262500000001</v>
      </c>
      <c r="E78" s="38">
        <v>350.01262500000001</v>
      </c>
      <c r="G78" s="36"/>
    </row>
    <row r="79" spans="1:7" x14ac:dyDescent="0.25">
      <c r="A79" t="s">
        <v>294</v>
      </c>
      <c r="B79" s="38">
        <v>119.071166666667</v>
      </c>
      <c r="C79" s="38">
        <v>119.071166666667</v>
      </c>
      <c r="D79" s="38">
        <v>119.071166666667</v>
      </c>
      <c r="E79" s="38">
        <v>119.071166666667</v>
      </c>
      <c r="G79" s="36"/>
    </row>
    <row r="80" spans="1:7" x14ac:dyDescent="0.25">
      <c r="A80" t="s">
        <v>295</v>
      </c>
      <c r="B80" s="38">
        <v>391.40449999999998</v>
      </c>
      <c r="C80" s="38">
        <v>391.40449999999998</v>
      </c>
      <c r="D80" s="38">
        <v>391.40449999999998</v>
      </c>
      <c r="E80" s="38">
        <v>391.40449999999998</v>
      </c>
      <c r="G80" s="36"/>
    </row>
    <row r="81" spans="1:7" x14ac:dyDescent="0.25">
      <c r="A81" t="s">
        <v>296</v>
      </c>
      <c r="B81" s="38">
        <v>554.35587499999997</v>
      </c>
      <c r="C81" s="38">
        <v>554.35587499999997</v>
      </c>
      <c r="D81" s="38">
        <v>554.35587499999997</v>
      </c>
      <c r="E81" s="38">
        <v>554.35587499999997</v>
      </c>
      <c r="G81" s="36"/>
    </row>
    <row r="82" spans="1:7" x14ac:dyDescent="0.25">
      <c r="A82" t="s">
        <v>297</v>
      </c>
      <c r="B82" s="38">
        <v>595.87774999999999</v>
      </c>
      <c r="C82" s="38">
        <v>595.87774999999999</v>
      </c>
      <c r="D82" s="38">
        <v>595.87774999999999</v>
      </c>
      <c r="E82" s="38">
        <v>595.87774999999999</v>
      </c>
      <c r="G82" s="36"/>
    </row>
    <row r="83" spans="1:7" x14ac:dyDescent="0.25">
      <c r="A83" t="s">
        <v>298</v>
      </c>
      <c r="B83" s="38">
        <v>1833.1592499999999</v>
      </c>
      <c r="C83" s="38">
        <v>1833.1592499999999</v>
      </c>
      <c r="D83" s="38">
        <v>1833.1592499999999</v>
      </c>
      <c r="E83" s="38">
        <v>1833.1592499999999</v>
      </c>
      <c r="G83" s="36"/>
    </row>
    <row r="84" spans="1:7" x14ac:dyDescent="0.25">
      <c r="A84" t="s">
        <v>299</v>
      </c>
      <c r="B84" s="38">
        <v>51.894125000000003</v>
      </c>
      <c r="C84" s="38">
        <v>51.894125000000003</v>
      </c>
      <c r="D84" s="38">
        <v>51.894125000000003</v>
      </c>
      <c r="E84" s="38">
        <v>51.894125000000003</v>
      </c>
      <c r="G84" s="36"/>
    </row>
    <row r="85" spans="1:7" x14ac:dyDescent="0.25">
      <c r="A85" t="s">
        <v>300</v>
      </c>
      <c r="B85" s="38">
        <v>10.5876083333333</v>
      </c>
      <c r="C85" s="38">
        <v>10.5876083333333</v>
      </c>
      <c r="D85" s="38">
        <v>10.5876083333333</v>
      </c>
      <c r="E85" s="38">
        <v>10.5876083333333</v>
      </c>
      <c r="G85" s="36"/>
    </row>
    <row r="86" spans="1:7" x14ac:dyDescent="0.25">
      <c r="A86" t="s">
        <v>301</v>
      </c>
      <c r="B86" s="38">
        <v>5.4284958333333302</v>
      </c>
      <c r="C86" s="38">
        <v>5.4284958333333302</v>
      </c>
      <c r="D86" s="38">
        <v>5.4284958333333302</v>
      </c>
      <c r="E86" s="38">
        <v>5.4284958333333302</v>
      </c>
      <c r="G86" s="36"/>
    </row>
    <row r="87" spans="1:7" x14ac:dyDescent="0.25">
      <c r="A87" t="s">
        <v>302</v>
      </c>
      <c r="B87" s="38">
        <v>70.2768333333333</v>
      </c>
      <c r="C87" s="38">
        <v>70.2768333333333</v>
      </c>
      <c r="D87" s="38">
        <v>70.2768333333333</v>
      </c>
      <c r="E87" s="38">
        <v>70.2768333333333</v>
      </c>
      <c r="G87" s="36"/>
    </row>
    <row r="88" spans="1:7" x14ac:dyDescent="0.25">
      <c r="A88" t="s">
        <v>303</v>
      </c>
      <c r="B88" s="38">
        <v>19.634120833333299</v>
      </c>
      <c r="C88" s="38">
        <v>19.634120833333299</v>
      </c>
      <c r="D88" s="38">
        <v>19.634120833333299</v>
      </c>
      <c r="E88" s="38">
        <v>19.634120833333299</v>
      </c>
      <c r="G88" s="36"/>
    </row>
    <row r="89" spans="1:7" x14ac:dyDescent="0.25">
      <c r="A89" t="s">
        <v>304</v>
      </c>
      <c r="B89" s="38">
        <v>17.6332083333333</v>
      </c>
      <c r="C89" s="38">
        <v>17.6332083333333</v>
      </c>
      <c r="D89" s="38">
        <v>17.6332083333333</v>
      </c>
      <c r="E89" s="38">
        <v>17.6332083333333</v>
      </c>
      <c r="G89" s="36"/>
    </row>
    <row r="90" spans="1:7" x14ac:dyDescent="0.25">
      <c r="A90" t="s">
        <v>305</v>
      </c>
      <c r="B90" s="38">
        <v>72.178875000000005</v>
      </c>
      <c r="C90" s="38">
        <v>72.178875000000005</v>
      </c>
      <c r="D90" s="38">
        <v>72.178875000000005</v>
      </c>
      <c r="E90" s="38">
        <v>72.178875000000005</v>
      </c>
      <c r="G90" s="36"/>
    </row>
    <row r="91" spans="1:7" x14ac:dyDescent="0.25">
      <c r="A91" t="s">
        <v>306</v>
      </c>
      <c r="B91" s="38">
        <v>0.23732083333333301</v>
      </c>
      <c r="C91" s="38">
        <v>0.23732083333333301</v>
      </c>
      <c r="D91" s="38">
        <v>0.23732083333333301</v>
      </c>
      <c r="E91" s="38">
        <v>0.23732083333333301</v>
      </c>
      <c r="G91" s="36"/>
    </row>
    <row r="92" spans="1:7" x14ac:dyDescent="0.25">
      <c r="A92" t="s">
        <v>307</v>
      </c>
      <c r="B92" s="38">
        <v>449.11954166666698</v>
      </c>
      <c r="C92" s="38">
        <v>449.11954166666698</v>
      </c>
      <c r="D92" s="38">
        <v>449.11954166666698</v>
      </c>
      <c r="E92" s="38">
        <v>449.11954166666698</v>
      </c>
      <c r="G92" s="36"/>
    </row>
    <row r="93" spans="1:7" x14ac:dyDescent="0.25">
      <c r="A93" t="s">
        <v>308</v>
      </c>
      <c r="B93" s="38">
        <v>469.58704166666701</v>
      </c>
      <c r="C93" s="38">
        <v>469.58704166666701</v>
      </c>
      <c r="D93" s="38">
        <v>469.58704166666701</v>
      </c>
      <c r="E93" s="38">
        <v>469.58704166666701</v>
      </c>
      <c r="G93" s="36"/>
    </row>
    <row r="94" spans="1:7" x14ac:dyDescent="0.25">
      <c r="A94" t="s">
        <v>309</v>
      </c>
      <c r="B94" s="38">
        <v>373.74620833333302</v>
      </c>
      <c r="C94" s="38">
        <v>373.74620833333302</v>
      </c>
      <c r="D94" s="38">
        <v>373.74620833333302</v>
      </c>
      <c r="E94" s="38">
        <v>373.74620833333302</v>
      </c>
      <c r="G94" s="36"/>
    </row>
    <row r="95" spans="1:7" x14ac:dyDescent="0.25">
      <c r="A95" t="s">
        <v>310</v>
      </c>
      <c r="B95" s="38">
        <v>65.561958333333294</v>
      </c>
      <c r="C95" s="38">
        <v>65.561958333333294</v>
      </c>
      <c r="D95" s="38">
        <v>65.561958333333294</v>
      </c>
      <c r="E95" s="38">
        <v>65.561958333333294</v>
      </c>
      <c r="G95" s="36"/>
    </row>
    <row r="96" spans="1:7" x14ac:dyDescent="0.25">
      <c r="A96" t="s">
        <v>311</v>
      </c>
      <c r="B96" s="38">
        <v>168.704041666667</v>
      </c>
      <c r="C96" s="38">
        <v>168.704041666667</v>
      </c>
      <c r="D96" s="38">
        <v>168.704041666667</v>
      </c>
      <c r="E96" s="38">
        <v>168.704041666667</v>
      </c>
      <c r="G96" s="36"/>
    </row>
    <row r="97" spans="1:7" x14ac:dyDescent="0.25">
      <c r="A97" t="s">
        <v>312</v>
      </c>
      <c r="B97" s="38">
        <v>13.4375</v>
      </c>
      <c r="C97" s="38">
        <v>13.4375</v>
      </c>
      <c r="D97" s="38">
        <v>13.4375</v>
      </c>
      <c r="E97" s="38">
        <v>13.4375</v>
      </c>
      <c r="G97" s="36"/>
    </row>
    <row r="98" spans="1:7" x14ac:dyDescent="0.25">
      <c r="A98" t="s">
        <v>313</v>
      </c>
      <c r="B98" s="38">
        <v>14.375</v>
      </c>
      <c r="C98" s="38">
        <v>14.375</v>
      </c>
      <c r="D98" s="38">
        <v>14.375</v>
      </c>
      <c r="E98" s="38">
        <v>14.375</v>
      </c>
      <c r="G98" s="36"/>
    </row>
    <row r="99" spans="1:7" x14ac:dyDescent="0.25">
      <c r="A99" t="s">
        <v>314</v>
      </c>
      <c r="B99" s="38">
        <v>13.4375</v>
      </c>
      <c r="C99" s="38">
        <v>13.4375</v>
      </c>
      <c r="D99" s="38">
        <v>13.4375</v>
      </c>
      <c r="E99" s="38">
        <v>13.4375</v>
      </c>
      <c r="G99" s="36"/>
    </row>
    <row r="100" spans="1:7" x14ac:dyDescent="0.25">
      <c r="A100" t="s">
        <v>315</v>
      </c>
      <c r="B100" s="38">
        <v>628.16972916666703</v>
      </c>
      <c r="C100" s="38">
        <v>628.16972916666703</v>
      </c>
      <c r="D100" s="38">
        <v>628.16972916666703</v>
      </c>
      <c r="E100" s="38">
        <v>628.16972916666703</v>
      </c>
      <c r="G100" s="36"/>
    </row>
    <row r="101" spans="1:7" x14ac:dyDescent="0.25">
      <c r="A101" t="s">
        <v>316</v>
      </c>
      <c r="B101" s="38">
        <v>585.87470416666702</v>
      </c>
      <c r="C101" s="38">
        <v>585.87470416666702</v>
      </c>
      <c r="D101" s="38">
        <v>585.87470416666702</v>
      </c>
      <c r="E101" s="38">
        <v>585.87470416666702</v>
      </c>
      <c r="G101" s="36"/>
    </row>
    <row r="102" spans="1:7" x14ac:dyDescent="0.25">
      <c r="A102" t="s">
        <v>317</v>
      </c>
      <c r="B102" s="38">
        <v>6.4713333333333303</v>
      </c>
      <c r="C102" s="38">
        <v>6.4713333333333303</v>
      </c>
      <c r="D102" s="38">
        <v>6.4713333333333303</v>
      </c>
      <c r="E102" s="38">
        <v>6.4713333333333303</v>
      </c>
      <c r="G102" s="36"/>
    </row>
    <row r="103" spans="1:7" x14ac:dyDescent="0.25">
      <c r="A103" t="s">
        <v>318</v>
      </c>
      <c r="B103" s="38">
        <v>14.375</v>
      </c>
      <c r="C103" s="38">
        <v>14.375</v>
      </c>
      <c r="D103" s="38">
        <v>14.375</v>
      </c>
      <c r="E103" s="38">
        <v>14.375</v>
      </c>
      <c r="G103" s="36"/>
    </row>
    <row r="104" spans="1:7" x14ac:dyDescent="0.25">
      <c r="A104" t="s">
        <v>319</v>
      </c>
      <c r="B104" s="38">
        <v>87.223291666666697</v>
      </c>
      <c r="C104" s="38">
        <v>87.223291666666697</v>
      </c>
      <c r="D104" s="38">
        <v>87.223291666666697</v>
      </c>
      <c r="E104" s="38">
        <v>87.223291666666697</v>
      </c>
      <c r="G104" s="36"/>
    </row>
    <row r="105" spans="1:7" x14ac:dyDescent="0.25">
      <c r="A105" t="s">
        <v>320</v>
      </c>
      <c r="B105" s="38">
        <v>120.8</v>
      </c>
      <c r="C105" s="38">
        <v>120.8</v>
      </c>
      <c r="D105" s="38">
        <v>120.8</v>
      </c>
      <c r="E105" s="38">
        <v>120.8</v>
      </c>
      <c r="G105" s="36"/>
    </row>
    <row r="106" spans="1:7" x14ac:dyDescent="0.25">
      <c r="A106" t="s">
        <v>321</v>
      </c>
      <c r="B106" s="38">
        <v>128.420166666667</v>
      </c>
      <c r="C106" s="38">
        <v>128.420166666667</v>
      </c>
      <c r="D106" s="38">
        <v>128.420166666667</v>
      </c>
      <c r="E106" s="38">
        <v>128.420166666667</v>
      </c>
      <c r="G106" s="36"/>
    </row>
    <row r="107" spans="1:7" x14ac:dyDescent="0.25">
      <c r="A107" t="s">
        <v>322</v>
      </c>
      <c r="B107" s="38">
        <v>46.841166666666702</v>
      </c>
      <c r="C107" s="38">
        <v>46.841166666666702</v>
      </c>
      <c r="D107" s="38">
        <v>46.841166666666702</v>
      </c>
      <c r="E107" s="38">
        <v>46.841166666666702</v>
      </c>
      <c r="G107" s="36"/>
    </row>
    <row r="108" spans="1:7" x14ac:dyDescent="0.25">
      <c r="A108" t="s">
        <v>323</v>
      </c>
      <c r="B108" s="38">
        <v>143.700416666667</v>
      </c>
      <c r="C108" s="38">
        <v>143.700416666667</v>
      </c>
      <c r="D108" s="38">
        <v>143.700416666667</v>
      </c>
      <c r="E108" s="38">
        <v>143.700416666667</v>
      </c>
      <c r="G108" s="36"/>
    </row>
    <row r="109" spans="1:7" x14ac:dyDescent="0.25">
      <c r="A109" t="s">
        <v>324</v>
      </c>
      <c r="B109" s="38">
        <v>132.28820416666699</v>
      </c>
      <c r="C109" s="38">
        <v>132.28820416666699</v>
      </c>
      <c r="D109" s="38">
        <v>132.28820416666699</v>
      </c>
      <c r="E109" s="38">
        <v>132.28820416666699</v>
      </c>
      <c r="G109" s="36"/>
    </row>
    <row r="110" spans="1:7" x14ac:dyDescent="0.25">
      <c r="A110" t="s">
        <v>325</v>
      </c>
      <c r="B110" s="38">
        <v>175.7312</v>
      </c>
      <c r="C110" s="38">
        <v>175.7312</v>
      </c>
      <c r="D110" s="38">
        <v>175.7312</v>
      </c>
      <c r="E110" s="38">
        <v>175.7312</v>
      </c>
      <c r="G110" s="36"/>
    </row>
    <row r="111" spans="1:7" x14ac:dyDescent="0.25">
      <c r="A111" t="s">
        <v>326</v>
      </c>
      <c r="B111" s="38">
        <v>9.49470833333333</v>
      </c>
      <c r="C111" s="38">
        <v>9.49470833333333</v>
      </c>
      <c r="D111" s="38">
        <v>9.49470833333333</v>
      </c>
      <c r="E111" s="38">
        <v>9.49470833333333</v>
      </c>
      <c r="G111" s="36"/>
    </row>
    <row r="112" spans="1:7" x14ac:dyDescent="0.25">
      <c r="A112" t="s">
        <v>327</v>
      </c>
      <c r="B112" s="38">
        <v>68.632625000000004</v>
      </c>
      <c r="C112" s="38">
        <v>68.632625000000004</v>
      </c>
      <c r="D112" s="38">
        <v>68.632625000000004</v>
      </c>
      <c r="E112" s="38">
        <v>68.632625000000004</v>
      </c>
      <c r="G112" s="36"/>
    </row>
    <row r="113" spans="1:7" x14ac:dyDescent="0.25">
      <c r="A113" t="s">
        <v>328</v>
      </c>
      <c r="B113" s="38">
        <v>81.059925000000007</v>
      </c>
      <c r="C113" s="38">
        <v>81.059925000000007</v>
      </c>
      <c r="D113" s="38">
        <v>81.059925000000007</v>
      </c>
      <c r="E113" s="38">
        <v>81.059925000000007</v>
      </c>
      <c r="G113" s="36"/>
    </row>
    <row r="114" spans="1:7" x14ac:dyDescent="0.25">
      <c r="A114" t="s">
        <v>329</v>
      </c>
      <c r="B114" s="38">
        <v>261.76004166666701</v>
      </c>
      <c r="C114" s="38">
        <v>261.76004166666701</v>
      </c>
      <c r="D114" s="38">
        <v>261.76004166666701</v>
      </c>
      <c r="E114" s="38">
        <v>261.76004166666701</v>
      </c>
      <c r="G114" s="36"/>
    </row>
    <row r="115" spans="1:7" x14ac:dyDescent="0.25">
      <c r="A115" t="s">
        <v>330</v>
      </c>
      <c r="B115" s="38">
        <v>224.360166666667</v>
      </c>
      <c r="C115" s="38">
        <v>224.360166666667</v>
      </c>
      <c r="D115" s="38">
        <v>224.360166666667</v>
      </c>
      <c r="E115" s="38">
        <v>224.360166666667</v>
      </c>
      <c r="G115" s="36"/>
    </row>
    <row r="116" spans="1:7" x14ac:dyDescent="0.25">
      <c r="A116" t="s">
        <v>331</v>
      </c>
      <c r="B116" s="38">
        <v>34.471083333333297</v>
      </c>
      <c r="C116" s="38">
        <v>34.471083333333297</v>
      </c>
      <c r="D116" s="38">
        <v>34.471083333333297</v>
      </c>
      <c r="E116" s="38">
        <v>34.471083333333297</v>
      </c>
      <c r="G116" s="36"/>
    </row>
    <row r="117" spans="1:7" x14ac:dyDescent="0.25">
      <c r="A117" t="s">
        <v>332</v>
      </c>
      <c r="B117" s="38">
        <v>481.31681250000003</v>
      </c>
      <c r="C117" s="38">
        <v>481.31681250000003</v>
      </c>
      <c r="D117" s="38">
        <v>481.31681250000003</v>
      </c>
      <c r="E117" s="38">
        <v>481.31681250000003</v>
      </c>
      <c r="G117" s="36"/>
    </row>
    <row r="118" spans="1:7" x14ac:dyDescent="0.25">
      <c r="A118" t="s">
        <v>333</v>
      </c>
      <c r="B118" s="38">
        <v>142.161820833333</v>
      </c>
      <c r="C118" s="38">
        <v>142.161820833333</v>
      </c>
      <c r="D118" s="38">
        <v>142.161820833333</v>
      </c>
      <c r="E118" s="38">
        <v>142.161820833333</v>
      </c>
      <c r="G118" s="36"/>
    </row>
    <row r="119" spans="1:7" x14ac:dyDescent="0.25">
      <c r="A119" t="s">
        <v>334</v>
      </c>
      <c r="B119" s="38">
        <v>808.58704999999998</v>
      </c>
      <c r="C119" s="38">
        <v>808.58704999999998</v>
      </c>
      <c r="D119" s="38">
        <v>808.58704999999998</v>
      </c>
      <c r="E119" s="38">
        <v>808.58704999999998</v>
      </c>
      <c r="G119" s="36"/>
    </row>
    <row r="120" spans="1:7" x14ac:dyDescent="0.25">
      <c r="A120" t="s">
        <v>335</v>
      </c>
      <c r="B120" s="38">
        <v>1569.2398416666699</v>
      </c>
      <c r="C120" s="38">
        <v>1569.2398416666699</v>
      </c>
      <c r="D120" s="38">
        <v>1569.2398416666699</v>
      </c>
      <c r="E120" s="38">
        <v>1569.2398416666699</v>
      </c>
      <c r="G120" s="36"/>
    </row>
  </sheetData>
  <autoFilter ref="A1:E120"/>
  <hyperlinks>
    <hyperlink ref="K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D307"/>
  <sheetViews>
    <sheetView zoomScaleNormal="100" workbookViewId="0">
      <selection activeCell="A2" activeCellId="1" sqref="B2:B120 A2"/>
    </sheetView>
  </sheetViews>
  <sheetFormatPr defaultRowHeight="15" x14ac:dyDescent="0.25"/>
  <cols>
    <col min="1" max="1" width="18.7109375" style="39"/>
    <col min="2" max="2" width="15.85546875" style="39"/>
    <col min="3" max="3" width="8.5703125"/>
    <col min="4" max="4" width="15.28515625" style="39"/>
    <col min="5" max="1025" width="8.5703125"/>
  </cols>
  <sheetData>
    <row r="1" spans="1:4" ht="15" customHeight="1" x14ac:dyDescent="0.25">
      <c r="A1" s="40" t="s">
        <v>119</v>
      </c>
      <c r="B1" s="41" t="s">
        <v>336</v>
      </c>
      <c r="D1" s="40" t="s">
        <v>119</v>
      </c>
    </row>
    <row r="2" spans="1:4" x14ac:dyDescent="0.25">
      <c r="A2" s="42" t="s">
        <v>120</v>
      </c>
      <c r="B2" s="43">
        <v>0</v>
      </c>
      <c r="D2" s="43" t="s">
        <v>337</v>
      </c>
    </row>
    <row r="3" spans="1:4" x14ac:dyDescent="0.25">
      <c r="A3" s="42" t="s">
        <v>338</v>
      </c>
      <c r="B3" s="43">
        <v>0</v>
      </c>
      <c r="D3" s="43" t="s">
        <v>339</v>
      </c>
    </row>
    <row r="4" spans="1:4" x14ac:dyDescent="0.25">
      <c r="A4" s="42" t="s">
        <v>340</v>
      </c>
      <c r="B4" s="43">
        <v>0</v>
      </c>
      <c r="D4" s="43" t="s">
        <v>341</v>
      </c>
    </row>
    <row r="5" spans="1:4" x14ac:dyDescent="0.25">
      <c r="A5" s="42" t="s">
        <v>342</v>
      </c>
      <c r="B5" s="43">
        <v>0</v>
      </c>
      <c r="D5" s="43" t="s">
        <v>343</v>
      </c>
    </row>
    <row r="6" spans="1:4" x14ac:dyDescent="0.25">
      <c r="A6" s="42" t="s">
        <v>344</v>
      </c>
      <c r="B6" s="43">
        <v>0</v>
      </c>
      <c r="D6" s="43" t="s">
        <v>345</v>
      </c>
    </row>
    <row r="7" spans="1:4" x14ac:dyDescent="0.25">
      <c r="A7" s="42" t="s">
        <v>346</v>
      </c>
      <c r="B7" s="43">
        <v>0</v>
      </c>
      <c r="D7" s="43" t="s">
        <v>347</v>
      </c>
    </row>
    <row r="8" spans="1:4" x14ac:dyDescent="0.25">
      <c r="A8" s="42" t="s">
        <v>348</v>
      </c>
      <c r="B8" s="43">
        <v>0</v>
      </c>
      <c r="D8" s="43" t="s">
        <v>349</v>
      </c>
    </row>
    <row r="9" spans="1:4" x14ac:dyDescent="0.25">
      <c r="A9" s="42" t="s">
        <v>350</v>
      </c>
      <c r="B9" s="43">
        <v>0</v>
      </c>
      <c r="D9" s="43" t="s">
        <v>351</v>
      </c>
    </row>
    <row r="10" spans="1:4" x14ac:dyDescent="0.25">
      <c r="A10" s="42" t="s">
        <v>121</v>
      </c>
      <c r="B10" s="43">
        <v>0</v>
      </c>
      <c r="D10" s="43" t="s">
        <v>352</v>
      </c>
    </row>
    <row r="11" spans="1:4" x14ac:dyDescent="0.25">
      <c r="A11" s="42" t="s">
        <v>353</v>
      </c>
      <c r="B11" s="43">
        <v>0</v>
      </c>
      <c r="D11" s="43" t="s">
        <v>354</v>
      </c>
    </row>
    <row r="12" spans="1:4" x14ac:dyDescent="0.25">
      <c r="A12" s="42" t="s">
        <v>122</v>
      </c>
      <c r="B12" s="43">
        <v>0</v>
      </c>
      <c r="D12" s="43" t="s">
        <v>355</v>
      </c>
    </row>
    <row r="13" spans="1:4" x14ac:dyDescent="0.25">
      <c r="A13" s="42" t="s">
        <v>356</v>
      </c>
      <c r="B13" s="43">
        <v>0</v>
      </c>
      <c r="D13" s="43" t="s">
        <v>357</v>
      </c>
    </row>
    <row r="14" spans="1:4" x14ac:dyDescent="0.25">
      <c r="A14" s="42" t="s">
        <v>358</v>
      </c>
      <c r="B14" s="43">
        <v>0</v>
      </c>
      <c r="D14" s="43" t="s">
        <v>359</v>
      </c>
    </row>
    <row r="15" spans="1:4" x14ac:dyDescent="0.25">
      <c r="A15" s="42" t="s">
        <v>360</v>
      </c>
      <c r="B15" s="43">
        <v>0</v>
      </c>
      <c r="D15" s="43" t="s">
        <v>361</v>
      </c>
    </row>
    <row r="16" spans="1:4" x14ac:dyDescent="0.25">
      <c r="A16" s="42" t="s">
        <v>362</v>
      </c>
      <c r="B16" s="43">
        <v>0</v>
      </c>
      <c r="D16" s="43" t="s">
        <v>363</v>
      </c>
    </row>
    <row r="17" spans="1:4" x14ac:dyDescent="0.25">
      <c r="A17" s="42" t="s">
        <v>123</v>
      </c>
      <c r="B17" s="43">
        <v>0</v>
      </c>
      <c r="D17" s="43" t="s">
        <v>364</v>
      </c>
    </row>
    <row r="18" spans="1:4" x14ac:dyDescent="0.25">
      <c r="A18" s="42" t="s">
        <v>365</v>
      </c>
      <c r="B18" s="43">
        <v>0</v>
      </c>
      <c r="D18" s="43" t="s">
        <v>366</v>
      </c>
    </row>
    <row r="19" spans="1:4" x14ac:dyDescent="0.25">
      <c r="A19" s="42" t="s">
        <v>367</v>
      </c>
      <c r="B19" s="43">
        <v>0</v>
      </c>
      <c r="D19" s="44" t="s">
        <v>368</v>
      </c>
    </row>
    <row r="20" spans="1:4" x14ac:dyDescent="0.25">
      <c r="A20" s="42" t="s">
        <v>369</v>
      </c>
      <c r="B20" s="43">
        <v>0</v>
      </c>
      <c r="D20" s="43" t="s">
        <v>370</v>
      </c>
    </row>
    <row r="21" spans="1:4" x14ac:dyDescent="0.25">
      <c r="A21" s="42" t="s">
        <v>124</v>
      </c>
      <c r="B21" s="43">
        <v>0</v>
      </c>
      <c r="D21" s="43" t="s">
        <v>371</v>
      </c>
    </row>
    <row r="22" spans="1:4" x14ac:dyDescent="0.25">
      <c r="A22" s="42" t="s">
        <v>372</v>
      </c>
      <c r="B22" s="43">
        <v>0</v>
      </c>
      <c r="D22" s="43" t="s">
        <v>373</v>
      </c>
    </row>
    <row r="23" spans="1:4" x14ac:dyDescent="0.25">
      <c r="A23" s="42" t="s">
        <v>374</v>
      </c>
      <c r="B23" s="43">
        <v>0</v>
      </c>
      <c r="D23" s="43" t="s">
        <v>375</v>
      </c>
    </row>
    <row r="24" spans="1:4" x14ac:dyDescent="0.25">
      <c r="A24" s="42" t="s">
        <v>376</v>
      </c>
      <c r="B24" s="43">
        <v>0</v>
      </c>
      <c r="D24" s="43" t="s">
        <v>377</v>
      </c>
    </row>
    <row r="25" spans="1:4" x14ac:dyDescent="0.25">
      <c r="A25" s="42" t="s">
        <v>378</v>
      </c>
      <c r="B25" s="43">
        <v>0</v>
      </c>
      <c r="D25" s="43" t="s">
        <v>379</v>
      </c>
    </row>
    <row r="26" spans="1:4" x14ac:dyDescent="0.25">
      <c r="A26" s="42" t="s">
        <v>380</v>
      </c>
      <c r="B26" s="43">
        <v>0</v>
      </c>
      <c r="D26" s="43" t="s">
        <v>381</v>
      </c>
    </row>
    <row r="27" spans="1:4" x14ac:dyDescent="0.25">
      <c r="A27" s="42" t="s">
        <v>126</v>
      </c>
      <c r="B27" s="43">
        <v>0</v>
      </c>
      <c r="D27" s="43" t="s">
        <v>382</v>
      </c>
    </row>
    <row r="28" spans="1:4" x14ac:dyDescent="0.25">
      <c r="A28" s="42" t="s">
        <v>383</v>
      </c>
      <c r="B28" s="43">
        <v>0</v>
      </c>
      <c r="D28" s="43" t="s">
        <v>384</v>
      </c>
    </row>
    <row r="29" spans="1:4" x14ac:dyDescent="0.25">
      <c r="A29" s="42" t="s">
        <v>385</v>
      </c>
      <c r="B29" s="43">
        <v>0</v>
      </c>
      <c r="D29" s="43" t="s">
        <v>386</v>
      </c>
    </row>
    <row r="30" spans="1:4" x14ac:dyDescent="0.25">
      <c r="A30" s="42" t="s">
        <v>387</v>
      </c>
      <c r="B30" s="43">
        <v>0</v>
      </c>
      <c r="D30" s="43" t="s">
        <v>388</v>
      </c>
    </row>
    <row r="31" spans="1:4" x14ac:dyDescent="0.25">
      <c r="A31" s="42" t="s">
        <v>389</v>
      </c>
      <c r="B31" s="43">
        <v>0</v>
      </c>
      <c r="D31" s="43" t="s">
        <v>390</v>
      </c>
    </row>
    <row r="32" spans="1:4" x14ac:dyDescent="0.25">
      <c r="A32" s="42" t="s">
        <v>391</v>
      </c>
      <c r="B32" s="43">
        <v>0</v>
      </c>
      <c r="D32" s="43" t="s">
        <v>392</v>
      </c>
    </row>
    <row r="33" spans="1:4" x14ac:dyDescent="0.25">
      <c r="A33" s="42" t="s">
        <v>127</v>
      </c>
      <c r="B33" s="43">
        <v>0</v>
      </c>
      <c r="D33" s="43" t="s">
        <v>393</v>
      </c>
    </row>
    <row r="34" spans="1:4" x14ac:dyDescent="0.25">
      <c r="A34" s="42" t="s">
        <v>128</v>
      </c>
      <c r="B34" s="43">
        <v>0</v>
      </c>
      <c r="D34" s="43" t="s">
        <v>394</v>
      </c>
    </row>
    <row r="35" spans="1:4" x14ac:dyDescent="0.25">
      <c r="A35" s="42" t="s">
        <v>395</v>
      </c>
      <c r="B35" s="43">
        <v>0</v>
      </c>
      <c r="D35" s="43" t="s">
        <v>396</v>
      </c>
    </row>
    <row r="36" spans="1:4" x14ac:dyDescent="0.25">
      <c r="A36" s="42" t="s">
        <v>397</v>
      </c>
      <c r="B36" s="43">
        <v>0</v>
      </c>
      <c r="D36" s="43" t="s">
        <v>398</v>
      </c>
    </row>
    <row r="37" spans="1:4" x14ac:dyDescent="0.25">
      <c r="A37" s="42" t="s">
        <v>130</v>
      </c>
      <c r="B37" s="43">
        <v>0</v>
      </c>
      <c r="D37" s="43" t="s">
        <v>399</v>
      </c>
    </row>
    <row r="38" spans="1:4" x14ac:dyDescent="0.25">
      <c r="A38" s="42" t="s">
        <v>400</v>
      </c>
      <c r="B38" s="43">
        <v>0</v>
      </c>
      <c r="D38" s="43" t="s">
        <v>401</v>
      </c>
    </row>
    <row r="39" spans="1:4" x14ac:dyDescent="0.25">
      <c r="A39" s="42" t="s">
        <v>131</v>
      </c>
      <c r="B39" s="43">
        <v>0</v>
      </c>
      <c r="D39" s="43" t="s">
        <v>402</v>
      </c>
    </row>
    <row r="40" spans="1:4" x14ac:dyDescent="0.25">
      <c r="A40" s="42" t="s">
        <v>403</v>
      </c>
      <c r="B40" s="43">
        <v>0</v>
      </c>
      <c r="D40" s="43" t="s">
        <v>404</v>
      </c>
    </row>
    <row r="41" spans="1:4" x14ac:dyDescent="0.25">
      <c r="A41" s="42" t="s">
        <v>405</v>
      </c>
      <c r="B41" s="43">
        <v>0</v>
      </c>
      <c r="D41" s="43" t="s">
        <v>406</v>
      </c>
    </row>
    <row r="42" spans="1:4" x14ac:dyDescent="0.25">
      <c r="A42" s="42" t="s">
        <v>407</v>
      </c>
      <c r="B42" s="43">
        <v>0</v>
      </c>
      <c r="D42" s="43" t="s">
        <v>408</v>
      </c>
    </row>
    <row r="43" spans="1:4" x14ac:dyDescent="0.25">
      <c r="A43" s="42" t="s">
        <v>409</v>
      </c>
      <c r="B43" s="43">
        <v>0</v>
      </c>
      <c r="D43" s="43" t="s">
        <v>410</v>
      </c>
    </row>
    <row r="44" spans="1:4" x14ac:dyDescent="0.25">
      <c r="A44" s="42" t="s">
        <v>411</v>
      </c>
      <c r="B44" s="43">
        <v>0</v>
      </c>
      <c r="D44" s="43" t="s">
        <v>412</v>
      </c>
    </row>
    <row r="45" spans="1:4" x14ac:dyDescent="0.25">
      <c r="A45" s="42" t="s">
        <v>413</v>
      </c>
      <c r="B45" s="43">
        <v>0</v>
      </c>
      <c r="D45" s="43" t="s">
        <v>414</v>
      </c>
    </row>
    <row r="46" spans="1:4" x14ac:dyDescent="0.25">
      <c r="A46" s="42" t="s">
        <v>134</v>
      </c>
      <c r="B46" s="43">
        <v>0</v>
      </c>
      <c r="D46" s="43" t="s">
        <v>415</v>
      </c>
    </row>
    <row r="47" spans="1:4" x14ac:dyDescent="0.25">
      <c r="A47" s="42" t="s">
        <v>416</v>
      </c>
      <c r="B47" s="43">
        <v>0</v>
      </c>
      <c r="D47" s="43" t="s">
        <v>417</v>
      </c>
    </row>
    <row r="48" spans="1:4" x14ac:dyDescent="0.25">
      <c r="A48" s="42" t="s">
        <v>418</v>
      </c>
      <c r="B48" s="43">
        <v>0</v>
      </c>
      <c r="D48" s="43" t="s">
        <v>419</v>
      </c>
    </row>
    <row r="49" spans="1:4" x14ac:dyDescent="0.25">
      <c r="A49" s="42" t="s">
        <v>136</v>
      </c>
      <c r="B49" s="43">
        <v>0</v>
      </c>
      <c r="D49" s="43" t="s">
        <v>420</v>
      </c>
    </row>
    <row r="50" spans="1:4" x14ac:dyDescent="0.25">
      <c r="A50" s="42" t="s">
        <v>421</v>
      </c>
      <c r="B50" s="43">
        <v>0</v>
      </c>
      <c r="D50" s="43" t="s">
        <v>422</v>
      </c>
    </row>
    <row r="51" spans="1:4" x14ac:dyDescent="0.25">
      <c r="A51" s="42" t="s">
        <v>137</v>
      </c>
      <c r="B51" s="43">
        <v>0</v>
      </c>
      <c r="D51" s="43" t="s">
        <v>423</v>
      </c>
    </row>
    <row r="52" spans="1:4" x14ac:dyDescent="0.25">
      <c r="A52" s="42" t="s">
        <v>138</v>
      </c>
      <c r="B52" s="43">
        <v>0</v>
      </c>
      <c r="D52" s="43" t="s">
        <v>424</v>
      </c>
    </row>
    <row r="53" spans="1:4" x14ac:dyDescent="0.25">
      <c r="A53" s="42" t="s">
        <v>139</v>
      </c>
      <c r="B53" s="43">
        <v>0</v>
      </c>
      <c r="D53" s="43" t="s">
        <v>425</v>
      </c>
    </row>
    <row r="54" spans="1:4" x14ac:dyDescent="0.25">
      <c r="A54" s="42" t="s">
        <v>140</v>
      </c>
      <c r="B54" s="43">
        <v>0</v>
      </c>
      <c r="D54" s="43" t="s">
        <v>426</v>
      </c>
    </row>
    <row r="55" spans="1:4" x14ac:dyDescent="0.25">
      <c r="A55" s="42" t="s">
        <v>427</v>
      </c>
      <c r="B55" s="43">
        <v>0</v>
      </c>
      <c r="D55" s="43" t="s">
        <v>428</v>
      </c>
    </row>
    <row r="56" spans="1:4" x14ac:dyDescent="0.25">
      <c r="A56" s="42" t="s">
        <v>141</v>
      </c>
      <c r="B56" s="43">
        <v>0</v>
      </c>
      <c r="D56" s="43" t="s">
        <v>429</v>
      </c>
    </row>
    <row r="57" spans="1:4" x14ac:dyDescent="0.25">
      <c r="A57" s="42" t="s">
        <v>142</v>
      </c>
      <c r="B57" s="43">
        <v>0</v>
      </c>
      <c r="D57" s="43" t="s">
        <v>430</v>
      </c>
    </row>
    <row r="58" spans="1:4" x14ac:dyDescent="0.25">
      <c r="A58" s="42" t="s">
        <v>431</v>
      </c>
      <c r="B58" s="43">
        <v>0</v>
      </c>
      <c r="D58" s="43" t="s">
        <v>432</v>
      </c>
    </row>
    <row r="59" spans="1:4" x14ac:dyDescent="0.25">
      <c r="A59" s="42" t="s">
        <v>143</v>
      </c>
      <c r="B59" s="43">
        <v>0</v>
      </c>
      <c r="D59" s="43" t="s">
        <v>433</v>
      </c>
    </row>
    <row r="60" spans="1:4" x14ac:dyDescent="0.25">
      <c r="A60" s="42" t="s">
        <v>434</v>
      </c>
      <c r="B60" s="43">
        <v>0</v>
      </c>
      <c r="D60" s="43" t="s">
        <v>435</v>
      </c>
    </row>
    <row r="61" spans="1:4" x14ac:dyDescent="0.25">
      <c r="A61" s="42" t="s">
        <v>436</v>
      </c>
      <c r="B61" s="43">
        <v>0</v>
      </c>
      <c r="D61" s="43" t="s">
        <v>437</v>
      </c>
    </row>
    <row r="62" spans="1:4" x14ac:dyDescent="0.25">
      <c r="A62" s="42" t="s">
        <v>438</v>
      </c>
      <c r="B62" s="43">
        <v>0</v>
      </c>
      <c r="D62" s="43" t="s">
        <v>439</v>
      </c>
    </row>
    <row r="63" spans="1:4" x14ac:dyDescent="0.25">
      <c r="A63" s="42" t="s">
        <v>144</v>
      </c>
      <c r="B63" s="43">
        <v>0</v>
      </c>
      <c r="D63" s="43" t="s">
        <v>440</v>
      </c>
    </row>
    <row r="64" spans="1:4" x14ac:dyDescent="0.25">
      <c r="A64" s="42" t="s">
        <v>145</v>
      </c>
      <c r="B64" s="43">
        <v>0</v>
      </c>
      <c r="D64" s="43" t="s">
        <v>441</v>
      </c>
    </row>
    <row r="65" spans="1:4" x14ac:dyDescent="0.25">
      <c r="A65" s="42" t="s">
        <v>146</v>
      </c>
      <c r="B65" s="43">
        <v>0</v>
      </c>
      <c r="D65" s="43" t="s">
        <v>442</v>
      </c>
    </row>
    <row r="66" spans="1:4" x14ac:dyDescent="0.25">
      <c r="A66" s="42" t="s">
        <v>147</v>
      </c>
      <c r="B66" s="43">
        <v>0</v>
      </c>
      <c r="D66" s="43" t="s">
        <v>443</v>
      </c>
    </row>
    <row r="67" spans="1:4" x14ac:dyDescent="0.25">
      <c r="A67" s="42" t="s">
        <v>148</v>
      </c>
      <c r="B67" s="43">
        <v>0</v>
      </c>
      <c r="D67" s="43" t="s">
        <v>444</v>
      </c>
    </row>
    <row r="68" spans="1:4" x14ac:dyDescent="0.25">
      <c r="A68" s="42" t="s">
        <v>149</v>
      </c>
      <c r="B68" s="43">
        <v>0</v>
      </c>
      <c r="D68" s="43" t="s">
        <v>445</v>
      </c>
    </row>
    <row r="69" spans="1:4" x14ac:dyDescent="0.25">
      <c r="A69" s="42" t="s">
        <v>150</v>
      </c>
      <c r="B69" s="43">
        <v>0</v>
      </c>
      <c r="D69" s="43" t="s">
        <v>446</v>
      </c>
    </row>
    <row r="70" spans="1:4" x14ac:dyDescent="0.25">
      <c r="A70" s="42" t="s">
        <v>151</v>
      </c>
      <c r="B70" s="43">
        <v>0</v>
      </c>
      <c r="D70" s="43" t="s">
        <v>447</v>
      </c>
    </row>
    <row r="71" spans="1:4" x14ac:dyDescent="0.25">
      <c r="A71" s="42" t="s">
        <v>448</v>
      </c>
      <c r="B71" s="43">
        <v>0</v>
      </c>
      <c r="D71" s="43" t="s">
        <v>449</v>
      </c>
    </row>
    <row r="72" spans="1:4" x14ac:dyDescent="0.25">
      <c r="A72" s="42" t="s">
        <v>152</v>
      </c>
      <c r="B72" s="43">
        <v>0</v>
      </c>
      <c r="D72" s="43" t="s">
        <v>450</v>
      </c>
    </row>
    <row r="73" spans="1:4" x14ac:dyDescent="0.25">
      <c r="A73" s="42" t="s">
        <v>451</v>
      </c>
      <c r="B73" s="43">
        <v>0</v>
      </c>
      <c r="D73" s="43" t="s">
        <v>452</v>
      </c>
    </row>
    <row r="74" spans="1:4" x14ac:dyDescent="0.25">
      <c r="A74" s="42" t="s">
        <v>453</v>
      </c>
      <c r="B74" s="43">
        <v>0</v>
      </c>
      <c r="D74" s="43" t="s">
        <v>454</v>
      </c>
    </row>
    <row r="75" spans="1:4" x14ac:dyDescent="0.25">
      <c r="A75" s="42" t="s">
        <v>153</v>
      </c>
      <c r="B75" s="43">
        <v>0</v>
      </c>
      <c r="D75" s="43" t="s">
        <v>455</v>
      </c>
    </row>
    <row r="76" spans="1:4" x14ac:dyDescent="0.25">
      <c r="A76" s="42" t="s">
        <v>456</v>
      </c>
      <c r="B76" s="43">
        <v>0</v>
      </c>
      <c r="D76" s="43" t="s">
        <v>457</v>
      </c>
    </row>
    <row r="77" spans="1:4" x14ac:dyDescent="0.25">
      <c r="A77" s="42" t="s">
        <v>458</v>
      </c>
      <c r="B77" s="43">
        <v>0</v>
      </c>
      <c r="D77" s="43" t="s">
        <v>459</v>
      </c>
    </row>
    <row r="78" spans="1:4" x14ac:dyDescent="0.25">
      <c r="A78" s="42" t="s">
        <v>460</v>
      </c>
      <c r="B78" s="43">
        <v>0</v>
      </c>
      <c r="D78" s="43" t="s">
        <v>461</v>
      </c>
    </row>
    <row r="79" spans="1:4" x14ac:dyDescent="0.25">
      <c r="A79" s="42" t="s">
        <v>462</v>
      </c>
      <c r="B79" s="43">
        <v>0</v>
      </c>
      <c r="D79" s="43" t="s">
        <v>463</v>
      </c>
    </row>
    <row r="80" spans="1:4" x14ac:dyDescent="0.25">
      <c r="A80" s="42" t="s">
        <v>464</v>
      </c>
      <c r="B80" s="43">
        <v>0</v>
      </c>
      <c r="D80" s="43" t="s">
        <v>465</v>
      </c>
    </row>
    <row r="81" spans="1:4" x14ac:dyDescent="0.25">
      <c r="A81" s="42" t="s">
        <v>466</v>
      </c>
      <c r="B81" s="43">
        <v>0</v>
      </c>
      <c r="D81" s="43" t="s">
        <v>467</v>
      </c>
    </row>
    <row r="82" spans="1:4" x14ac:dyDescent="0.25">
      <c r="A82" s="42" t="s">
        <v>468</v>
      </c>
      <c r="B82" s="43">
        <v>0</v>
      </c>
      <c r="D82" s="43" t="s">
        <v>469</v>
      </c>
    </row>
    <row r="83" spans="1:4" x14ac:dyDescent="0.25">
      <c r="A83" s="42" t="s">
        <v>470</v>
      </c>
      <c r="B83" s="43">
        <v>0</v>
      </c>
      <c r="D83" s="43" t="s">
        <v>471</v>
      </c>
    </row>
    <row r="84" spans="1:4" x14ac:dyDescent="0.25">
      <c r="A84" s="42" t="s">
        <v>472</v>
      </c>
      <c r="B84" s="43">
        <v>0</v>
      </c>
      <c r="D84" s="43" t="s">
        <v>473</v>
      </c>
    </row>
    <row r="85" spans="1:4" x14ac:dyDescent="0.25">
      <c r="A85" s="42" t="s">
        <v>474</v>
      </c>
      <c r="B85" s="43">
        <v>0</v>
      </c>
      <c r="D85" s="43" t="s">
        <v>475</v>
      </c>
    </row>
    <row r="86" spans="1:4" x14ac:dyDescent="0.25">
      <c r="A86" s="42" t="s">
        <v>476</v>
      </c>
      <c r="B86" s="43">
        <v>0</v>
      </c>
      <c r="D86" s="43" t="s">
        <v>477</v>
      </c>
    </row>
    <row r="87" spans="1:4" x14ac:dyDescent="0.25">
      <c r="A87" s="42" t="s">
        <v>478</v>
      </c>
      <c r="B87" s="43">
        <v>0</v>
      </c>
      <c r="D87" s="43" t="s">
        <v>479</v>
      </c>
    </row>
    <row r="88" spans="1:4" x14ac:dyDescent="0.25">
      <c r="A88" s="42" t="s">
        <v>480</v>
      </c>
      <c r="B88" s="43">
        <v>0</v>
      </c>
      <c r="D88" s="43" t="s">
        <v>481</v>
      </c>
    </row>
    <row r="89" spans="1:4" x14ac:dyDescent="0.25">
      <c r="A89" s="42" t="s">
        <v>482</v>
      </c>
      <c r="B89" s="43">
        <v>0</v>
      </c>
      <c r="D89" s="43" t="s">
        <v>483</v>
      </c>
    </row>
    <row r="90" spans="1:4" x14ac:dyDescent="0.25">
      <c r="A90" s="42" t="s">
        <v>484</v>
      </c>
      <c r="B90" s="43">
        <v>0</v>
      </c>
      <c r="D90" s="43" t="s">
        <v>485</v>
      </c>
    </row>
    <row r="91" spans="1:4" x14ac:dyDescent="0.25">
      <c r="A91" s="42" t="s">
        <v>486</v>
      </c>
      <c r="B91" s="43">
        <v>0</v>
      </c>
      <c r="D91" s="43" t="s">
        <v>487</v>
      </c>
    </row>
    <row r="92" spans="1:4" x14ac:dyDescent="0.25">
      <c r="A92" s="42" t="s">
        <v>488</v>
      </c>
      <c r="B92" s="43">
        <v>0</v>
      </c>
      <c r="D92" s="43" t="s">
        <v>489</v>
      </c>
    </row>
    <row r="93" spans="1:4" x14ac:dyDescent="0.25">
      <c r="A93" s="42" t="s">
        <v>490</v>
      </c>
      <c r="B93" s="43">
        <v>0</v>
      </c>
      <c r="D93" s="43" t="s">
        <v>491</v>
      </c>
    </row>
    <row r="94" spans="1:4" x14ac:dyDescent="0.25">
      <c r="A94" s="42" t="s">
        <v>492</v>
      </c>
      <c r="B94" s="43">
        <v>0</v>
      </c>
      <c r="D94" s="43" t="s">
        <v>493</v>
      </c>
    </row>
    <row r="95" spans="1:4" x14ac:dyDescent="0.25">
      <c r="A95" s="42" t="s">
        <v>494</v>
      </c>
      <c r="B95" s="43">
        <v>0</v>
      </c>
      <c r="D95" s="43" t="s">
        <v>495</v>
      </c>
    </row>
    <row r="96" spans="1:4" x14ac:dyDescent="0.25">
      <c r="A96" s="42" t="s">
        <v>496</v>
      </c>
      <c r="B96" s="43">
        <v>0</v>
      </c>
      <c r="D96" s="43" t="s">
        <v>497</v>
      </c>
    </row>
    <row r="97" spans="1:4" x14ac:dyDescent="0.25">
      <c r="A97" s="42" t="s">
        <v>498</v>
      </c>
      <c r="B97" s="43">
        <v>0</v>
      </c>
      <c r="D97" s="43" t="s">
        <v>499</v>
      </c>
    </row>
    <row r="98" spans="1:4" x14ac:dyDescent="0.25">
      <c r="A98" s="42" t="s">
        <v>500</v>
      </c>
      <c r="B98" s="43">
        <v>0</v>
      </c>
      <c r="D98" s="43" t="s">
        <v>501</v>
      </c>
    </row>
    <row r="99" spans="1:4" x14ac:dyDescent="0.25">
      <c r="A99" s="42" t="s">
        <v>502</v>
      </c>
      <c r="B99" s="43">
        <v>0</v>
      </c>
      <c r="D99" s="43" t="s">
        <v>503</v>
      </c>
    </row>
    <row r="100" spans="1:4" x14ac:dyDescent="0.25">
      <c r="A100" s="42" t="s">
        <v>504</v>
      </c>
      <c r="B100" s="43">
        <v>0</v>
      </c>
      <c r="D100" s="43" t="s">
        <v>505</v>
      </c>
    </row>
    <row r="101" spans="1:4" x14ac:dyDescent="0.25">
      <c r="A101" s="42" t="s">
        <v>506</v>
      </c>
      <c r="B101" s="43">
        <v>0</v>
      </c>
      <c r="D101" s="43" t="s">
        <v>507</v>
      </c>
    </row>
    <row r="102" spans="1:4" x14ac:dyDescent="0.25">
      <c r="A102" s="42" t="s">
        <v>508</v>
      </c>
      <c r="B102" s="43">
        <v>0</v>
      </c>
      <c r="D102" s="43" t="s">
        <v>509</v>
      </c>
    </row>
    <row r="103" spans="1:4" x14ac:dyDescent="0.25">
      <c r="A103" s="42" t="s">
        <v>510</v>
      </c>
      <c r="B103" s="43">
        <v>0</v>
      </c>
      <c r="D103" s="43" t="s">
        <v>511</v>
      </c>
    </row>
    <row r="104" spans="1:4" x14ac:dyDescent="0.25">
      <c r="A104" s="42" t="s">
        <v>512</v>
      </c>
      <c r="B104" s="43">
        <v>0</v>
      </c>
      <c r="D104" s="43" t="s">
        <v>513</v>
      </c>
    </row>
    <row r="105" spans="1:4" x14ac:dyDescent="0.25">
      <c r="A105" s="42" t="s">
        <v>514</v>
      </c>
      <c r="B105" s="43">
        <v>0</v>
      </c>
      <c r="D105" s="43" t="s">
        <v>515</v>
      </c>
    </row>
    <row r="106" spans="1:4" x14ac:dyDescent="0.25">
      <c r="A106" s="42" t="s">
        <v>516</v>
      </c>
      <c r="B106" s="43">
        <v>0</v>
      </c>
      <c r="D106" s="43" t="s">
        <v>517</v>
      </c>
    </row>
    <row r="107" spans="1:4" x14ac:dyDescent="0.25">
      <c r="A107" s="42" t="s">
        <v>518</v>
      </c>
      <c r="B107" s="43">
        <v>0</v>
      </c>
      <c r="D107" s="43" t="s">
        <v>519</v>
      </c>
    </row>
    <row r="108" spans="1:4" x14ac:dyDescent="0.25">
      <c r="A108" s="42" t="s">
        <v>520</v>
      </c>
      <c r="B108" s="43">
        <v>0</v>
      </c>
      <c r="D108" s="43" t="s">
        <v>521</v>
      </c>
    </row>
    <row r="109" spans="1:4" x14ac:dyDescent="0.25">
      <c r="A109" s="42" t="s">
        <v>522</v>
      </c>
      <c r="B109" s="43">
        <v>0</v>
      </c>
      <c r="D109" s="43" t="s">
        <v>523</v>
      </c>
    </row>
    <row r="110" spans="1:4" x14ac:dyDescent="0.25">
      <c r="A110" s="42" t="s">
        <v>524</v>
      </c>
      <c r="B110" s="43">
        <v>0</v>
      </c>
      <c r="D110" s="43" t="s">
        <v>525</v>
      </c>
    </row>
    <row r="111" spans="1:4" x14ac:dyDescent="0.25">
      <c r="A111" s="42" t="s">
        <v>526</v>
      </c>
      <c r="B111" s="43">
        <v>0</v>
      </c>
      <c r="D111" s="43" t="s">
        <v>527</v>
      </c>
    </row>
    <row r="112" spans="1:4" x14ac:dyDescent="0.25">
      <c r="A112" s="42" t="s">
        <v>528</v>
      </c>
      <c r="B112" s="43">
        <v>0</v>
      </c>
      <c r="D112" s="43" t="s">
        <v>529</v>
      </c>
    </row>
    <row r="113" spans="1:4" x14ac:dyDescent="0.25">
      <c r="A113" s="42" t="s">
        <v>530</v>
      </c>
      <c r="B113" s="43">
        <v>0</v>
      </c>
      <c r="D113" s="43" t="s">
        <v>531</v>
      </c>
    </row>
    <row r="114" spans="1:4" x14ac:dyDescent="0.25">
      <c r="A114" s="42" t="s">
        <v>532</v>
      </c>
      <c r="B114" s="43">
        <v>0</v>
      </c>
      <c r="D114" s="43" t="s">
        <v>533</v>
      </c>
    </row>
    <row r="115" spans="1:4" x14ac:dyDescent="0.25">
      <c r="A115" s="42" t="s">
        <v>534</v>
      </c>
      <c r="B115" s="43">
        <v>0</v>
      </c>
      <c r="D115" s="43" t="s">
        <v>535</v>
      </c>
    </row>
    <row r="116" spans="1:4" x14ac:dyDescent="0.25">
      <c r="A116" s="42" t="s">
        <v>536</v>
      </c>
      <c r="B116" s="43">
        <v>0</v>
      </c>
      <c r="D116" s="43" t="s">
        <v>537</v>
      </c>
    </row>
    <row r="117" spans="1:4" x14ac:dyDescent="0.25">
      <c r="A117" s="42" t="s">
        <v>538</v>
      </c>
      <c r="B117" s="43">
        <v>0</v>
      </c>
      <c r="D117" s="43" t="s">
        <v>539</v>
      </c>
    </row>
    <row r="118" spans="1:4" x14ac:dyDescent="0.25">
      <c r="A118" s="42" t="s">
        <v>540</v>
      </c>
      <c r="B118" s="43">
        <v>0</v>
      </c>
      <c r="D118" s="43" t="s">
        <v>541</v>
      </c>
    </row>
    <row r="119" spans="1:4" x14ac:dyDescent="0.25">
      <c r="A119" s="42" t="s">
        <v>542</v>
      </c>
      <c r="B119" s="43">
        <v>0</v>
      </c>
      <c r="D119" s="43" t="s">
        <v>543</v>
      </c>
    </row>
    <row r="120" spans="1:4" x14ac:dyDescent="0.25">
      <c r="A120" s="42" t="s">
        <v>544</v>
      </c>
      <c r="B120" s="43">
        <v>0</v>
      </c>
      <c r="D120" s="43" t="s">
        <v>545</v>
      </c>
    </row>
    <row r="121" spans="1:4" x14ac:dyDescent="0.25">
      <c r="A121" s="42" t="s">
        <v>546</v>
      </c>
      <c r="B121" s="43">
        <v>0</v>
      </c>
      <c r="D121" s="43" t="s">
        <v>547</v>
      </c>
    </row>
    <row r="122" spans="1:4" x14ac:dyDescent="0.25">
      <c r="A122" s="42" t="s">
        <v>548</v>
      </c>
      <c r="B122" s="43">
        <v>0</v>
      </c>
      <c r="D122" s="43" t="s">
        <v>549</v>
      </c>
    </row>
    <row r="123" spans="1:4" x14ac:dyDescent="0.25">
      <c r="A123" s="42" t="s">
        <v>550</v>
      </c>
      <c r="B123" s="43">
        <v>0</v>
      </c>
      <c r="D123" s="43" t="s">
        <v>551</v>
      </c>
    </row>
    <row r="124" spans="1:4" x14ac:dyDescent="0.25">
      <c r="A124" s="42" t="s">
        <v>552</v>
      </c>
      <c r="B124" s="43">
        <v>0</v>
      </c>
      <c r="D124" s="43" t="s">
        <v>553</v>
      </c>
    </row>
    <row r="125" spans="1:4" x14ac:dyDescent="0.25">
      <c r="A125" s="42" t="s">
        <v>554</v>
      </c>
      <c r="B125" s="43">
        <v>0</v>
      </c>
      <c r="D125" s="43" t="s">
        <v>555</v>
      </c>
    </row>
    <row r="126" spans="1:4" x14ac:dyDescent="0.25">
      <c r="A126" s="42" t="s">
        <v>556</v>
      </c>
      <c r="B126" s="43">
        <v>0</v>
      </c>
      <c r="D126" s="43" t="s">
        <v>557</v>
      </c>
    </row>
    <row r="127" spans="1:4" x14ac:dyDescent="0.25">
      <c r="A127" s="42" t="s">
        <v>558</v>
      </c>
      <c r="B127" s="43">
        <v>0</v>
      </c>
      <c r="D127" s="43" t="s">
        <v>559</v>
      </c>
    </row>
    <row r="128" spans="1:4" x14ac:dyDescent="0.25">
      <c r="A128" s="42" t="s">
        <v>560</v>
      </c>
      <c r="B128" s="43">
        <v>0</v>
      </c>
      <c r="D128" s="43" t="s">
        <v>561</v>
      </c>
    </row>
    <row r="129" spans="1:4" x14ac:dyDescent="0.25">
      <c r="A129" s="42" t="s">
        <v>562</v>
      </c>
      <c r="B129" s="43">
        <v>0</v>
      </c>
      <c r="D129" s="43" t="s">
        <v>563</v>
      </c>
    </row>
    <row r="130" spans="1:4" x14ac:dyDescent="0.25">
      <c r="A130" s="42" t="s">
        <v>564</v>
      </c>
      <c r="B130" s="43">
        <v>0</v>
      </c>
      <c r="D130" s="43" t="s">
        <v>565</v>
      </c>
    </row>
    <row r="131" spans="1:4" x14ac:dyDescent="0.25">
      <c r="A131" s="42" t="s">
        <v>566</v>
      </c>
      <c r="B131" s="43">
        <v>0</v>
      </c>
      <c r="D131" s="43" t="s">
        <v>567</v>
      </c>
    </row>
    <row r="132" spans="1:4" x14ac:dyDescent="0.25">
      <c r="A132" s="42" t="s">
        <v>568</v>
      </c>
      <c r="B132" s="43">
        <v>0</v>
      </c>
      <c r="D132" s="43" t="s">
        <v>569</v>
      </c>
    </row>
    <row r="133" spans="1:4" x14ac:dyDescent="0.25">
      <c r="A133" s="42" t="s">
        <v>570</v>
      </c>
      <c r="B133" s="43">
        <v>0</v>
      </c>
      <c r="D133" s="43" t="s">
        <v>571</v>
      </c>
    </row>
    <row r="134" spans="1:4" x14ac:dyDescent="0.25">
      <c r="A134" s="42" t="s">
        <v>572</v>
      </c>
      <c r="B134" s="43">
        <v>0</v>
      </c>
      <c r="D134" s="43" t="s">
        <v>573</v>
      </c>
    </row>
    <row r="135" spans="1:4" x14ac:dyDescent="0.25">
      <c r="A135" s="42" t="s">
        <v>574</v>
      </c>
      <c r="B135" s="43">
        <v>0</v>
      </c>
      <c r="D135" s="43" t="s">
        <v>575</v>
      </c>
    </row>
    <row r="136" spans="1:4" x14ac:dyDescent="0.25">
      <c r="A136" s="42" t="s">
        <v>576</v>
      </c>
      <c r="B136" s="43">
        <v>0</v>
      </c>
      <c r="D136" s="43" t="s">
        <v>577</v>
      </c>
    </row>
    <row r="137" spans="1:4" x14ac:dyDescent="0.25">
      <c r="A137" s="42" t="s">
        <v>578</v>
      </c>
      <c r="B137" s="43">
        <v>0</v>
      </c>
      <c r="D137" s="43" t="s">
        <v>579</v>
      </c>
    </row>
    <row r="138" spans="1:4" x14ac:dyDescent="0.25">
      <c r="A138" s="42" t="s">
        <v>580</v>
      </c>
      <c r="B138" s="43">
        <v>0</v>
      </c>
      <c r="D138" s="43" t="s">
        <v>581</v>
      </c>
    </row>
    <row r="139" spans="1:4" x14ac:dyDescent="0.25">
      <c r="A139" s="42" t="s">
        <v>582</v>
      </c>
      <c r="B139" s="43">
        <v>0</v>
      </c>
      <c r="D139" s="43" t="s">
        <v>583</v>
      </c>
    </row>
    <row r="140" spans="1:4" x14ac:dyDescent="0.25">
      <c r="A140" s="42" t="s">
        <v>584</v>
      </c>
      <c r="B140" s="43">
        <v>0</v>
      </c>
      <c r="D140" s="43" t="s">
        <v>585</v>
      </c>
    </row>
    <row r="141" spans="1:4" x14ac:dyDescent="0.25">
      <c r="A141" s="42" t="s">
        <v>586</v>
      </c>
      <c r="B141" s="43">
        <v>0</v>
      </c>
      <c r="D141" s="43" t="s">
        <v>587</v>
      </c>
    </row>
    <row r="142" spans="1:4" x14ac:dyDescent="0.25">
      <c r="A142" s="42" t="s">
        <v>588</v>
      </c>
      <c r="B142" s="43">
        <v>0</v>
      </c>
      <c r="D142" s="43" t="s">
        <v>589</v>
      </c>
    </row>
    <row r="143" spans="1:4" x14ac:dyDescent="0.25">
      <c r="A143" s="42" t="s">
        <v>590</v>
      </c>
      <c r="B143" s="43">
        <v>0</v>
      </c>
      <c r="D143" s="43" t="s">
        <v>591</v>
      </c>
    </row>
    <row r="144" spans="1:4" x14ac:dyDescent="0.25">
      <c r="A144" s="42" t="s">
        <v>592</v>
      </c>
      <c r="B144" s="43">
        <v>0</v>
      </c>
      <c r="D144" s="43" t="s">
        <v>593</v>
      </c>
    </row>
    <row r="145" spans="1:4" x14ac:dyDescent="0.25">
      <c r="A145" s="42" t="s">
        <v>594</v>
      </c>
      <c r="B145" s="43">
        <v>0</v>
      </c>
      <c r="D145" s="43" t="s">
        <v>595</v>
      </c>
    </row>
    <row r="146" spans="1:4" x14ac:dyDescent="0.25">
      <c r="A146" s="42" t="s">
        <v>596</v>
      </c>
      <c r="B146" s="43">
        <v>0</v>
      </c>
      <c r="D146" s="43" t="s">
        <v>597</v>
      </c>
    </row>
    <row r="147" spans="1:4" x14ac:dyDescent="0.25">
      <c r="A147" s="42" t="s">
        <v>598</v>
      </c>
      <c r="B147" s="43">
        <v>0</v>
      </c>
      <c r="D147" s="43" t="s">
        <v>599</v>
      </c>
    </row>
    <row r="148" spans="1:4" x14ac:dyDescent="0.25">
      <c r="A148" s="42" t="s">
        <v>600</v>
      </c>
      <c r="B148" s="43">
        <v>0</v>
      </c>
      <c r="D148" s="43" t="s">
        <v>601</v>
      </c>
    </row>
    <row r="149" spans="1:4" x14ac:dyDescent="0.25">
      <c r="A149" s="42" t="s">
        <v>602</v>
      </c>
      <c r="B149" s="43">
        <v>0</v>
      </c>
      <c r="D149" s="43" t="s">
        <v>603</v>
      </c>
    </row>
    <row r="150" spans="1:4" x14ac:dyDescent="0.25">
      <c r="A150" s="42" t="s">
        <v>604</v>
      </c>
      <c r="B150" s="43">
        <v>0</v>
      </c>
      <c r="D150" s="43" t="s">
        <v>605</v>
      </c>
    </row>
    <row r="151" spans="1:4" x14ac:dyDescent="0.25">
      <c r="A151" s="42" t="s">
        <v>154</v>
      </c>
      <c r="B151" s="43">
        <v>0</v>
      </c>
      <c r="D151" s="43" t="s">
        <v>606</v>
      </c>
    </row>
    <row r="152" spans="1:4" x14ac:dyDescent="0.25">
      <c r="A152" s="42" t="s">
        <v>607</v>
      </c>
      <c r="B152" s="43">
        <v>0</v>
      </c>
      <c r="D152" s="43" t="s">
        <v>608</v>
      </c>
    </row>
    <row r="153" spans="1:4" x14ac:dyDescent="0.25">
      <c r="A153" s="42" t="s">
        <v>609</v>
      </c>
      <c r="B153" s="43">
        <v>0</v>
      </c>
      <c r="D153" s="43" t="s">
        <v>610</v>
      </c>
    </row>
    <row r="154" spans="1:4" x14ac:dyDescent="0.25">
      <c r="A154" s="42" t="s">
        <v>611</v>
      </c>
      <c r="B154" s="43">
        <v>0</v>
      </c>
      <c r="D154" s="43" t="s">
        <v>612</v>
      </c>
    </row>
    <row r="155" spans="1:4" x14ac:dyDescent="0.25">
      <c r="A155" s="42" t="s">
        <v>613</v>
      </c>
      <c r="B155" s="43">
        <v>0</v>
      </c>
      <c r="D155" s="43" t="s">
        <v>614</v>
      </c>
    </row>
    <row r="156" spans="1:4" x14ac:dyDescent="0.25">
      <c r="A156" s="42" t="s">
        <v>155</v>
      </c>
      <c r="B156" s="43">
        <v>0</v>
      </c>
      <c r="D156" s="43" t="s">
        <v>615</v>
      </c>
    </row>
    <row r="157" spans="1:4" x14ac:dyDescent="0.25">
      <c r="A157" s="42" t="s">
        <v>156</v>
      </c>
      <c r="B157" s="43">
        <v>0</v>
      </c>
      <c r="D157" s="43" t="s">
        <v>616</v>
      </c>
    </row>
    <row r="158" spans="1:4" x14ac:dyDescent="0.25">
      <c r="A158" s="42" t="s">
        <v>157</v>
      </c>
      <c r="B158" s="43">
        <v>0</v>
      </c>
      <c r="D158" s="43" t="s">
        <v>617</v>
      </c>
    </row>
    <row r="159" spans="1:4" x14ac:dyDescent="0.25">
      <c r="A159" s="42" t="s">
        <v>618</v>
      </c>
      <c r="B159" s="43">
        <v>0</v>
      </c>
      <c r="D159" s="43" t="s">
        <v>619</v>
      </c>
    </row>
    <row r="160" spans="1:4" x14ac:dyDescent="0.25">
      <c r="A160" s="42" t="s">
        <v>158</v>
      </c>
      <c r="B160" s="43">
        <v>0</v>
      </c>
      <c r="D160" s="43" t="s">
        <v>620</v>
      </c>
    </row>
    <row r="161" spans="1:4" x14ac:dyDescent="0.25">
      <c r="A161" s="42" t="s">
        <v>621</v>
      </c>
      <c r="B161" s="43">
        <v>0</v>
      </c>
      <c r="D161" s="43" t="s">
        <v>622</v>
      </c>
    </row>
    <row r="162" spans="1:4" x14ac:dyDescent="0.25">
      <c r="A162" s="42" t="s">
        <v>623</v>
      </c>
      <c r="B162" s="43">
        <v>0</v>
      </c>
      <c r="D162" s="43" t="s">
        <v>624</v>
      </c>
    </row>
    <row r="163" spans="1:4" x14ac:dyDescent="0.25">
      <c r="A163" s="42" t="s">
        <v>159</v>
      </c>
      <c r="B163" s="43">
        <v>0</v>
      </c>
      <c r="D163" s="43" t="s">
        <v>625</v>
      </c>
    </row>
    <row r="164" spans="1:4" x14ac:dyDescent="0.25">
      <c r="A164" s="42" t="s">
        <v>160</v>
      </c>
      <c r="B164" s="43">
        <v>0</v>
      </c>
      <c r="D164" s="43" t="s">
        <v>626</v>
      </c>
    </row>
    <row r="165" spans="1:4" x14ac:dyDescent="0.25">
      <c r="A165" s="42" t="s">
        <v>161</v>
      </c>
      <c r="B165" s="43">
        <v>0</v>
      </c>
      <c r="D165" s="43" t="s">
        <v>627</v>
      </c>
    </row>
    <row r="166" spans="1:4" x14ac:dyDescent="0.25">
      <c r="A166" s="42" t="s">
        <v>164</v>
      </c>
      <c r="B166" s="43">
        <v>0</v>
      </c>
      <c r="D166" s="43" t="s">
        <v>628</v>
      </c>
    </row>
    <row r="167" spans="1:4" x14ac:dyDescent="0.25">
      <c r="A167" s="42" t="s">
        <v>629</v>
      </c>
      <c r="B167" s="43">
        <v>0</v>
      </c>
      <c r="D167" s="43" t="s">
        <v>630</v>
      </c>
    </row>
    <row r="168" spans="1:4" x14ac:dyDescent="0.25">
      <c r="A168" s="42" t="s">
        <v>165</v>
      </c>
      <c r="B168" s="43">
        <v>0</v>
      </c>
      <c r="D168" s="43" t="s">
        <v>631</v>
      </c>
    </row>
    <row r="169" spans="1:4" x14ac:dyDescent="0.25">
      <c r="A169" s="42" t="s">
        <v>632</v>
      </c>
      <c r="B169" s="43">
        <v>0</v>
      </c>
      <c r="D169" s="43" t="s">
        <v>633</v>
      </c>
    </row>
    <row r="170" spans="1:4" x14ac:dyDescent="0.25">
      <c r="A170" s="42" t="s">
        <v>634</v>
      </c>
      <c r="B170" s="43">
        <v>0</v>
      </c>
      <c r="D170" s="43" t="s">
        <v>635</v>
      </c>
    </row>
    <row r="171" spans="1:4" x14ac:dyDescent="0.25">
      <c r="A171" s="42" t="s">
        <v>166</v>
      </c>
      <c r="B171" s="43">
        <v>0</v>
      </c>
      <c r="D171" s="43" t="s">
        <v>636</v>
      </c>
    </row>
    <row r="172" spans="1:4" x14ac:dyDescent="0.25">
      <c r="A172" s="42" t="s">
        <v>637</v>
      </c>
      <c r="B172" s="43">
        <v>0</v>
      </c>
      <c r="D172" s="43" t="s">
        <v>638</v>
      </c>
    </row>
    <row r="173" spans="1:4" x14ac:dyDescent="0.25">
      <c r="A173" s="42" t="s">
        <v>639</v>
      </c>
      <c r="B173" s="43">
        <v>0</v>
      </c>
      <c r="D173" s="43" t="s">
        <v>640</v>
      </c>
    </row>
    <row r="174" spans="1:4" x14ac:dyDescent="0.25">
      <c r="A174" s="42" t="s">
        <v>641</v>
      </c>
      <c r="B174" s="43">
        <v>0</v>
      </c>
      <c r="D174" s="43" t="s">
        <v>642</v>
      </c>
    </row>
    <row r="175" spans="1:4" x14ac:dyDescent="0.25">
      <c r="A175" s="42" t="s">
        <v>643</v>
      </c>
      <c r="B175" s="43">
        <v>0</v>
      </c>
      <c r="D175" s="43" t="s">
        <v>644</v>
      </c>
    </row>
    <row r="176" spans="1:4" x14ac:dyDescent="0.25">
      <c r="A176" s="42" t="s">
        <v>167</v>
      </c>
      <c r="B176" s="43">
        <v>0</v>
      </c>
      <c r="D176" s="43" t="s">
        <v>645</v>
      </c>
    </row>
    <row r="177" spans="1:4" x14ac:dyDescent="0.25">
      <c r="A177" s="42" t="s">
        <v>646</v>
      </c>
      <c r="B177" s="43">
        <v>0</v>
      </c>
      <c r="D177" s="43" t="s">
        <v>647</v>
      </c>
    </row>
    <row r="178" spans="1:4" x14ac:dyDescent="0.25">
      <c r="A178" s="42" t="s">
        <v>648</v>
      </c>
      <c r="B178" s="43">
        <v>0</v>
      </c>
      <c r="D178" s="43" t="s">
        <v>649</v>
      </c>
    </row>
    <row r="179" spans="1:4" x14ac:dyDescent="0.25">
      <c r="A179" s="42" t="s">
        <v>169</v>
      </c>
      <c r="B179" s="43">
        <v>0</v>
      </c>
      <c r="D179" s="43" t="s">
        <v>650</v>
      </c>
    </row>
    <row r="180" spans="1:4" x14ac:dyDescent="0.25">
      <c r="A180" s="42" t="s">
        <v>651</v>
      </c>
      <c r="B180" s="43">
        <v>0</v>
      </c>
      <c r="D180" s="43" t="s">
        <v>652</v>
      </c>
    </row>
    <row r="181" spans="1:4" x14ac:dyDescent="0.25">
      <c r="A181" s="42" t="s">
        <v>653</v>
      </c>
      <c r="B181" s="43">
        <v>0</v>
      </c>
      <c r="D181" s="43" t="s">
        <v>654</v>
      </c>
    </row>
    <row r="182" spans="1:4" x14ac:dyDescent="0.25">
      <c r="A182" s="42" t="s">
        <v>655</v>
      </c>
      <c r="B182" s="43">
        <v>0</v>
      </c>
      <c r="D182" s="43" t="s">
        <v>656</v>
      </c>
    </row>
    <row r="183" spans="1:4" x14ac:dyDescent="0.25">
      <c r="A183" s="42" t="s">
        <v>657</v>
      </c>
      <c r="B183" s="43">
        <v>0</v>
      </c>
      <c r="D183" s="43" t="s">
        <v>658</v>
      </c>
    </row>
    <row r="184" spans="1:4" x14ac:dyDescent="0.25">
      <c r="A184" s="42" t="s">
        <v>659</v>
      </c>
      <c r="B184" s="43">
        <v>0</v>
      </c>
      <c r="D184" s="43" t="s">
        <v>660</v>
      </c>
    </row>
    <row r="185" spans="1:4" x14ac:dyDescent="0.25">
      <c r="A185" s="42" t="s">
        <v>172</v>
      </c>
      <c r="B185" s="43">
        <v>0</v>
      </c>
      <c r="D185" s="43" t="s">
        <v>661</v>
      </c>
    </row>
    <row r="186" spans="1:4" x14ac:dyDescent="0.25">
      <c r="A186" s="42" t="s">
        <v>662</v>
      </c>
      <c r="B186" s="43">
        <v>0</v>
      </c>
      <c r="D186" s="43" t="s">
        <v>663</v>
      </c>
    </row>
    <row r="187" spans="1:4" x14ac:dyDescent="0.25">
      <c r="A187" s="42" t="s">
        <v>173</v>
      </c>
      <c r="B187" s="43">
        <v>0</v>
      </c>
      <c r="D187" s="43" t="s">
        <v>664</v>
      </c>
    </row>
    <row r="188" spans="1:4" x14ac:dyDescent="0.25">
      <c r="A188" s="42" t="s">
        <v>174</v>
      </c>
      <c r="B188" s="43">
        <v>0</v>
      </c>
      <c r="D188" s="43" t="s">
        <v>665</v>
      </c>
    </row>
    <row r="189" spans="1:4" x14ac:dyDescent="0.25">
      <c r="A189" s="42" t="s">
        <v>666</v>
      </c>
      <c r="B189" s="43">
        <v>0</v>
      </c>
      <c r="D189" s="43" t="s">
        <v>667</v>
      </c>
    </row>
    <row r="190" spans="1:4" x14ac:dyDescent="0.25">
      <c r="A190" s="42" t="s">
        <v>668</v>
      </c>
      <c r="B190" s="43">
        <v>0</v>
      </c>
      <c r="D190" s="43" t="s">
        <v>669</v>
      </c>
    </row>
    <row r="191" spans="1:4" x14ac:dyDescent="0.25">
      <c r="A191" s="42" t="s">
        <v>670</v>
      </c>
      <c r="B191" s="43">
        <v>0</v>
      </c>
      <c r="D191" s="43" t="s">
        <v>671</v>
      </c>
    </row>
    <row r="192" spans="1:4" x14ac:dyDescent="0.25">
      <c r="A192" s="42" t="s">
        <v>672</v>
      </c>
      <c r="B192" s="43">
        <v>0</v>
      </c>
      <c r="D192" s="43" t="s">
        <v>673</v>
      </c>
    </row>
    <row r="193" spans="1:4" ht="30" x14ac:dyDescent="0.25">
      <c r="A193" s="42" t="s">
        <v>674</v>
      </c>
      <c r="B193" s="43">
        <v>0</v>
      </c>
      <c r="D193" s="43" t="s">
        <v>675</v>
      </c>
    </row>
    <row r="194" spans="1:4" x14ac:dyDescent="0.25">
      <c r="A194" s="42" t="s">
        <v>676</v>
      </c>
      <c r="B194" s="43">
        <v>0</v>
      </c>
      <c r="D194" s="43" t="s">
        <v>677</v>
      </c>
    </row>
    <row r="195" spans="1:4" x14ac:dyDescent="0.25">
      <c r="A195" s="42" t="s">
        <v>175</v>
      </c>
      <c r="B195" s="43">
        <v>0</v>
      </c>
      <c r="D195" s="43" t="s">
        <v>678</v>
      </c>
    </row>
    <row r="196" spans="1:4" x14ac:dyDescent="0.25">
      <c r="A196" s="42" t="s">
        <v>679</v>
      </c>
      <c r="B196" s="43">
        <v>0</v>
      </c>
      <c r="D196" s="43" t="s">
        <v>680</v>
      </c>
    </row>
    <row r="197" spans="1:4" x14ac:dyDescent="0.25">
      <c r="A197" s="42" t="s">
        <v>681</v>
      </c>
      <c r="B197" s="43">
        <v>0</v>
      </c>
      <c r="D197" s="43" t="s">
        <v>682</v>
      </c>
    </row>
    <row r="198" spans="1:4" x14ac:dyDescent="0.25">
      <c r="A198" s="42" t="s">
        <v>683</v>
      </c>
      <c r="B198" s="43">
        <v>0</v>
      </c>
      <c r="D198" s="43" t="s">
        <v>684</v>
      </c>
    </row>
    <row r="199" spans="1:4" x14ac:dyDescent="0.25">
      <c r="A199" s="42" t="s">
        <v>180</v>
      </c>
      <c r="B199" s="43">
        <v>0</v>
      </c>
      <c r="D199" s="43" t="s">
        <v>685</v>
      </c>
    </row>
    <row r="200" spans="1:4" x14ac:dyDescent="0.25">
      <c r="A200" s="42" t="s">
        <v>686</v>
      </c>
      <c r="B200" s="43">
        <v>0</v>
      </c>
      <c r="D200" s="43" t="s">
        <v>687</v>
      </c>
    </row>
    <row r="201" spans="1:4" x14ac:dyDescent="0.25">
      <c r="A201" s="42" t="s">
        <v>182</v>
      </c>
      <c r="B201" s="43">
        <v>0</v>
      </c>
      <c r="D201" s="43" t="s">
        <v>688</v>
      </c>
    </row>
    <row r="202" spans="1:4" x14ac:dyDescent="0.25">
      <c r="A202" s="42" t="s">
        <v>185</v>
      </c>
      <c r="B202" s="43">
        <v>0</v>
      </c>
      <c r="D202" s="43" t="s">
        <v>689</v>
      </c>
    </row>
    <row r="203" spans="1:4" x14ac:dyDescent="0.25">
      <c r="A203" s="42" t="s">
        <v>186</v>
      </c>
      <c r="B203" s="43">
        <v>0</v>
      </c>
      <c r="D203" s="43" t="s">
        <v>690</v>
      </c>
    </row>
    <row r="204" spans="1:4" ht="30" x14ac:dyDescent="0.25">
      <c r="A204" s="42" t="s">
        <v>188</v>
      </c>
      <c r="B204" s="43">
        <v>0</v>
      </c>
      <c r="D204" s="43" t="s">
        <v>691</v>
      </c>
    </row>
    <row r="205" spans="1:4" ht="30" x14ac:dyDescent="0.25">
      <c r="A205" s="42" t="s">
        <v>191</v>
      </c>
      <c r="B205" s="43">
        <v>0</v>
      </c>
      <c r="D205" s="43" t="s">
        <v>692</v>
      </c>
    </row>
    <row r="206" spans="1:4" ht="30" x14ac:dyDescent="0.25">
      <c r="A206" s="42" t="s">
        <v>196</v>
      </c>
      <c r="B206" s="43">
        <v>0</v>
      </c>
      <c r="D206" s="43" t="s">
        <v>693</v>
      </c>
    </row>
    <row r="207" spans="1:4" ht="30" x14ac:dyDescent="0.25">
      <c r="A207" s="42" t="s">
        <v>198</v>
      </c>
      <c r="B207" s="43">
        <v>0</v>
      </c>
      <c r="D207" s="43" t="s">
        <v>694</v>
      </c>
    </row>
    <row r="208" spans="1:4" ht="30" x14ac:dyDescent="0.25">
      <c r="A208" s="42" t="s">
        <v>695</v>
      </c>
      <c r="B208" s="43">
        <v>0</v>
      </c>
      <c r="D208" s="43" t="s">
        <v>696</v>
      </c>
    </row>
    <row r="209" spans="1:4" x14ac:dyDescent="0.25">
      <c r="A209" s="42" t="s">
        <v>697</v>
      </c>
      <c r="B209" s="43">
        <v>0</v>
      </c>
      <c r="D209" s="43" t="s">
        <v>698</v>
      </c>
    </row>
    <row r="210" spans="1:4" x14ac:dyDescent="0.25">
      <c r="A210" s="42" t="s">
        <v>699</v>
      </c>
      <c r="B210" s="43">
        <v>0</v>
      </c>
      <c r="D210" s="43" t="s">
        <v>700</v>
      </c>
    </row>
    <row r="211" spans="1:4" x14ac:dyDescent="0.25">
      <c r="A211" s="42" t="s">
        <v>199</v>
      </c>
      <c r="B211" s="43">
        <v>0</v>
      </c>
      <c r="D211" s="43" t="s">
        <v>701</v>
      </c>
    </row>
    <row r="212" spans="1:4" x14ac:dyDescent="0.25">
      <c r="A212" s="42" t="s">
        <v>200</v>
      </c>
      <c r="B212" s="43">
        <v>0</v>
      </c>
      <c r="D212" s="43" t="s">
        <v>702</v>
      </c>
    </row>
    <row r="213" spans="1:4" x14ac:dyDescent="0.25">
      <c r="A213" s="42" t="s">
        <v>703</v>
      </c>
      <c r="B213" s="43">
        <v>0</v>
      </c>
      <c r="D213" s="43" t="s">
        <v>704</v>
      </c>
    </row>
    <row r="214" spans="1:4" x14ac:dyDescent="0.25">
      <c r="A214" s="42" t="s">
        <v>705</v>
      </c>
      <c r="B214" s="43">
        <v>0</v>
      </c>
      <c r="D214" s="43" t="s">
        <v>706</v>
      </c>
    </row>
    <row r="215" spans="1:4" x14ac:dyDescent="0.25">
      <c r="A215" s="42" t="s">
        <v>707</v>
      </c>
      <c r="B215" s="43">
        <v>0</v>
      </c>
      <c r="D215" s="43" t="s">
        <v>708</v>
      </c>
    </row>
    <row r="216" spans="1:4" x14ac:dyDescent="0.25">
      <c r="A216" s="42" t="s">
        <v>709</v>
      </c>
      <c r="B216" s="43">
        <v>0</v>
      </c>
      <c r="D216" s="43" t="s">
        <v>710</v>
      </c>
    </row>
    <row r="217" spans="1:4" x14ac:dyDescent="0.25">
      <c r="A217" s="42" t="s">
        <v>201</v>
      </c>
      <c r="B217" s="43">
        <v>0</v>
      </c>
      <c r="D217" s="43" t="s">
        <v>711</v>
      </c>
    </row>
    <row r="218" spans="1:4" x14ac:dyDescent="0.25">
      <c r="A218" s="42" t="s">
        <v>712</v>
      </c>
      <c r="B218" s="43">
        <v>0</v>
      </c>
      <c r="D218" s="43" t="s">
        <v>713</v>
      </c>
    </row>
    <row r="219" spans="1:4" x14ac:dyDescent="0.25">
      <c r="A219" s="42" t="s">
        <v>714</v>
      </c>
      <c r="B219" s="43">
        <v>0</v>
      </c>
      <c r="D219" s="43" t="s">
        <v>715</v>
      </c>
    </row>
    <row r="220" spans="1:4" x14ac:dyDescent="0.25">
      <c r="A220" s="42" t="s">
        <v>202</v>
      </c>
      <c r="B220" s="43">
        <v>0</v>
      </c>
      <c r="D220" s="43" t="s">
        <v>716</v>
      </c>
    </row>
    <row r="221" spans="1:4" x14ac:dyDescent="0.25">
      <c r="A221" s="42" t="s">
        <v>717</v>
      </c>
      <c r="B221" s="43">
        <v>0</v>
      </c>
      <c r="D221" s="43" t="s">
        <v>718</v>
      </c>
    </row>
    <row r="222" spans="1:4" x14ac:dyDescent="0.25">
      <c r="A222" s="42" t="s">
        <v>203</v>
      </c>
      <c r="B222" s="43">
        <v>0</v>
      </c>
      <c r="D222" s="43" t="s">
        <v>719</v>
      </c>
    </row>
    <row r="223" spans="1:4" x14ac:dyDescent="0.25">
      <c r="A223" s="42" t="s">
        <v>720</v>
      </c>
      <c r="B223" s="43">
        <v>0</v>
      </c>
      <c r="D223" s="43" t="s">
        <v>721</v>
      </c>
    </row>
    <row r="224" spans="1:4" x14ac:dyDescent="0.25">
      <c r="A224" s="42" t="s">
        <v>722</v>
      </c>
      <c r="B224" s="43">
        <v>0</v>
      </c>
      <c r="D224" s="43" t="s">
        <v>723</v>
      </c>
    </row>
    <row r="225" spans="1:4" x14ac:dyDescent="0.25">
      <c r="A225" s="42" t="s">
        <v>205</v>
      </c>
      <c r="B225" s="43">
        <v>0</v>
      </c>
      <c r="D225" s="43" t="s">
        <v>724</v>
      </c>
    </row>
    <row r="226" spans="1:4" x14ac:dyDescent="0.25">
      <c r="A226" s="42" t="s">
        <v>206</v>
      </c>
      <c r="B226" s="43">
        <v>0</v>
      </c>
      <c r="D226" s="43" t="s">
        <v>725</v>
      </c>
    </row>
    <row r="227" spans="1:4" x14ac:dyDescent="0.25">
      <c r="A227" s="42" t="s">
        <v>207</v>
      </c>
      <c r="B227" s="43">
        <v>0</v>
      </c>
      <c r="D227" s="43" t="s">
        <v>726</v>
      </c>
    </row>
    <row r="228" spans="1:4" x14ac:dyDescent="0.25">
      <c r="A228" s="42" t="s">
        <v>208</v>
      </c>
      <c r="B228" s="43">
        <v>0</v>
      </c>
      <c r="D228" s="43" t="s">
        <v>727</v>
      </c>
    </row>
    <row r="229" spans="1:4" x14ac:dyDescent="0.25">
      <c r="A229" s="42" t="s">
        <v>209</v>
      </c>
      <c r="B229" s="43">
        <v>0</v>
      </c>
      <c r="D229" s="43" t="s">
        <v>728</v>
      </c>
    </row>
    <row r="230" spans="1:4" x14ac:dyDescent="0.25">
      <c r="A230" s="42" t="s">
        <v>729</v>
      </c>
      <c r="B230" s="43">
        <v>0</v>
      </c>
      <c r="D230" s="43" t="s">
        <v>730</v>
      </c>
    </row>
    <row r="231" spans="1:4" x14ac:dyDescent="0.25">
      <c r="A231" s="42" t="s">
        <v>210</v>
      </c>
      <c r="B231" s="43">
        <v>0</v>
      </c>
      <c r="D231" s="43" t="s">
        <v>731</v>
      </c>
    </row>
    <row r="232" spans="1:4" x14ac:dyDescent="0.25">
      <c r="A232" s="42" t="s">
        <v>732</v>
      </c>
      <c r="B232" s="43">
        <v>0</v>
      </c>
      <c r="D232" s="43" t="s">
        <v>733</v>
      </c>
    </row>
    <row r="233" spans="1:4" x14ac:dyDescent="0.25">
      <c r="A233" s="42" t="s">
        <v>211</v>
      </c>
      <c r="B233" s="43">
        <v>0</v>
      </c>
      <c r="D233" s="43" t="s">
        <v>734</v>
      </c>
    </row>
    <row r="234" spans="1:4" x14ac:dyDescent="0.25">
      <c r="A234" s="42" t="s">
        <v>212</v>
      </c>
      <c r="B234" s="43">
        <v>0</v>
      </c>
      <c r="D234" s="43" t="s">
        <v>735</v>
      </c>
    </row>
    <row r="235" spans="1:4" x14ac:dyDescent="0.25">
      <c r="A235" s="42" t="s">
        <v>213</v>
      </c>
      <c r="B235" s="43">
        <v>0</v>
      </c>
      <c r="D235" s="43" t="s">
        <v>736</v>
      </c>
    </row>
    <row r="236" spans="1:4" x14ac:dyDescent="0.25">
      <c r="A236" s="42" t="s">
        <v>737</v>
      </c>
      <c r="B236" s="43">
        <v>0</v>
      </c>
      <c r="D236" s="43" t="s">
        <v>738</v>
      </c>
    </row>
    <row r="237" spans="1:4" x14ac:dyDescent="0.25">
      <c r="A237" s="42" t="s">
        <v>214</v>
      </c>
      <c r="B237" s="43">
        <v>0</v>
      </c>
      <c r="D237" s="43" t="s">
        <v>739</v>
      </c>
    </row>
    <row r="238" spans="1:4" x14ac:dyDescent="0.25">
      <c r="A238" s="42" t="s">
        <v>215</v>
      </c>
      <c r="B238" s="43">
        <v>0</v>
      </c>
      <c r="D238" s="43" t="s">
        <v>740</v>
      </c>
    </row>
    <row r="239" spans="1:4" x14ac:dyDescent="0.25">
      <c r="A239" s="42" t="s">
        <v>741</v>
      </c>
      <c r="B239" s="43">
        <v>0</v>
      </c>
      <c r="D239" s="43" t="s">
        <v>742</v>
      </c>
    </row>
    <row r="240" spans="1:4" hidden="1" x14ac:dyDescent="0.25">
      <c r="A240" s="43"/>
      <c r="B240" s="43"/>
      <c r="D240" s="43"/>
    </row>
    <row r="241" spans="1:4" hidden="1" x14ac:dyDescent="0.25">
      <c r="A241" s="43"/>
      <c r="B241" s="43"/>
      <c r="D241" s="43"/>
    </row>
    <row r="242" spans="1:4" hidden="1" x14ac:dyDescent="0.25">
      <c r="A242" s="45"/>
      <c r="B242" s="45"/>
      <c r="D242" s="45"/>
    </row>
    <row r="243" spans="1:4" hidden="1" x14ac:dyDescent="0.25">
      <c r="A243" s="46"/>
      <c r="B243" s="46"/>
      <c r="D243" s="46"/>
    </row>
    <row r="244" spans="1:4" hidden="1" x14ac:dyDescent="0.25">
      <c r="A244" s="47"/>
      <c r="B244" s="47"/>
      <c r="D244" s="47"/>
    </row>
    <row r="245" spans="1:4" hidden="1" x14ac:dyDescent="0.25">
      <c r="A245" s="47"/>
      <c r="B245" s="47"/>
      <c r="D245" s="47"/>
    </row>
    <row r="246" spans="1:4" hidden="1" x14ac:dyDescent="0.25">
      <c r="A246" s="47"/>
      <c r="B246" s="47"/>
      <c r="D246" s="47"/>
    </row>
    <row r="247" spans="1:4" hidden="1" x14ac:dyDescent="0.25">
      <c r="A247" s="43"/>
      <c r="B247" s="43"/>
      <c r="D247" s="43"/>
    </row>
    <row r="248" spans="1:4" hidden="1" x14ac:dyDescent="0.25">
      <c r="A248" s="47"/>
      <c r="B248" s="47"/>
      <c r="D248" s="47"/>
    </row>
    <row r="249" spans="1:4" hidden="1" x14ac:dyDescent="0.25">
      <c r="A249" s="48"/>
      <c r="B249" s="48"/>
      <c r="D249" s="48"/>
    </row>
    <row r="250" spans="1:4" hidden="1" x14ac:dyDescent="0.25">
      <c r="A250" s="43"/>
      <c r="B250" s="43"/>
      <c r="D250" s="43"/>
    </row>
    <row r="251" spans="1:4" hidden="1" x14ac:dyDescent="0.25">
      <c r="A251" s="46"/>
      <c r="B251" s="46"/>
      <c r="D251" s="46"/>
    </row>
    <row r="252" spans="1:4" hidden="1" x14ac:dyDescent="0.25">
      <c r="A252" s="49"/>
      <c r="B252" s="49"/>
      <c r="D252" s="49"/>
    </row>
    <row r="253" spans="1:4" hidden="1" x14ac:dyDescent="0.25">
      <c r="A253" s="43"/>
      <c r="B253" s="43"/>
      <c r="D253" s="43"/>
    </row>
    <row r="254" spans="1:4" hidden="1" x14ac:dyDescent="0.25">
      <c r="A254" s="46"/>
      <c r="B254" s="46"/>
      <c r="D254" s="46"/>
    </row>
    <row r="255" spans="1:4" hidden="1" x14ac:dyDescent="0.25">
      <c r="A255" s="43"/>
      <c r="B255" s="43"/>
      <c r="D255" s="43"/>
    </row>
    <row r="256" spans="1:4" hidden="1" x14ac:dyDescent="0.25">
      <c r="A256" s="43"/>
      <c r="B256" s="43"/>
      <c r="D256" s="43"/>
    </row>
    <row r="257" spans="1:4" hidden="1" x14ac:dyDescent="0.25">
      <c r="A257" s="43"/>
      <c r="B257" s="43"/>
      <c r="D257" s="43"/>
    </row>
    <row r="258" spans="1:4" hidden="1" x14ac:dyDescent="0.25">
      <c r="A258" s="43"/>
      <c r="B258" s="43"/>
      <c r="D258" s="43"/>
    </row>
    <row r="259" spans="1:4" hidden="1" x14ac:dyDescent="0.25">
      <c r="A259" s="43"/>
      <c r="B259" s="43"/>
      <c r="D259" s="43"/>
    </row>
    <row r="260" spans="1:4" hidden="1" x14ac:dyDescent="0.25">
      <c r="A260" s="43"/>
      <c r="B260" s="43"/>
      <c r="D260" s="43"/>
    </row>
    <row r="261" spans="1:4" hidden="1" x14ac:dyDescent="0.25">
      <c r="A261" s="46"/>
      <c r="B261" s="46"/>
      <c r="D261" s="46"/>
    </row>
    <row r="262" spans="1:4" hidden="1" x14ac:dyDescent="0.25">
      <c r="A262" s="47"/>
      <c r="B262" s="47"/>
      <c r="D262" s="47"/>
    </row>
    <row r="263" spans="1:4" hidden="1" x14ac:dyDescent="0.25">
      <c r="A263" s="43"/>
      <c r="B263" s="43"/>
      <c r="D263" s="43"/>
    </row>
    <row r="264" spans="1:4" hidden="1" x14ac:dyDescent="0.25">
      <c r="A264" s="43"/>
      <c r="B264" s="43"/>
      <c r="D264" s="43"/>
    </row>
    <row r="265" spans="1:4" hidden="1" x14ac:dyDescent="0.25">
      <c r="A265" s="43"/>
      <c r="B265" s="43"/>
      <c r="D265" s="43"/>
    </row>
    <row r="266" spans="1:4" hidden="1" x14ac:dyDescent="0.25">
      <c r="A266" s="48"/>
      <c r="B266" s="48"/>
      <c r="D266" s="48"/>
    </row>
    <row r="267" spans="1:4" hidden="1" x14ac:dyDescent="0.25">
      <c r="A267" s="46"/>
      <c r="B267" s="46"/>
      <c r="D267" s="46"/>
    </row>
    <row r="268" spans="1:4" hidden="1" x14ac:dyDescent="0.25">
      <c r="A268" s="46"/>
      <c r="B268" s="46"/>
      <c r="D268" s="46"/>
    </row>
    <row r="269" spans="1:4" hidden="1" x14ac:dyDescent="0.25">
      <c r="A269" s="48"/>
      <c r="B269" s="48"/>
      <c r="D269" s="48"/>
    </row>
    <row r="270" spans="1:4" hidden="1" x14ac:dyDescent="0.25">
      <c r="A270" s="43"/>
      <c r="B270" s="43"/>
      <c r="D270" s="43"/>
    </row>
    <row r="271" spans="1:4" hidden="1" x14ac:dyDescent="0.25">
      <c r="A271" s="48"/>
      <c r="B271" s="48"/>
      <c r="D271" s="48"/>
    </row>
    <row r="272" spans="1:4" hidden="1" x14ac:dyDescent="0.25">
      <c r="A272" s="43"/>
      <c r="B272" s="43"/>
      <c r="D272" s="43"/>
    </row>
    <row r="273" spans="1:4" hidden="1" x14ac:dyDescent="0.25">
      <c r="A273" s="43"/>
      <c r="B273" s="43"/>
      <c r="D273" s="43"/>
    </row>
    <row r="274" spans="1:4" hidden="1" x14ac:dyDescent="0.25">
      <c r="A274" s="50"/>
      <c r="B274" s="50"/>
      <c r="D274" s="50"/>
    </row>
    <row r="275" spans="1:4" hidden="1" x14ac:dyDescent="0.25">
      <c r="A275" s="43"/>
      <c r="B275" s="43"/>
      <c r="D275" s="43"/>
    </row>
    <row r="276" spans="1:4" hidden="1" x14ac:dyDescent="0.25">
      <c r="A276" s="43"/>
      <c r="B276" s="43"/>
      <c r="D276" s="43"/>
    </row>
    <row r="277" spans="1:4" hidden="1" x14ac:dyDescent="0.25">
      <c r="A277" s="44"/>
      <c r="B277" s="44"/>
      <c r="D277" s="44"/>
    </row>
    <row r="278" spans="1:4" hidden="1" x14ac:dyDescent="0.25">
      <c r="A278" s="47"/>
      <c r="B278" s="47"/>
      <c r="D278" s="47"/>
    </row>
    <row r="279" spans="1:4" hidden="1" x14ac:dyDescent="0.25">
      <c r="A279" s="43"/>
      <c r="B279" s="43"/>
      <c r="D279" s="43"/>
    </row>
    <row r="280" spans="1:4" hidden="1" x14ac:dyDescent="0.25">
      <c r="A280" s="43"/>
      <c r="B280" s="43"/>
      <c r="D280" s="43"/>
    </row>
    <row r="281" spans="1:4" hidden="1" x14ac:dyDescent="0.25">
      <c r="A281" s="43"/>
      <c r="B281" s="43"/>
      <c r="D281" s="43"/>
    </row>
    <row r="282" spans="1:4" hidden="1" x14ac:dyDescent="0.25">
      <c r="A282" s="43"/>
      <c r="B282" s="43"/>
      <c r="D282" s="43"/>
    </row>
    <row r="283" spans="1:4" hidden="1" x14ac:dyDescent="0.25">
      <c r="A283" s="47"/>
      <c r="B283" s="47"/>
      <c r="D283" s="47"/>
    </row>
    <row r="284" spans="1:4" hidden="1" x14ac:dyDescent="0.25">
      <c r="A284" s="43"/>
      <c r="B284" s="43"/>
      <c r="D284" s="43"/>
    </row>
    <row r="285" spans="1:4" hidden="1" x14ac:dyDescent="0.25">
      <c r="A285" s="43"/>
      <c r="B285" s="43"/>
      <c r="D285" s="43"/>
    </row>
    <row r="286" spans="1:4" hidden="1" x14ac:dyDescent="0.25">
      <c r="A286" s="47"/>
      <c r="B286" s="47"/>
      <c r="D286" s="47"/>
    </row>
    <row r="287" spans="1:4" hidden="1" x14ac:dyDescent="0.25">
      <c r="A287" s="43"/>
      <c r="B287" s="43"/>
      <c r="D287" s="43"/>
    </row>
    <row r="288" spans="1:4" hidden="1" x14ac:dyDescent="0.25">
      <c r="A288" s="51"/>
      <c r="B288" s="51"/>
      <c r="D288" s="51"/>
    </row>
    <row r="289" spans="1:4" hidden="1" x14ac:dyDescent="0.25">
      <c r="A289" s="43"/>
      <c r="B289" s="43"/>
      <c r="D289" s="43"/>
    </row>
    <row r="290" spans="1:4" hidden="1" x14ac:dyDescent="0.25">
      <c r="A290" s="43"/>
      <c r="B290" s="43"/>
      <c r="D290" s="43"/>
    </row>
    <row r="291" spans="1:4" hidden="1" x14ac:dyDescent="0.25">
      <c r="A291" s="47"/>
      <c r="B291" s="47"/>
      <c r="D291" s="47"/>
    </row>
    <row r="292" spans="1:4" hidden="1" x14ac:dyDescent="0.25">
      <c r="A292" s="47"/>
      <c r="B292" s="47"/>
      <c r="D292" s="47"/>
    </row>
    <row r="293" spans="1:4" hidden="1" x14ac:dyDescent="0.25">
      <c r="A293" s="43"/>
      <c r="B293" s="43"/>
      <c r="D293" s="43"/>
    </row>
    <row r="294" spans="1:4" hidden="1" x14ac:dyDescent="0.25">
      <c r="A294" s="43"/>
      <c r="B294" s="43"/>
      <c r="D294" s="43"/>
    </row>
    <row r="295" spans="1:4" hidden="1" x14ac:dyDescent="0.25">
      <c r="A295" s="43"/>
      <c r="B295" s="43"/>
      <c r="D295" s="43"/>
    </row>
    <row r="296" spans="1:4" hidden="1" x14ac:dyDescent="0.25">
      <c r="A296" s="43"/>
      <c r="B296" s="43"/>
      <c r="D296" s="43"/>
    </row>
    <row r="297" spans="1:4" hidden="1" x14ac:dyDescent="0.25">
      <c r="A297" s="43"/>
      <c r="B297" s="43"/>
      <c r="D297" s="43"/>
    </row>
    <row r="298" spans="1:4" hidden="1" x14ac:dyDescent="0.25">
      <c r="A298" s="43"/>
      <c r="B298" s="43"/>
      <c r="D298" s="43"/>
    </row>
    <row r="299" spans="1:4" hidden="1" x14ac:dyDescent="0.25">
      <c r="A299" s="43"/>
      <c r="B299" s="43"/>
      <c r="D299" s="43"/>
    </row>
    <row r="300" spans="1:4" hidden="1" x14ac:dyDescent="0.25">
      <c r="A300" s="43"/>
      <c r="B300" s="43"/>
      <c r="D300" s="43"/>
    </row>
    <row r="301" spans="1:4" hidden="1" x14ac:dyDescent="0.25">
      <c r="A301" s="43"/>
      <c r="B301" s="43"/>
      <c r="D301" s="43"/>
    </row>
    <row r="302" spans="1:4" hidden="1" x14ac:dyDescent="0.25">
      <c r="A302" s="47"/>
      <c r="B302" s="47"/>
      <c r="D302" s="47"/>
    </row>
    <row r="303" spans="1:4" hidden="1" x14ac:dyDescent="0.25">
      <c r="A303" s="43"/>
      <c r="B303" s="43"/>
      <c r="D303" s="43"/>
    </row>
    <row r="304" spans="1:4" hidden="1" x14ac:dyDescent="0.25">
      <c r="A304" s="46"/>
      <c r="B304" s="46"/>
      <c r="D304" s="46"/>
    </row>
    <row r="305" spans="1:4" hidden="1" x14ac:dyDescent="0.25">
      <c r="A305" s="43"/>
      <c r="B305" s="43"/>
      <c r="D305" s="43"/>
    </row>
    <row r="306" spans="1:4" hidden="1" x14ac:dyDescent="0.25">
      <c r="A306" s="43"/>
      <c r="B306" s="43"/>
      <c r="D306" s="43"/>
    </row>
    <row r="307" spans="1:4" hidden="1" x14ac:dyDescent="0.25">
      <c r="A307" s="52"/>
      <c r="B307" s="52"/>
      <c r="D307" s="52"/>
    </row>
  </sheetData>
  <autoFilter ref="A1:B336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H97"/>
  <sheetViews>
    <sheetView zoomScaleNormal="100" workbookViewId="0">
      <selection activeCell="D2" sqref="D2:E97"/>
    </sheetView>
  </sheetViews>
  <sheetFormatPr defaultRowHeight="15" x14ac:dyDescent="0.25"/>
  <cols>
    <col min="1" max="1" width="20" bestFit="1" customWidth="1"/>
    <col min="2" max="2" width="24.7109375"/>
    <col min="3" max="3" width="10.28515625"/>
    <col min="4" max="1019" width="8.5703125"/>
  </cols>
  <sheetData>
    <row r="1" spans="1:8" x14ac:dyDescent="0.25">
      <c r="A1" s="27" t="s">
        <v>119</v>
      </c>
      <c r="B1" s="27" t="s">
        <v>743</v>
      </c>
      <c r="C1" s="27" t="s">
        <v>744</v>
      </c>
      <c r="H1" s="29" t="s">
        <v>216</v>
      </c>
    </row>
    <row r="2" spans="1:8" x14ac:dyDescent="0.25">
      <c r="A2" s="30" t="s">
        <v>120</v>
      </c>
      <c r="B2" s="54">
        <v>14.1249123465045</v>
      </c>
      <c r="C2" s="130">
        <v>2</v>
      </c>
      <c r="E2" s="130"/>
    </row>
    <row r="3" spans="1:8" x14ac:dyDescent="0.25">
      <c r="A3" s="30" t="s">
        <v>121</v>
      </c>
      <c r="B3" s="54">
        <v>14.2916585378055</v>
      </c>
      <c r="C3" s="130">
        <v>2</v>
      </c>
      <c r="D3" s="130"/>
      <c r="E3" s="130"/>
    </row>
    <row r="4" spans="1:8" x14ac:dyDescent="0.25">
      <c r="A4" s="30" t="s">
        <v>122</v>
      </c>
      <c r="B4" s="54">
        <v>12.1407858749466</v>
      </c>
      <c r="C4" s="130">
        <v>3</v>
      </c>
      <c r="D4" s="130"/>
      <c r="E4" s="130"/>
    </row>
    <row r="5" spans="1:8" x14ac:dyDescent="0.25">
      <c r="A5" s="30" t="s">
        <v>123</v>
      </c>
      <c r="B5" s="54">
        <v>12.1474018689582</v>
      </c>
      <c r="C5" s="130">
        <v>2</v>
      </c>
      <c r="D5" s="130"/>
      <c r="E5" s="130"/>
    </row>
    <row r="6" spans="1:8" x14ac:dyDescent="0.25">
      <c r="A6" s="30" t="s">
        <v>124</v>
      </c>
      <c r="B6" s="54">
        <v>13.868657320422001</v>
      </c>
      <c r="C6" s="130">
        <v>2</v>
      </c>
      <c r="D6" s="130"/>
      <c r="E6" s="130"/>
    </row>
    <row r="7" spans="1:8" x14ac:dyDescent="0.25">
      <c r="A7" s="30" t="s">
        <v>125</v>
      </c>
      <c r="B7" s="54">
        <v>14</v>
      </c>
      <c r="C7" s="130">
        <v>2</v>
      </c>
      <c r="D7" s="130"/>
      <c r="E7" s="130"/>
    </row>
    <row r="8" spans="1:8" x14ac:dyDescent="0.25">
      <c r="A8" s="30" t="s">
        <v>126</v>
      </c>
      <c r="B8" s="54">
        <v>14.089997455584999</v>
      </c>
      <c r="C8" s="130">
        <v>2</v>
      </c>
      <c r="D8" s="130"/>
      <c r="E8" s="130"/>
    </row>
    <row r="9" spans="1:8" x14ac:dyDescent="0.25">
      <c r="A9" s="30" t="s">
        <v>127</v>
      </c>
      <c r="B9" s="54">
        <v>14.2</v>
      </c>
      <c r="C9" s="130">
        <v>2</v>
      </c>
      <c r="D9" s="130"/>
      <c r="E9" s="130"/>
    </row>
    <row r="10" spans="1:8" x14ac:dyDescent="0.25">
      <c r="A10" s="30" t="s">
        <v>128</v>
      </c>
      <c r="B10" s="54">
        <v>11.849994688197199</v>
      </c>
      <c r="C10" s="130">
        <v>3</v>
      </c>
      <c r="D10" s="130"/>
      <c r="E10" s="130"/>
    </row>
    <row r="11" spans="1:8" x14ac:dyDescent="0.25">
      <c r="A11" s="30" t="s">
        <v>129</v>
      </c>
      <c r="B11" s="54">
        <v>12.9400023228654</v>
      </c>
      <c r="C11" s="130">
        <v>3</v>
      </c>
      <c r="D11" s="130"/>
      <c r="E11" s="130"/>
    </row>
    <row r="12" spans="1:8" x14ac:dyDescent="0.25">
      <c r="A12" s="30" t="s">
        <v>130</v>
      </c>
      <c r="B12" s="54">
        <v>10.366955203541499</v>
      </c>
      <c r="C12" s="130">
        <v>2</v>
      </c>
      <c r="D12" s="130"/>
      <c r="E12" s="130"/>
    </row>
    <row r="13" spans="1:8" x14ac:dyDescent="0.25">
      <c r="A13" s="30" t="s">
        <v>131</v>
      </c>
      <c r="B13" s="54">
        <v>10.387441619097</v>
      </c>
      <c r="C13" s="130">
        <v>2</v>
      </c>
      <c r="D13" s="130"/>
      <c r="E13" s="130"/>
    </row>
    <row r="14" spans="1:8" x14ac:dyDescent="0.25">
      <c r="A14" s="30" t="s">
        <v>132</v>
      </c>
      <c r="B14" s="54">
        <v>8.9899960267748096</v>
      </c>
      <c r="C14" s="130">
        <v>2</v>
      </c>
      <c r="D14" s="130"/>
      <c r="E14" s="130"/>
    </row>
    <row r="15" spans="1:8" x14ac:dyDescent="0.25">
      <c r="A15" s="30" t="s">
        <v>133</v>
      </c>
      <c r="B15" s="54">
        <v>10.3</v>
      </c>
      <c r="C15" s="130">
        <v>2</v>
      </c>
      <c r="D15" s="130"/>
      <c r="E15" s="130"/>
    </row>
    <row r="16" spans="1:8" x14ac:dyDescent="0.25">
      <c r="A16" s="30" t="s">
        <v>134</v>
      </c>
      <c r="B16" s="54">
        <v>7.3439649903499502</v>
      </c>
      <c r="C16" s="130">
        <v>3</v>
      </c>
      <c r="D16" s="130"/>
      <c r="E16" s="130"/>
    </row>
    <row r="17" spans="1:5" x14ac:dyDescent="0.25">
      <c r="A17" s="30" t="s">
        <v>135</v>
      </c>
      <c r="B17" s="54">
        <v>8.7159938631700005</v>
      </c>
      <c r="C17" s="130">
        <v>3</v>
      </c>
      <c r="D17" s="130"/>
      <c r="E17" s="130"/>
    </row>
    <row r="18" spans="1:5" x14ac:dyDescent="0.25">
      <c r="A18" s="30" t="s">
        <v>136</v>
      </c>
      <c r="B18" s="54">
        <v>9.5613662561426906</v>
      </c>
      <c r="C18" s="130">
        <v>2</v>
      </c>
      <c r="D18" s="130"/>
      <c r="E18" s="130"/>
    </row>
    <row r="19" spans="1:5" x14ac:dyDescent="0.25">
      <c r="A19" s="30" t="s">
        <v>137</v>
      </c>
      <c r="B19" s="54">
        <v>8.8475027706453009</v>
      </c>
      <c r="C19" s="130">
        <v>2</v>
      </c>
      <c r="D19" s="130"/>
      <c r="E19" s="130"/>
    </row>
    <row r="20" spans="1:5" x14ac:dyDescent="0.25">
      <c r="A20" s="30" t="s">
        <v>138</v>
      </c>
      <c r="B20" s="60">
        <f>Selling_Price_Fresh!B23</f>
        <v>10.3882269348492</v>
      </c>
      <c r="C20" s="130">
        <v>2</v>
      </c>
      <c r="D20" s="130"/>
      <c r="E20" s="130"/>
    </row>
    <row r="21" spans="1:5" x14ac:dyDescent="0.25">
      <c r="A21" s="30" t="s">
        <v>139</v>
      </c>
      <c r="B21" s="54">
        <v>8.0077464788732406</v>
      </c>
      <c r="C21" s="130">
        <v>2</v>
      </c>
      <c r="D21" s="130"/>
      <c r="E21" s="130"/>
    </row>
    <row r="22" spans="1:5" x14ac:dyDescent="0.25">
      <c r="A22" s="30" t="s">
        <v>140</v>
      </c>
      <c r="B22" s="54">
        <v>9.8519194326564996</v>
      </c>
      <c r="C22" s="130">
        <v>2</v>
      </c>
      <c r="D22" s="130"/>
      <c r="E22" s="130"/>
    </row>
    <row r="23" spans="1:5" x14ac:dyDescent="0.25">
      <c r="A23" s="30" t="s">
        <v>141</v>
      </c>
      <c r="B23" s="54">
        <v>10.3882269348492</v>
      </c>
      <c r="C23" s="130">
        <v>2</v>
      </c>
      <c r="D23" s="130"/>
      <c r="E23" s="130"/>
    </row>
    <row r="24" spans="1:5" x14ac:dyDescent="0.25">
      <c r="A24" s="30" t="s">
        <v>142</v>
      </c>
      <c r="B24" s="54">
        <v>11.602169901509599</v>
      </c>
      <c r="C24" s="130">
        <v>2</v>
      </c>
      <c r="D24" s="130"/>
      <c r="E24" s="130"/>
    </row>
    <row r="25" spans="1:5" x14ac:dyDescent="0.25">
      <c r="A25" s="30" t="s">
        <v>143</v>
      </c>
      <c r="B25" s="54">
        <v>7.6800729409980999</v>
      </c>
      <c r="C25" s="130">
        <v>2</v>
      </c>
      <c r="D25" s="130"/>
      <c r="E25" s="130"/>
    </row>
    <row r="26" spans="1:5" x14ac:dyDescent="0.25">
      <c r="A26" s="30" t="s">
        <v>144</v>
      </c>
      <c r="B26" s="54">
        <v>9.4196268968340409</v>
      </c>
      <c r="C26" s="130">
        <v>2</v>
      </c>
      <c r="D26" s="130"/>
      <c r="E26" s="130"/>
    </row>
    <row r="27" spans="1:5" x14ac:dyDescent="0.25">
      <c r="A27" s="30" t="s">
        <v>145</v>
      </c>
      <c r="B27" s="54">
        <v>11.189054395531301</v>
      </c>
      <c r="C27" s="130">
        <v>2</v>
      </c>
      <c r="D27" s="130"/>
      <c r="E27" s="130"/>
    </row>
    <row r="28" spans="1:5" x14ac:dyDescent="0.25">
      <c r="A28" s="30" t="s">
        <v>146</v>
      </c>
      <c r="B28" s="54">
        <v>12.5010201999592</v>
      </c>
      <c r="C28" s="130">
        <v>2</v>
      </c>
      <c r="D28" s="130"/>
      <c r="E28" s="130"/>
    </row>
    <row r="29" spans="1:5" x14ac:dyDescent="0.25">
      <c r="A29" s="30" t="s">
        <v>147</v>
      </c>
      <c r="B29" s="54">
        <v>11.437250860925401</v>
      </c>
      <c r="C29" s="130">
        <v>2</v>
      </c>
      <c r="D29" s="130"/>
      <c r="E29" s="130"/>
    </row>
    <row r="30" spans="1:5" x14ac:dyDescent="0.25">
      <c r="A30" s="30" t="s">
        <v>148</v>
      </c>
      <c r="B30" s="54">
        <v>9.1372480946949004</v>
      </c>
      <c r="C30" s="130">
        <v>2</v>
      </c>
      <c r="D30" s="130"/>
      <c r="E30" s="130"/>
    </row>
    <row r="31" spans="1:5" x14ac:dyDescent="0.25">
      <c r="A31" s="30" t="s">
        <v>149</v>
      </c>
      <c r="B31" s="60">
        <f>Selling_Price_Fresh!B46</f>
        <v>3.18917896329928</v>
      </c>
      <c r="C31" s="130">
        <v>2</v>
      </c>
      <c r="D31" s="130"/>
      <c r="E31" s="130"/>
    </row>
    <row r="32" spans="1:5" x14ac:dyDescent="0.25">
      <c r="A32" s="30" t="s">
        <v>150</v>
      </c>
      <c r="B32" s="54">
        <v>9.0150718585552507</v>
      </c>
      <c r="C32" s="130">
        <v>2</v>
      </c>
      <c r="D32" s="130"/>
      <c r="E32" s="130"/>
    </row>
    <row r="33" spans="1:5" x14ac:dyDescent="0.25">
      <c r="A33" s="30" t="s">
        <v>151</v>
      </c>
      <c r="B33" s="60" t="e">
        <f>Selling_Price_Fresh!B44</f>
        <v>#VALUE!</v>
      </c>
      <c r="C33" s="130">
        <v>2</v>
      </c>
      <c r="D33" s="130"/>
      <c r="E33" s="130"/>
    </row>
    <row r="34" spans="1:5" x14ac:dyDescent="0.25">
      <c r="A34" s="30" t="s">
        <v>152</v>
      </c>
      <c r="B34" s="54">
        <v>8.9741085666392593</v>
      </c>
      <c r="C34" s="130">
        <v>2</v>
      </c>
      <c r="D34" s="130"/>
      <c r="E34" s="130"/>
    </row>
    <row r="35" spans="1:5" x14ac:dyDescent="0.25">
      <c r="A35" s="30" t="s">
        <v>153</v>
      </c>
      <c r="B35" s="54">
        <v>8.9630728542662208</v>
      </c>
      <c r="C35" s="130">
        <v>2</v>
      </c>
      <c r="D35" s="130"/>
      <c r="E35" s="130"/>
    </row>
    <row r="36" spans="1:5" x14ac:dyDescent="0.25">
      <c r="A36" s="30" t="s">
        <v>154</v>
      </c>
      <c r="B36" s="54">
        <v>5.5485762241674701</v>
      </c>
      <c r="C36" s="130">
        <v>2</v>
      </c>
      <c r="D36" s="130"/>
      <c r="E36" s="130"/>
    </row>
    <row r="37" spans="1:5" x14ac:dyDescent="0.25">
      <c r="A37" s="30" t="s">
        <v>155</v>
      </c>
      <c r="B37" s="60">
        <f>AVERAGE(Selling_Price_Fresh!B2:B3)</f>
        <v>14.208285442154999</v>
      </c>
      <c r="C37" s="130">
        <v>2</v>
      </c>
      <c r="D37" s="130"/>
      <c r="E37" s="130"/>
    </row>
    <row r="38" spans="1:5" x14ac:dyDescent="0.25">
      <c r="A38" s="30" t="s">
        <v>156</v>
      </c>
      <c r="B38" s="54">
        <v>3.1914046396726699</v>
      </c>
      <c r="C38" s="130">
        <v>2</v>
      </c>
      <c r="D38" s="130"/>
      <c r="E38" s="130"/>
    </row>
    <row r="39" spans="1:5" x14ac:dyDescent="0.25">
      <c r="A39" s="30" t="s">
        <v>157</v>
      </c>
      <c r="B39" s="54">
        <v>1.6</v>
      </c>
      <c r="C39" s="130">
        <v>2</v>
      </c>
      <c r="D39" s="130"/>
      <c r="E39" s="130"/>
    </row>
    <row r="40" spans="1:5" x14ac:dyDescent="0.25">
      <c r="A40" s="30" t="s">
        <v>158</v>
      </c>
      <c r="B40" s="54">
        <v>5.50404608016275</v>
      </c>
      <c r="C40" s="130">
        <v>2</v>
      </c>
      <c r="D40" s="130"/>
      <c r="E40" s="130"/>
    </row>
    <row r="41" spans="1:5" x14ac:dyDescent="0.25">
      <c r="A41" s="30" t="s">
        <v>159</v>
      </c>
      <c r="B41" s="54">
        <v>0.7</v>
      </c>
      <c r="C41" s="130">
        <v>2</v>
      </c>
      <c r="D41" s="130"/>
      <c r="E41" s="130"/>
    </row>
    <row r="42" spans="1:5" x14ac:dyDescent="0.25">
      <c r="A42" s="30" t="s">
        <v>160</v>
      </c>
      <c r="B42" s="54">
        <v>1.8871408956298601</v>
      </c>
      <c r="C42" s="130">
        <v>2</v>
      </c>
      <c r="D42" s="130"/>
      <c r="E42" s="130"/>
    </row>
    <row r="43" spans="1:5" x14ac:dyDescent="0.25">
      <c r="A43" s="30" t="s">
        <v>161</v>
      </c>
      <c r="B43" s="54">
        <v>1.84691751345088</v>
      </c>
      <c r="C43" s="130">
        <v>2</v>
      </c>
      <c r="D43" s="130"/>
      <c r="E43" s="130"/>
    </row>
    <row r="44" spans="1:5" x14ac:dyDescent="0.25">
      <c r="A44" s="30" t="s">
        <v>162</v>
      </c>
      <c r="B44" s="60" t="e">
        <f>Selling_Price_Fresh!B1*0.5</f>
        <v>#VALUE!</v>
      </c>
      <c r="C44" s="130">
        <v>2</v>
      </c>
      <c r="D44" s="130"/>
      <c r="E44" s="130"/>
    </row>
    <row r="45" spans="1:5" x14ac:dyDescent="0.25">
      <c r="A45" s="30" t="s">
        <v>163</v>
      </c>
      <c r="B45" s="54">
        <v>3.9628505883223699</v>
      </c>
      <c r="C45" s="130">
        <v>2</v>
      </c>
      <c r="D45" s="130"/>
      <c r="E45" s="130"/>
    </row>
    <row r="46" spans="1:5" x14ac:dyDescent="0.25">
      <c r="A46" s="30" t="s">
        <v>164</v>
      </c>
      <c r="B46" s="54">
        <v>3.18917896329928</v>
      </c>
      <c r="C46" s="130">
        <v>2</v>
      </c>
      <c r="D46" s="130"/>
      <c r="E46" s="130"/>
    </row>
    <row r="47" spans="1:5" x14ac:dyDescent="0.25">
      <c r="A47" s="30" t="s">
        <v>165</v>
      </c>
      <c r="B47" s="54">
        <v>3.1711213395708802</v>
      </c>
      <c r="C47" s="130">
        <v>3</v>
      </c>
      <c r="D47" s="130"/>
      <c r="E47" s="130"/>
    </row>
    <row r="48" spans="1:5" x14ac:dyDescent="0.25">
      <c r="A48" s="30" t="s">
        <v>166</v>
      </c>
      <c r="B48" s="54">
        <v>7.5230376373931396</v>
      </c>
      <c r="C48" s="130">
        <v>2</v>
      </c>
      <c r="D48" s="130"/>
      <c r="E48" s="130"/>
    </row>
    <row r="49" spans="1:5" x14ac:dyDescent="0.25">
      <c r="A49" s="30" t="s">
        <v>167</v>
      </c>
      <c r="B49" s="54">
        <v>14.6994478995616</v>
      </c>
      <c r="C49" s="130">
        <v>3</v>
      </c>
      <c r="D49" s="130"/>
      <c r="E49" s="130"/>
    </row>
    <row r="50" spans="1:5" x14ac:dyDescent="0.25">
      <c r="A50" s="30" t="s">
        <v>168</v>
      </c>
      <c r="B50" s="54">
        <v>15.298865502776399</v>
      </c>
      <c r="C50" s="130">
        <v>3</v>
      </c>
      <c r="D50" s="130"/>
      <c r="E50" s="130"/>
    </row>
    <row r="51" spans="1:5" x14ac:dyDescent="0.25">
      <c r="A51" s="30" t="s">
        <v>169</v>
      </c>
      <c r="B51" s="54">
        <v>18.2693082548201</v>
      </c>
      <c r="C51" s="130">
        <v>3</v>
      </c>
      <c r="D51" s="130"/>
      <c r="E51" s="130"/>
    </row>
    <row r="52" spans="1:5" x14ac:dyDescent="0.25">
      <c r="A52" s="30" t="s">
        <v>170</v>
      </c>
      <c r="B52" s="54">
        <v>7.9921273318500701</v>
      </c>
      <c r="C52" s="130">
        <v>3</v>
      </c>
      <c r="D52" s="130"/>
      <c r="E52" s="130"/>
    </row>
    <row r="53" spans="1:5" x14ac:dyDescent="0.25">
      <c r="A53" s="30" t="s">
        <v>171</v>
      </c>
      <c r="B53" s="54">
        <v>7.9318099909005904</v>
      </c>
      <c r="C53" s="130">
        <v>3</v>
      </c>
      <c r="D53" s="130"/>
      <c r="E53" s="130"/>
    </row>
    <row r="54" spans="1:5" x14ac:dyDescent="0.25">
      <c r="A54" s="30" t="s">
        <v>172</v>
      </c>
      <c r="B54" s="54">
        <v>8.9231077442045592</v>
      </c>
      <c r="C54" s="130">
        <v>3</v>
      </c>
      <c r="D54" s="130"/>
      <c r="E54" s="130"/>
    </row>
    <row r="55" spans="1:5" x14ac:dyDescent="0.25">
      <c r="A55" s="30" t="s">
        <v>173</v>
      </c>
      <c r="B55" s="54">
        <v>9.3938424000122005</v>
      </c>
      <c r="C55" s="130">
        <v>3</v>
      </c>
      <c r="D55" s="130"/>
      <c r="E55" s="130"/>
    </row>
    <row r="56" spans="1:5" x14ac:dyDescent="0.25">
      <c r="A56" s="30" t="s">
        <v>174</v>
      </c>
      <c r="B56" s="54">
        <v>9.1403549076530002</v>
      </c>
      <c r="C56" s="130">
        <v>3</v>
      </c>
      <c r="D56" s="130"/>
      <c r="E56" s="130"/>
    </row>
    <row r="57" spans="1:5" x14ac:dyDescent="0.25">
      <c r="A57" s="30" t="s">
        <v>175</v>
      </c>
      <c r="B57" s="54">
        <v>13.022128606502999</v>
      </c>
      <c r="C57" s="130">
        <v>3</v>
      </c>
      <c r="D57" s="130"/>
      <c r="E57" s="130"/>
    </row>
    <row r="58" spans="1:5" x14ac:dyDescent="0.25">
      <c r="A58" s="30" t="s">
        <v>176</v>
      </c>
      <c r="B58" s="60">
        <f>Selling_Price_Fresh!B63</f>
        <v>13.549341370841701</v>
      </c>
      <c r="C58" s="130">
        <v>3</v>
      </c>
      <c r="D58" s="130"/>
      <c r="E58" s="130"/>
    </row>
    <row r="59" spans="1:5" x14ac:dyDescent="0.25">
      <c r="A59" s="30" t="s">
        <v>177</v>
      </c>
      <c r="B59" s="54">
        <v>10.4673626143821</v>
      </c>
      <c r="C59" s="130">
        <v>3</v>
      </c>
      <c r="D59" s="130"/>
      <c r="E59" s="130"/>
    </row>
    <row r="60" spans="1:5" x14ac:dyDescent="0.25">
      <c r="A60" s="30" t="s">
        <v>178</v>
      </c>
      <c r="B60" s="54">
        <v>9.4708965278103907</v>
      </c>
      <c r="C60" s="130">
        <v>2</v>
      </c>
      <c r="D60" s="130"/>
      <c r="E60" s="130"/>
    </row>
    <row r="61" spans="1:5" x14ac:dyDescent="0.25">
      <c r="A61" s="30" t="s">
        <v>179</v>
      </c>
      <c r="B61" s="54">
        <v>13.216832186044501</v>
      </c>
      <c r="C61" s="130">
        <v>2</v>
      </c>
      <c r="D61" s="130"/>
      <c r="E61" s="130"/>
    </row>
    <row r="62" spans="1:5" x14ac:dyDescent="0.25">
      <c r="A62" s="30" t="s">
        <v>180</v>
      </c>
      <c r="B62" s="54">
        <v>13.431992605456299</v>
      </c>
      <c r="C62" s="130">
        <v>2</v>
      </c>
      <c r="D62" s="130"/>
      <c r="E62" s="130"/>
    </row>
    <row r="63" spans="1:5" x14ac:dyDescent="0.25">
      <c r="A63" s="30" t="s">
        <v>181</v>
      </c>
      <c r="B63" s="54">
        <v>13.549341370841701</v>
      </c>
      <c r="C63" s="130">
        <v>2</v>
      </c>
      <c r="D63" s="130"/>
      <c r="E63" s="130"/>
    </row>
    <row r="64" spans="1:5" x14ac:dyDescent="0.25">
      <c r="A64" s="30" t="s">
        <v>182</v>
      </c>
      <c r="B64" s="54">
        <v>8.8024338015675596</v>
      </c>
      <c r="C64" s="130">
        <v>2</v>
      </c>
      <c r="D64" s="130"/>
      <c r="E64" s="130"/>
    </row>
    <row r="65" spans="1:5" x14ac:dyDescent="0.25">
      <c r="A65" s="30" t="s">
        <v>183</v>
      </c>
      <c r="B65" s="60">
        <f>Selling_Price_Fresh!B49</f>
        <v>14.6994478995616</v>
      </c>
      <c r="C65" s="130">
        <v>2</v>
      </c>
      <c r="D65" s="130"/>
      <c r="E65" s="130"/>
    </row>
    <row r="66" spans="1:5" x14ac:dyDescent="0.25">
      <c r="A66" s="30" t="s">
        <v>184</v>
      </c>
      <c r="B66" s="54">
        <v>9.7244613118059107</v>
      </c>
      <c r="C66" s="130">
        <v>2</v>
      </c>
      <c r="D66" s="130"/>
      <c r="E66" s="130"/>
    </row>
    <row r="67" spans="1:5" x14ac:dyDescent="0.25">
      <c r="A67" s="30" t="s">
        <v>185</v>
      </c>
      <c r="B67" s="54">
        <v>6.3288294548739801</v>
      </c>
      <c r="C67" s="130">
        <v>3</v>
      </c>
      <c r="D67" s="130"/>
      <c r="E67" s="130"/>
    </row>
    <row r="68" spans="1:5" x14ac:dyDescent="0.25">
      <c r="A68" s="30" t="s">
        <v>186</v>
      </c>
      <c r="B68" s="54">
        <v>6.3474211134710501</v>
      </c>
      <c r="C68" s="130">
        <v>3</v>
      </c>
      <c r="D68" s="130"/>
      <c r="E68" s="130"/>
    </row>
    <row r="69" spans="1:5" x14ac:dyDescent="0.25">
      <c r="A69" s="30" t="s">
        <v>187</v>
      </c>
      <c r="B69" s="60">
        <f>Selling_Price_Fresh!B16</f>
        <v>7.3439649903499502</v>
      </c>
      <c r="C69" s="130">
        <v>3</v>
      </c>
      <c r="D69" s="130"/>
      <c r="E69" s="130"/>
    </row>
    <row r="70" spans="1:5" x14ac:dyDescent="0.25">
      <c r="A70" s="30" t="s">
        <v>188</v>
      </c>
      <c r="B70" s="54">
        <v>13.9764816368941</v>
      </c>
      <c r="C70" s="130">
        <v>2</v>
      </c>
      <c r="D70" s="130"/>
      <c r="E70" s="130"/>
    </row>
    <row r="71" spans="1:5" x14ac:dyDescent="0.25">
      <c r="A71" s="30" t="s">
        <v>189</v>
      </c>
      <c r="B71" s="54">
        <v>9.9733787024597191</v>
      </c>
      <c r="C71" s="130">
        <v>2</v>
      </c>
      <c r="D71" s="130"/>
      <c r="E71" s="130"/>
    </row>
    <row r="72" spans="1:5" x14ac:dyDescent="0.25">
      <c r="A72" s="30" t="s">
        <v>190</v>
      </c>
      <c r="B72" s="54">
        <v>11.2727272727273</v>
      </c>
      <c r="C72" s="130">
        <v>2</v>
      </c>
      <c r="D72" s="130"/>
      <c r="E72" s="130"/>
    </row>
    <row r="73" spans="1:5" x14ac:dyDescent="0.25">
      <c r="A73" s="30" t="s">
        <v>191</v>
      </c>
      <c r="B73" s="54">
        <v>15.4319343987141</v>
      </c>
      <c r="C73" s="130">
        <v>2</v>
      </c>
      <c r="D73" s="130"/>
      <c r="E73" s="130"/>
    </row>
    <row r="74" spans="1:5" x14ac:dyDescent="0.25">
      <c r="A74" s="30" t="s">
        <v>192</v>
      </c>
      <c r="B74" s="54">
        <v>11.2727272727273</v>
      </c>
      <c r="C74" s="130">
        <v>2</v>
      </c>
      <c r="D74" s="130"/>
      <c r="E74" s="130"/>
    </row>
    <row r="75" spans="1:5" x14ac:dyDescent="0.25">
      <c r="A75" s="30" t="s">
        <v>193</v>
      </c>
      <c r="B75" s="54">
        <v>10.9537555645319</v>
      </c>
      <c r="C75" s="130">
        <v>2</v>
      </c>
      <c r="D75" s="130"/>
      <c r="E75" s="130"/>
    </row>
    <row r="76" spans="1:5" x14ac:dyDescent="0.25">
      <c r="A76" s="30" t="s">
        <v>194</v>
      </c>
      <c r="B76" s="54">
        <v>11.2727272727273</v>
      </c>
      <c r="C76" s="130">
        <v>2</v>
      </c>
      <c r="D76" s="130"/>
      <c r="E76" s="130"/>
    </row>
    <row r="77" spans="1:5" x14ac:dyDescent="0.25">
      <c r="A77" s="30" t="s">
        <v>195</v>
      </c>
      <c r="B77" s="54">
        <v>11.2727272727273</v>
      </c>
      <c r="C77" s="130">
        <v>2</v>
      </c>
      <c r="D77" s="130"/>
      <c r="E77" s="130"/>
    </row>
    <row r="78" spans="1:5" x14ac:dyDescent="0.25">
      <c r="A78" s="30" t="s">
        <v>196</v>
      </c>
      <c r="B78" s="54">
        <v>9.2872707463228608</v>
      </c>
      <c r="C78" s="130">
        <v>2</v>
      </c>
      <c r="D78" s="130"/>
      <c r="E78" s="130"/>
    </row>
    <row r="79" spans="1:5" x14ac:dyDescent="0.25">
      <c r="A79" s="30" t="s">
        <v>197</v>
      </c>
      <c r="B79" s="60">
        <f>Selling_Price_Fresh!B23</f>
        <v>10.3882269348492</v>
      </c>
      <c r="C79" s="130">
        <v>3</v>
      </c>
      <c r="D79" s="130"/>
      <c r="E79" s="130"/>
    </row>
    <row r="80" spans="1:5" x14ac:dyDescent="0.25">
      <c r="A80" s="30" t="s">
        <v>198</v>
      </c>
      <c r="B80" s="54">
        <v>7.20960046882215</v>
      </c>
      <c r="C80" s="130">
        <v>3</v>
      </c>
      <c r="D80" s="130"/>
      <c r="E80" s="130"/>
    </row>
    <row r="81" spans="1:5" x14ac:dyDescent="0.25">
      <c r="A81" s="30" t="s">
        <v>199</v>
      </c>
      <c r="B81" s="54">
        <v>11.4988275421019</v>
      </c>
      <c r="C81" s="130">
        <v>2</v>
      </c>
      <c r="D81" s="130"/>
      <c r="E81" s="130"/>
    </row>
    <row r="82" spans="1:5" x14ac:dyDescent="0.25">
      <c r="A82" s="30" t="s">
        <v>200</v>
      </c>
      <c r="B82" s="54">
        <v>11.6999966064884</v>
      </c>
      <c r="C82" s="130">
        <v>2</v>
      </c>
      <c r="D82" s="130"/>
      <c r="E82" s="130"/>
    </row>
    <row r="83" spans="1:5" x14ac:dyDescent="0.25">
      <c r="A83" s="30" t="s">
        <v>201</v>
      </c>
      <c r="B83" s="54">
        <v>11.6238073995849</v>
      </c>
      <c r="C83" s="130">
        <v>2</v>
      </c>
      <c r="D83" s="130"/>
      <c r="E83" s="130"/>
    </row>
    <row r="84" spans="1:5" x14ac:dyDescent="0.25">
      <c r="A84" s="30" t="s">
        <v>202</v>
      </c>
      <c r="B84" s="54">
        <v>10.90031982582</v>
      </c>
      <c r="C84" s="130">
        <v>3</v>
      </c>
      <c r="D84" s="130"/>
      <c r="E84" s="130"/>
    </row>
    <row r="85" spans="1:5" x14ac:dyDescent="0.25">
      <c r="A85" s="30" t="s">
        <v>203</v>
      </c>
      <c r="B85" s="54">
        <v>11.8</v>
      </c>
      <c r="C85" s="130">
        <v>2</v>
      </c>
      <c r="D85" s="130"/>
      <c r="E85" s="130"/>
    </row>
    <row r="86" spans="1:5" x14ac:dyDescent="0.25">
      <c r="A86" s="30" t="s">
        <v>204</v>
      </c>
      <c r="B86" s="54">
        <v>10.9107940734465</v>
      </c>
      <c r="C86" s="130">
        <v>3</v>
      </c>
      <c r="D86" s="130"/>
      <c r="E86" s="130"/>
    </row>
    <row r="87" spans="1:5" x14ac:dyDescent="0.25">
      <c r="A87" s="30" t="s">
        <v>205</v>
      </c>
      <c r="B87" s="54">
        <v>6.9920282717151103</v>
      </c>
      <c r="C87" s="130">
        <v>3</v>
      </c>
      <c r="D87" s="130"/>
      <c r="E87" s="130"/>
    </row>
    <row r="88" spans="1:5" x14ac:dyDescent="0.25">
      <c r="A88" s="30" t="s">
        <v>206</v>
      </c>
      <c r="B88" s="54">
        <v>6.2987811051926101</v>
      </c>
      <c r="C88" s="130">
        <v>2</v>
      </c>
      <c r="D88" s="130"/>
      <c r="E88" s="130"/>
    </row>
    <row r="89" spans="1:5" x14ac:dyDescent="0.25">
      <c r="A89" s="30" t="s">
        <v>207</v>
      </c>
      <c r="B89" s="60">
        <f>Selling_Price_Fresh!B23</f>
        <v>10.3882269348492</v>
      </c>
      <c r="C89" s="130">
        <v>2</v>
      </c>
      <c r="D89" s="130"/>
      <c r="E89" s="130"/>
    </row>
    <row r="90" spans="1:5" x14ac:dyDescent="0.25">
      <c r="A90" s="30" t="s">
        <v>208</v>
      </c>
      <c r="B90" s="54">
        <v>6.9971922337633101</v>
      </c>
      <c r="C90" s="130">
        <v>2</v>
      </c>
      <c r="D90" s="130"/>
      <c r="E90" s="130"/>
    </row>
    <row r="91" spans="1:5" x14ac:dyDescent="0.25">
      <c r="A91" s="30" t="s">
        <v>209</v>
      </c>
      <c r="B91" s="54">
        <v>8.0067825202630303</v>
      </c>
      <c r="C91" s="130">
        <v>2</v>
      </c>
      <c r="D91" s="130"/>
      <c r="E91" s="130"/>
    </row>
    <row r="92" spans="1:5" x14ac:dyDescent="0.25">
      <c r="A92" s="30" t="s">
        <v>210</v>
      </c>
      <c r="B92" s="54">
        <v>6.9451222032150204</v>
      </c>
      <c r="C92" s="130">
        <v>3</v>
      </c>
      <c r="D92" s="130"/>
      <c r="E92" s="130"/>
    </row>
    <row r="93" spans="1:5" x14ac:dyDescent="0.25">
      <c r="A93" s="30" t="s">
        <v>211</v>
      </c>
      <c r="B93" s="54">
        <v>7.9916257152653998</v>
      </c>
      <c r="C93" s="130">
        <v>2</v>
      </c>
      <c r="D93" s="130"/>
      <c r="E93" s="130"/>
    </row>
    <row r="94" spans="1:5" x14ac:dyDescent="0.25">
      <c r="A94" s="30" t="s">
        <v>212</v>
      </c>
      <c r="B94" s="54">
        <v>7.39785133309271</v>
      </c>
      <c r="C94" s="130">
        <v>2</v>
      </c>
      <c r="D94" s="130"/>
      <c r="E94" s="130"/>
    </row>
    <row r="95" spans="1:5" x14ac:dyDescent="0.25">
      <c r="A95" s="30" t="s">
        <v>213</v>
      </c>
      <c r="B95" s="54">
        <v>7.6784157965286797</v>
      </c>
      <c r="C95" s="130">
        <v>2</v>
      </c>
      <c r="D95" s="130"/>
      <c r="E95" s="130"/>
    </row>
    <row r="96" spans="1:5" x14ac:dyDescent="0.25">
      <c r="A96" s="30" t="s">
        <v>214</v>
      </c>
      <c r="B96" s="54">
        <v>7.4586755739203703</v>
      </c>
      <c r="C96" s="130">
        <v>2</v>
      </c>
      <c r="D96" s="130"/>
      <c r="E96" s="130"/>
    </row>
    <row r="97" spans="1:5" x14ac:dyDescent="0.25">
      <c r="A97" s="30" t="s">
        <v>215</v>
      </c>
      <c r="B97" s="54">
        <v>7.73537329562736</v>
      </c>
      <c r="C97" s="130">
        <v>2</v>
      </c>
      <c r="D97" s="130"/>
      <c r="E97" s="130"/>
    </row>
  </sheetData>
  <autoFilter ref="A1:C97"/>
  <hyperlinks>
    <hyperlink ref="H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N120"/>
  <sheetViews>
    <sheetView zoomScaleNormal="100" workbookViewId="0">
      <selection activeCell="D2" sqref="D2:E120"/>
    </sheetView>
  </sheetViews>
  <sheetFormatPr defaultRowHeight="15" x14ac:dyDescent="0.25"/>
  <cols>
    <col min="1" max="1" width="17.28515625"/>
    <col min="2" max="3" width="25.5703125"/>
    <col min="4" max="4" width="8.85546875" bestFit="1" customWidth="1"/>
    <col min="5" max="1025" width="8.5703125"/>
  </cols>
  <sheetData>
    <row r="1" spans="1:14" x14ac:dyDescent="0.25">
      <c r="A1" s="27" t="s">
        <v>119</v>
      </c>
      <c r="B1" s="27" t="s">
        <v>745</v>
      </c>
      <c r="C1" s="53" t="s">
        <v>744</v>
      </c>
      <c r="N1" s="29" t="s">
        <v>216</v>
      </c>
    </row>
    <row r="2" spans="1:14" x14ac:dyDescent="0.25">
      <c r="A2" s="32" t="s">
        <v>217</v>
      </c>
      <c r="B2" s="54">
        <v>13.7794687029469</v>
      </c>
      <c r="C2" s="138">
        <v>2</v>
      </c>
      <c r="D2" s="138"/>
      <c r="E2" s="138"/>
    </row>
    <row r="3" spans="1:14" x14ac:dyDescent="0.25">
      <c r="A3" s="32" t="s">
        <v>218</v>
      </c>
      <c r="B3" s="54">
        <v>13.2841096187448</v>
      </c>
      <c r="C3" s="138">
        <v>3</v>
      </c>
      <c r="D3" s="138"/>
      <c r="E3" s="138"/>
    </row>
    <row r="4" spans="1:14" x14ac:dyDescent="0.25">
      <c r="A4" s="32" t="s">
        <v>219</v>
      </c>
      <c r="B4" s="54">
        <v>13.069975015557199</v>
      </c>
      <c r="C4" s="138">
        <v>2</v>
      </c>
      <c r="D4" s="138"/>
      <c r="E4" s="138"/>
    </row>
    <row r="5" spans="1:14" x14ac:dyDescent="0.25">
      <c r="A5" s="32" t="s">
        <v>220</v>
      </c>
      <c r="B5" s="54">
        <v>14.008853982462799</v>
      </c>
      <c r="C5" s="138">
        <v>2</v>
      </c>
      <c r="D5" s="138"/>
      <c r="E5" s="138"/>
    </row>
    <row r="6" spans="1:14" x14ac:dyDescent="0.25">
      <c r="A6" s="32" t="s">
        <v>221</v>
      </c>
      <c r="B6" s="54">
        <v>13.0199890707846</v>
      </c>
      <c r="C6" s="138">
        <v>2</v>
      </c>
      <c r="D6" s="138"/>
      <c r="E6" s="138"/>
    </row>
    <row r="7" spans="1:14" x14ac:dyDescent="0.25">
      <c r="A7" s="32" t="s">
        <v>222</v>
      </c>
      <c r="B7" s="54">
        <v>14.250041206527101</v>
      </c>
      <c r="C7" s="138">
        <v>2</v>
      </c>
      <c r="D7" s="138"/>
      <c r="E7" s="138"/>
    </row>
    <row r="8" spans="1:14" x14ac:dyDescent="0.25">
      <c r="A8" s="32" t="s">
        <v>223</v>
      </c>
      <c r="B8" s="54">
        <v>12.9299435339738</v>
      </c>
      <c r="C8" s="138">
        <v>2</v>
      </c>
      <c r="D8" s="138"/>
      <c r="E8" s="138"/>
    </row>
    <row r="9" spans="1:14" x14ac:dyDescent="0.25">
      <c r="A9" t="s">
        <v>224</v>
      </c>
      <c r="B9" s="54">
        <v>11.1699961477079</v>
      </c>
      <c r="C9" s="138">
        <v>2</v>
      </c>
      <c r="D9" s="138"/>
      <c r="E9" s="138"/>
    </row>
    <row r="10" spans="1:14" x14ac:dyDescent="0.25">
      <c r="A10" t="s">
        <v>225</v>
      </c>
      <c r="B10" s="54">
        <v>14.063888823079401</v>
      </c>
      <c r="C10" s="138">
        <v>2</v>
      </c>
      <c r="D10" s="138"/>
      <c r="E10" s="138"/>
    </row>
    <row r="11" spans="1:14" x14ac:dyDescent="0.25">
      <c r="A11" t="s">
        <v>226</v>
      </c>
      <c r="B11" s="54">
        <v>11.170006647990601</v>
      </c>
      <c r="C11" s="138">
        <v>2</v>
      </c>
      <c r="D11" s="138"/>
      <c r="E11" s="138"/>
    </row>
    <row r="12" spans="1:14" x14ac:dyDescent="0.25">
      <c r="A12" t="s">
        <v>227</v>
      </c>
      <c r="B12" s="54">
        <v>11.9351149164342</v>
      </c>
      <c r="C12" s="138">
        <v>2</v>
      </c>
      <c r="D12" s="138"/>
      <c r="E12" s="138"/>
    </row>
    <row r="13" spans="1:14" x14ac:dyDescent="0.25">
      <c r="A13" t="s">
        <v>228</v>
      </c>
      <c r="B13" s="54">
        <v>12.9970548110104</v>
      </c>
      <c r="C13" s="138">
        <v>3</v>
      </c>
      <c r="D13" s="138"/>
      <c r="E13" s="138"/>
    </row>
    <row r="14" spans="1:14" x14ac:dyDescent="0.25">
      <c r="A14" t="s">
        <v>229</v>
      </c>
      <c r="B14" s="60">
        <f>Selling_Price_Frozen!B13</f>
        <v>12.9970548110104</v>
      </c>
      <c r="C14" s="138">
        <v>2</v>
      </c>
      <c r="D14" s="138"/>
      <c r="E14" s="138"/>
    </row>
    <row r="15" spans="1:14" x14ac:dyDescent="0.25">
      <c r="A15" t="s">
        <v>230</v>
      </c>
      <c r="B15" s="54">
        <v>13.328438930083401</v>
      </c>
      <c r="C15" s="138">
        <v>2</v>
      </c>
      <c r="D15" s="138"/>
      <c r="E15" s="138"/>
    </row>
    <row r="16" spans="1:14" x14ac:dyDescent="0.25">
      <c r="A16" t="s">
        <v>231</v>
      </c>
      <c r="B16" s="54">
        <v>13.8876724734964</v>
      </c>
      <c r="C16" s="138">
        <v>2</v>
      </c>
      <c r="D16" s="138"/>
      <c r="E16" s="138"/>
    </row>
    <row r="17" spans="1:5" x14ac:dyDescent="0.25">
      <c r="A17" t="s">
        <v>232</v>
      </c>
      <c r="B17" s="54">
        <v>13.95</v>
      </c>
      <c r="C17" s="138">
        <v>3</v>
      </c>
      <c r="D17" s="138"/>
      <c r="E17" s="138"/>
    </row>
    <row r="18" spans="1:5" x14ac:dyDescent="0.25">
      <c r="A18" t="s">
        <v>233</v>
      </c>
      <c r="B18" s="54">
        <v>14.31</v>
      </c>
      <c r="C18" s="138">
        <v>3</v>
      </c>
      <c r="D18" s="138"/>
      <c r="E18" s="138"/>
    </row>
    <row r="19" spans="1:5" x14ac:dyDescent="0.25">
      <c r="A19" t="s">
        <v>234</v>
      </c>
      <c r="B19" s="60">
        <f>Selling_Price_Frozen!B16</f>
        <v>13.8876724734964</v>
      </c>
      <c r="C19" s="138">
        <v>2</v>
      </c>
      <c r="D19" s="138"/>
      <c r="E19" s="138"/>
    </row>
    <row r="20" spans="1:5" x14ac:dyDescent="0.25">
      <c r="A20" t="s">
        <v>235</v>
      </c>
      <c r="B20" s="60">
        <f>Selling_Price_Frozen!B14</f>
        <v>12.9970548110104</v>
      </c>
      <c r="C20" s="138">
        <v>2</v>
      </c>
      <c r="D20" s="138"/>
      <c r="E20" s="138"/>
    </row>
    <row r="21" spans="1:5" x14ac:dyDescent="0.25">
      <c r="A21" t="s">
        <v>236</v>
      </c>
      <c r="B21" s="54">
        <v>13.253570992552801</v>
      </c>
      <c r="C21" s="138">
        <v>3</v>
      </c>
      <c r="D21" s="138"/>
      <c r="E21" s="138"/>
    </row>
    <row r="22" spans="1:5" x14ac:dyDescent="0.25">
      <c r="A22" t="s">
        <v>237</v>
      </c>
      <c r="B22" s="54">
        <v>14.2316317737112</v>
      </c>
      <c r="C22" s="138">
        <v>2</v>
      </c>
      <c r="D22" s="138"/>
      <c r="E22" s="138"/>
    </row>
    <row r="23" spans="1:5" x14ac:dyDescent="0.25">
      <c r="A23" t="s">
        <v>238</v>
      </c>
      <c r="B23" s="54">
        <v>11.9199859436831</v>
      </c>
      <c r="C23" s="138">
        <v>3</v>
      </c>
      <c r="D23" s="138"/>
      <c r="E23" s="138"/>
    </row>
    <row r="24" spans="1:5" x14ac:dyDescent="0.25">
      <c r="A24" t="s">
        <v>239</v>
      </c>
      <c r="B24" s="54">
        <v>12.201468637154701</v>
      </c>
      <c r="C24" s="138">
        <v>3</v>
      </c>
      <c r="D24" s="138"/>
      <c r="E24" s="138"/>
    </row>
    <row r="25" spans="1:5" x14ac:dyDescent="0.25">
      <c r="A25" t="s">
        <v>240</v>
      </c>
      <c r="B25" s="54">
        <v>11.541179867620301</v>
      </c>
      <c r="C25" s="138">
        <v>3</v>
      </c>
      <c r="D25" s="138"/>
      <c r="E25" s="138"/>
    </row>
    <row r="26" spans="1:5" x14ac:dyDescent="0.25">
      <c r="A26" t="s">
        <v>241</v>
      </c>
      <c r="B26" s="54">
        <v>10.052596255222801</v>
      </c>
      <c r="C26" s="138">
        <v>2</v>
      </c>
      <c r="D26" s="138"/>
      <c r="E26" s="138"/>
    </row>
    <row r="27" spans="1:5" x14ac:dyDescent="0.25">
      <c r="A27" t="s">
        <v>242</v>
      </c>
      <c r="B27" s="60">
        <f>Selling_Price_Frozen!B26</f>
        <v>10.052596255222801</v>
      </c>
      <c r="C27" s="138">
        <v>2</v>
      </c>
      <c r="D27" s="138"/>
      <c r="E27" s="138"/>
    </row>
    <row r="28" spans="1:5" x14ac:dyDescent="0.25">
      <c r="A28" t="s">
        <v>243</v>
      </c>
      <c r="B28" s="54">
        <v>9.9335328444430093</v>
      </c>
      <c r="C28" s="138">
        <v>2</v>
      </c>
      <c r="D28" s="138"/>
      <c r="E28" s="138"/>
    </row>
    <row r="29" spans="1:5" x14ac:dyDescent="0.25">
      <c r="A29" t="s">
        <v>244</v>
      </c>
      <c r="B29" s="54">
        <v>10.200015842839001</v>
      </c>
      <c r="C29" s="138">
        <v>2</v>
      </c>
      <c r="D29" s="138"/>
      <c r="E29" s="138"/>
    </row>
    <row r="30" spans="1:5" x14ac:dyDescent="0.25">
      <c r="A30" t="s">
        <v>245</v>
      </c>
      <c r="B30" s="54">
        <v>11.555855762801199</v>
      </c>
      <c r="C30" s="138">
        <v>3</v>
      </c>
      <c r="D30" s="138"/>
      <c r="E30" s="138"/>
    </row>
    <row r="31" spans="1:5" x14ac:dyDescent="0.25">
      <c r="A31" t="s">
        <v>246</v>
      </c>
      <c r="B31" s="60">
        <f>Selling_Price_Frozen!B35</f>
        <v>10.199998335981901</v>
      </c>
      <c r="C31" s="138">
        <v>2</v>
      </c>
      <c r="D31" s="138"/>
      <c r="E31" s="138"/>
    </row>
    <row r="32" spans="1:5" x14ac:dyDescent="0.25">
      <c r="A32" t="s">
        <v>247</v>
      </c>
      <c r="B32" s="54">
        <v>8.8428978124063509</v>
      </c>
      <c r="C32" s="138">
        <v>3</v>
      </c>
      <c r="D32" s="138"/>
      <c r="E32" s="138"/>
    </row>
    <row r="33" spans="1:5" x14ac:dyDescent="0.25">
      <c r="A33" t="s">
        <v>248</v>
      </c>
      <c r="B33" s="54">
        <v>8.6881828522859692</v>
      </c>
      <c r="C33" s="138">
        <v>3</v>
      </c>
      <c r="D33" s="138"/>
      <c r="E33" s="138"/>
    </row>
    <row r="34" spans="1:5" x14ac:dyDescent="0.25">
      <c r="A34" t="s">
        <v>249</v>
      </c>
      <c r="B34" s="54">
        <v>7.3729270837080501</v>
      </c>
      <c r="C34" s="138">
        <v>3</v>
      </c>
      <c r="D34" s="138"/>
      <c r="E34" s="138"/>
    </row>
    <row r="35" spans="1:5" x14ac:dyDescent="0.25">
      <c r="A35" t="s">
        <v>250</v>
      </c>
      <c r="B35" s="54">
        <v>10.199998335981901</v>
      </c>
      <c r="C35" s="138">
        <v>2</v>
      </c>
      <c r="D35" s="138"/>
      <c r="E35" s="138"/>
    </row>
    <row r="36" spans="1:5" x14ac:dyDescent="0.25">
      <c r="A36" t="s">
        <v>251</v>
      </c>
      <c r="B36" s="54">
        <v>8.8369448457902493</v>
      </c>
      <c r="C36" s="138">
        <v>2</v>
      </c>
      <c r="D36" s="138"/>
      <c r="E36" s="138"/>
    </row>
    <row r="37" spans="1:5" x14ac:dyDescent="0.25">
      <c r="A37" t="s">
        <v>252</v>
      </c>
      <c r="B37" s="54">
        <v>7.8039094303547003</v>
      </c>
      <c r="C37" s="138">
        <v>2</v>
      </c>
      <c r="D37" s="138"/>
      <c r="E37" s="138"/>
    </row>
    <row r="38" spans="1:5" x14ac:dyDescent="0.25">
      <c r="A38" t="s">
        <v>253</v>
      </c>
      <c r="B38" s="54">
        <v>9.7139573611809809</v>
      </c>
      <c r="C38" s="138">
        <v>2</v>
      </c>
      <c r="D38" s="138"/>
      <c r="E38" s="138"/>
    </row>
    <row r="39" spans="1:5" x14ac:dyDescent="0.25">
      <c r="A39" t="s">
        <v>254</v>
      </c>
      <c r="B39" s="54">
        <v>10.080123030403</v>
      </c>
      <c r="C39" s="138">
        <v>2</v>
      </c>
      <c r="D39" s="138"/>
      <c r="E39" s="138"/>
    </row>
    <row r="40" spans="1:5" x14ac:dyDescent="0.25">
      <c r="A40" t="s">
        <v>255</v>
      </c>
      <c r="B40" s="60">
        <f>Selling_Price_Frozen!B41</f>
        <v>10.3000678886626</v>
      </c>
      <c r="C40" s="138">
        <v>2</v>
      </c>
      <c r="D40" s="138"/>
      <c r="E40" s="138"/>
    </row>
    <row r="41" spans="1:5" x14ac:dyDescent="0.25">
      <c r="A41" t="s">
        <v>256</v>
      </c>
      <c r="B41" s="54">
        <v>10.3000678886626</v>
      </c>
      <c r="C41" s="138">
        <v>2</v>
      </c>
      <c r="D41" s="138"/>
      <c r="E41" s="138"/>
    </row>
    <row r="42" spans="1:5" x14ac:dyDescent="0.25">
      <c r="A42" t="s">
        <v>257</v>
      </c>
      <c r="B42" s="54">
        <v>8</v>
      </c>
      <c r="C42" s="138">
        <v>2</v>
      </c>
      <c r="D42" s="138"/>
      <c r="E42" s="138"/>
    </row>
    <row r="43" spans="1:5" x14ac:dyDescent="0.25">
      <c r="A43" t="s">
        <v>258</v>
      </c>
      <c r="B43" s="54">
        <v>9.7459891767635707</v>
      </c>
      <c r="C43" s="138">
        <v>2</v>
      </c>
      <c r="D43" s="138"/>
      <c r="E43" s="138"/>
    </row>
    <row r="44" spans="1:5" x14ac:dyDescent="0.25">
      <c r="A44" t="s">
        <v>259</v>
      </c>
      <c r="B44" s="54">
        <v>8.9981694069683194</v>
      </c>
      <c r="C44" s="138">
        <v>2</v>
      </c>
      <c r="D44" s="138"/>
      <c r="E44" s="138"/>
    </row>
    <row r="45" spans="1:5" x14ac:dyDescent="0.25">
      <c r="A45" t="s">
        <v>260</v>
      </c>
      <c r="B45" s="54">
        <v>9.29988851727982</v>
      </c>
      <c r="C45" s="138">
        <v>2</v>
      </c>
      <c r="D45" s="138"/>
      <c r="E45" s="138"/>
    </row>
    <row r="46" spans="1:5" x14ac:dyDescent="0.25">
      <c r="A46" t="s">
        <v>261</v>
      </c>
      <c r="B46" s="54">
        <v>9.2508185892226606</v>
      </c>
      <c r="C46" s="138">
        <v>2</v>
      </c>
      <c r="D46" s="138"/>
      <c r="E46" s="138"/>
    </row>
    <row r="47" spans="1:5" x14ac:dyDescent="0.25">
      <c r="A47" t="s">
        <v>262</v>
      </c>
      <c r="B47" s="54">
        <v>11.2550129548271</v>
      </c>
      <c r="C47" s="138">
        <v>2</v>
      </c>
      <c r="D47" s="138"/>
      <c r="E47" s="138"/>
    </row>
    <row r="48" spans="1:5" x14ac:dyDescent="0.25">
      <c r="A48" t="s">
        <v>263</v>
      </c>
      <c r="B48" s="54">
        <v>12.8016946520862</v>
      </c>
      <c r="C48" s="138">
        <v>2</v>
      </c>
      <c r="D48" s="138"/>
      <c r="E48" s="138"/>
    </row>
    <row r="49" spans="1:5" x14ac:dyDescent="0.25">
      <c r="A49" t="s">
        <v>264</v>
      </c>
      <c r="B49" s="54">
        <v>11.5848168495595</v>
      </c>
      <c r="C49" s="138">
        <v>2</v>
      </c>
      <c r="D49" s="138"/>
      <c r="E49" s="138"/>
    </row>
    <row r="50" spans="1:5" x14ac:dyDescent="0.25">
      <c r="A50" t="s">
        <v>265</v>
      </c>
      <c r="B50" s="54">
        <v>9.1999999999999993</v>
      </c>
      <c r="C50" s="138">
        <v>2</v>
      </c>
      <c r="D50" s="138"/>
      <c r="E50" s="138"/>
    </row>
    <row r="51" spans="1:5" x14ac:dyDescent="0.25">
      <c r="A51" t="s">
        <v>266</v>
      </c>
      <c r="B51" s="54">
        <v>9.0845465990896503</v>
      </c>
      <c r="C51" s="138">
        <v>2</v>
      </c>
      <c r="D51" s="138"/>
      <c r="E51" s="138"/>
    </row>
    <row r="52" spans="1:5" x14ac:dyDescent="0.25">
      <c r="A52" t="s">
        <v>267</v>
      </c>
      <c r="B52" s="54">
        <v>9</v>
      </c>
      <c r="C52" s="138">
        <v>2</v>
      </c>
      <c r="D52" s="138"/>
      <c r="E52" s="138"/>
    </row>
    <row r="53" spans="1:5" x14ac:dyDescent="0.25">
      <c r="A53" t="s">
        <v>268</v>
      </c>
      <c r="B53" s="54">
        <v>7.95242248014541</v>
      </c>
      <c r="C53" s="138">
        <v>2</v>
      </c>
      <c r="D53" s="138"/>
      <c r="E53" s="138"/>
    </row>
    <row r="54" spans="1:5" x14ac:dyDescent="0.25">
      <c r="A54" t="s">
        <v>269</v>
      </c>
      <c r="B54" s="54">
        <v>7.03592913855615</v>
      </c>
      <c r="C54" s="138">
        <v>2</v>
      </c>
      <c r="D54" s="138"/>
      <c r="E54" s="138"/>
    </row>
    <row r="55" spans="1:5" x14ac:dyDescent="0.25">
      <c r="A55" t="s">
        <v>270</v>
      </c>
      <c r="B55" s="54">
        <v>8.8000002142529592</v>
      </c>
      <c r="C55" s="138">
        <v>2</v>
      </c>
      <c r="D55" s="138"/>
      <c r="E55" s="138"/>
    </row>
    <row r="56" spans="1:5" x14ac:dyDescent="0.25">
      <c r="A56" t="s">
        <v>271</v>
      </c>
      <c r="B56" s="54">
        <v>8.7400400047064402</v>
      </c>
      <c r="C56" s="138">
        <v>2</v>
      </c>
      <c r="D56" s="138"/>
      <c r="E56" s="138"/>
    </row>
    <row r="57" spans="1:5" x14ac:dyDescent="0.25">
      <c r="A57" t="s">
        <v>272</v>
      </c>
      <c r="B57" s="54">
        <v>9</v>
      </c>
      <c r="C57" s="138">
        <v>2</v>
      </c>
      <c r="D57" s="138"/>
      <c r="E57" s="138"/>
    </row>
    <row r="58" spans="1:5" x14ac:dyDescent="0.25">
      <c r="A58" t="s">
        <v>273</v>
      </c>
      <c r="B58" s="54">
        <v>2.1148171397784599</v>
      </c>
      <c r="C58" s="138">
        <v>2</v>
      </c>
      <c r="D58" s="138"/>
      <c r="E58" s="138"/>
    </row>
    <row r="59" spans="1:5" x14ac:dyDescent="0.25">
      <c r="A59" t="s">
        <v>274</v>
      </c>
      <c r="B59" s="54">
        <v>3.16671320860095</v>
      </c>
      <c r="C59" s="138">
        <v>2</v>
      </c>
      <c r="D59" s="138"/>
      <c r="E59" s="138"/>
    </row>
    <row r="60" spans="1:5" x14ac:dyDescent="0.25">
      <c r="A60" t="s">
        <v>275</v>
      </c>
      <c r="B60" s="54">
        <v>1.8999989787129701</v>
      </c>
      <c r="C60" s="138">
        <v>2</v>
      </c>
      <c r="D60" s="138"/>
      <c r="E60" s="138"/>
    </row>
    <row r="61" spans="1:5" x14ac:dyDescent="0.25">
      <c r="A61" t="s">
        <v>276</v>
      </c>
      <c r="B61" s="54">
        <v>1.53363961992134</v>
      </c>
      <c r="C61" s="138">
        <v>2</v>
      </c>
      <c r="D61" s="138"/>
      <c r="E61" s="138"/>
    </row>
    <row r="62" spans="1:5" x14ac:dyDescent="0.25">
      <c r="A62" t="s">
        <v>277</v>
      </c>
      <c r="B62" s="54">
        <v>2.8195881704399302</v>
      </c>
      <c r="C62" s="138">
        <v>2</v>
      </c>
      <c r="D62" s="138"/>
      <c r="E62" s="138"/>
    </row>
    <row r="63" spans="1:5" x14ac:dyDescent="0.25">
      <c r="A63" t="s">
        <v>278</v>
      </c>
      <c r="B63" s="54">
        <v>2.7102284420662701</v>
      </c>
      <c r="C63" s="138">
        <v>2</v>
      </c>
      <c r="D63" s="138"/>
      <c r="E63" s="138"/>
    </row>
    <row r="64" spans="1:5" x14ac:dyDescent="0.25">
      <c r="A64" t="s">
        <v>279</v>
      </c>
      <c r="B64" s="54">
        <v>2.2718887976483702</v>
      </c>
      <c r="C64" s="138">
        <v>2</v>
      </c>
      <c r="D64" s="138"/>
      <c r="E64" s="138"/>
    </row>
    <row r="65" spans="1:5" x14ac:dyDescent="0.25">
      <c r="A65" t="s">
        <v>280</v>
      </c>
      <c r="B65" s="54">
        <v>4.9852351715245797</v>
      </c>
      <c r="C65" s="138">
        <v>2</v>
      </c>
      <c r="D65" s="138"/>
      <c r="E65" s="138"/>
    </row>
    <row r="66" spans="1:5" x14ac:dyDescent="0.25">
      <c r="A66" t="s">
        <v>281</v>
      </c>
      <c r="B66" s="54">
        <v>11.4424046434494</v>
      </c>
      <c r="C66" s="138">
        <v>2</v>
      </c>
      <c r="D66" s="138"/>
      <c r="E66" s="138"/>
    </row>
    <row r="67" spans="1:5" x14ac:dyDescent="0.25">
      <c r="A67" t="s">
        <v>282</v>
      </c>
      <c r="B67" s="54">
        <v>12.4856486796785</v>
      </c>
      <c r="C67" s="138">
        <v>2</v>
      </c>
      <c r="D67" s="138"/>
      <c r="E67" s="138"/>
    </row>
    <row r="68" spans="1:5" x14ac:dyDescent="0.25">
      <c r="A68" t="s">
        <v>283</v>
      </c>
      <c r="B68" s="60">
        <f>Selling_Price_Frozen!B69</f>
        <v>1.29587315126043</v>
      </c>
      <c r="C68" s="138">
        <v>2</v>
      </c>
      <c r="D68" s="138"/>
      <c r="E68" s="138"/>
    </row>
    <row r="69" spans="1:5" x14ac:dyDescent="0.25">
      <c r="A69" t="s">
        <v>284</v>
      </c>
      <c r="B69" s="54">
        <v>1.29587315126043</v>
      </c>
      <c r="C69" s="138">
        <v>2</v>
      </c>
      <c r="D69" s="138"/>
      <c r="E69" s="138"/>
    </row>
    <row r="70" spans="1:5" x14ac:dyDescent="0.25">
      <c r="A70" t="s">
        <v>285</v>
      </c>
      <c r="B70" s="60">
        <f>Selling_Price_Frozen!B71*0.7</f>
        <v>1.4914376296491421</v>
      </c>
      <c r="C70" s="138">
        <v>2</v>
      </c>
      <c r="D70" s="138"/>
      <c r="E70" s="138"/>
    </row>
    <row r="71" spans="1:5" x14ac:dyDescent="0.25">
      <c r="A71" t="s">
        <v>286</v>
      </c>
      <c r="B71" s="54">
        <v>2.1306251852130602</v>
      </c>
      <c r="C71" s="138">
        <v>2</v>
      </c>
      <c r="D71" s="138"/>
      <c r="E71" s="138"/>
    </row>
    <row r="72" spans="1:5" x14ac:dyDescent="0.25">
      <c r="A72" t="s">
        <v>287</v>
      </c>
      <c r="B72" s="54">
        <v>1.6503142847799701</v>
      </c>
      <c r="C72" s="138">
        <v>2</v>
      </c>
      <c r="D72" s="138"/>
      <c r="E72" s="138"/>
    </row>
    <row r="73" spans="1:5" x14ac:dyDescent="0.25">
      <c r="A73" t="s">
        <v>288</v>
      </c>
      <c r="B73" s="54">
        <v>7.0013265664332804</v>
      </c>
      <c r="C73" s="138">
        <v>2</v>
      </c>
      <c r="D73" s="138"/>
      <c r="E73" s="138"/>
    </row>
    <row r="74" spans="1:5" x14ac:dyDescent="0.25">
      <c r="A74" t="s">
        <v>289</v>
      </c>
      <c r="B74" s="54">
        <v>8.9533901813063999</v>
      </c>
      <c r="C74" s="138">
        <v>2</v>
      </c>
      <c r="D74" s="138"/>
      <c r="E74" s="138"/>
    </row>
    <row r="75" spans="1:5" x14ac:dyDescent="0.25">
      <c r="A75" t="s">
        <v>290</v>
      </c>
      <c r="B75" s="54">
        <v>13.4892893858968</v>
      </c>
      <c r="C75" s="138">
        <v>3</v>
      </c>
      <c r="D75" s="138"/>
      <c r="E75" s="138"/>
    </row>
    <row r="76" spans="1:5" x14ac:dyDescent="0.25">
      <c r="A76" t="s">
        <v>291</v>
      </c>
      <c r="B76" s="54">
        <v>11.388120669395599</v>
      </c>
      <c r="C76" s="138">
        <v>3</v>
      </c>
      <c r="D76" s="138"/>
      <c r="E76" s="138"/>
    </row>
    <row r="77" spans="1:5" x14ac:dyDescent="0.25">
      <c r="A77" t="s">
        <v>292</v>
      </c>
      <c r="B77" s="54">
        <v>14.9225707964963</v>
      </c>
      <c r="C77" s="138">
        <v>3</v>
      </c>
      <c r="D77" s="138"/>
      <c r="E77" s="138"/>
    </row>
    <row r="78" spans="1:5" x14ac:dyDescent="0.25">
      <c r="A78" t="s">
        <v>293</v>
      </c>
      <c r="B78" s="54">
        <v>11.209723620306001</v>
      </c>
      <c r="C78" s="138">
        <v>3</v>
      </c>
      <c r="D78" s="138"/>
      <c r="E78" s="138"/>
    </row>
    <row r="79" spans="1:5" x14ac:dyDescent="0.25">
      <c r="A79" t="s">
        <v>294</v>
      </c>
      <c r="B79" s="54">
        <v>12.5756455083378</v>
      </c>
      <c r="C79" s="138">
        <v>3</v>
      </c>
      <c r="D79" s="138"/>
      <c r="E79" s="138"/>
    </row>
    <row r="80" spans="1:5" x14ac:dyDescent="0.25">
      <c r="A80" t="s">
        <v>295</v>
      </c>
      <c r="B80" s="54">
        <v>9.8500140490231995</v>
      </c>
      <c r="C80" s="138">
        <v>3</v>
      </c>
      <c r="D80" s="138"/>
      <c r="E80" s="138"/>
    </row>
    <row r="81" spans="1:5" x14ac:dyDescent="0.25">
      <c r="A81" t="s">
        <v>296</v>
      </c>
      <c r="B81" s="54">
        <v>9.8500053235447709</v>
      </c>
      <c r="C81" s="138">
        <v>3</v>
      </c>
      <c r="D81" s="138"/>
      <c r="E81" s="138"/>
    </row>
    <row r="82" spans="1:5" x14ac:dyDescent="0.25">
      <c r="A82" t="s">
        <v>297</v>
      </c>
      <c r="B82" s="54">
        <v>8.9191366640666701</v>
      </c>
      <c r="C82" s="138">
        <v>3</v>
      </c>
      <c r="D82" s="138"/>
      <c r="E82" s="138"/>
    </row>
    <row r="83" spans="1:5" x14ac:dyDescent="0.25">
      <c r="A83" t="s">
        <v>298</v>
      </c>
      <c r="B83" s="54">
        <v>9.5296723669085299</v>
      </c>
      <c r="C83" s="138">
        <v>3</v>
      </c>
      <c r="D83" s="138"/>
      <c r="E83" s="138"/>
    </row>
    <row r="84" spans="1:5" x14ac:dyDescent="0.25">
      <c r="A84" t="s">
        <v>299</v>
      </c>
      <c r="B84" s="54">
        <v>7.53427152317881</v>
      </c>
      <c r="C84" s="138">
        <v>3</v>
      </c>
      <c r="D84" s="138"/>
      <c r="E84" s="138"/>
    </row>
    <row r="85" spans="1:5" x14ac:dyDescent="0.25">
      <c r="A85" t="s">
        <v>300</v>
      </c>
      <c r="B85" s="54">
        <v>14.650297732167701</v>
      </c>
      <c r="C85" s="138">
        <v>2</v>
      </c>
      <c r="D85" s="138"/>
      <c r="E85" s="138"/>
    </row>
    <row r="86" spans="1:5" x14ac:dyDescent="0.25">
      <c r="A86" t="s">
        <v>301</v>
      </c>
      <c r="B86" s="54">
        <v>16.164017831185198</v>
      </c>
      <c r="C86" s="138">
        <v>2</v>
      </c>
      <c r="D86" s="138"/>
      <c r="E86" s="138"/>
    </row>
    <row r="87" spans="1:5" x14ac:dyDescent="0.25">
      <c r="A87" t="s">
        <v>302</v>
      </c>
      <c r="B87" s="54">
        <v>16.090090090090101</v>
      </c>
      <c r="C87" s="138">
        <v>2</v>
      </c>
      <c r="D87" s="138"/>
      <c r="E87" s="138"/>
    </row>
    <row r="88" spans="1:5" x14ac:dyDescent="0.25">
      <c r="A88" t="s">
        <v>303</v>
      </c>
      <c r="B88" s="54">
        <v>15.915772918896501</v>
      </c>
      <c r="C88" s="138">
        <v>2</v>
      </c>
      <c r="D88" s="138"/>
      <c r="E88" s="138"/>
    </row>
    <row r="89" spans="1:5" x14ac:dyDescent="0.25">
      <c r="A89" t="s">
        <v>304</v>
      </c>
      <c r="B89" s="60">
        <f>Selling_Price_Frozen!B88</f>
        <v>15.915772918896501</v>
      </c>
      <c r="C89" s="138">
        <v>2</v>
      </c>
      <c r="D89" s="138"/>
      <c r="E89" s="138"/>
    </row>
    <row r="90" spans="1:5" x14ac:dyDescent="0.25">
      <c r="A90" t="s">
        <v>305</v>
      </c>
      <c r="B90" s="54">
        <v>8.5350166778121199</v>
      </c>
      <c r="C90" s="138">
        <v>3</v>
      </c>
      <c r="D90" s="138"/>
      <c r="E90" s="138"/>
    </row>
    <row r="91" spans="1:5" x14ac:dyDescent="0.25">
      <c r="A91" t="s">
        <v>306</v>
      </c>
      <c r="B91" s="60">
        <f>Selling_Price_Frozen!B92</f>
        <v>11.3885144243732</v>
      </c>
      <c r="C91" s="138">
        <v>2</v>
      </c>
      <c r="D91" s="138"/>
      <c r="E91" s="138"/>
    </row>
    <row r="92" spans="1:5" x14ac:dyDescent="0.25">
      <c r="A92" t="s">
        <v>307</v>
      </c>
      <c r="B92" s="54">
        <v>11.3885144243732</v>
      </c>
      <c r="C92" s="138">
        <v>3</v>
      </c>
      <c r="D92" s="138"/>
      <c r="E92" s="138"/>
    </row>
    <row r="93" spans="1:5" x14ac:dyDescent="0.25">
      <c r="A93" t="s">
        <v>308</v>
      </c>
      <c r="B93" s="54">
        <v>14.270000000000101</v>
      </c>
      <c r="C93" s="138">
        <v>3</v>
      </c>
      <c r="D93" s="138"/>
      <c r="E93" s="138"/>
    </row>
    <row r="94" spans="1:5" x14ac:dyDescent="0.25">
      <c r="A94" t="s">
        <v>309</v>
      </c>
      <c r="B94" s="54">
        <v>14.889999999999899</v>
      </c>
      <c r="C94" s="138">
        <v>3</v>
      </c>
      <c r="D94" s="138"/>
      <c r="E94" s="138"/>
    </row>
    <row r="95" spans="1:5" x14ac:dyDescent="0.25">
      <c r="A95" t="s">
        <v>310</v>
      </c>
      <c r="B95" s="60">
        <f>Selling_Price_Frozen!B96</f>
        <v>10.09628918746</v>
      </c>
      <c r="C95" s="138">
        <v>2</v>
      </c>
      <c r="D95" s="138"/>
      <c r="E95" s="138"/>
    </row>
    <row r="96" spans="1:5" x14ac:dyDescent="0.25">
      <c r="A96" t="s">
        <v>311</v>
      </c>
      <c r="B96" s="54">
        <v>10.09628918746</v>
      </c>
      <c r="C96" s="138">
        <v>2</v>
      </c>
      <c r="D96" s="138"/>
      <c r="E96" s="138"/>
    </row>
    <row r="97" spans="1:5" x14ac:dyDescent="0.25">
      <c r="A97" t="s">
        <v>312</v>
      </c>
      <c r="B97" s="60" t="e">
        <f>[1]Selling_Price_Fresh!B65+0.5</f>
        <v>#VALUE!</v>
      </c>
      <c r="C97" s="138">
        <v>2</v>
      </c>
      <c r="D97" s="138"/>
      <c r="E97" s="138"/>
    </row>
    <row r="98" spans="1:5" x14ac:dyDescent="0.25">
      <c r="A98" t="s">
        <v>313</v>
      </c>
      <c r="B98" s="60">
        <f>[1]Selling_Price_Fresh!B71+0.5</f>
        <v>0.5</v>
      </c>
      <c r="C98" s="138">
        <v>2</v>
      </c>
      <c r="D98" s="138"/>
      <c r="E98" s="138"/>
    </row>
    <row r="99" spans="1:5" x14ac:dyDescent="0.25">
      <c r="A99" t="s">
        <v>314</v>
      </c>
      <c r="B99" s="60" t="e">
        <f>[1]Selling_Price_Fresh!B66+0.5</f>
        <v>#VALUE!</v>
      </c>
      <c r="C99" s="138">
        <v>2</v>
      </c>
      <c r="D99" s="138"/>
      <c r="E99" s="138"/>
    </row>
    <row r="100" spans="1:5" x14ac:dyDescent="0.25">
      <c r="A100" t="s">
        <v>315</v>
      </c>
      <c r="B100" s="54">
        <v>7.2358431852272203</v>
      </c>
      <c r="C100" s="138">
        <v>2</v>
      </c>
      <c r="D100" s="138"/>
      <c r="E100" s="138"/>
    </row>
    <row r="101" spans="1:5" x14ac:dyDescent="0.25">
      <c r="A101" t="s">
        <v>316</v>
      </c>
      <c r="B101" s="54">
        <v>7.3622833655600504</v>
      </c>
      <c r="C101" s="138">
        <v>2</v>
      </c>
      <c r="D101" s="138"/>
      <c r="E101" s="138"/>
    </row>
    <row r="102" spans="1:5" x14ac:dyDescent="0.25">
      <c r="A102" t="s">
        <v>317</v>
      </c>
      <c r="B102" s="60">
        <f>Selling_Price_Frozen!B101</f>
        <v>7.3622833655600504</v>
      </c>
      <c r="C102" s="138">
        <v>2</v>
      </c>
      <c r="D102" s="138"/>
      <c r="E102" s="138"/>
    </row>
    <row r="103" spans="1:5" x14ac:dyDescent="0.25">
      <c r="A103" t="s">
        <v>318</v>
      </c>
      <c r="B103" s="60">
        <f>[1]Selling_Price_Fresh!B75+0.5</f>
        <v>0.5</v>
      </c>
      <c r="C103" s="138">
        <v>2</v>
      </c>
      <c r="D103" s="138"/>
      <c r="E103" s="138"/>
    </row>
    <row r="104" spans="1:5" x14ac:dyDescent="0.25">
      <c r="A104" t="s">
        <v>319</v>
      </c>
      <c r="B104" s="54">
        <v>7.1368039765514402</v>
      </c>
      <c r="C104" s="138">
        <v>3</v>
      </c>
      <c r="D104" s="138"/>
      <c r="E104" s="138"/>
    </row>
    <row r="105" spans="1:5" x14ac:dyDescent="0.25">
      <c r="A105" t="s">
        <v>320</v>
      </c>
      <c r="B105" s="54">
        <v>12.170850909328299</v>
      </c>
      <c r="C105" s="138">
        <v>2</v>
      </c>
      <c r="D105" s="138"/>
      <c r="E105" s="138"/>
    </row>
    <row r="106" spans="1:5" x14ac:dyDescent="0.25">
      <c r="A106" t="s">
        <v>321</v>
      </c>
      <c r="B106" s="54">
        <v>11.2752525778999</v>
      </c>
      <c r="C106" s="138">
        <v>2</v>
      </c>
      <c r="D106" s="138"/>
      <c r="E106" s="138"/>
    </row>
    <row r="107" spans="1:5" x14ac:dyDescent="0.25">
      <c r="A107" t="s">
        <v>322</v>
      </c>
      <c r="B107" s="54">
        <v>11.7</v>
      </c>
      <c r="C107" s="138">
        <v>2</v>
      </c>
      <c r="D107" s="138"/>
      <c r="E107" s="138"/>
    </row>
    <row r="108" spans="1:5" x14ac:dyDescent="0.25">
      <c r="A108" t="s">
        <v>323</v>
      </c>
      <c r="B108" s="54">
        <v>10.7894380482073</v>
      </c>
      <c r="C108" s="138">
        <v>2</v>
      </c>
      <c r="D108" s="138"/>
      <c r="E108" s="138"/>
    </row>
    <row r="109" spans="1:5" x14ac:dyDescent="0.25">
      <c r="A109" t="s">
        <v>324</v>
      </c>
      <c r="B109" s="54">
        <v>8.7420067763658391</v>
      </c>
      <c r="C109" s="138">
        <v>2</v>
      </c>
      <c r="D109" s="138"/>
      <c r="E109" s="138"/>
    </row>
    <row r="110" spans="1:5" x14ac:dyDescent="0.25">
      <c r="A110" t="s">
        <v>325</v>
      </c>
      <c r="B110" s="54">
        <v>11.4892469608138</v>
      </c>
      <c r="C110" s="138">
        <v>2</v>
      </c>
      <c r="D110" s="138"/>
      <c r="E110" s="138"/>
    </row>
    <row r="111" spans="1:5" x14ac:dyDescent="0.25">
      <c r="A111" t="s">
        <v>326</v>
      </c>
      <c r="B111" s="54">
        <v>8.1863065326633198</v>
      </c>
      <c r="C111" s="138">
        <v>2</v>
      </c>
      <c r="D111" s="138"/>
      <c r="E111" s="138"/>
    </row>
    <row r="112" spans="1:5" x14ac:dyDescent="0.25">
      <c r="A112" t="s">
        <v>327</v>
      </c>
      <c r="B112" s="60">
        <f>[1]Selling_Price_Fresh!B89+0.5</f>
        <v>0.5</v>
      </c>
      <c r="C112" s="138">
        <v>2</v>
      </c>
      <c r="D112" s="138"/>
      <c r="E112" s="138"/>
    </row>
    <row r="113" spans="1:5" x14ac:dyDescent="0.25">
      <c r="A113" t="s">
        <v>328</v>
      </c>
      <c r="B113" s="54">
        <v>7.7042278776263702</v>
      </c>
      <c r="C113" s="138">
        <v>2</v>
      </c>
      <c r="D113" s="138"/>
      <c r="E113" s="138"/>
    </row>
    <row r="114" spans="1:5" x14ac:dyDescent="0.25">
      <c r="A114" t="s">
        <v>329</v>
      </c>
      <c r="B114" s="54">
        <v>7.70419363385186</v>
      </c>
      <c r="C114" s="138">
        <v>2</v>
      </c>
      <c r="D114" s="138"/>
      <c r="E114" s="138"/>
    </row>
    <row r="115" spans="1:5" x14ac:dyDescent="0.25">
      <c r="A115" t="s">
        <v>330</v>
      </c>
      <c r="B115" s="54">
        <v>7.7999983647305102</v>
      </c>
      <c r="C115" s="138">
        <v>2</v>
      </c>
      <c r="D115" s="138"/>
      <c r="E115" s="138"/>
    </row>
    <row r="116" spans="1:5" x14ac:dyDescent="0.25">
      <c r="A116" t="s">
        <v>331</v>
      </c>
      <c r="B116" s="60">
        <f>Selling_Price_Frozen!B118</f>
        <v>7.7192857115856404</v>
      </c>
      <c r="C116" s="138">
        <v>2</v>
      </c>
      <c r="D116" s="138"/>
      <c r="E116" s="138"/>
    </row>
    <row r="117" spans="1:5" x14ac:dyDescent="0.25">
      <c r="A117" t="s">
        <v>332</v>
      </c>
      <c r="B117" s="54">
        <v>7.7427945968606098</v>
      </c>
      <c r="C117" s="138">
        <v>2</v>
      </c>
      <c r="D117" s="138"/>
      <c r="E117" s="138"/>
    </row>
    <row r="118" spans="1:5" x14ac:dyDescent="0.25">
      <c r="A118" t="s">
        <v>333</v>
      </c>
      <c r="B118" s="54">
        <v>7.7192857115856404</v>
      </c>
      <c r="C118" s="138">
        <v>2</v>
      </c>
      <c r="D118" s="138"/>
      <c r="E118" s="138"/>
    </row>
    <row r="119" spans="1:5" x14ac:dyDescent="0.25">
      <c r="A119" t="s">
        <v>334</v>
      </c>
      <c r="B119" s="54">
        <v>6.9641704936930804</v>
      </c>
      <c r="C119" s="138">
        <v>2</v>
      </c>
      <c r="D119" s="138"/>
      <c r="E119" s="138"/>
    </row>
    <row r="120" spans="1:5" x14ac:dyDescent="0.25">
      <c r="A120" t="s">
        <v>335</v>
      </c>
      <c r="B120" s="54">
        <v>6.6445308003822703</v>
      </c>
      <c r="C120" s="138">
        <v>2</v>
      </c>
      <c r="D120" s="138"/>
      <c r="E120" s="138"/>
    </row>
  </sheetData>
  <autoFilter ref="A1:C120"/>
  <hyperlinks>
    <hyperlink ref="N1" location="Information!A1" display="Go Back To Information Tab"/>
  </hyperlinks>
  <pageMargins left="0.7" right="0.7" top="0.75" bottom="0.75" header="0.51180555555555496" footer="0.51180555555555496"/>
  <pageSetup paperSize="0" firstPageNumber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O169"/>
  <sheetViews>
    <sheetView zoomScaleNormal="100" workbookViewId="0">
      <selection activeCell="B2" sqref="B2:B97"/>
    </sheetView>
  </sheetViews>
  <sheetFormatPr defaultRowHeight="15" x14ac:dyDescent="0.25"/>
  <cols>
    <col min="1" max="1" width="19.140625"/>
    <col min="2" max="2" width="33.42578125"/>
    <col min="3" max="3" width="25.42578125"/>
    <col min="4" max="1025" width="8.5703125"/>
  </cols>
  <sheetData>
    <row r="1" spans="1:15" x14ac:dyDescent="0.25">
      <c r="A1" s="27" t="s">
        <v>119</v>
      </c>
      <c r="B1" s="27" t="s">
        <v>746</v>
      </c>
      <c r="C1" s="27" t="s">
        <v>744</v>
      </c>
      <c r="O1" s="29" t="s">
        <v>216</v>
      </c>
    </row>
    <row r="2" spans="1:15" x14ac:dyDescent="0.25">
      <c r="A2" s="30" t="s">
        <v>120</v>
      </c>
      <c r="B2">
        <f>IF(C2=1,10,2)</f>
        <v>2</v>
      </c>
      <c r="C2" s="55">
        <v>2</v>
      </c>
    </row>
    <row r="3" spans="1:15" x14ac:dyDescent="0.25">
      <c r="A3" s="30" t="s">
        <v>121</v>
      </c>
      <c r="B3">
        <f t="shared" ref="B3:B66" si="0">IF(C3=1,10,2)</f>
        <v>2</v>
      </c>
      <c r="C3" s="55">
        <v>2</v>
      </c>
    </row>
    <row r="4" spans="1:15" x14ac:dyDescent="0.25">
      <c r="A4" s="30" t="s">
        <v>122</v>
      </c>
      <c r="B4">
        <f t="shared" si="0"/>
        <v>10</v>
      </c>
      <c r="C4" s="55">
        <v>1</v>
      </c>
    </row>
    <row r="5" spans="1:15" x14ac:dyDescent="0.25">
      <c r="A5" s="30" t="s">
        <v>123</v>
      </c>
      <c r="B5">
        <f t="shared" si="0"/>
        <v>2</v>
      </c>
      <c r="C5" s="55">
        <v>2</v>
      </c>
    </row>
    <row r="6" spans="1:15" x14ac:dyDescent="0.25">
      <c r="A6" s="30" t="s">
        <v>124</v>
      </c>
      <c r="B6">
        <f t="shared" si="0"/>
        <v>2</v>
      </c>
      <c r="C6" s="55">
        <v>2</v>
      </c>
    </row>
    <row r="7" spans="1:15" x14ac:dyDescent="0.25">
      <c r="A7" s="30" t="s">
        <v>125</v>
      </c>
      <c r="B7">
        <f t="shared" si="0"/>
        <v>2</v>
      </c>
      <c r="C7" s="55">
        <v>2</v>
      </c>
    </row>
    <row r="8" spans="1:15" x14ac:dyDescent="0.25">
      <c r="A8" s="30" t="s">
        <v>126</v>
      </c>
      <c r="B8">
        <f t="shared" si="0"/>
        <v>2</v>
      </c>
      <c r="C8" s="58">
        <v>2</v>
      </c>
    </row>
    <row r="9" spans="1:15" x14ac:dyDescent="0.25">
      <c r="A9" s="30" t="s">
        <v>127</v>
      </c>
      <c r="B9">
        <f t="shared" si="0"/>
        <v>2</v>
      </c>
      <c r="C9" s="55">
        <v>2</v>
      </c>
    </row>
    <row r="10" spans="1:15" x14ac:dyDescent="0.25">
      <c r="A10" s="30" t="s">
        <v>128</v>
      </c>
      <c r="B10">
        <f t="shared" si="0"/>
        <v>10</v>
      </c>
      <c r="C10" s="55">
        <v>1</v>
      </c>
    </row>
    <row r="11" spans="1:15" x14ac:dyDescent="0.25">
      <c r="A11" s="30" t="s">
        <v>129</v>
      </c>
      <c r="B11">
        <f t="shared" si="0"/>
        <v>10</v>
      </c>
      <c r="C11" s="55">
        <v>1</v>
      </c>
    </row>
    <row r="12" spans="1:15" x14ac:dyDescent="0.25">
      <c r="A12" s="30" t="s">
        <v>130</v>
      </c>
      <c r="B12">
        <f t="shared" si="0"/>
        <v>2</v>
      </c>
      <c r="C12" s="55">
        <v>2</v>
      </c>
    </row>
    <row r="13" spans="1:15" x14ac:dyDescent="0.25">
      <c r="A13" s="30" t="s">
        <v>131</v>
      </c>
      <c r="B13">
        <f t="shared" si="0"/>
        <v>2</v>
      </c>
      <c r="C13" s="55">
        <v>2</v>
      </c>
    </row>
    <row r="14" spans="1:15" x14ac:dyDescent="0.25">
      <c r="A14" s="30" t="s">
        <v>132</v>
      </c>
      <c r="B14">
        <f t="shared" si="0"/>
        <v>2</v>
      </c>
      <c r="C14" s="59">
        <v>2</v>
      </c>
    </row>
    <row r="15" spans="1:15" x14ac:dyDescent="0.25">
      <c r="A15" s="30" t="s">
        <v>133</v>
      </c>
      <c r="B15">
        <f t="shared" si="0"/>
        <v>2</v>
      </c>
      <c r="C15" s="58">
        <v>2</v>
      </c>
    </row>
    <row r="16" spans="1:15" x14ac:dyDescent="0.25">
      <c r="A16" s="30" t="s">
        <v>134</v>
      </c>
      <c r="B16">
        <f t="shared" si="0"/>
        <v>10</v>
      </c>
      <c r="C16" s="58">
        <v>1</v>
      </c>
    </row>
    <row r="17" spans="1:3" x14ac:dyDescent="0.25">
      <c r="A17" s="30" t="s">
        <v>135</v>
      </c>
      <c r="B17">
        <f t="shared" si="0"/>
        <v>10</v>
      </c>
      <c r="C17" s="59">
        <v>1</v>
      </c>
    </row>
    <row r="18" spans="1:3" x14ac:dyDescent="0.25">
      <c r="A18" s="30" t="s">
        <v>136</v>
      </c>
      <c r="B18">
        <f t="shared" si="0"/>
        <v>2</v>
      </c>
      <c r="C18" s="58">
        <v>2</v>
      </c>
    </row>
    <row r="19" spans="1:3" x14ac:dyDescent="0.25">
      <c r="A19" s="30" t="s">
        <v>137</v>
      </c>
      <c r="B19">
        <f t="shared" si="0"/>
        <v>2</v>
      </c>
      <c r="C19" s="58">
        <v>2</v>
      </c>
    </row>
    <row r="20" spans="1:3" x14ac:dyDescent="0.25">
      <c r="A20" s="30" t="s">
        <v>138</v>
      </c>
      <c r="B20">
        <f t="shared" si="0"/>
        <v>2</v>
      </c>
      <c r="C20" s="59">
        <v>2</v>
      </c>
    </row>
    <row r="21" spans="1:3" x14ac:dyDescent="0.25">
      <c r="A21" s="30" t="s">
        <v>139</v>
      </c>
      <c r="B21">
        <f t="shared" si="0"/>
        <v>2</v>
      </c>
      <c r="C21" s="58">
        <v>2</v>
      </c>
    </row>
    <row r="22" spans="1:3" x14ac:dyDescent="0.25">
      <c r="A22" s="30" t="s">
        <v>140</v>
      </c>
      <c r="B22">
        <f t="shared" si="0"/>
        <v>2</v>
      </c>
      <c r="C22" s="58">
        <v>2</v>
      </c>
    </row>
    <row r="23" spans="1:3" x14ac:dyDescent="0.25">
      <c r="A23" s="30" t="s">
        <v>141</v>
      </c>
      <c r="B23">
        <f t="shared" si="0"/>
        <v>2</v>
      </c>
      <c r="C23" s="58">
        <v>2</v>
      </c>
    </row>
    <row r="24" spans="1:3" x14ac:dyDescent="0.25">
      <c r="A24" s="30" t="s">
        <v>142</v>
      </c>
      <c r="B24">
        <f t="shared" si="0"/>
        <v>2</v>
      </c>
      <c r="C24" s="32">
        <v>2</v>
      </c>
    </row>
    <row r="25" spans="1:3" x14ac:dyDescent="0.25">
      <c r="A25" s="30" t="s">
        <v>143</v>
      </c>
      <c r="B25">
        <f t="shared" si="0"/>
        <v>2</v>
      </c>
      <c r="C25" s="59">
        <v>2</v>
      </c>
    </row>
    <row r="26" spans="1:3" x14ac:dyDescent="0.25">
      <c r="A26" s="30" t="s">
        <v>144</v>
      </c>
      <c r="B26">
        <f t="shared" si="0"/>
        <v>2</v>
      </c>
      <c r="C26" s="59">
        <v>2</v>
      </c>
    </row>
    <row r="27" spans="1:3" x14ac:dyDescent="0.25">
      <c r="A27" s="30" t="s">
        <v>145</v>
      </c>
      <c r="B27">
        <f t="shared" si="0"/>
        <v>2</v>
      </c>
      <c r="C27" s="32">
        <v>2</v>
      </c>
    </row>
    <row r="28" spans="1:3" x14ac:dyDescent="0.25">
      <c r="A28" s="30" t="s">
        <v>146</v>
      </c>
      <c r="B28">
        <f t="shared" si="0"/>
        <v>2</v>
      </c>
      <c r="C28" s="55">
        <v>2</v>
      </c>
    </row>
    <row r="29" spans="1:3" x14ac:dyDescent="0.25">
      <c r="A29" s="30" t="s">
        <v>147</v>
      </c>
      <c r="B29">
        <f t="shared" si="0"/>
        <v>2</v>
      </c>
      <c r="C29" s="59">
        <v>2</v>
      </c>
    </row>
    <row r="30" spans="1:3" x14ac:dyDescent="0.25">
      <c r="A30" s="30" t="s">
        <v>148</v>
      </c>
      <c r="B30">
        <f t="shared" si="0"/>
        <v>2</v>
      </c>
      <c r="C30" s="32">
        <v>2</v>
      </c>
    </row>
    <row r="31" spans="1:3" x14ac:dyDescent="0.25">
      <c r="A31" s="30" t="s">
        <v>149</v>
      </c>
      <c r="B31">
        <f t="shared" si="0"/>
        <v>2</v>
      </c>
      <c r="C31" s="59">
        <v>2</v>
      </c>
    </row>
    <row r="32" spans="1:3" x14ac:dyDescent="0.25">
      <c r="A32" s="30" t="s">
        <v>150</v>
      </c>
      <c r="B32">
        <f t="shared" si="0"/>
        <v>2</v>
      </c>
      <c r="C32" s="58">
        <v>2</v>
      </c>
    </row>
    <row r="33" spans="1:3" x14ac:dyDescent="0.25">
      <c r="A33" s="30" t="s">
        <v>151</v>
      </c>
      <c r="B33">
        <f t="shared" si="0"/>
        <v>2</v>
      </c>
      <c r="C33" s="59">
        <v>2</v>
      </c>
    </row>
    <row r="34" spans="1:3" x14ac:dyDescent="0.25">
      <c r="A34" s="30" t="s">
        <v>152</v>
      </c>
      <c r="B34">
        <f t="shared" si="0"/>
        <v>2</v>
      </c>
      <c r="C34" s="59">
        <v>2</v>
      </c>
    </row>
    <row r="35" spans="1:3" x14ac:dyDescent="0.25">
      <c r="A35" s="30" t="s">
        <v>153</v>
      </c>
      <c r="B35">
        <f t="shared" si="0"/>
        <v>2</v>
      </c>
      <c r="C35" s="58">
        <v>2</v>
      </c>
    </row>
    <row r="36" spans="1:3" x14ac:dyDescent="0.25">
      <c r="A36" s="30" t="s">
        <v>154</v>
      </c>
      <c r="B36">
        <f t="shared" si="0"/>
        <v>2</v>
      </c>
      <c r="C36" s="32">
        <v>2</v>
      </c>
    </row>
    <row r="37" spans="1:3" x14ac:dyDescent="0.25">
      <c r="A37" s="30" t="s">
        <v>155</v>
      </c>
      <c r="B37">
        <f t="shared" si="0"/>
        <v>2</v>
      </c>
      <c r="C37" s="32">
        <v>2</v>
      </c>
    </row>
    <row r="38" spans="1:3" x14ac:dyDescent="0.25">
      <c r="A38" s="30" t="s">
        <v>156</v>
      </c>
      <c r="B38">
        <f t="shared" si="0"/>
        <v>2</v>
      </c>
      <c r="C38" s="59">
        <v>2</v>
      </c>
    </row>
    <row r="39" spans="1:3" x14ac:dyDescent="0.25">
      <c r="A39" s="30" t="s">
        <v>157</v>
      </c>
      <c r="B39">
        <f t="shared" si="0"/>
        <v>2</v>
      </c>
      <c r="C39" s="32">
        <v>2</v>
      </c>
    </row>
    <row r="40" spans="1:3" x14ac:dyDescent="0.25">
      <c r="A40" s="30" t="s">
        <v>158</v>
      </c>
      <c r="B40">
        <f t="shared" si="0"/>
        <v>2</v>
      </c>
      <c r="C40" s="58">
        <v>2</v>
      </c>
    </row>
    <row r="41" spans="1:3" x14ac:dyDescent="0.25">
      <c r="A41" s="30" t="s">
        <v>159</v>
      </c>
      <c r="B41">
        <f t="shared" si="0"/>
        <v>2</v>
      </c>
      <c r="C41" s="55">
        <v>2</v>
      </c>
    </row>
    <row r="42" spans="1:3" x14ac:dyDescent="0.25">
      <c r="A42" s="30" t="s">
        <v>160</v>
      </c>
      <c r="B42">
        <f t="shared" si="0"/>
        <v>2</v>
      </c>
      <c r="C42" s="55">
        <v>2</v>
      </c>
    </row>
    <row r="43" spans="1:3" x14ac:dyDescent="0.25">
      <c r="A43" s="30" t="s">
        <v>161</v>
      </c>
      <c r="B43">
        <f t="shared" si="0"/>
        <v>2</v>
      </c>
      <c r="C43" s="32">
        <v>2</v>
      </c>
    </row>
    <row r="44" spans="1:3" x14ac:dyDescent="0.25">
      <c r="A44" s="30" t="s">
        <v>162</v>
      </c>
      <c r="B44">
        <f t="shared" si="0"/>
        <v>2</v>
      </c>
      <c r="C44" s="55">
        <v>2</v>
      </c>
    </row>
    <row r="45" spans="1:3" x14ac:dyDescent="0.25">
      <c r="A45" s="30" t="s">
        <v>163</v>
      </c>
      <c r="B45">
        <f t="shared" si="0"/>
        <v>2</v>
      </c>
      <c r="C45" s="55">
        <v>2</v>
      </c>
    </row>
    <row r="46" spans="1:3" x14ac:dyDescent="0.25">
      <c r="A46" s="30" t="s">
        <v>164</v>
      </c>
      <c r="B46">
        <f t="shared" si="0"/>
        <v>2</v>
      </c>
      <c r="C46" s="55">
        <v>2</v>
      </c>
    </row>
    <row r="47" spans="1:3" x14ac:dyDescent="0.25">
      <c r="A47" s="30" t="s">
        <v>165</v>
      </c>
      <c r="B47">
        <f t="shared" si="0"/>
        <v>10</v>
      </c>
      <c r="C47" s="61">
        <v>1</v>
      </c>
    </row>
    <row r="48" spans="1:3" x14ac:dyDescent="0.25">
      <c r="A48" s="30" t="s">
        <v>166</v>
      </c>
      <c r="B48">
        <f t="shared" si="0"/>
        <v>2</v>
      </c>
      <c r="C48" s="59">
        <v>2</v>
      </c>
    </row>
    <row r="49" spans="1:3" x14ac:dyDescent="0.25">
      <c r="A49" s="30" t="s">
        <v>167</v>
      </c>
      <c r="B49">
        <f t="shared" si="0"/>
        <v>10</v>
      </c>
      <c r="C49" s="62">
        <v>1</v>
      </c>
    </row>
    <row r="50" spans="1:3" x14ac:dyDescent="0.25">
      <c r="A50" s="30" t="s">
        <v>168</v>
      </c>
      <c r="B50">
        <f t="shared" si="0"/>
        <v>10</v>
      </c>
      <c r="C50" s="34">
        <v>1</v>
      </c>
    </row>
    <row r="51" spans="1:3" x14ac:dyDescent="0.25">
      <c r="A51" s="30" t="s">
        <v>169</v>
      </c>
      <c r="B51">
        <f t="shared" si="0"/>
        <v>10</v>
      </c>
      <c r="C51" s="63">
        <v>1</v>
      </c>
    </row>
    <row r="52" spans="1:3" x14ac:dyDescent="0.25">
      <c r="A52" s="30" t="s">
        <v>170</v>
      </c>
      <c r="B52">
        <f t="shared" si="0"/>
        <v>10</v>
      </c>
      <c r="C52" s="62">
        <v>1</v>
      </c>
    </row>
    <row r="53" spans="1:3" x14ac:dyDescent="0.25">
      <c r="A53" s="30" t="s">
        <v>171</v>
      </c>
      <c r="B53">
        <f t="shared" si="0"/>
        <v>10</v>
      </c>
      <c r="C53" s="62">
        <v>1</v>
      </c>
    </row>
    <row r="54" spans="1:3" x14ac:dyDescent="0.25">
      <c r="A54" s="30" t="s">
        <v>172</v>
      </c>
      <c r="B54">
        <f t="shared" si="0"/>
        <v>10</v>
      </c>
      <c r="C54" s="63">
        <v>1</v>
      </c>
    </row>
    <row r="55" spans="1:3" x14ac:dyDescent="0.25">
      <c r="A55" s="30" t="s">
        <v>173</v>
      </c>
      <c r="B55">
        <f t="shared" si="0"/>
        <v>10</v>
      </c>
      <c r="C55" s="62">
        <v>1</v>
      </c>
    </row>
    <row r="56" spans="1:3" x14ac:dyDescent="0.25">
      <c r="A56" s="30" t="s">
        <v>174</v>
      </c>
      <c r="B56">
        <f t="shared" si="0"/>
        <v>10</v>
      </c>
      <c r="C56" s="63">
        <v>1</v>
      </c>
    </row>
    <row r="57" spans="1:3" x14ac:dyDescent="0.25">
      <c r="A57" s="30" t="s">
        <v>175</v>
      </c>
      <c r="B57">
        <f t="shared" si="0"/>
        <v>10</v>
      </c>
      <c r="C57" s="62">
        <v>1</v>
      </c>
    </row>
    <row r="58" spans="1:3" x14ac:dyDescent="0.25">
      <c r="A58" s="30" t="s">
        <v>176</v>
      </c>
      <c r="B58">
        <f t="shared" si="0"/>
        <v>10</v>
      </c>
      <c r="C58" s="63">
        <v>1</v>
      </c>
    </row>
    <row r="59" spans="1:3" x14ac:dyDescent="0.25">
      <c r="A59" s="30" t="s">
        <v>177</v>
      </c>
      <c r="B59">
        <f t="shared" si="0"/>
        <v>10</v>
      </c>
      <c r="C59" s="63">
        <v>1</v>
      </c>
    </row>
    <row r="60" spans="1:3" x14ac:dyDescent="0.25">
      <c r="A60" s="30" t="s">
        <v>178</v>
      </c>
      <c r="B60">
        <f t="shared" si="0"/>
        <v>2</v>
      </c>
      <c r="C60" s="63">
        <v>2</v>
      </c>
    </row>
    <row r="61" spans="1:3" x14ac:dyDescent="0.25">
      <c r="A61" s="30" t="s">
        <v>179</v>
      </c>
      <c r="B61">
        <f t="shared" si="0"/>
        <v>2</v>
      </c>
      <c r="C61" s="63">
        <v>2</v>
      </c>
    </row>
    <row r="62" spans="1:3" x14ac:dyDescent="0.25">
      <c r="A62" s="30" t="s">
        <v>180</v>
      </c>
      <c r="B62">
        <f t="shared" si="0"/>
        <v>2</v>
      </c>
      <c r="C62" s="62">
        <v>2</v>
      </c>
    </row>
    <row r="63" spans="1:3" x14ac:dyDescent="0.25">
      <c r="A63" s="30" t="s">
        <v>181</v>
      </c>
      <c r="B63">
        <f t="shared" si="0"/>
        <v>2</v>
      </c>
      <c r="C63" s="62">
        <v>2</v>
      </c>
    </row>
    <row r="64" spans="1:3" x14ac:dyDescent="0.25">
      <c r="A64" s="30" t="s">
        <v>182</v>
      </c>
      <c r="B64">
        <f t="shared" si="0"/>
        <v>2</v>
      </c>
      <c r="C64" s="64">
        <v>2</v>
      </c>
    </row>
    <row r="65" spans="1:3" x14ac:dyDescent="0.25">
      <c r="A65" s="30" t="s">
        <v>183</v>
      </c>
      <c r="B65">
        <f t="shared" si="0"/>
        <v>2</v>
      </c>
      <c r="C65" s="64">
        <v>2</v>
      </c>
    </row>
    <row r="66" spans="1:3" x14ac:dyDescent="0.25">
      <c r="A66" s="30" t="s">
        <v>184</v>
      </c>
      <c r="B66">
        <f t="shared" si="0"/>
        <v>2</v>
      </c>
      <c r="C66" s="62">
        <v>2</v>
      </c>
    </row>
    <row r="67" spans="1:3" x14ac:dyDescent="0.25">
      <c r="A67" s="30" t="s">
        <v>185</v>
      </c>
      <c r="B67">
        <f t="shared" ref="B67:B97" si="1">IF(C67=1,10,2)</f>
        <v>10</v>
      </c>
      <c r="C67" s="63">
        <v>1</v>
      </c>
    </row>
    <row r="68" spans="1:3" x14ac:dyDescent="0.25">
      <c r="A68" s="30" t="s">
        <v>186</v>
      </c>
      <c r="B68">
        <f t="shared" si="1"/>
        <v>10</v>
      </c>
      <c r="C68" s="62">
        <v>1</v>
      </c>
    </row>
    <row r="69" spans="1:3" x14ac:dyDescent="0.25">
      <c r="A69" s="30" t="s">
        <v>187</v>
      </c>
      <c r="B69">
        <f t="shared" si="1"/>
        <v>10</v>
      </c>
      <c r="C69" s="62">
        <v>1</v>
      </c>
    </row>
    <row r="70" spans="1:3" x14ac:dyDescent="0.25">
      <c r="A70" s="30" t="s">
        <v>188</v>
      </c>
      <c r="B70">
        <f t="shared" si="1"/>
        <v>2</v>
      </c>
      <c r="C70" s="62">
        <v>2</v>
      </c>
    </row>
    <row r="71" spans="1:3" x14ac:dyDescent="0.25">
      <c r="A71" s="30" t="s">
        <v>189</v>
      </c>
      <c r="B71">
        <f t="shared" si="1"/>
        <v>2</v>
      </c>
      <c r="C71" s="62">
        <v>2</v>
      </c>
    </row>
    <row r="72" spans="1:3" x14ac:dyDescent="0.25">
      <c r="A72" s="30" t="s">
        <v>190</v>
      </c>
      <c r="B72">
        <f t="shared" si="1"/>
        <v>2</v>
      </c>
      <c r="C72" s="63">
        <v>2</v>
      </c>
    </row>
    <row r="73" spans="1:3" x14ac:dyDescent="0.25">
      <c r="A73" s="30" t="s">
        <v>191</v>
      </c>
      <c r="B73">
        <f t="shared" si="1"/>
        <v>2</v>
      </c>
      <c r="C73" s="62">
        <v>2</v>
      </c>
    </row>
    <row r="74" spans="1:3" x14ac:dyDescent="0.25">
      <c r="A74" s="30" t="s">
        <v>192</v>
      </c>
      <c r="B74">
        <f t="shared" si="1"/>
        <v>2</v>
      </c>
      <c r="C74" s="63">
        <v>2</v>
      </c>
    </row>
    <row r="75" spans="1:3" x14ac:dyDescent="0.25">
      <c r="A75" s="30" t="s">
        <v>193</v>
      </c>
      <c r="B75">
        <f t="shared" si="1"/>
        <v>2</v>
      </c>
      <c r="C75" s="62">
        <v>2</v>
      </c>
    </row>
    <row r="76" spans="1:3" x14ac:dyDescent="0.25">
      <c r="A76" s="30" t="s">
        <v>194</v>
      </c>
      <c r="B76">
        <f t="shared" si="1"/>
        <v>2</v>
      </c>
      <c r="C76" s="62">
        <v>2</v>
      </c>
    </row>
    <row r="77" spans="1:3" x14ac:dyDescent="0.25">
      <c r="A77" s="30" t="s">
        <v>195</v>
      </c>
      <c r="B77">
        <f t="shared" si="1"/>
        <v>2</v>
      </c>
      <c r="C77" s="62">
        <v>2</v>
      </c>
    </row>
    <row r="78" spans="1:3" x14ac:dyDescent="0.25">
      <c r="A78" s="30" t="s">
        <v>196</v>
      </c>
      <c r="B78">
        <f t="shared" si="1"/>
        <v>2</v>
      </c>
      <c r="C78" s="63">
        <v>2</v>
      </c>
    </row>
    <row r="79" spans="1:3" x14ac:dyDescent="0.25">
      <c r="A79" s="30" t="s">
        <v>197</v>
      </c>
      <c r="B79">
        <f t="shared" si="1"/>
        <v>10</v>
      </c>
      <c r="C79" s="63">
        <v>1</v>
      </c>
    </row>
    <row r="80" spans="1:3" x14ac:dyDescent="0.25">
      <c r="A80" s="30" t="s">
        <v>198</v>
      </c>
      <c r="B80">
        <f t="shared" si="1"/>
        <v>10</v>
      </c>
      <c r="C80" s="63">
        <v>1</v>
      </c>
    </row>
    <row r="81" spans="1:3" x14ac:dyDescent="0.25">
      <c r="A81" s="30" t="s">
        <v>199</v>
      </c>
      <c r="B81">
        <f t="shared" si="1"/>
        <v>2</v>
      </c>
      <c r="C81" s="63">
        <v>2</v>
      </c>
    </row>
    <row r="82" spans="1:3" x14ac:dyDescent="0.25">
      <c r="A82" s="30" t="s">
        <v>200</v>
      </c>
      <c r="B82">
        <f t="shared" si="1"/>
        <v>2</v>
      </c>
      <c r="C82" s="63">
        <v>2</v>
      </c>
    </row>
    <row r="83" spans="1:3" x14ac:dyDescent="0.25">
      <c r="A83" s="30" t="s">
        <v>201</v>
      </c>
      <c r="B83">
        <f t="shared" si="1"/>
        <v>2</v>
      </c>
      <c r="C83" s="62">
        <v>2</v>
      </c>
    </row>
    <row r="84" spans="1:3" x14ac:dyDescent="0.25">
      <c r="A84" s="30" t="s">
        <v>202</v>
      </c>
      <c r="B84">
        <f t="shared" si="1"/>
        <v>10</v>
      </c>
      <c r="C84" s="59">
        <v>1</v>
      </c>
    </row>
    <row r="85" spans="1:3" x14ac:dyDescent="0.25">
      <c r="A85" s="30" t="s">
        <v>203</v>
      </c>
      <c r="B85">
        <f t="shared" si="1"/>
        <v>2</v>
      </c>
      <c r="C85" s="62">
        <v>2</v>
      </c>
    </row>
    <row r="86" spans="1:3" x14ac:dyDescent="0.25">
      <c r="A86" s="30" t="s">
        <v>204</v>
      </c>
      <c r="B86">
        <f t="shared" si="1"/>
        <v>10</v>
      </c>
      <c r="C86" s="59">
        <v>1</v>
      </c>
    </row>
    <row r="87" spans="1:3" x14ac:dyDescent="0.25">
      <c r="A87" s="30" t="s">
        <v>205</v>
      </c>
      <c r="B87">
        <f t="shared" si="1"/>
        <v>10</v>
      </c>
      <c r="C87" s="63">
        <v>1</v>
      </c>
    </row>
    <row r="88" spans="1:3" x14ac:dyDescent="0.25">
      <c r="A88" s="30" t="s">
        <v>206</v>
      </c>
      <c r="B88">
        <f t="shared" si="1"/>
        <v>2</v>
      </c>
      <c r="C88" s="62">
        <v>2</v>
      </c>
    </row>
    <row r="89" spans="1:3" x14ac:dyDescent="0.25">
      <c r="A89" s="30" t="s">
        <v>207</v>
      </c>
      <c r="B89">
        <f t="shared" si="1"/>
        <v>2</v>
      </c>
      <c r="C89" s="63">
        <v>2</v>
      </c>
    </row>
    <row r="90" spans="1:3" x14ac:dyDescent="0.25">
      <c r="A90" s="30" t="s">
        <v>208</v>
      </c>
      <c r="B90">
        <f t="shared" si="1"/>
        <v>2</v>
      </c>
      <c r="C90" s="63">
        <v>2</v>
      </c>
    </row>
    <row r="91" spans="1:3" x14ac:dyDescent="0.25">
      <c r="A91" s="30" t="s">
        <v>209</v>
      </c>
      <c r="B91">
        <f t="shared" si="1"/>
        <v>2</v>
      </c>
      <c r="C91" s="63">
        <v>2</v>
      </c>
    </row>
    <row r="92" spans="1:3" x14ac:dyDescent="0.25">
      <c r="A92" s="30" t="s">
        <v>210</v>
      </c>
      <c r="B92">
        <f t="shared" si="1"/>
        <v>10</v>
      </c>
      <c r="C92" s="63">
        <v>1</v>
      </c>
    </row>
    <row r="93" spans="1:3" x14ac:dyDescent="0.25">
      <c r="A93" s="30" t="s">
        <v>211</v>
      </c>
      <c r="B93">
        <f t="shared" si="1"/>
        <v>2</v>
      </c>
      <c r="C93" s="63">
        <v>2</v>
      </c>
    </row>
    <row r="94" spans="1:3" x14ac:dyDescent="0.25">
      <c r="A94" s="30" t="s">
        <v>212</v>
      </c>
      <c r="B94">
        <f t="shared" si="1"/>
        <v>2</v>
      </c>
      <c r="C94" s="34">
        <v>2</v>
      </c>
    </row>
    <row r="95" spans="1:3" x14ac:dyDescent="0.25">
      <c r="A95" s="30" t="s">
        <v>213</v>
      </c>
      <c r="B95">
        <f t="shared" si="1"/>
        <v>2</v>
      </c>
      <c r="C95" s="34">
        <v>2</v>
      </c>
    </row>
    <row r="96" spans="1:3" x14ac:dyDescent="0.25">
      <c r="A96" s="30" t="s">
        <v>214</v>
      </c>
      <c r="B96">
        <f t="shared" si="1"/>
        <v>2</v>
      </c>
      <c r="C96" s="62">
        <v>2</v>
      </c>
    </row>
    <row r="97" spans="1:3" x14ac:dyDescent="0.25">
      <c r="A97" s="30" t="s">
        <v>215</v>
      </c>
      <c r="B97">
        <f t="shared" si="1"/>
        <v>2</v>
      </c>
      <c r="C97" s="62">
        <v>2</v>
      </c>
    </row>
    <row r="98" spans="1:3" x14ac:dyDescent="0.25">
      <c r="A98" s="30"/>
      <c r="B98" s="30"/>
    </row>
    <row r="99" spans="1:3" x14ac:dyDescent="0.25">
      <c r="A99" s="30"/>
      <c r="B99" s="30"/>
    </row>
    <row r="100" spans="1:3" x14ac:dyDescent="0.25">
      <c r="A100" s="30"/>
      <c r="B100" s="30"/>
    </row>
    <row r="101" spans="1:3" x14ac:dyDescent="0.25">
      <c r="A101" s="30"/>
      <c r="B101" s="30"/>
    </row>
    <row r="102" spans="1:3" x14ac:dyDescent="0.25">
      <c r="A102" s="30"/>
      <c r="B102" s="30"/>
    </row>
    <row r="103" spans="1:3" x14ac:dyDescent="0.25">
      <c r="A103" s="30"/>
      <c r="B103" s="30"/>
    </row>
    <row r="104" spans="1:3" x14ac:dyDescent="0.25">
      <c r="A104" s="30"/>
      <c r="B104" s="30"/>
    </row>
    <row r="105" spans="1:3" x14ac:dyDescent="0.25">
      <c r="A105" s="30"/>
      <c r="B105" s="30"/>
    </row>
    <row r="106" spans="1:3" x14ac:dyDescent="0.25">
      <c r="A106" s="30"/>
      <c r="B106" s="30"/>
    </row>
    <row r="107" spans="1:3" x14ac:dyDescent="0.25">
      <c r="A107" s="30"/>
      <c r="B107" s="30"/>
    </row>
    <row r="108" spans="1:3" x14ac:dyDescent="0.25">
      <c r="A108" s="30"/>
      <c r="B108" s="30"/>
    </row>
    <row r="109" spans="1:3" x14ac:dyDescent="0.25">
      <c r="A109" s="30"/>
      <c r="B109" s="30"/>
    </row>
    <row r="110" spans="1:3" x14ac:dyDescent="0.25">
      <c r="A110" s="30"/>
      <c r="B110" s="30"/>
    </row>
    <row r="111" spans="1:3" x14ac:dyDescent="0.25">
      <c r="A111" s="30"/>
      <c r="B111" s="30"/>
    </row>
    <row r="112" spans="1:3" x14ac:dyDescent="0.25">
      <c r="A112" s="30"/>
      <c r="B112" s="30"/>
    </row>
    <row r="113" spans="1:2" x14ac:dyDescent="0.25">
      <c r="A113" s="30"/>
      <c r="B113" s="30"/>
    </row>
    <row r="114" spans="1:2" x14ac:dyDescent="0.25">
      <c r="A114" s="30"/>
      <c r="B114" s="30"/>
    </row>
    <row r="115" spans="1:2" x14ac:dyDescent="0.25">
      <c r="A115" s="30"/>
      <c r="B115" s="30"/>
    </row>
    <row r="116" spans="1:2" x14ac:dyDescent="0.25">
      <c r="A116" s="30"/>
      <c r="B116" s="30"/>
    </row>
    <row r="117" spans="1:2" x14ac:dyDescent="0.25">
      <c r="A117" s="30"/>
      <c r="B117" s="30"/>
    </row>
    <row r="118" spans="1:2" x14ac:dyDescent="0.25">
      <c r="A118" s="30"/>
      <c r="B118" s="30"/>
    </row>
    <row r="119" spans="1:2" x14ac:dyDescent="0.25">
      <c r="A119" s="30"/>
      <c r="B119" s="30"/>
    </row>
    <row r="120" spans="1:2" x14ac:dyDescent="0.25">
      <c r="A120" s="30"/>
      <c r="B120" s="30"/>
    </row>
    <row r="121" spans="1:2" x14ac:dyDescent="0.25">
      <c r="A121" s="30"/>
      <c r="B121" s="30"/>
    </row>
    <row r="122" spans="1:2" x14ac:dyDescent="0.25">
      <c r="A122" s="30"/>
      <c r="B122" s="30"/>
    </row>
    <row r="123" spans="1:2" x14ac:dyDescent="0.25">
      <c r="A123" s="30"/>
      <c r="B123" s="30"/>
    </row>
    <row r="124" spans="1:2" x14ac:dyDescent="0.25">
      <c r="A124" s="30"/>
      <c r="B124" s="30"/>
    </row>
    <row r="125" spans="1:2" x14ac:dyDescent="0.25">
      <c r="A125" s="30"/>
      <c r="B125" s="30"/>
    </row>
    <row r="126" spans="1:2" x14ac:dyDescent="0.25">
      <c r="A126" s="30"/>
      <c r="B126" s="30"/>
    </row>
    <row r="127" spans="1:2" x14ac:dyDescent="0.25">
      <c r="A127" s="30"/>
      <c r="B127" s="30"/>
    </row>
    <row r="128" spans="1:2" x14ac:dyDescent="0.25">
      <c r="A128" s="30"/>
      <c r="B128" s="30"/>
    </row>
    <row r="129" spans="1:2" x14ac:dyDescent="0.25">
      <c r="A129" s="30"/>
      <c r="B129" s="30"/>
    </row>
    <row r="130" spans="1:2" x14ac:dyDescent="0.25">
      <c r="A130" s="30"/>
      <c r="B130" s="30"/>
    </row>
    <row r="131" spans="1:2" x14ac:dyDescent="0.25">
      <c r="A131" s="30"/>
      <c r="B131" s="30"/>
    </row>
    <row r="132" spans="1:2" x14ac:dyDescent="0.25">
      <c r="A132" s="30"/>
      <c r="B132" s="30"/>
    </row>
    <row r="133" spans="1:2" x14ac:dyDescent="0.25">
      <c r="A133" s="30"/>
      <c r="B133" s="30"/>
    </row>
    <row r="134" spans="1:2" x14ac:dyDescent="0.25">
      <c r="A134" s="30"/>
      <c r="B134" s="30"/>
    </row>
    <row r="135" spans="1:2" x14ac:dyDescent="0.25">
      <c r="A135" s="30"/>
      <c r="B135" s="30"/>
    </row>
    <row r="136" spans="1:2" x14ac:dyDescent="0.25">
      <c r="A136" s="30"/>
      <c r="B136" s="30"/>
    </row>
    <row r="137" spans="1:2" x14ac:dyDescent="0.25">
      <c r="A137" s="30"/>
      <c r="B137" s="30"/>
    </row>
    <row r="138" spans="1:2" x14ac:dyDescent="0.25">
      <c r="A138" s="30"/>
      <c r="B138" s="30"/>
    </row>
    <row r="139" spans="1:2" x14ac:dyDescent="0.25">
      <c r="A139" s="30"/>
      <c r="B139" s="30"/>
    </row>
    <row r="140" spans="1:2" x14ac:dyDescent="0.25">
      <c r="A140" s="30"/>
      <c r="B140" s="30"/>
    </row>
    <row r="141" spans="1:2" x14ac:dyDescent="0.25">
      <c r="A141" s="30"/>
      <c r="B141" s="30"/>
    </row>
    <row r="142" spans="1:2" x14ac:dyDescent="0.25">
      <c r="A142" s="30"/>
      <c r="B142" s="30"/>
    </row>
    <row r="143" spans="1:2" x14ac:dyDescent="0.25">
      <c r="A143" s="30"/>
      <c r="B143" s="30"/>
    </row>
    <row r="144" spans="1:2" x14ac:dyDescent="0.25">
      <c r="A144" s="30"/>
      <c r="B144" s="30"/>
    </row>
    <row r="145" spans="1:2" x14ac:dyDescent="0.25">
      <c r="A145" s="30"/>
      <c r="B145" s="30"/>
    </row>
    <row r="146" spans="1:2" x14ac:dyDescent="0.25">
      <c r="A146" s="30"/>
      <c r="B146" s="30"/>
    </row>
    <row r="147" spans="1:2" x14ac:dyDescent="0.25">
      <c r="A147" s="30"/>
      <c r="B147" s="30"/>
    </row>
    <row r="148" spans="1:2" x14ac:dyDescent="0.25">
      <c r="A148" s="30"/>
      <c r="B148" s="30"/>
    </row>
    <row r="149" spans="1:2" x14ac:dyDescent="0.25">
      <c r="A149" s="30"/>
      <c r="B149" s="30"/>
    </row>
    <row r="150" spans="1:2" x14ac:dyDescent="0.25">
      <c r="A150" s="30"/>
      <c r="B150" s="30"/>
    </row>
    <row r="151" spans="1:2" x14ac:dyDescent="0.25">
      <c r="A151" s="30"/>
      <c r="B151" s="30"/>
    </row>
    <row r="152" spans="1:2" x14ac:dyDescent="0.25">
      <c r="A152" s="30"/>
      <c r="B152" s="30"/>
    </row>
    <row r="153" spans="1:2" x14ac:dyDescent="0.25">
      <c r="A153" s="30"/>
      <c r="B153" s="30"/>
    </row>
    <row r="154" spans="1:2" x14ac:dyDescent="0.25">
      <c r="A154" s="30"/>
      <c r="B154" s="30"/>
    </row>
    <row r="155" spans="1:2" x14ac:dyDescent="0.25">
      <c r="A155" s="30"/>
      <c r="B155" s="30"/>
    </row>
    <row r="156" spans="1:2" x14ac:dyDescent="0.25">
      <c r="A156" s="30"/>
      <c r="B156" s="30"/>
    </row>
    <row r="157" spans="1:2" x14ac:dyDescent="0.25">
      <c r="A157" s="30"/>
      <c r="B157" s="30"/>
    </row>
    <row r="158" spans="1:2" x14ac:dyDescent="0.25">
      <c r="A158" s="30"/>
      <c r="B158" s="30"/>
    </row>
    <row r="159" spans="1:2" x14ac:dyDescent="0.25">
      <c r="A159" s="30"/>
      <c r="B159" s="30"/>
    </row>
    <row r="160" spans="1:2" x14ac:dyDescent="0.25">
      <c r="A160" s="30"/>
      <c r="B160" s="30"/>
    </row>
    <row r="161" spans="1:2" x14ac:dyDescent="0.25">
      <c r="A161" s="30"/>
      <c r="B161" s="30"/>
    </row>
    <row r="162" spans="1:2" x14ac:dyDescent="0.25">
      <c r="A162" s="30"/>
      <c r="B162" s="30"/>
    </row>
    <row r="163" spans="1:2" x14ac:dyDescent="0.25">
      <c r="A163" s="30"/>
      <c r="B163" s="30"/>
    </row>
    <row r="164" spans="1:2" x14ac:dyDescent="0.25">
      <c r="A164" s="30"/>
      <c r="B164" s="30"/>
    </row>
    <row r="165" spans="1:2" x14ac:dyDescent="0.25">
      <c r="A165" s="30"/>
      <c r="B165" s="30"/>
    </row>
    <row r="166" spans="1:2" x14ac:dyDescent="0.25">
      <c r="A166" s="30"/>
      <c r="B166" s="30"/>
    </row>
    <row r="167" spans="1:2" x14ac:dyDescent="0.25">
      <c r="A167" s="30"/>
      <c r="B167" s="30"/>
    </row>
    <row r="168" spans="1:2" x14ac:dyDescent="0.25">
      <c r="A168" s="30"/>
      <c r="B168" s="30"/>
    </row>
    <row r="169" spans="1:2" x14ac:dyDescent="0.25">
      <c r="A169" s="30"/>
      <c r="B169" s="30"/>
    </row>
  </sheetData>
  <autoFilter ref="A1:O97"/>
  <hyperlinks>
    <hyperlink ref="O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20"/>
  <sheetViews>
    <sheetView topLeftCell="A96" zoomScaleNormal="100" workbookViewId="0">
      <selection activeCell="B2" sqref="B2:B120"/>
    </sheetView>
  </sheetViews>
  <sheetFormatPr defaultRowHeight="15" x14ac:dyDescent="0.25"/>
  <cols>
    <col min="1" max="1" width="19.5703125"/>
    <col min="2" max="2" width="30.42578125"/>
    <col min="3" max="3" width="26.42578125"/>
    <col min="4" max="1025" width="8.5703125"/>
  </cols>
  <sheetData>
    <row r="1" spans="1:14" x14ac:dyDescent="0.25">
      <c r="A1" s="27" t="s">
        <v>119</v>
      </c>
      <c r="B1" s="27" t="s">
        <v>747</v>
      </c>
      <c r="C1" s="27" t="s">
        <v>744</v>
      </c>
      <c r="N1" s="29" t="s">
        <v>216</v>
      </c>
    </row>
    <row r="2" spans="1:14" x14ac:dyDescent="0.25">
      <c r="A2" s="32" t="s">
        <v>217</v>
      </c>
      <c r="B2">
        <f>IF(C2=1,10,2)</f>
        <v>2</v>
      </c>
      <c r="C2" s="37">
        <v>2</v>
      </c>
    </row>
    <row r="3" spans="1:14" x14ac:dyDescent="0.25">
      <c r="A3" s="32" t="s">
        <v>218</v>
      </c>
      <c r="B3">
        <f t="shared" ref="B3:B66" si="0">IF(C3=1,10,2)</f>
        <v>10</v>
      </c>
      <c r="C3" s="37">
        <v>1</v>
      </c>
    </row>
    <row r="4" spans="1:14" x14ac:dyDescent="0.25">
      <c r="A4" s="32" t="s">
        <v>219</v>
      </c>
      <c r="B4">
        <f t="shared" si="0"/>
        <v>2</v>
      </c>
      <c r="C4" s="37">
        <v>2</v>
      </c>
    </row>
    <row r="5" spans="1:14" x14ac:dyDescent="0.25">
      <c r="A5" s="32" t="s">
        <v>220</v>
      </c>
      <c r="B5">
        <f t="shared" si="0"/>
        <v>2</v>
      </c>
      <c r="C5" s="37">
        <v>2</v>
      </c>
    </row>
    <row r="6" spans="1:14" x14ac:dyDescent="0.25">
      <c r="A6" s="32" t="s">
        <v>221</v>
      </c>
      <c r="B6">
        <f t="shared" si="0"/>
        <v>2</v>
      </c>
      <c r="C6" s="37">
        <v>2</v>
      </c>
    </row>
    <row r="7" spans="1:14" x14ac:dyDescent="0.25">
      <c r="A7" s="32" t="s">
        <v>222</v>
      </c>
      <c r="B7">
        <f t="shared" si="0"/>
        <v>2</v>
      </c>
      <c r="C7" s="37">
        <v>2</v>
      </c>
    </row>
    <row r="8" spans="1:14" x14ac:dyDescent="0.25">
      <c r="A8" s="32" t="s">
        <v>223</v>
      </c>
      <c r="B8">
        <f t="shared" si="0"/>
        <v>2</v>
      </c>
      <c r="C8" s="37">
        <v>2</v>
      </c>
    </row>
    <row r="9" spans="1:14" x14ac:dyDescent="0.25">
      <c r="A9" t="s">
        <v>224</v>
      </c>
      <c r="B9">
        <f t="shared" si="0"/>
        <v>2</v>
      </c>
      <c r="C9" s="37">
        <v>2</v>
      </c>
    </row>
    <row r="10" spans="1:14" x14ac:dyDescent="0.25">
      <c r="A10" t="s">
        <v>225</v>
      </c>
      <c r="B10">
        <f t="shared" si="0"/>
        <v>2</v>
      </c>
      <c r="C10" s="37">
        <v>2</v>
      </c>
    </row>
    <row r="11" spans="1:14" x14ac:dyDescent="0.25">
      <c r="A11" t="s">
        <v>226</v>
      </c>
      <c r="B11">
        <f t="shared" si="0"/>
        <v>2</v>
      </c>
      <c r="C11" s="37">
        <v>2</v>
      </c>
    </row>
    <row r="12" spans="1:14" x14ac:dyDescent="0.25">
      <c r="A12" t="s">
        <v>227</v>
      </c>
      <c r="B12">
        <f t="shared" si="0"/>
        <v>2</v>
      </c>
      <c r="C12" s="37">
        <v>2</v>
      </c>
    </row>
    <row r="13" spans="1:14" x14ac:dyDescent="0.25">
      <c r="A13" t="s">
        <v>228</v>
      </c>
      <c r="B13">
        <f t="shared" si="0"/>
        <v>10</v>
      </c>
      <c r="C13" s="38">
        <v>1</v>
      </c>
    </row>
    <row r="14" spans="1:14" x14ac:dyDescent="0.25">
      <c r="A14" t="s">
        <v>229</v>
      </c>
      <c r="B14">
        <f t="shared" si="0"/>
        <v>2</v>
      </c>
      <c r="C14" s="37">
        <v>2</v>
      </c>
    </row>
    <row r="15" spans="1:14" x14ac:dyDescent="0.25">
      <c r="A15" t="s">
        <v>230</v>
      </c>
      <c r="B15">
        <f t="shared" si="0"/>
        <v>2</v>
      </c>
      <c r="C15" s="37">
        <v>2</v>
      </c>
    </row>
    <row r="16" spans="1:14" x14ac:dyDescent="0.25">
      <c r="A16" t="s">
        <v>231</v>
      </c>
      <c r="B16">
        <f t="shared" si="0"/>
        <v>2</v>
      </c>
      <c r="C16" s="37">
        <v>2</v>
      </c>
    </row>
    <row r="17" spans="1:3" x14ac:dyDescent="0.25">
      <c r="A17" t="s">
        <v>232</v>
      </c>
      <c r="B17">
        <f t="shared" si="0"/>
        <v>10</v>
      </c>
      <c r="C17" s="38">
        <v>1</v>
      </c>
    </row>
    <row r="18" spans="1:3" x14ac:dyDescent="0.25">
      <c r="A18" t="s">
        <v>233</v>
      </c>
      <c r="B18">
        <f t="shared" si="0"/>
        <v>10</v>
      </c>
      <c r="C18" s="38">
        <v>1</v>
      </c>
    </row>
    <row r="19" spans="1:3" x14ac:dyDescent="0.25">
      <c r="A19" t="s">
        <v>234</v>
      </c>
      <c r="B19">
        <f t="shared" si="0"/>
        <v>2</v>
      </c>
      <c r="C19" s="37">
        <v>2</v>
      </c>
    </row>
    <row r="20" spans="1:3" x14ac:dyDescent="0.25">
      <c r="A20" t="s">
        <v>235</v>
      </c>
      <c r="B20">
        <f t="shared" si="0"/>
        <v>2</v>
      </c>
      <c r="C20" s="37">
        <v>2</v>
      </c>
    </row>
    <row r="21" spans="1:3" x14ac:dyDescent="0.25">
      <c r="A21" t="s">
        <v>236</v>
      </c>
      <c r="B21">
        <f t="shared" si="0"/>
        <v>10</v>
      </c>
      <c r="C21" s="38">
        <v>1</v>
      </c>
    </row>
    <row r="22" spans="1:3" x14ac:dyDescent="0.25">
      <c r="A22" t="s">
        <v>237</v>
      </c>
      <c r="B22">
        <f t="shared" si="0"/>
        <v>2</v>
      </c>
      <c r="C22" s="37">
        <v>2</v>
      </c>
    </row>
    <row r="23" spans="1:3" x14ac:dyDescent="0.25">
      <c r="A23" t="s">
        <v>238</v>
      </c>
      <c r="B23">
        <f t="shared" si="0"/>
        <v>10</v>
      </c>
      <c r="C23" s="38">
        <v>1</v>
      </c>
    </row>
    <row r="24" spans="1:3" x14ac:dyDescent="0.25">
      <c r="A24" t="s">
        <v>239</v>
      </c>
      <c r="B24">
        <f t="shared" si="0"/>
        <v>10</v>
      </c>
      <c r="C24" s="38">
        <v>1</v>
      </c>
    </row>
    <row r="25" spans="1:3" x14ac:dyDescent="0.25">
      <c r="A25" t="s">
        <v>240</v>
      </c>
      <c r="B25">
        <f t="shared" si="0"/>
        <v>10</v>
      </c>
      <c r="C25" s="38">
        <v>1</v>
      </c>
    </row>
    <row r="26" spans="1:3" x14ac:dyDescent="0.25">
      <c r="A26" t="s">
        <v>241</v>
      </c>
      <c r="B26">
        <f t="shared" si="0"/>
        <v>2</v>
      </c>
      <c r="C26" s="37">
        <v>2</v>
      </c>
    </row>
    <row r="27" spans="1:3" x14ac:dyDescent="0.25">
      <c r="A27" t="s">
        <v>242</v>
      </c>
      <c r="B27">
        <f t="shared" si="0"/>
        <v>2</v>
      </c>
      <c r="C27" s="37">
        <v>2</v>
      </c>
    </row>
    <row r="28" spans="1:3" x14ac:dyDescent="0.25">
      <c r="A28" t="s">
        <v>243</v>
      </c>
      <c r="B28">
        <f t="shared" si="0"/>
        <v>2</v>
      </c>
      <c r="C28" s="37">
        <v>2</v>
      </c>
    </row>
    <row r="29" spans="1:3" x14ac:dyDescent="0.25">
      <c r="A29" t="s">
        <v>244</v>
      </c>
      <c r="B29">
        <f t="shared" si="0"/>
        <v>2</v>
      </c>
      <c r="C29" s="37">
        <v>2</v>
      </c>
    </row>
    <row r="30" spans="1:3" x14ac:dyDescent="0.25">
      <c r="A30" t="s">
        <v>245</v>
      </c>
      <c r="B30">
        <f t="shared" si="0"/>
        <v>10</v>
      </c>
      <c r="C30" s="38">
        <v>1</v>
      </c>
    </row>
    <row r="31" spans="1:3" x14ac:dyDescent="0.25">
      <c r="A31" t="s">
        <v>246</v>
      </c>
      <c r="B31">
        <f t="shared" si="0"/>
        <v>2</v>
      </c>
      <c r="C31" s="37">
        <v>2</v>
      </c>
    </row>
    <row r="32" spans="1:3" x14ac:dyDescent="0.25">
      <c r="A32" t="s">
        <v>247</v>
      </c>
      <c r="B32">
        <f t="shared" si="0"/>
        <v>10</v>
      </c>
      <c r="C32" s="38">
        <v>1</v>
      </c>
    </row>
    <row r="33" spans="1:3" x14ac:dyDescent="0.25">
      <c r="A33" t="s">
        <v>248</v>
      </c>
      <c r="B33">
        <f t="shared" si="0"/>
        <v>10</v>
      </c>
      <c r="C33" s="38">
        <v>1</v>
      </c>
    </row>
    <row r="34" spans="1:3" x14ac:dyDescent="0.25">
      <c r="A34" t="s">
        <v>249</v>
      </c>
      <c r="B34">
        <f t="shared" si="0"/>
        <v>10</v>
      </c>
      <c r="C34" s="38">
        <v>1</v>
      </c>
    </row>
    <row r="35" spans="1:3" x14ac:dyDescent="0.25">
      <c r="A35" t="s">
        <v>250</v>
      </c>
      <c r="B35">
        <f t="shared" si="0"/>
        <v>2</v>
      </c>
      <c r="C35" s="37">
        <v>2</v>
      </c>
    </row>
    <row r="36" spans="1:3" x14ac:dyDescent="0.25">
      <c r="A36" t="s">
        <v>251</v>
      </c>
      <c r="B36">
        <f t="shared" si="0"/>
        <v>2</v>
      </c>
      <c r="C36" s="37">
        <v>2</v>
      </c>
    </row>
    <row r="37" spans="1:3" x14ac:dyDescent="0.25">
      <c r="A37" t="s">
        <v>252</v>
      </c>
      <c r="B37">
        <f t="shared" si="0"/>
        <v>2</v>
      </c>
      <c r="C37" s="37">
        <v>2</v>
      </c>
    </row>
    <row r="38" spans="1:3" x14ac:dyDescent="0.25">
      <c r="A38" t="s">
        <v>253</v>
      </c>
      <c r="B38">
        <f t="shared" si="0"/>
        <v>2</v>
      </c>
      <c r="C38" s="37">
        <v>2</v>
      </c>
    </row>
    <row r="39" spans="1:3" x14ac:dyDescent="0.25">
      <c r="A39" t="s">
        <v>254</v>
      </c>
      <c r="B39">
        <f t="shared" si="0"/>
        <v>2</v>
      </c>
      <c r="C39" s="37">
        <v>2</v>
      </c>
    </row>
    <row r="40" spans="1:3" x14ac:dyDescent="0.25">
      <c r="A40" t="s">
        <v>255</v>
      </c>
      <c r="B40">
        <f t="shared" si="0"/>
        <v>2</v>
      </c>
      <c r="C40" s="37">
        <v>2</v>
      </c>
    </row>
    <row r="41" spans="1:3" x14ac:dyDescent="0.25">
      <c r="A41" t="s">
        <v>256</v>
      </c>
      <c r="B41">
        <f t="shared" si="0"/>
        <v>2</v>
      </c>
      <c r="C41" s="37">
        <v>2</v>
      </c>
    </row>
    <row r="42" spans="1:3" x14ac:dyDescent="0.25">
      <c r="A42" t="s">
        <v>257</v>
      </c>
      <c r="B42">
        <f t="shared" si="0"/>
        <v>2</v>
      </c>
      <c r="C42" s="37">
        <v>2</v>
      </c>
    </row>
    <row r="43" spans="1:3" x14ac:dyDescent="0.25">
      <c r="A43" t="s">
        <v>258</v>
      </c>
      <c r="B43">
        <f t="shared" si="0"/>
        <v>2</v>
      </c>
      <c r="C43" s="37">
        <v>2</v>
      </c>
    </row>
    <row r="44" spans="1:3" x14ac:dyDescent="0.25">
      <c r="A44" t="s">
        <v>259</v>
      </c>
      <c r="B44">
        <f t="shared" si="0"/>
        <v>2</v>
      </c>
      <c r="C44" s="37">
        <v>2</v>
      </c>
    </row>
    <row r="45" spans="1:3" x14ac:dyDescent="0.25">
      <c r="A45" t="s">
        <v>260</v>
      </c>
      <c r="B45">
        <f t="shared" si="0"/>
        <v>2</v>
      </c>
      <c r="C45" s="37">
        <v>2</v>
      </c>
    </row>
    <row r="46" spans="1:3" x14ac:dyDescent="0.25">
      <c r="A46" t="s">
        <v>261</v>
      </c>
      <c r="B46">
        <f t="shared" si="0"/>
        <v>2</v>
      </c>
      <c r="C46" s="37">
        <v>2</v>
      </c>
    </row>
    <row r="47" spans="1:3" x14ac:dyDescent="0.25">
      <c r="A47" t="s">
        <v>262</v>
      </c>
      <c r="B47">
        <f t="shared" si="0"/>
        <v>2</v>
      </c>
      <c r="C47" s="37">
        <v>2</v>
      </c>
    </row>
    <row r="48" spans="1:3" x14ac:dyDescent="0.25">
      <c r="A48" t="s">
        <v>263</v>
      </c>
      <c r="B48">
        <f t="shared" si="0"/>
        <v>2</v>
      </c>
      <c r="C48" s="37">
        <v>2</v>
      </c>
    </row>
    <row r="49" spans="1:3" x14ac:dyDescent="0.25">
      <c r="A49" t="s">
        <v>264</v>
      </c>
      <c r="B49">
        <f t="shared" si="0"/>
        <v>2</v>
      </c>
      <c r="C49" s="37">
        <v>2</v>
      </c>
    </row>
    <row r="50" spans="1:3" x14ac:dyDescent="0.25">
      <c r="A50" t="s">
        <v>265</v>
      </c>
      <c r="B50">
        <f t="shared" si="0"/>
        <v>2</v>
      </c>
      <c r="C50" s="37">
        <v>2</v>
      </c>
    </row>
    <row r="51" spans="1:3" x14ac:dyDescent="0.25">
      <c r="A51" t="s">
        <v>266</v>
      </c>
      <c r="B51">
        <f t="shared" si="0"/>
        <v>2</v>
      </c>
      <c r="C51" s="37">
        <v>2</v>
      </c>
    </row>
    <row r="52" spans="1:3" x14ac:dyDescent="0.25">
      <c r="A52" t="s">
        <v>267</v>
      </c>
      <c r="B52">
        <f t="shared" si="0"/>
        <v>2</v>
      </c>
      <c r="C52" s="37">
        <v>2</v>
      </c>
    </row>
    <row r="53" spans="1:3" x14ac:dyDescent="0.25">
      <c r="A53" t="s">
        <v>268</v>
      </c>
      <c r="B53">
        <f t="shared" si="0"/>
        <v>2</v>
      </c>
      <c r="C53" s="37">
        <v>2</v>
      </c>
    </row>
    <row r="54" spans="1:3" x14ac:dyDescent="0.25">
      <c r="A54" t="s">
        <v>269</v>
      </c>
      <c r="B54">
        <f t="shared" si="0"/>
        <v>2</v>
      </c>
      <c r="C54" s="37">
        <v>2</v>
      </c>
    </row>
    <row r="55" spans="1:3" x14ac:dyDescent="0.25">
      <c r="A55" t="s">
        <v>270</v>
      </c>
      <c r="B55">
        <f t="shared" si="0"/>
        <v>2</v>
      </c>
      <c r="C55" s="37">
        <v>2</v>
      </c>
    </row>
    <row r="56" spans="1:3" x14ac:dyDescent="0.25">
      <c r="A56" t="s">
        <v>271</v>
      </c>
      <c r="B56">
        <f t="shared" si="0"/>
        <v>2</v>
      </c>
      <c r="C56" s="37">
        <v>2</v>
      </c>
    </row>
    <row r="57" spans="1:3" x14ac:dyDescent="0.25">
      <c r="A57" t="s">
        <v>272</v>
      </c>
      <c r="B57">
        <f t="shared" si="0"/>
        <v>2</v>
      </c>
      <c r="C57" s="37">
        <v>2</v>
      </c>
    </row>
    <row r="58" spans="1:3" x14ac:dyDescent="0.25">
      <c r="A58" t="s">
        <v>273</v>
      </c>
      <c r="B58">
        <f t="shared" si="0"/>
        <v>2</v>
      </c>
      <c r="C58" s="37">
        <v>2</v>
      </c>
    </row>
    <row r="59" spans="1:3" x14ac:dyDescent="0.25">
      <c r="A59" t="s">
        <v>274</v>
      </c>
      <c r="B59">
        <f t="shared" si="0"/>
        <v>2</v>
      </c>
      <c r="C59" s="37">
        <v>2</v>
      </c>
    </row>
    <row r="60" spans="1:3" x14ac:dyDescent="0.25">
      <c r="A60" t="s">
        <v>275</v>
      </c>
      <c r="B60">
        <f t="shared" si="0"/>
        <v>2</v>
      </c>
      <c r="C60" s="37">
        <v>2</v>
      </c>
    </row>
    <row r="61" spans="1:3" x14ac:dyDescent="0.25">
      <c r="A61" t="s">
        <v>276</v>
      </c>
      <c r="B61">
        <f t="shared" si="0"/>
        <v>2</v>
      </c>
      <c r="C61" s="37">
        <v>2</v>
      </c>
    </row>
    <row r="62" spans="1:3" x14ac:dyDescent="0.25">
      <c r="A62" t="s">
        <v>277</v>
      </c>
      <c r="B62">
        <f t="shared" si="0"/>
        <v>2</v>
      </c>
      <c r="C62" s="37">
        <v>2</v>
      </c>
    </row>
    <row r="63" spans="1:3" x14ac:dyDescent="0.25">
      <c r="A63" t="s">
        <v>278</v>
      </c>
      <c r="B63">
        <f t="shared" si="0"/>
        <v>2</v>
      </c>
      <c r="C63" s="37">
        <v>2</v>
      </c>
    </row>
    <row r="64" spans="1:3" x14ac:dyDescent="0.25">
      <c r="A64" t="s">
        <v>279</v>
      </c>
      <c r="B64">
        <f t="shared" si="0"/>
        <v>2</v>
      </c>
      <c r="C64" s="37">
        <v>2</v>
      </c>
    </row>
    <row r="65" spans="1:3" x14ac:dyDescent="0.25">
      <c r="A65" t="s">
        <v>280</v>
      </c>
      <c r="B65">
        <f t="shared" si="0"/>
        <v>2</v>
      </c>
      <c r="C65" s="37">
        <v>2</v>
      </c>
    </row>
    <row r="66" spans="1:3" x14ac:dyDescent="0.25">
      <c r="A66" t="s">
        <v>281</v>
      </c>
      <c r="B66">
        <f t="shared" si="0"/>
        <v>2</v>
      </c>
      <c r="C66" s="37">
        <v>2</v>
      </c>
    </row>
    <row r="67" spans="1:3" x14ac:dyDescent="0.25">
      <c r="A67" t="s">
        <v>282</v>
      </c>
      <c r="B67">
        <f t="shared" ref="B67:B120" si="1">IF(C67=1,10,2)</f>
        <v>2</v>
      </c>
      <c r="C67" s="37">
        <v>2</v>
      </c>
    </row>
    <row r="68" spans="1:3" x14ac:dyDescent="0.25">
      <c r="A68" t="s">
        <v>283</v>
      </c>
      <c r="B68">
        <f t="shared" si="1"/>
        <v>2</v>
      </c>
      <c r="C68" s="37">
        <v>2</v>
      </c>
    </row>
    <row r="69" spans="1:3" x14ac:dyDescent="0.25">
      <c r="A69" t="s">
        <v>284</v>
      </c>
      <c r="B69">
        <f t="shared" si="1"/>
        <v>2</v>
      </c>
      <c r="C69" s="37">
        <v>2</v>
      </c>
    </row>
    <row r="70" spans="1:3" x14ac:dyDescent="0.25">
      <c r="A70" t="s">
        <v>285</v>
      </c>
      <c r="B70">
        <f t="shared" si="1"/>
        <v>2</v>
      </c>
      <c r="C70" s="37">
        <v>2</v>
      </c>
    </row>
    <row r="71" spans="1:3" x14ac:dyDescent="0.25">
      <c r="A71" t="s">
        <v>286</v>
      </c>
      <c r="B71">
        <f t="shared" si="1"/>
        <v>2</v>
      </c>
      <c r="C71" s="37">
        <v>2</v>
      </c>
    </row>
    <row r="72" spans="1:3" x14ac:dyDescent="0.25">
      <c r="A72" t="s">
        <v>287</v>
      </c>
      <c r="B72">
        <f t="shared" si="1"/>
        <v>2</v>
      </c>
      <c r="C72" s="37">
        <v>2</v>
      </c>
    </row>
    <row r="73" spans="1:3" x14ac:dyDescent="0.25">
      <c r="A73" t="s">
        <v>288</v>
      </c>
      <c r="B73">
        <f t="shared" si="1"/>
        <v>2</v>
      </c>
      <c r="C73" s="37">
        <v>2</v>
      </c>
    </row>
    <row r="74" spans="1:3" x14ac:dyDescent="0.25">
      <c r="A74" t="s">
        <v>289</v>
      </c>
      <c r="B74">
        <f t="shared" si="1"/>
        <v>2</v>
      </c>
      <c r="C74" s="37">
        <v>2</v>
      </c>
    </row>
    <row r="75" spans="1:3" x14ac:dyDescent="0.25">
      <c r="A75" t="s">
        <v>290</v>
      </c>
      <c r="B75">
        <f t="shared" si="1"/>
        <v>10</v>
      </c>
      <c r="C75" s="37">
        <v>1</v>
      </c>
    </row>
    <row r="76" spans="1:3" x14ac:dyDescent="0.25">
      <c r="A76" t="s">
        <v>291</v>
      </c>
      <c r="B76">
        <f t="shared" si="1"/>
        <v>10</v>
      </c>
      <c r="C76" s="38">
        <v>1</v>
      </c>
    </row>
    <row r="77" spans="1:3" x14ac:dyDescent="0.25">
      <c r="A77" t="s">
        <v>292</v>
      </c>
      <c r="B77">
        <f t="shared" si="1"/>
        <v>10</v>
      </c>
      <c r="C77" s="38">
        <v>1</v>
      </c>
    </row>
    <row r="78" spans="1:3" x14ac:dyDescent="0.25">
      <c r="A78" t="s">
        <v>293</v>
      </c>
      <c r="B78">
        <f t="shared" si="1"/>
        <v>10</v>
      </c>
      <c r="C78" s="38">
        <v>1</v>
      </c>
    </row>
    <row r="79" spans="1:3" x14ac:dyDescent="0.25">
      <c r="A79" t="s">
        <v>294</v>
      </c>
      <c r="B79">
        <f t="shared" si="1"/>
        <v>10</v>
      </c>
      <c r="C79" s="38">
        <v>1</v>
      </c>
    </row>
    <row r="80" spans="1:3" x14ac:dyDescent="0.25">
      <c r="A80" t="s">
        <v>295</v>
      </c>
      <c r="B80">
        <f t="shared" si="1"/>
        <v>10</v>
      </c>
      <c r="C80" s="38">
        <v>1</v>
      </c>
    </row>
    <row r="81" spans="1:3" x14ac:dyDescent="0.25">
      <c r="A81" t="s">
        <v>296</v>
      </c>
      <c r="B81">
        <f t="shared" si="1"/>
        <v>10</v>
      </c>
      <c r="C81" s="38">
        <v>1</v>
      </c>
    </row>
    <row r="82" spans="1:3" x14ac:dyDescent="0.25">
      <c r="A82" t="s">
        <v>297</v>
      </c>
      <c r="B82">
        <f t="shared" si="1"/>
        <v>10</v>
      </c>
      <c r="C82" s="38">
        <v>1</v>
      </c>
    </row>
    <row r="83" spans="1:3" x14ac:dyDescent="0.25">
      <c r="A83" t="s">
        <v>298</v>
      </c>
      <c r="B83">
        <f t="shared" si="1"/>
        <v>10</v>
      </c>
      <c r="C83" s="38">
        <v>1</v>
      </c>
    </row>
    <row r="84" spans="1:3" x14ac:dyDescent="0.25">
      <c r="A84" t="s">
        <v>299</v>
      </c>
      <c r="B84">
        <f t="shared" si="1"/>
        <v>10</v>
      </c>
      <c r="C84" s="38">
        <v>1</v>
      </c>
    </row>
    <row r="85" spans="1:3" x14ac:dyDescent="0.25">
      <c r="A85" t="s">
        <v>300</v>
      </c>
      <c r="B85">
        <f t="shared" si="1"/>
        <v>2</v>
      </c>
      <c r="C85" s="37">
        <v>2</v>
      </c>
    </row>
    <row r="86" spans="1:3" x14ac:dyDescent="0.25">
      <c r="A86" t="s">
        <v>301</v>
      </c>
      <c r="B86">
        <f t="shared" si="1"/>
        <v>2</v>
      </c>
      <c r="C86" s="37">
        <v>2</v>
      </c>
    </row>
    <row r="87" spans="1:3" x14ac:dyDescent="0.25">
      <c r="A87" t="s">
        <v>302</v>
      </c>
      <c r="B87">
        <f t="shared" si="1"/>
        <v>2</v>
      </c>
      <c r="C87" s="37">
        <v>2</v>
      </c>
    </row>
    <row r="88" spans="1:3" x14ac:dyDescent="0.25">
      <c r="A88" t="s">
        <v>303</v>
      </c>
      <c r="B88">
        <f t="shared" si="1"/>
        <v>2</v>
      </c>
      <c r="C88" s="37">
        <v>2</v>
      </c>
    </row>
    <row r="89" spans="1:3" x14ac:dyDescent="0.25">
      <c r="A89" t="s">
        <v>304</v>
      </c>
      <c r="B89">
        <f t="shared" si="1"/>
        <v>2</v>
      </c>
      <c r="C89" s="37">
        <v>2</v>
      </c>
    </row>
    <row r="90" spans="1:3" x14ac:dyDescent="0.25">
      <c r="A90" t="s">
        <v>305</v>
      </c>
      <c r="B90">
        <f t="shared" si="1"/>
        <v>10</v>
      </c>
      <c r="C90" s="37">
        <v>1</v>
      </c>
    </row>
    <row r="91" spans="1:3" x14ac:dyDescent="0.25">
      <c r="A91" t="s">
        <v>306</v>
      </c>
      <c r="B91">
        <f t="shared" si="1"/>
        <v>2</v>
      </c>
      <c r="C91" s="37">
        <v>2</v>
      </c>
    </row>
    <row r="92" spans="1:3" x14ac:dyDescent="0.25">
      <c r="A92" t="s">
        <v>307</v>
      </c>
      <c r="B92">
        <f t="shared" si="1"/>
        <v>10</v>
      </c>
      <c r="C92" s="38">
        <v>1</v>
      </c>
    </row>
    <row r="93" spans="1:3" x14ac:dyDescent="0.25">
      <c r="A93" t="s">
        <v>308</v>
      </c>
      <c r="B93">
        <f t="shared" si="1"/>
        <v>10</v>
      </c>
      <c r="C93" s="38">
        <v>1</v>
      </c>
    </row>
    <row r="94" spans="1:3" x14ac:dyDescent="0.25">
      <c r="A94" t="s">
        <v>309</v>
      </c>
      <c r="B94">
        <f t="shared" si="1"/>
        <v>10</v>
      </c>
      <c r="C94" s="38">
        <v>1</v>
      </c>
    </row>
    <row r="95" spans="1:3" x14ac:dyDescent="0.25">
      <c r="A95" t="s">
        <v>310</v>
      </c>
      <c r="B95">
        <f t="shared" si="1"/>
        <v>2</v>
      </c>
      <c r="C95" s="37">
        <v>2</v>
      </c>
    </row>
    <row r="96" spans="1:3" x14ac:dyDescent="0.25">
      <c r="A96" t="s">
        <v>311</v>
      </c>
      <c r="B96">
        <f t="shared" si="1"/>
        <v>2</v>
      </c>
      <c r="C96" s="37">
        <v>2</v>
      </c>
    </row>
    <row r="97" spans="1:3" x14ac:dyDescent="0.25">
      <c r="A97" t="s">
        <v>312</v>
      </c>
      <c r="B97">
        <f t="shared" si="1"/>
        <v>2</v>
      </c>
      <c r="C97" s="37">
        <v>2</v>
      </c>
    </row>
    <row r="98" spans="1:3" x14ac:dyDescent="0.25">
      <c r="A98" t="s">
        <v>313</v>
      </c>
      <c r="B98">
        <f t="shared" si="1"/>
        <v>2</v>
      </c>
      <c r="C98" s="37">
        <v>2</v>
      </c>
    </row>
    <row r="99" spans="1:3" x14ac:dyDescent="0.25">
      <c r="A99" t="s">
        <v>314</v>
      </c>
      <c r="B99">
        <f t="shared" si="1"/>
        <v>2</v>
      </c>
      <c r="C99" s="37">
        <v>2</v>
      </c>
    </row>
    <row r="100" spans="1:3" x14ac:dyDescent="0.25">
      <c r="A100" t="s">
        <v>315</v>
      </c>
      <c r="B100">
        <f t="shared" si="1"/>
        <v>2</v>
      </c>
      <c r="C100" s="37">
        <v>2</v>
      </c>
    </row>
    <row r="101" spans="1:3" x14ac:dyDescent="0.25">
      <c r="A101" t="s">
        <v>316</v>
      </c>
      <c r="B101">
        <f t="shared" si="1"/>
        <v>2</v>
      </c>
      <c r="C101" s="37">
        <v>2</v>
      </c>
    </row>
    <row r="102" spans="1:3" x14ac:dyDescent="0.25">
      <c r="A102" t="s">
        <v>317</v>
      </c>
      <c r="B102">
        <f t="shared" si="1"/>
        <v>2</v>
      </c>
      <c r="C102" s="37">
        <v>2</v>
      </c>
    </row>
    <row r="103" spans="1:3" x14ac:dyDescent="0.25">
      <c r="A103" t="s">
        <v>318</v>
      </c>
      <c r="B103">
        <f t="shared" si="1"/>
        <v>2</v>
      </c>
      <c r="C103" s="37">
        <v>2</v>
      </c>
    </row>
    <row r="104" spans="1:3" x14ac:dyDescent="0.25">
      <c r="A104" t="s">
        <v>319</v>
      </c>
      <c r="B104">
        <f t="shared" si="1"/>
        <v>10</v>
      </c>
      <c r="C104" s="37">
        <v>1</v>
      </c>
    </row>
    <row r="105" spans="1:3" x14ac:dyDescent="0.25">
      <c r="A105" t="s">
        <v>320</v>
      </c>
      <c r="B105">
        <f t="shared" si="1"/>
        <v>2</v>
      </c>
      <c r="C105" s="37">
        <v>2</v>
      </c>
    </row>
    <row r="106" spans="1:3" x14ac:dyDescent="0.25">
      <c r="A106" t="s">
        <v>321</v>
      </c>
      <c r="B106">
        <f t="shared" si="1"/>
        <v>2</v>
      </c>
      <c r="C106" s="37">
        <v>2</v>
      </c>
    </row>
    <row r="107" spans="1:3" x14ac:dyDescent="0.25">
      <c r="A107" t="s">
        <v>322</v>
      </c>
      <c r="B107">
        <f t="shared" si="1"/>
        <v>2</v>
      </c>
      <c r="C107" s="37">
        <v>2</v>
      </c>
    </row>
    <row r="108" spans="1:3" x14ac:dyDescent="0.25">
      <c r="A108" t="s">
        <v>323</v>
      </c>
      <c r="B108">
        <f t="shared" si="1"/>
        <v>2</v>
      </c>
      <c r="C108" s="37">
        <v>2</v>
      </c>
    </row>
    <row r="109" spans="1:3" x14ac:dyDescent="0.25">
      <c r="A109" t="s">
        <v>324</v>
      </c>
      <c r="B109">
        <f t="shared" si="1"/>
        <v>2</v>
      </c>
      <c r="C109" s="37">
        <v>2</v>
      </c>
    </row>
    <row r="110" spans="1:3" x14ac:dyDescent="0.25">
      <c r="A110" t="s">
        <v>325</v>
      </c>
      <c r="B110">
        <f t="shared" si="1"/>
        <v>2</v>
      </c>
      <c r="C110" s="37">
        <v>2</v>
      </c>
    </row>
    <row r="111" spans="1:3" x14ac:dyDescent="0.25">
      <c r="A111" t="s">
        <v>326</v>
      </c>
      <c r="B111">
        <f t="shared" si="1"/>
        <v>2</v>
      </c>
      <c r="C111" s="37">
        <v>2</v>
      </c>
    </row>
    <row r="112" spans="1:3" x14ac:dyDescent="0.25">
      <c r="A112" t="s">
        <v>327</v>
      </c>
      <c r="B112">
        <f t="shared" si="1"/>
        <v>2</v>
      </c>
      <c r="C112" s="37">
        <v>2</v>
      </c>
    </row>
    <row r="113" spans="1:3" x14ac:dyDescent="0.25">
      <c r="A113" t="s">
        <v>328</v>
      </c>
      <c r="B113">
        <f t="shared" si="1"/>
        <v>2</v>
      </c>
      <c r="C113" s="37">
        <v>2</v>
      </c>
    </row>
    <row r="114" spans="1:3" x14ac:dyDescent="0.25">
      <c r="A114" t="s">
        <v>329</v>
      </c>
      <c r="B114">
        <f t="shared" si="1"/>
        <v>2</v>
      </c>
      <c r="C114" s="37">
        <v>2</v>
      </c>
    </row>
    <row r="115" spans="1:3" x14ac:dyDescent="0.25">
      <c r="A115" t="s">
        <v>330</v>
      </c>
      <c r="B115">
        <f t="shared" si="1"/>
        <v>2</v>
      </c>
      <c r="C115" s="37">
        <v>2</v>
      </c>
    </row>
    <row r="116" spans="1:3" x14ac:dyDescent="0.25">
      <c r="A116" t="s">
        <v>331</v>
      </c>
      <c r="B116">
        <f t="shared" si="1"/>
        <v>2</v>
      </c>
      <c r="C116" s="37">
        <v>2</v>
      </c>
    </row>
    <row r="117" spans="1:3" x14ac:dyDescent="0.25">
      <c r="A117" t="s">
        <v>332</v>
      </c>
      <c r="B117">
        <f t="shared" si="1"/>
        <v>2</v>
      </c>
      <c r="C117" s="37">
        <v>2</v>
      </c>
    </row>
    <row r="118" spans="1:3" x14ac:dyDescent="0.25">
      <c r="A118" t="s">
        <v>333</v>
      </c>
      <c r="B118">
        <f t="shared" si="1"/>
        <v>2</v>
      </c>
      <c r="C118" s="37">
        <v>2</v>
      </c>
    </row>
    <row r="119" spans="1:3" x14ac:dyDescent="0.25">
      <c r="A119" t="s">
        <v>334</v>
      </c>
      <c r="B119">
        <f t="shared" si="1"/>
        <v>2</v>
      </c>
      <c r="C119" s="37">
        <v>2</v>
      </c>
    </row>
    <row r="120" spans="1:3" x14ac:dyDescent="0.25">
      <c r="A120" t="s">
        <v>335</v>
      </c>
      <c r="B120">
        <f t="shared" si="1"/>
        <v>2</v>
      </c>
      <c r="C120" s="37">
        <v>2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69"/>
  <sheetViews>
    <sheetView topLeftCell="A152" zoomScaleNormal="100" workbookViewId="0">
      <selection activeCell="A176" sqref="A176"/>
    </sheetView>
  </sheetViews>
  <sheetFormatPr defaultRowHeight="15" x14ac:dyDescent="0.25"/>
  <cols>
    <col min="1" max="1" width="17.5703125"/>
    <col min="2" max="2" width="25.7109375" style="65"/>
    <col min="3" max="3" width="25.7109375"/>
    <col min="4" max="1025" width="8.5703125"/>
  </cols>
  <sheetData>
    <row r="1" spans="1:14" x14ac:dyDescent="0.25">
      <c r="A1" s="27" t="s">
        <v>119</v>
      </c>
      <c r="B1" s="66" t="s">
        <v>748</v>
      </c>
      <c r="N1" s="29" t="s">
        <v>216</v>
      </c>
    </row>
    <row r="2" spans="1:14" x14ac:dyDescent="0.25">
      <c r="A2" s="30" t="s">
        <v>120</v>
      </c>
      <c r="B2" s="65">
        <v>6.5683021764580702E-3</v>
      </c>
    </row>
    <row r="3" spans="1:14" x14ac:dyDescent="0.25">
      <c r="A3" s="30" t="s">
        <v>121</v>
      </c>
      <c r="B3" s="65">
        <v>6.5683021764580702E-3</v>
      </c>
    </row>
    <row r="4" spans="1:14" x14ac:dyDescent="0.25">
      <c r="A4" s="30" t="s">
        <v>122</v>
      </c>
      <c r="B4" s="65">
        <v>4.9262266323435496E-3</v>
      </c>
    </row>
    <row r="5" spans="1:14" x14ac:dyDescent="0.25">
      <c r="A5" s="30" t="s">
        <v>123</v>
      </c>
      <c r="B5" s="65">
        <v>6.5683021764580702E-3</v>
      </c>
    </row>
    <row r="6" spans="1:14" x14ac:dyDescent="0.25">
      <c r="A6" s="30" t="s">
        <v>124</v>
      </c>
      <c r="B6" s="65">
        <v>6.5683021764580702E-3</v>
      </c>
    </row>
    <row r="7" spans="1:14" x14ac:dyDescent="0.25">
      <c r="A7" s="30" t="s">
        <v>125</v>
      </c>
      <c r="B7" s="65">
        <v>6.5683021764580702E-3</v>
      </c>
    </row>
    <row r="8" spans="1:14" x14ac:dyDescent="0.25">
      <c r="A8" s="30" t="s">
        <v>126</v>
      </c>
      <c r="B8" s="65">
        <v>6.5683021764580702E-3</v>
      </c>
    </row>
    <row r="9" spans="1:14" x14ac:dyDescent="0.25">
      <c r="A9" s="30" t="s">
        <v>127</v>
      </c>
      <c r="B9" s="65">
        <v>6.5683021764580702E-3</v>
      </c>
    </row>
    <row r="10" spans="1:14" x14ac:dyDescent="0.25">
      <c r="A10" s="30" t="s">
        <v>128</v>
      </c>
      <c r="B10" s="65">
        <v>4.9262266323435496E-3</v>
      </c>
    </row>
    <row r="11" spans="1:14" x14ac:dyDescent="0.25">
      <c r="A11" s="30" t="s">
        <v>129</v>
      </c>
      <c r="B11" s="65">
        <v>6.5683021764580702E-3</v>
      </c>
    </row>
    <row r="12" spans="1:14" x14ac:dyDescent="0.25">
      <c r="A12" s="30" t="s">
        <v>130</v>
      </c>
      <c r="B12" s="65">
        <v>1.12599465882138E-2</v>
      </c>
    </row>
    <row r="13" spans="1:14" x14ac:dyDescent="0.25">
      <c r="A13" s="30" t="s">
        <v>131</v>
      </c>
      <c r="B13" s="65">
        <v>1.12599465882138E-2</v>
      </c>
    </row>
    <row r="14" spans="1:14" x14ac:dyDescent="0.25">
      <c r="A14" s="30" t="s">
        <v>132</v>
      </c>
      <c r="B14" s="65">
        <v>1.27471093451477E-2</v>
      </c>
    </row>
    <row r="15" spans="1:14" x14ac:dyDescent="0.25">
      <c r="A15" s="30" t="s">
        <v>133</v>
      </c>
      <c r="B15" s="65">
        <v>1.0227017791293201E-2</v>
      </c>
    </row>
    <row r="16" spans="1:14" x14ac:dyDescent="0.25">
      <c r="A16" s="30" t="s">
        <v>134</v>
      </c>
      <c r="B16" s="65">
        <v>7.3755108656422498E-3</v>
      </c>
    </row>
    <row r="17" spans="1:2" x14ac:dyDescent="0.25">
      <c r="A17" s="30" t="s">
        <v>135</v>
      </c>
      <c r="B17" s="65">
        <v>6.9793057364961704E-3</v>
      </c>
    </row>
    <row r="18" spans="1:2" x14ac:dyDescent="0.25">
      <c r="A18" s="30" t="s">
        <v>136</v>
      </c>
      <c r="B18" s="65">
        <v>9.0079572705710608E-3</v>
      </c>
    </row>
    <row r="19" spans="1:2" x14ac:dyDescent="0.25">
      <c r="A19" s="30" t="s">
        <v>137</v>
      </c>
      <c r="B19" s="65">
        <v>8.1890520641555095E-3</v>
      </c>
    </row>
    <row r="20" spans="1:2" x14ac:dyDescent="0.25">
      <c r="A20" s="30" t="s">
        <v>138</v>
      </c>
      <c r="B20" s="65">
        <v>1.12599465882138E-2</v>
      </c>
    </row>
    <row r="21" spans="1:2" x14ac:dyDescent="0.25">
      <c r="A21" s="30" t="s">
        <v>139</v>
      </c>
      <c r="B21" s="65">
        <v>1.12599465882138E-2</v>
      </c>
    </row>
    <row r="22" spans="1:2" x14ac:dyDescent="0.25">
      <c r="A22" s="30" t="s">
        <v>140</v>
      </c>
      <c r="B22" s="65">
        <v>1.12599465882138E-2</v>
      </c>
    </row>
    <row r="23" spans="1:2" x14ac:dyDescent="0.25">
      <c r="A23" s="30" t="s">
        <v>141</v>
      </c>
      <c r="B23" s="65">
        <v>1.12599465882138E-2</v>
      </c>
    </row>
    <row r="24" spans="1:2" x14ac:dyDescent="0.25">
      <c r="A24" s="30" t="s">
        <v>142</v>
      </c>
      <c r="B24" s="65">
        <v>9.3832888235115194E-3</v>
      </c>
    </row>
    <row r="25" spans="1:2" x14ac:dyDescent="0.25">
      <c r="A25" s="30" t="s">
        <v>143</v>
      </c>
      <c r="B25" s="65">
        <v>1.12599465882138E-2</v>
      </c>
    </row>
    <row r="26" spans="1:2" x14ac:dyDescent="0.25">
      <c r="A26" s="30" t="s">
        <v>144</v>
      </c>
      <c r="B26" s="65">
        <v>1.12599465882138E-2</v>
      </c>
    </row>
    <row r="27" spans="1:2" x14ac:dyDescent="0.25">
      <c r="A27" s="30" t="s">
        <v>145</v>
      </c>
      <c r="B27" s="65">
        <v>1.12599465882138E-2</v>
      </c>
    </row>
    <row r="28" spans="1:2" x14ac:dyDescent="0.25">
      <c r="A28" s="30" t="s">
        <v>146</v>
      </c>
      <c r="B28" s="65">
        <v>9.1917931332357802E-3</v>
      </c>
    </row>
    <row r="29" spans="1:2" x14ac:dyDescent="0.25">
      <c r="A29" s="30" t="s">
        <v>147</v>
      </c>
      <c r="B29" s="65">
        <v>1.12599465882138E-2</v>
      </c>
    </row>
    <row r="30" spans="1:2" x14ac:dyDescent="0.25">
      <c r="A30" s="30" t="s">
        <v>148</v>
      </c>
      <c r="B30" s="65">
        <v>1.12599465882138E-2</v>
      </c>
    </row>
    <row r="31" spans="1:2" x14ac:dyDescent="0.25">
      <c r="A31" s="30" t="s">
        <v>149</v>
      </c>
      <c r="B31" s="65">
        <v>1.12599465882138E-2</v>
      </c>
    </row>
    <row r="32" spans="1:2" x14ac:dyDescent="0.25">
      <c r="A32" s="30" t="s">
        <v>150</v>
      </c>
      <c r="B32" s="65">
        <v>1.12599465882138E-2</v>
      </c>
    </row>
    <row r="33" spans="1:2" x14ac:dyDescent="0.25">
      <c r="A33" s="30" t="s">
        <v>151</v>
      </c>
      <c r="B33" s="65">
        <v>1.12599465882138E-2</v>
      </c>
    </row>
    <row r="34" spans="1:2" x14ac:dyDescent="0.25">
      <c r="A34" s="30" t="s">
        <v>152</v>
      </c>
      <c r="B34" s="65">
        <v>1.12599465882138E-2</v>
      </c>
    </row>
    <row r="35" spans="1:2" x14ac:dyDescent="0.25">
      <c r="A35" s="30" t="s">
        <v>153</v>
      </c>
      <c r="B35" s="65">
        <v>1.12599465882138E-2</v>
      </c>
    </row>
    <row r="36" spans="1:2" x14ac:dyDescent="0.25">
      <c r="A36" s="30" t="s">
        <v>154</v>
      </c>
      <c r="B36" s="65">
        <v>1.3511935905856601E-2</v>
      </c>
    </row>
    <row r="37" spans="1:2" x14ac:dyDescent="0.25">
      <c r="A37" s="30" t="s">
        <v>155</v>
      </c>
      <c r="B37" s="65">
        <v>1.12599465882138E-2</v>
      </c>
    </row>
    <row r="38" spans="1:2" x14ac:dyDescent="0.25">
      <c r="A38" s="30" t="s">
        <v>156</v>
      </c>
      <c r="B38" s="65">
        <v>1.12599465882138E-2</v>
      </c>
    </row>
    <row r="39" spans="1:2" x14ac:dyDescent="0.25">
      <c r="A39" s="30" t="s">
        <v>157</v>
      </c>
      <c r="B39" s="65">
        <v>1.12599465882138E-2</v>
      </c>
    </row>
    <row r="40" spans="1:2" x14ac:dyDescent="0.25">
      <c r="A40" s="30" t="s">
        <v>158</v>
      </c>
      <c r="B40" s="65">
        <v>1.12599465882138E-2</v>
      </c>
    </row>
    <row r="41" spans="1:2" x14ac:dyDescent="0.25">
      <c r="A41" s="30" t="s">
        <v>159</v>
      </c>
      <c r="B41" s="65">
        <v>9.0079572705710608E-3</v>
      </c>
    </row>
    <row r="42" spans="1:2" x14ac:dyDescent="0.25">
      <c r="A42" s="30" t="s">
        <v>160</v>
      </c>
      <c r="B42" s="65">
        <v>1.12599465882138E-2</v>
      </c>
    </row>
    <row r="43" spans="1:2" x14ac:dyDescent="0.25">
      <c r="A43" s="30" t="s">
        <v>161</v>
      </c>
      <c r="B43" s="65">
        <v>1.12599465882138E-2</v>
      </c>
    </row>
    <row r="44" spans="1:2" x14ac:dyDescent="0.25">
      <c r="A44" s="30" t="s">
        <v>162</v>
      </c>
      <c r="B44" s="65">
        <v>1.12599465882138E-2</v>
      </c>
    </row>
    <row r="45" spans="1:2" x14ac:dyDescent="0.25">
      <c r="A45" s="30" t="s">
        <v>163</v>
      </c>
      <c r="B45" s="65">
        <v>2.2519893176427701E-2</v>
      </c>
    </row>
    <row r="46" spans="1:2" x14ac:dyDescent="0.25">
      <c r="A46" s="30" t="s">
        <v>164</v>
      </c>
      <c r="B46" s="65">
        <v>1.12599465882138E-2</v>
      </c>
    </row>
    <row r="47" spans="1:2" x14ac:dyDescent="0.25">
      <c r="A47" s="30" t="s">
        <v>165</v>
      </c>
      <c r="B47" s="65">
        <v>8.4449599411603703E-3</v>
      </c>
    </row>
    <row r="48" spans="1:2" x14ac:dyDescent="0.25">
      <c r="A48" s="30" t="s">
        <v>166</v>
      </c>
      <c r="B48" s="65">
        <v>1.12599465882138E-2</v>
      </c>
    </row>
    <row r="49" spans="1:2" x14ac:dyDescent="0.25">
      <c r="A49" s="30" t="s">
        <v>167</v>
      </c>
      <c r="B49" s="65">
        <v>7.7274143252447801E-3</v>
      </c>
    </row>
    <row r="50" spans="1:2" x14ac:dyDescent="0.25">
      <c r="A50" s="30" t="s">
        <v>168</v>
      </c>
      <c r="B50" s="65">
        <v>1.0262972150715701E-2</v>
      </c>
    </row>
    <row r="51" spans="1:2" x14ac:dyDescent="0.25">
      <c r="A51" s="30" t="s">
        <v>169</v>
      </c>
      <c r="B51" s="65">
        <v>8.95677569517009E-3</v>
      </c>
    </row>
    <row r="52" spans="1:2" x14ac:dyDescent="0.25">
      <c r="A52" s="30" t="s">
        <v>170</v>
      </c>
      <c r="B52" s="65">
        <v>7.33069439336838E-3</v>
      </c>
    </row>
    <row r="53" spans="1:2" x14ac:dyDescent="0.25">
      <c r="A53" s="30" t="s">
        <v>171</v>
      </c>
      <c r="B53" s="65">
        <v>7.3967366852005197E-3</v>
      </c>
    </row>
    <row r="54" spans="1:2" x14ac:dyDescent="0.25">
      <c r="A54" s="30" t="s">
        <v>172</v>
      </c>
      <c r="B54" s="65">
        <v>7.6494202365583099E-3</v>
      </c>
    </row>
    <row r="55" spans="1:2" x14ac:dyDescent="0.25">
      <c r="A55" s="30" t="s">
        <v>173</v>
      </c>
      <c r="B55" s="65">
        <v>7.6494202365583099E-3</v>
      </c>
    </row>
    <row r="56" spans="1:2" x14ac:dyDescent="0.25">
      <c r="A56" s="30" t="s">
        <v>174</v>
      </c>
      <c r="B56" s="65">
        <v>7.8819626117496797E-3</v>
      </c>
    </row>
    <row r="57" spans="1:2" x14ac:dyDescent="0.25">
      <c r="A57" s="30" t="s">
        <v>175</v>
      </c>
      <c r="B57" s="65">
        <v>1.13682153054082E-2</v>
      </c>
    </row>
    <row r="58" spans="1:2" x14ac:dyDescent="0.25">
      <c r="A58" s="30" t="s">
        <v>176</v>
      </c>
      <c r="B58" s="65">
        <v>9.9519729946334397E-3</v>
      </c>
    </row>
    <row r="59" spans="1:2" x14ac:dyDescent="0.25">
      <c r="A59" s="30" t="s">
        <v>177</v>
      </c>
      <c r="B59" s="65">
        <v>9.3788227174555899E-3</v>
      </c>
    </row>
    <row r="60" spans="1:2" x14ac:dyDescent="0.25">
      <c r="A60" s="30" t="s">
        <v>178</v>
      </c>
      <c r="B60" s="65">
        <v>7.5066310588092202E-3</v>
      </c>
    </row>
    <row r="61" spans="1:2" x14ac:dyDescent="0.25">
      <c r="A61" s="30" t="s">
        <v>179</v>
      </c>
      <c r="B61" s="65">
        <v>9.0945722443265594E-3</v>
      </c>
    </row>
    <row r="62" spans="1:2" x14ac:dyDescent="0.25">
      <c r="A62" s="30" t="s">
        <v>180</v>
      </c>
      <c r="B62" s="65">
        <v>9.0945722443265594E-3</v>
      </c>
    </row>
    <row r="63" spans="1:2" x14ac:dyDescent="0.25">
      <c r="A63" s="30" t="s">
        <v>181</v>
      </c>
      <c r="B63" s="65">
        <v>9.0945722443265594E-3</v>
      </c>
    </row>
    <row r="64" spans="1:2" x14ac:dyDescent="0.25">
      <c r="A64" s="30" t="s">
        <v>182</v>
      </c>
      <c r="B64" s="65">
        <v>1.0662828208535801E-2</v>
      </c>
    </row>
    <row r="65" spans="1:2" x14ac:dyDescent="0.25">
      <c r="A65" s="30" t="s">
        <v>183</v>
      </c>
      <c r="B65" s="65">
        <v>1.07481308342041E-2</v>
      </c>
    </row>
    <row r="66" spans="1:2" x14ac:dyDescent="0.25">
      <c r="A66" s="30" t="s">
        <v>184</v>
      </c>
      <c r="B66" s="65">
        <v>1.07481308342041E-2</v>
      </c>
    </row>
    <row r="67" spans="1:2" x14ac:dyDescent="0.25">
      <c r="A67" s="30" t="s">
        <v>185</v>
      </c>
      <c r="B67" s="65">
        <v>9.0251480287210101E-3</v>
      </c>
    </row>
    <row r="68" spans="1:2" x14ac:dyDescent="0.25">
      <c r="A68" s="30" t="s">
        <v>186</v>
      </c>
      <c r="B68" s="65">
        <v>9.0251480287210101E-3</v>
      </c>
    </row>
    <row r="69" spans="1:2" x14ac:dyDescent="0.25">
      <c r="A69" s="30" t="s">
        <v>187</v>
      </c>
      <c r="B69" s="65">
        <v>8.95677569517009E-3</v>
      </c>
    </row>
    <row r="70" spans="1:2" x14ac:dyDescent="0.25">
      <c r="A70" s="30" t="s">
        <v>188</v>
      </c>
      <c r="B70" s="65">
        <v>1.11537206770043E-2</v>
      </c>
    </row>
    <row r="71" spans="1:2" x14ac:dyDescent="0.25">
      <c r="A71" s="30" t="s">
        <v>189</v>
      </c>
      <c r="B71" s="65">
        <v>1.07481308342041E-2</v>
      </c>
    </row>
    <row r="72" spans="1:2" x14ac:dyDescent="0.25">
      <c r="A72" s="30" t="s">
        <v>190</v>
      </c>
      <c r="B72" s="65">
        <v>1.07481308342041E-2</v>
      </c>
    </row>
    <row r="73" spans="1:2" x14ac:dyDescent="0.25">
      <c r="A73" s="30" t="s">
        <v>191</v>
      </c>
      <c r="B73" s="65">
        <v>1.07481308342041E-2</v>
      </c>
    </row>
    <row r="74" spans="1:2" x14ac:dyDescent="0.25">
      <c r="A74" s="30" t="s">
        <v>192</v>
      </c>
      <c r="B74" s="65">
        <v>1.07481308342041E-2</v>
      </c>
    </row>
    <row r="75" spans="1:2" x14ac:dyDescent="0.25">
      <c r="A75" s="30" t="s">
        <v>193</v>
      </c>
      <c r="B75" s="65">
        <v>1.07481308342041E-2</v>
      </c>
    </row>
    <row r="76" spans="1:2" x14ac:dyDescent="0.25">
      <c r="A76" s="30" t="s">
        <v>194</v>
      </c>
      <c r="B76" s="65">
        <v>1.07481308342041E-2</v>
      </c>
    </row>
    <row r="77" spans="1:2" x14ac:dyDescent="0.25">
      <c r="A77" s="30" t="s">
        <v>195</v>
      </c>
      <c r="B77" s="65">
        <v>1.07481308342041E-2</v>
      </c>
    </row>
    <row r="78" spans="1:2" x14ac:dyDescent="0.25">
      <c r="A78" s="30" t="s">
        <v>196</v>
      </c>
      <c r="B78" s="65">
        <v>1.07481308342041E-2</v>
      </c>
    </row>
    <row r="79" spans="1:2" x14ac:dyDescent="0.25">
      <c r="A79" s="30" t="s">
        <v>197</v>
      </c>
      <c r="B79" s="65">
        <v>8.5364216011729402E-3</v>
      </c>
    </row>
    <row r="80" spans="1:2" x14ac:dyDescent="0.25">
      <c r="A80" s="30" t="s">
        <v>198</v>
      </c>
      <c r="B80" s="65">
        <v>7.10086721779251E-3</v>
      </c>
    </row>
    <row r="81" spans="1:2" x14ac:dyDescent="0.25">
      <c r="A81" s="30" t="s">
        <v>199</v>
      </c>
      <c r="B81" s="65">
        <v>1.12599465882138E-2</v>
      </c>
    </row>
    <row r="82" spans="1:2" x14ac:dyDescent="0.25">
      <c r="A82" s="30" t="s">
        <v>200</v>
      </c>
      <c r="B82" s="65">
        <v>1.12599465882138E-2</v>
      </c>
    </row>
    <row r="83" spans="1:2" x14ac:dyDescent="0.25">
      <c r="A83" s="30" t="s">
        <v>201</v>
      </c>
      <c r="B83" s="65">
        <v>1.12599465882138E-2</v>
      </c>
    </row>
    <row r="84" spans="1:2" x14ac:dyDescent="0.25">
      <c r="A84" s="30" t="s">
        <v>202</v>
      </c>
      <c r="B84" s="65">
        <v>1.0236315080194401E-2</v>
      </c>
    </row>
    <row r="85" spans="1:2" x14ac:dyDescent="0.25">
      <c r="A85" s="30" t="s">
        <v>203</v>
      </c>
      <c r="B85" s="65">
        <v>1.12599465882138E-2</v>
      </c>
    </row>
    <row r="86" spans="1:2" x14ac:dyDescent="0.25">
      <c r="A86" s="30" t="s">
        <v>204</v>
      </c>
      <c r="B86" s="65">
        <v>1.2868510386530099E-2</v>
      </c>
    </row>
    <row r="87" spans="1:2" x14ac:dyDescent="0.25">
      <c r="A87" s="30" t="s">
        <v>205</v>
      </c>
      <c r="B87" s="65">
        <v>7.5024630237959999E-3</v>
      </c>
    </row>
    <row r="88" spans="1:2" x14ac:dyDescent="0.25">
      <c r="A88" s="30" t="s">
        <v>206</v>
      </c>
      <c r="B88" s="65">
        <v>8.1890520641555095E-3</v>
      </c>
    </row>
    <row r="89" spans="1:2" x14ac:dyDescent="0.25">
      <c r="A89" s="30" t="s">
        <v>207</v>
      </c>
      <c r="B89" s="65">
        <v>7.9481975916803494E-3</v>
      </c>
    </row>
    <row r="90" spans="1:2" x14ac:dyDescent="0.25">
      <c r="A90" s="30" t="s">
        <v>208</v>
      </c>
      <c r="B90" s="65">
        <v>1.1250571112286899E-2</v>
      </c>
    </row>
    <row r="91" spans="1:2" x14ac:dyDescent="0.25">
      <c r="A91" s="30" t="s">
        <v>209</v>
      </c>
      <c r="B91" s="65">
        <v>1.1250571112286899E-2</v>
      </c>
    </row>
    <row r="92" spans="1:2" x14ac:dyDescent="0.25">
      <c r="A92" s="30" t="s">
        <v>210</v>
      </c>
      <c r="B92" s="65">
        <v>9.0019559665933304E-3</v>
      </c>
    </row>
    <row r="93" spans="1:2" x14ac:dyDescent="0.25">
      <c r="A93" s="30" t="s">
        <v>211</v>
      </c>
      <c r="B93" s="65">
        <v>9.0019559665933304E-3</v>
      </c>
    </row>
    <row r="94" spans="1:2" x14ac:dyDescent="0.25">
      <c r="A94" s="30" t="s">
        <v>212</v>
      </c>
      <c r="B94" s="65">
        <v>9.0079572705710608E-3</v>
      </c>
    </row>
    <row r="95" spans="1:2" x14ac:dyDescent="0.25">
      <c r="A95" s="30" t="s">
        <v>213</v>
      </c>
      <c r="B95" s="65">
        <v>1.42081344961689E-2</v>
      </c>
    </row>
    <row r="96" spans="1:2" x14ac:dyDescent="0.25">
      <c r="A96" s="30" t="s">
        <v>214</v>
      </c>
      <c r="B96" s="65">
        <v>1.0236315080194401E-2</v>
      </c>
    </row>
    <row r="97" spans="1:2" x14ac:dyDescent="0.25">
      <c r="A97" s="30" t="s">
        <v>215</v>
      </c>
      <c r="B97" s="65">
        <v>1.18525753560146E-2</v>
      </c>
    </row>
    <row r="98" spans="1:2" x14ac:dyDescent="0.25">
      <c r="A98" s="30"/>
    </row>
    <row r="99" spans="1:2" x14ac:dyDescent="0.25">
      <c r="A99" s="30"/>
    </row>
    <row r="100" spans="1:2" x14ac:dyDescent="0.25">
      <c r="A100" s="30"/>
    </row>
    <row r="101" spans="1:2" x14ac:dyDescent="0.25">
      <c r="A101" s="30"/>
    </row>
    <row r="102" spans="1:2" x14ac:dyDescent="0.25">
      <c r="A102" s="30"/>
    </row>
    <row r="103" spans="1:2" x14ac:dyDescent="0.25">
      <c r="A103" s="30"/>
    </row>
    <row r="104" spans="1:2" x14ac:dyDescent="0.25">
      <c r="A104" s="30"/>
    </row>
    <row r="105" spans="1:2" x14ac:dyDescent="0.25">
      <c r="A105" s="30"/>
    </row>
    <row r="106" spans="1:2" x14ac:dyDescent="0.25">
      <c r="A106" s="30"/>
    </row>
    <row r="107" spans="1:2" x14ac:dyDescent="0.25">
      <c r="A107" s="30"/>
    </row>
    <row r="108" spans="1:2" x14ac:dyDescent="0.25">
      <c r="A108" s="30"/>
    </row>
    <row r="109" spans="1:2" x14ac:dyDescent="0.25">
      <c r="A109" s="30"/>
    </row>
    <row r="110" spans="1:2" x14ac:dyDescent="0.25">
      <c r="A110" s="30"/>
    </row>
    <row r="111" spans="1:2" x14ac:dyDescent="0.25">
      <c r="A111" s="30"/>
    </row>
    <row r="112" spans="1:2" x14ac:dyDescent="0.25">
      <c r="A112" s="30"/>
    </row>
    <row r="113" spans="1:1" x14ac:dyDescent="0.25">
      <c r="A113" s="30"/>
    </row>
    <row r="114" spans="1:1" x14ac:dyDescent="0.25">
      <c r="A114" s="30"/>
    </row>
    <row r="115" spans="1:1" x14ac:dyDescent="0.25">
      <c r="A115" s="30"/>
    </row>
    <row r="116" spans="1:1" x14ac:dyDescent="0.25">
      <c r="A116" s="30"/>
    </row>
    <row r="117" spans="1:1" x14ac:dyDescent="0.25">
      <c r="A117" s="30"/>
    </row>
    <row r="118" spans="1:1" x14ac:dyDescent="0.25">
      <c r="A118" s="30"/>
    </row>
    <row r="119" spans="1:1" x14ac:dyDescent="0.25">
      <c r="A119" s="30"/>
    </row>
    <row r="120" spans="1:1" x14ac:dyDescent="0.25">
      <c r="A120" s="30"/>
    </row>
    <row r="121" spans="1:1" x14ac:dyDescent="0.25">
      <c r="A121" s="30"/>
    </row>
    <row r="122" spans="1:1" x14ac:dyDescent="0.25">
      <c r="A122" s="30"/>
    </row>
    <row r="123" spans="1:1" x14ac:dyDescent="0.25">
      <c r="A123" s="30"/>
    </row>
    <row r="124" spans="1:1" x14ac:dyDescent="0.25">
      <c r="A124" s="30"/>
    </row>
    <row r="125" spans="1:1" x14ac:dyDescent="0.25">
      <c r="A125" s="30"/>
    </row>
    <row r="126" spans="1:1" x14ac:dyDescent="0.25">
      <c r="A126" s="30"/>
    </row>
    <row r="127" spans="1:1" x14ac:dyDescent="0.25">
      <c r="A127" s="30"/>
    </row>
    <row r="128" spans="1:1" x14ac:dyDescent="0.25">
      <c r="A128" s="30"/>
    </row>
    <row r="129" spans="1:1" x14ac:dyDescent="0.25">
      <c r="A129" s="30"/>
    </row>
    <row r="130" spans="1:1" x14ac:dyDescent="0.25">
      <c r="A130" s="30"/>
    </row>
    <row r="131" spans="1:1" x14ac:dyDescent="0.25">
      <c r="A131" s="30"/>
    </row>
    <row r="132" spans="1:1" x14ac:dyDescent="0.25">
      <c r="A132" s="30"/>
    </row>
    <row r="133" spans="1:1" x14ac:dyDescent="0.25">
      <c r="A133" s="30"/>
    </row>
    <row r="134" spans="1:1" x14ac:dyDescent="0.25">
      <c r="A134" s="30"/>
    </row>
    <row r="135" spans="1:1" x14ac:dyDescent="0.25">
      <c r="A135" s="30"/>
    </row>
    <row r="136" spans="1:1" x14ac:dyDescent="0.25">
      <c r="A136" s="30"/>
    </row>
    <row r="137" spans="1:1" x14ac:dyDescent="0.25">
      <c r="A137" s="30"/>
    </row>
    <row r="138" spans="1:1" x14ac:dyDescent="0.25">
      <c r="A138" s="30"/>
    </row>
    <row r="139" spans="1:1" x14ac:dyDescent="0.25">
      <c r="A139" s="30"/>
    </row>
    <row r="140" spans="1:1" x14ac:dyDescent="0.25">
      <c r="A140" s="30"/>
    </row>
    <row r="141" spans="1:1" x14ac:dyDescent="0.25">
      <c r="A141" s="30"/>
    </row>
    <row r="142" spans="1:1" x14ac:dyDescent="0.25">
      <c r="A142" s="30"/>
    </row>
    <row r="143" spans="1:1" x14ac:dyDescent="0.25">
      <c r="A143" s="30"/>
    </row>
    <row r="144" spans="1:1" x14ac:dyDescent="0.25">
      <c r="A144" s="30"/>
    </row>
    <row r="145" spans="1:1" x14ac:dyDescent="0.25">
      <c r="A145" s="30"/>
    </row>
    <row r="146" spans="1:1" x14ac:dyDescent="0.25">
      <c r="A146" s="30"/>
    </row>
    <row r="147" spans="1:1" x14ac:dyDescent="0.25">
      <c r="A147" s="30"/>
    </row>
    <row r="148" spans="1:1" x14ac:dyDescent="0.25">
      <c r="A148" s="30"/>
    </row>
    <row r="149" spans="1:1" x14ac:dyDescent="0.25">
      <c r="A149" s="30"/>
    </row>
    <row r="150" spans="1:1" x14ac:dyDescent="0.25">
      <c r="A150" s="30"/>
    </row>
    <row r="151" spans="1:1" x14ac:dyDescent="0.25">
      <c r="A151" s="30"/>
    </row>
    <row r="152" spans="1:1" x14ac:dyDescent="0.25">
      <c r="A152" s="30"/>
    </row>
    <row r="153" spans="1:1" x14ac:dyDescent="0.25">
      <c r="A153" s="30"/>
    </row>
    <row r="154" spans="1:1" x14ac:dyDescent="0.25">
      <c r="A154" s="30"/>
    </row>
    <row r="155" spans="1:1" x14ac:dyDescent="0.25">
      <c r="A155" s="30"/>
    </row>
    <row r="156" spans="1:1" x14ac:dyDescent="0.25">
      <c r="A156" s="30"/>
    </row>
    <row r="157" spans="1:1" x14ac:dyDescent="0.25">
      <c r="A157" s="30"/>
    </row>
    <row r="158" spans="1:1" x14ac:dyDescent="0.25">
      <c r="A158" s="30"/>
    </row>
    <row r="159" spans="1:1" x14ac:dyDescent="0.25">
      <c r="A159" s="30"/>
    </row>
    <row r="160" spans="1:1" x14ac:dyDescent="0.25">
      <c r="A160" s="30"/>
    </row>
    <row r="161" spans="1:1" x14ac:dyDescent="0.25">
      <c r="A161" s="30"/>
    </row>
    <row r="162" spans="1:1" x14ac:dyDescent="0.25">
      <c r="A162" s="30"/>
    </row>
    <row r="163" spans="1:1" x14ac:dyDescent="0.25">
      <c r="A163" s="30"/>
    </row>
    <row r="164" spans="1:1" x14ac:dyDescent="0.25">
      <c r="A164" s="30"/>
    </row>
    <row r="165" spans="1:1" x14ac:dyDescent="0.25">
      <c r="A165" s="30"/>
    </row>
    <row r="166" spans="1:1" x14ac:dyDescent="0.25">
      <c r="A166" s="30"/>
    </row>
    <row r="167" spans="1:1" x14ac:dyDescent="0.25">
      <c r="A167" s="30"/>
    </row>
    <row r="168" spans="1:1" x14ac:dyDescent="0.25">
      <c r="A168" s="30"/>
    </row>
    <row r="169" spans="1:1" x14ac:dyDescent="0.25">
      <c r="A169" s="30"/>
    </row>
  </sheetData>
  <autoFilter ref="A1:N169"/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O120"/>
  <sheetViews>
    <sheetView zoomScaleNormal="100" workbookViewId="0">
      <selection activeCell="B1" activeCellId="1" sqref="B2:B120 B1"/>
    </sheetView>
  </sheetViews>
  <sheetFormatPr defaultRowHeight="15" x14ac:dyDescent="0.25"/>
  <cols>
    <col min="1" max="1" width="17.28515625"/>
    <col min="2" max="3" width="26.42578125"/>
    <col min="4" max="1025" width="8.5703125"/>
  </cols>
  <sheetData>
    <row r="1" spans="1:15" x14ac:dyDescent="0.25">
      <c r="A1" s="27" t="s">
        <v>119</v>
      </c>
      <c r="B1" s="27" t="s">
        <v>749</v>
      </c>
      <c r="O1" s="29" t="s">
        <v>216</v>
      </c>
    </row>
    <row r="2" spans="1:15" x14ac:dyDescent="0.25">
      <c r="A2" s="32" t="s">
        <v>217</v>
      </c>
      <c r="B2" s="65">
        <v>6.5683021764580702E-3</v>
      </c>
    </row>
    <row r="3" spans="1:15" x14ac:dyDescent="0.25">
      <c r="A3" s="32" t="s">
        <v>218</v>
      </c>
      <c r="B3" s="65">
        <v>6.4395119377039902E-3</v>
      </c>
    </row>
    <row r="4" spans="1:15" x14ac:dyDescent="0.25">
      <c r="A4" s="32" t="s">
        <v>219</v>
      </c>
      <c r="B4" s="65">
        <v>5.2546417411664503E-3</v>
      </c>
    </row>
    <row r="5" spans="1:15" x14ac:dyDescent="0.25">
      <c r="A5" s="32" t="s">
        <v>220</v>
      </c>
      <c r="B5" s="65">
        <v>6.5683021764580702E-3</v>
      </c>
    </row>
    <row r="6" spans="1:15" x14ac:dyDescent="0.25">
      <c r="A6" s="32" t="s">
        <v>221</v>
      </c>
      <c r="B6" s="65">
        <v>6.5683021764580702E-3</v>
      </c>
    </row>
    <row r="7" spans="1:15" x14ac:dyDescent="0.25">
      <c r="A7" s="32" t="s">
        <v>222</v>
      </c>
      <c r="B7" s="65">
        <v>6.5683021764580702E-3</v>
      </c>
    </row>
    <row r="8" spans="1:15" x14ac:dyDescent="0.25">
      <c r="A8" s="32" t="s">
        <v>223</v>
      </c>
      <c r="B8" s="65">
        <v>6.5683021764580702E-3</v>
      </c>
    </row>
    <row r="9" spans="1:15" x14ac:dyDescent="0.25">
      <c r="A9" t="s">
        <v>224</v>
      </c>
      <c r="B9" s="65">
        <v>6.5683021764580702E-3</v>
      </c>
    </row>
    <row r="10" spans="1:15" x14ac:dyDescent="0.25">
      <c r="A10" t="s">
        <v>225</v>
      </c>
      <c r="B10" s="65">
        <v>6.5683021764580702E-3</v>
      </c>
    </row>
    <row r="11" spans="1:15" x14ac:dyDescent="0.25">
      <c r="A11" t="s">
        <v>226</v>
      </c>
      <c r="B11" s="65">
        <v>6.5683021764580702E-3</v>
      </c>
    </row>
    <row r="12" spans="1:15" x14ac:dyDescent="0.25">
      <c r="A12" t="s">
        <v>227</v>
      </c>
      <c r="B12" s="65">
        <v>6.5683021764580702E-3</v>
      </c>
    </row>
    <row r="13" spans="1:15" x14ac:dyDescent="0.25">
      <c r="A13" t="s">
        <v>228</v>
      </c>
      <c r="B13" s="65">
        <v>6.5683021764580702E-3</v>
      </c>
    </row>
    <row r="14" spans="1:15" x14ac:dyDescent="0.25">
      <c r="A14" t="s">
        <v>229</v>
      </c>
      <c r="B14" s="65">
        <v>6.5683021764580702E-3</v>
      </c>
    </row>
    <row r="15" spans="1:15" x14ac:dyDescent="0.25">
      <c r="A15" t="s">
        <v>230</v>
      </c>
      <c r="B15" s="65">
        <v>6.4395119377039902E-3</v>
      </c>
    </row>
    <row r="16" spans="1:15" x14ac:dyDescent="0.25">
      <c r="A16" t="s">
        <v>231</v>
      </c>
      <c r="B16" s="65">
        <v>6.5683021764580702E-3</v>
      </c>
    </row>
    <row r="17" spans="1:2" x14ac:dyDescent="0.25">
      <c r="A17" t="s">
        <v>232</v>
      </c>
      <c r="B17" s="65">
        <v>6.5683021764580702E-3</v>
      </c>
    </row>
    <row r="18" spans="1:2" x14ac:dyDescent="0.25">
      <c r="A18" t="s">
        <v>233</v>
      </c>
      <c r="B18" s="65">
        <v>6.5683021764580702E-3</v>
      </c>
    </row>
    <row r="19" spans="1:2" x14ac:dyDescent="0.25">
      <c r="A19" t="s">
        <v>234</v>
      </c>
      <c r="B19" s="65">
        <v>6.5683021764580702E-3</v>
      </c>
    </row>
    <row r="20" spans="1:2" x14ac:dyDescent="0.25">
      <c r="A20" t="s">
        <v>235</v>
      </c>
      <c r="B20" s="65">
        <v>6.5683021764580702E-3</v>
      </c>
    </row>
    <row r="21" spans="1:2" x14ac:dyDescent="0.25">
      <c r="A21" t="s">
        <v>236</v>
      </c>
      <c r="B21" s="65">
        <v>6.4395119377039902E-3</v>
      </c>
    </row>
    <row r="22" spans="1:2" x14ac:dyDescent="0.25">
      <c r="A22" t="s">
        <v>237</v>
      </c>
      <c r="B22" s="65">
        <v>6.5683021764580702E-3</v>
      </c>
    </row>
    <row r="23" spans="1:2" x14ac:dyDescent="0.25">
      <c r="A23" t="s">
        <v>238</v>
      </c>
      <c r="B23" s="65">
        <v>6.5683021764580702E-3</v>
      </c>
    </row>
    <row r="24" spans="1:2" x14ac:dyDescent="0.25">
      <c r="A24" t="s">
        <v>239</v>
      </c>
      <c r="B24" s="65">
        <v>6.5683021764580702E-3</v>
      </c>
    </row>
    <row r="25" spans="1:2" x14ac:dyDescent="0.25">
      <c r="A25" t="s">
        <v>240</v>
      </c>
      <c r="B25" s="65">
        <v>1.12599465882138E-2</v>
      </c>
    </row>
    <row r="26" spans="1:2" x14ac:dyDescent="0.25">
      <c r="A26" t="s">
        <v>241</v>
      </c>
      <c r="B26" s="65">
        <v>1.12599465882138E-2</v>
      </c>
    </row>
    <row r="27" spans="1:2" x14ac:dyDescent="0.25">
      <c r="A27" t="s">
        <v>242</v>
      </c>
      <c r="B27" s="65">
        <v>1.12599465882138E-2</v>
      </c>
    </row>
    <row r="28" spans="1:2" x14ac:dyDescent="0.25">
      <c r="A28" t="s">
        <v>243</v>
      </c>
      <c r="B28" s="65">
        <v>1.12599465882138E-2</v>
      </c>
    </row>
    <row r="29" spans="1:2" x14ac:dyDescent="0.25">
      <c r="A29" t="s">
        <v>244</v>
      </c>
      <c r="B29" s="65">
        <v>1.0236315080194401E-2</v>
      </c>
    </row>
    <row r="30" spans="1:2" x14ac:dyDescent="0.25">
      <c r="A30" t="s">
        <v>245</v>
      </c>
      <c r="B30" s="65">
        <v>1.12599465882138E-2</v>
      </c>
    </row>
    <row r="31" spans="1:2" x14ac:dyDescent="0.25">
      <c r="A31" t="s">
        <v>246</v>
      </c>
      <c r="B31" s="65">
        <v>1.0227017791293201E-2</v>
      </c>
    </row>
    <row r="32" spans="1:2" x14ac:dyDescent="0.25">
      <c r="A32" t="s">
        <v>247</v>
      </c>
      <c r="B32" s="65">
        <v>6.9793057364961704E-3</v>
      </c>
    </row>
    <row r="33" spans="1:2" x14ac:dyDescent="0.25">
      <c r="A33" t="s">
        <v>248</v>
      </c>
      <c r="B33" s="65">
        <v>9.0079572705710608E-3</v>
      </c>
    </row>
    <row r="34" spans="1:2" x14ac:dyDescent="0.25">
      <c r="A34" t="s">
        <v>249</v>
      </c>
      <c r="B34" s="65">
        <v>7.3755108656422498E-3</v>
      </c>
    </row>
    <row r="35" spans="1:2" x14ac:dyDescent="0.25">
      <c r="A35" t="s">
        <v>250</v>
      </c>
      <c r="B35" s="65">
        <v>9.0079572705710608E-3</v>
      </c>
    </row>
    <row r="36" spans="1:2" x14ac:dyDescent="0.25">
      <c r="A36" t="s">
        <v>251</v>
      </c>
      <c r="B36" s="65">
        <v>8.1890520641555095E-3</v>
      </c>
    </row>
    <row r="37" spans="1:2" x14ac:dyDescent="0.25">
      <c r="A37" t="s">
        <v>252</v>
      </c>
      <c r="B37" s="65">
        <v>1.12599465882138E-2</v>
      </c>
    </row>
    <row r="38" spans="1:2" x14ac:dyDescent="0.25">
      <c r="A38" t="s">
        <v>253</v>
      </c>
      <c r="B38" s="65">
        <v>1.12599465882138E-2</v>
      </c>
    </row>
    <row r="39" spans="1:2" x14ac:dyDescent="0.25">
      <c r="A39" t="s">
        <v>254</v>
      </c>
      <c r="B39" s="65">
        <v>1.12599465882138E-2</v>
      </c>
    </row>
    <row r="40" spans="1:2" x14ac:dyDescent="0.25">
      <c r="A40" t="s">
        <v>255</v>
      </c>
      <c r="B40" s="65">
        <v>9.3832888235115194E-3</v>
      </c>
    </row>
    <row r="41" spans="1:2" x14ac:dyDescent="0.25">
      <c r="A41" t="s">
        <v>256</v>
      </c>
      <c r="B41" s="65">
        <v>9.3832888235115194E-3</v>
      </c>
    </row>
    <row r="42" spans="1:2" x14ac:dyDescent="0.25">
      <c r="A42" t="s">
        <v>257</v>
      </c>
      <c r="B42" s="65">
        <v>1.12599465882138E-2</v>
      </c>
    </row>
    <row r="43" spans="1:2" x14ac:dyDescent="0.25">
      <c r="A43" t="s">
        <v>258</v>
      </c>
      <c r="B43" s="65">
        <v>1.12599465882138E-2</v>
      </c>
    </row>
    <row r="44" spans="1:2" x14ac:dyDescent="0.25">
      <c r="A44" t="s">
        <v>259</v>
      </c>
      <c r="B44" s="65">
        <v>1.12599465882138E-2</v>
      </c>
    </row>
    <row r="45" spans="1:2" x14ac:dyDescent="0.25">
      <c r="A45" t="s">
        <v>260</v>
      </c>
      <c r="B45" s="65">
        <v>1.12599465882138E-2</v>
      </c>
    </row>
    <row r="46" spans="1:2" x14ac:dyDescent="0.25">
      <c r="A46" t="s">
        <v>261</v>
      </c>
      <c r="B46" s="65">
        <v>1.12599465882138E-2</v>
      </c>
    </row>
    <row r="47" spans="1:2" x14ac:dyDescent="0.25">
      <c r="A47" t="s">
        <v>262</v>
      </c>
      <c r="B47" s="65">
        <v>1.12599465882138E-2</v>
      </c>
    </row>
    <row r="48" spans="1:2" x14ac:dyDescent="0.25">
      <c r="A48" t="s">
        <v>263</v>
      </c>
      <c r="B48" s="65">
        <v>9.1917931332357802E-3</v>
      </c>
    </row>
    <row r="49" spans="1:2" x14ac:dyDescent="0.25">
      <c r="A49" t="s">
        <v>264</v>
      </c>
      <c r="B49" s="65">
        <v>1.12599465882138E-2</v>
      </c>
    </row>
    <row r="50" spans="1:2" x14ac:dyDescent="0.25">
      <c r="A50" t="s">
        <v>265</v>
      </c>
      <c r="B50" s="65">
        <v>1.12599465882138E-2</v>
      </c>
    </row>
    <row r="51" spans="1:2" x14ac:dyDescent="0.25">
      <c r="A51" t="s">
        <v>266</v>
      </c>
      <c r="B51" s="65">
        <v>1.12599465882138E-2</v>
      </c>
    </row>
    <row r="52" spans="1:2" x14ac:dyDescent="0.25">
      <c r="A52" t="s">
        <v>267</v>
      </c>
      <c r="B52" s="65">
        <v>1.3092961149085799E-2</v>
      </c>
    </row>
    <row r="53" spans="1:2" x14ac:dyDescent="0.25">
      <c r="A53" t="s">
        <v>268</v>
      </c>
      <c r="B53" s="65">
        <v>1.12599465882138E-2</v>
      </c>
    </row>
    <row r="54" spans="1:2" x14ac:dyDescent="0.25">
      <c r="A54" t="s">
        <v>269</v>
      </c>
      <c r="B54" s="65">
        <v>1.13736834224382E-2</v>
      </c>
    </row>
    <row r="55" spans="1:2" x14ac:dyDescent="0.25">
      <c r="A55" t="s">
        <v>270</v>
      </c>
      <c r="B55" s="65">
        <v>1.12599465882138E-2</v>
      </c>
    </row>
    <row r="56" spans="1:2" x14ac:dyDescent="0.25">
      <c r="A56" t="s">
        <v>271</v>
      </c>
      <c r="B56" s="65">
        <v>1.12599465882138E-2</v>
      </c>
    </row>
    <row r="57" spans="1:2" x14ac:dyDescent="0.25">
      <c r="A57" t="s">
        <v>272</v>
      </c>
      <c r="B57" s="65">
        <v>9.1296864228760793E-3</v>
      </c>
    </row>
    <row r="58" spans="1:2" x14ac:dyDescent="0.25">
      <c r="A58" t="s">
        <v>273</v>
      </c>
      <c r="B58" s="65">
        <v>1.3511935905856601E-2</v>
      </c>
    </row>
    <row r="59" spans="1:2" x14ac:dyDescent="0.25">
      <c r="A59" t="s">
        <v>274</v>
      </c>
      <c r="B59" s="65">
        <v>1.12599465882138E-2</v>
      </c>
    </row>
    <row r="60" spans="1:2" x14ac:dyDescent="0.25">
      <c r="A60" t="s">
        <v>275</v>
      </c>
      <c r="B60" s="65">
        <v>9.0079572705710608E-3</v>
      </c>
    </row>
    <row r="61" spans="1:2" x14ac:dyDescent="0.25">
      <c r="A61" t="s">
        <v>276</v>
      </c>
      <c r="B61" s="65">
        <v>1.12599465882138E-2</v>
      </c>
    </row>
    <row r="62" spans="1:2" x14ac:dyDescent="0.25">
      <c r="A62" t="s">
        <v>277</v>
      </c>
      <c r="B62" s="65">
        <v>1.12599465882138E-2</v>
      </c>
    </row>
    <row r="63" spans="1:2" x14ac:dyDescent="0.25">
      <c r="A63" t="s">
        <v>278</v>
      </c>
      <c r="B63" s="65">
        <v>1.12599465882138E-2</v>
      </c>
    </row>
    <row r="64" spans="1:2" x14ac:dyDescent="0.25">
      <c r="A64" t="s">
        <v>279</v>
      </c>
      <c r="B64" s="65">
        <v>1.3511935905856601E-2</v>
      </c>
    </row>
    <row r="65" spans="1:2" x14ac:dyDescent="0.25">
      <c r="A65" t="s">
        <v>280</v>
      </c>
      <c r="B65" s="65">
        <v>1.12599465882138E-2</v>
      </c>
    </row>
    <row r="66" spans="1:2" x14ac:dyDescent="0.25">
      <c r="A66" t="s">
        <v>281</v>
      </c>
      <c r="B66" s="65">
        <v>1.3511935905856601E-2</v>
      </c>
    </row>
    <row r="67" spans="1:2" x14ac:dyDescent="0.25">
      <c r="A67" t="s">
        <v>282</v>
      </c>
      <c r="B67" s="65">
        <v>1.12599465882138E-2</v>
      </c>
    </row>
    <row r="68" spans="1:2" x14ac:dyDescent="0.25">
      <c r="A68" t="s">
        <v>283</v>
      </c>
      <c r="B68" s="65">
        <v>1.12599465882138E-2</v>
      </c>
    </row>
    <row r="69" spans="1:2" x14ac:dyDescent="0.25">
      <c r="A69" t="s">
        <v>284</v>
      </c>
      <c r="B69" s="65">
        <v>1.12599465882138E-2</v>
      </c>
    </row>
    <row r="70" spans="1:2" x14ac:dyDescent="0.25">
      <c r="A70" t="s">
        <v>285</v>
      </c>
      <c r="B70" s="65">
        <v>1.3511935905856601E-2</v>
      </c>
    </row>
    <row r="71" spans="1:2" x14ac:dyDescent="0.25">
      <c r="A71" t="s">
        <v>286</v>
      </c>
      <c r="B71" s="65">
        <v>1.12599465882138E-2</v>
      </c>
    </row>
    <row r="72" spans="1:2" x14ac:dyDescent="0.25">
      <c r="A72" t="s">
        <v>287</v>
      </c>
      <c r="B72" s="65">
        <v>9.0079572705710608E-3</v>
      </c>
    </row>
    <row r="73" spans="1:2" x14ac:dyDescent="0.25">
      <c r="A73" t="s">
        <v>288</v>
      </c>
      <c r="B73" s="65">
        <v>1.12599465882138E-2</v>
      </c>
    </row>
    <row r="74" spans="1:2" x14ac:dyDescent="0.25">
      <c r="A74" t="s">
        <v>289</v>
      </c>
      <c r="B74" s="65">
        <v>1.12599465882138E-2</v>
      </c>
    </row>
    <row r="75" spans="1:2" x14ac:dyDescent="0.25">
      <c r="A75" t="s">
        <v>290</v>
      </c>
      <c r="B75" s="65">
        <v>1.39093457854406E-2</v>
      </c>
    </row>
    <row r="76" spans="1:2" x14ac:dyDescent="0.25">
      <c r="A76" t="s">
        <v>291</v>
      </c>
      <c r="B76" s="65">
        <v>9.8524532646870992E-3</v>
      </c>
    </row>
    <row r="77" spans="1:2" x14ac:dyDescent="0.25">
      <c r="A77" t="s">
        <v>292</v>
      </c>
      <c r="B77" s="65">
        <v>1.01050802714739E-2</v>
      </c>
    </row>
    <row r="78" spans="1:2" x14ac:dyDescent="0.25">
      <c r="A78" t="s">
        <v>293</v>
      </c>
      <c r="B78" s="65">
        <v>9.8524532646870992E-3</v>
      </c>
    </row>
    <row r="79" spans="1:2" x14ac:dyDescent="0.25">
      <c r="A79" t="s">
        <v>294</v>
      </c>
      <c r="B79" s="65">
        <v>1.2315566580858899E-2</v>
      </c>
    </row>
    <row r="80" spans="1:2" x14ac:dyDescent="0.25">
      <c r="A80" t="s">
        <v>295</v>
      </c>
      <c r="B80" s="65">
        <v>1.01050802714739E-2</v>
      </c>
    </row>
    <row r="81" spans="1:2" x14ac:dyDescent="0.25">
      <c r="A81" t="s">
        <v>296</v>
      </c>
      <c r="B81" s="65">
        <v>1.0231000274856799E-2</v>
      </c>
    </row>
    <row r="82" spans="1:2" x14ac:dyDescent="0.25">
      <c r="A82" t="s">
        <v>297</v>
      </c>
      <c r="B82" s="65">
        <v>9.1793042838699702E-3</v>
      </c>
    </row>
    <row r="83" spans="1:2" x14ac:dyDescent="0.25">
      <c r="A83" t="s">
        <v>298</v>
      </c>
      <c r="B83" s="65">
        <v>9.1793042838699702E-3</v>
      </c>
    </row>
    <row r="84" spans="1:2" x14ac:dyDescent="0.25">
      <c r="A84" t="s">
        <v>299</v>
      </c>
      <c r="B84" s="65">
        <v>7.8819626117496797E-3</v>
      </c>
    </row>
    <row r="85" spans="1:2" x14ac:dyDescent="0.25">
      <c r="A85" t="s">
        <v>300</v>
      </c>
      <c r="B85" s="65">
        <v>1.3876694738995899E-2</v>
      </c>
    </row>
    <row r="86" spans="1:2" x14ac:dyDescent="0.25">
      <c r="A86" t="s">
        <v>301</v>
      </c>
      <c r="B86" s="65">
        <v>1.3496511321489201E-2</v>
      </c>
    </row>
    <row r="87" spans="1:2" x14ac:dyDescent="0.25">
      <c r="A87" t="s">
        <v>302</v>
      </c>
      <c r="B87" s="65">
        <v>8.8760840222406306E-3</v>
      </c>
    </row>
    <row r="88" spans="1:2" x14ac:dyDescent="0.25">
      <c r="A88" t="s">
        <v>303</v>
      </c>
      <c r="B88" s="65">
        <v>8.99767421432612E-3</v>
      </c>
    </row>
    <row r="89" spans="1:2" x14ac:dyDescent="0.25">
      <c r="A89" t="s">
        <v>304</v>
      </c>
      <c r="B89" s="65">
        <v>8.99767421432612E-3</v>
      </c>
    </row>
    <row r="90" spans="1:2" x14ac:dyDescent="0.25">
      <c r="A90" t="s">
        <v>305</v>
      </c>
      <c r="B90" s="65">
        <v>7.9348616896808902E-3</v>
      </c>
    </row>
    <row r="91" spans="1:2" x14ac:dyDescent="0.25">
      <c r="A91" t="s">
        <v>306</v>
      </c>
      <c r="B91" s="65">
        <v>1.01050802714739E-2</v>
      </c>
    </row>
    <row r="92" spans="1:2" x14ac:dyDescent="0.25">
      <c r="A92" t="s">
        <v>307</v>
      </c>
      <c r="B92" s="65">
        <v>9.8524532646870992E-3</v>
      </c>
    </row>
    <row r="93" spans="1:2" x14ac:dyDescent="0.25">
      <c r="A93" t="s">
        <v>308</v>
      </c>
      <c r="B93" s="65">
        <v>9.8524532646870992E-3</v>
      </c>
    </row>
    <row r="94" spans="1:2" x14ac:dyDescent="0.25">
      <c r="A94" t="s">
        <v>309</v>
      </c>
      <c r="B94" s="65">
        <v>9.8524532646870992E-3</v>
      </c>
    </row>
    <row r="95" spans="1:2" x14ac:dyDescent="0.25">
      <c r="A95" t="s">
        <v>310</v>
      </c>
      <c r="B95" s="65">
        <v>9.2079002473711199E-3</v>
      </c>
    </row>
    <row r="96" spans="1:2" x14ac:dyDescent="0.25">
      <c r="A96" t="s">
        <v>311</v>
      </c>
      <c r="B96" s="65">
        <v>7.6922211565546702E-3</v>
      </c>
    </row>
    <row r="97" spans="1:2" x14ac:dyDescent="0.25">
      <c r="A97" t="s">
        <v>312</v>
      </c>
      <c r="B97" s="65">
        <v>1.09980873652321E-2</v>
      </c>
    </row>
    <row r="98" spans="1:2" x14ac:dyDescent="0.25">
      <c r="A98" t="s">
        <v>313</v>
      </c>
      <c r="B98" s="65">
        <v>1.02808207979344E-2</v>
      </c>
    </row>
    <row r="99" spans="1:2" x14ac:dyDescent="0.25">
      <c r="A99" t="s">
        <v>314</v>
      </c>
      <c r="B99" s="65">
        <v>1.09980873652321E-2</v>
      </c>
    </row>
    <row r="100" spans="1:2" x14ac:dyDescent="0.25">
      <c r="A100" t="s">
        <v>315</v>
      </c>
      <c r="B100" s="65">
        <v>9.0251480287210101E-3</v>
      </c>
    </row>
    <row r="101" spans="1:2" x14ac:dyDescent="0.25">
      <c r="A101" t="s">
        <v>316</v>
      </c>
      <c r="B101" s="65">
        <v>9.0251480287210101E-3</v>
      </c>
    </row>
    <row r="102" spans="1:2" x14ac:dyDescent="0.25">
      <c r="A102" t="s">
        <v>317</v>
      </c>
      <c r="B102" s="65">
        <v>8.95677569517009E-3</v>
      </c>
    </row>
    <row r="103" spans="1:2" x14ac:dyDescent="0.25">
      <c r="A103" t="s">
        <v>318</v>
      </c>
      <c r="B103" s="65">
        <v>1.02808207979344E-2</v>
      </c>
    </row>
    <row r="104" spans="1:2" x14ac:dyDescent="0.25">
      <c r="A104" t="s">
        <v>319</v>
      </c>
      <c r="B104" s="65">
        <v>8.5364216011729402E-3</v>
      </c>
    </row>
    <row r="105" spans="1:2" x14ac:dyDescent="0.25">
      <c r="A105" t="s">
        <v>320</v>
      </c>
      <c r="B105" s="65">
        <v>1.12599465882138E-2</v>
      </c>
    </row>
    <row r="106" spans="1:2" x14ac:dyDescent="0.25">
      <c r="A106" t="s">
        <v>321</v>
      </c>
      <c r="B106" s="65">
        <v>1.12599465882138E-2</v>
      </c>
    </row>
    <row r="107" spans="1:2" x14ac:dyDescent="0.25">
      <c r="A107" t="s">
        <v>322</v>
      </c>
      <c r="B107" s="65">
        <v>1.12599465882138E-2</v>
      </c>
    </row>
    <row r="108" spans="1:2" x14ac:dyDescent="0.25">
      <c r="A108" t="s">
        <v>323</v>
      </c>
      <c r="B108" s="65">
        <v>1.12599465882138E-2</v>
      </c>
    </row>
    <row r="109" spans="1:2" x14ac:dyDescent="0.25">
      <c r="A109" t="s">
        <v>324</v>
      </c>
      <c r="B109" s="65">
        <v>1.12599465882138E-2</v>
      </c>
    </row>
    <row r="110" spans="1:2" x14ac:dyDescent="0.25">
      <c r="A110" t="s">
        <v>325</v>
      </c>
      <c r="B110" s="65">
        <v>1.12599465882138E-2</v>
      </c>
    </row>
    <row r="111" spans="1:2" x14ac:dyDescent="0.25">
      <c r="A111" t="s">
        <v>326</v>
      </c>
      <c r="B111" s="65">
        <v>7.5024630237959999E-3</v>
      </c>
    </row>
    <row r="112" spans="1:2" x14ac:dyDescent="0.25">
      <c r="A112" t="s">
        <v>327</v>
      </c>
      <c r="B112" s="65">
        <v>7.9481975916803494E-3</v>
      </c>
    </row>
    <row r="113" spans="1:2" x14ac:dyDescent="0.25">
      <c r="A113" t="s">
        <v>328</v>
      </c>
      <c r="B113" s="65">
        <v>1.1250571112286899E-2</v>
      </c>
    </row>
    <row r="114" spans="1:2" x14ac:dyDescent="0.25">
      <c r="A114" t="s">
        <v>329</v>
      </c>
      <c r="B114" s="65">
        <v>1.1250571112286899E-2</v>
      </c>
    </row>
    <row r="115" spans="1:2" x14ac:dyDescent="0.25">
      <c r="A115" t="s">
        <v>330</v>
      </c>
      <c r="B115" s="65">
        <v>1.1499519919878E-2</v>
      </c>
    </row>
    <row r="116" spans="1:2" x14ac:dyDescent="0.25">
      <c r="A116" t="s">
        <v>331</v>
      </c>
      <c r="B116" s="65">
        <v>9.0019559665933304E-3</v>
      </c>
    </row>
    <row r="117" spans="1:2" x14ac:dyDescent="0.25">
      <c r="A117" t="s">
        <v>332</v>
      </c>
      <c r="B117" s="65">
        <v>9.0019559665933304E-3</v>
      </c>
    </row>
    <row r="118" spans="1:2" x14ac:dyDescent="0.25">
      <c r="A118" t="s">
        <v>333</v>
      </c>
      <c r="B118" s="65">
        <v>1.42081344961689E-2</v>
      </c>
    </row>
    <row r="119" spans="1:2" x14ac:dyDescent="0.25">
      <c r="A119" t="s">
        <v>334</v>
      </c>
      <c r="B119" s="65">
        <v>1.0236315080194401E-2</v>
      </c>
    </row>
    <row r="120" spans="1:2" x14ac:dyDescent="0.25">
      <c r="A120" t="s">
        <v>335</v>
      </c>
      <c r="B120" s="65">
        <v>1.18525753560146E-2</v>
      </c>
    </row>
  </sheetData>
  <hyperlinks>
    <hyperlink ref="O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G5" sqref="G5"/>
    </sheetView>
  </sheetViews>
  <sheetFormatPr defaultRowHeight="15" x14ac:dyDescent="0.25"/>
  <cols>
    <col min="1" max="1" width="17.5703125"/>
    <col min="2" max="3" width="30.140625"/>
    <col min="4" max="1025" width="8.5703125"/>
  </cols>
  <sheetData>
    <row r="1" spans="1:14" x14ac:dyDescent="0.25">
      <c r="A1" s="27" t="s">
        <v>119</v>
      </c>
      <c r="B1" s="27" t="s">
        <v>750</v>
      </c>
      <c r="G1" t="s">
        <v>751</v>
      </c>
      <c r="N1" s="29" t="s">
        <v>216</v>
      </c>
    </row>
    <row r="2" spans="1:14" x14ac:dyDescent="0.25">
      <c r="A2" s="67">
        <v>1</v>
      </c>
      <c r="B2" s="56">
        <v>0.8</v>
      </c>
      <c r="G2" t="s">
        <v>752</v>
      </c>
    </row>
    <row r="3" spans="1:14" x14ac:dyDescent="0.25">
      <c r="A3" s="67">
        <v>2</v>
      </c>
      <c r="B3" s="56">
        <v>0.8</v>
      </c>
      <c r="G3" t="s">
        <v>753</v>
      </c>
    </row>
    <row r="4" spans="1:14" x14ac:dyDescent="0.25">
      <c r="A4" s="67">
        <v>3</v>
      </c>
      <c r="B4" s="56">
        <v>0.8</v>
      </c>
      <c r="G4" t="s">
        <v>1493</v>
      </c>
    </row>
    <row r="5" spans="1:14" x14ac:dyDescent="0.25">
      <c r="A5" s="67">
        <v>4</v>
      </c>
      <c r="B5" s="56">
        <v>0.8</v>
      </c>
    </row>
    <row r="6" spans="1:14" x14ac:dyDescent="0.25">
      <c r="A6" s="67">
        <v>5</v>
      </c>
      <c r="B6" s="56">
        <v>0.8</v>
      </c>
    </row>
    <row r="7" spans="1:14" x14ac:dyDescent="0.25">
      <c r="A7" s="67">
        <v>6</v>
      </c>
      <c r="B7" s="56">
        <v>0.8</v>
      </c>
    </row>
    <row r="8" spans="1:14" x14ac:dyDescent="0.25">
      <c r="A8" s="67">
        <v>7</v>
      </c>
      <c r="B8" s="56">
        <v>0.8</v>
      </c>
    </row>
    <row r="9" spans="1:14" x14ac:dyDescent="0.25">
      <c r="A9" s="67">
        <v>8</v>
      </c>
      <c r="B9" s="56">
        <v>0.8</v>
      </c>
    </row>
    <row r="10" spans="1:14" x14ac:dyDescent="0.25">
      <c r="A10" s="67">
        <v>9</v>
      </c>
      <c r="B10" s="56">
        <v>0.8</v>
      </c>
    </row>
    <row r="11" spans="1:14" x14ac:dyDescent="0.25">
      <c r="A11" s="67">
        <v>10</v>
      </c>
      <c r="B11" s="56">
        <v>0.8</v>
      </c>
    </row>
    <row r="12" spans="1:14" x14ac:dyDescent="0.25">
      <c r="A12" s="67">
        <v>11</v>
      </c>
      <c r="B12" s="56">
        <v>0.8</v>
      </c>
    </row>
    <row r="13" spans="1:14" x14ac:dyDescent="0.25">
      <c r="A13" s="67">
        <v>12</v>
      </c>
      <c r="B13" s="56">
        <v>0.8</v>
      </c>
    </row>
    <row r="14" spans="1:14" x14ac:dyDescent="0.25">
      <c r="A14" s="67">
        <v>13</v>
      </c>
      <c r="B14" s="56">
        <v>0.8</v>
      </c>
    </row>
    <row r="15" spans="1:14" x14ac:dyDescent="0.25">
      <c r="A15" s="67">
        <v>14</v>
      </c>
      <c r="B15" s="56">
        <v>0.8</v>
      </c>
    </row>
    <row r="16" spans="1:14" x14ac:dyDescent="0.25">
      <c r="A16" s="67">
        <v>15</v>
      </c>
      <c r="B16" s="56">
        <v>0.8</v>
      </c>
    </row>
    <row r="17" spans="1:2" x14ac:dyDescent="0.25">
      <c r="A17" s="67">
        <v>16</v>
      </c>
      <c r="B17" s="56">
        <v>0.8</v>
      </c>
    </row>
    <row r="18" spans="1:2" x14ac:dyDescent="0.25">
      <c r="A18" s="67">
        <v>17</v>
      </c>
      <c r="B18" s="56">
        <v>0.8</v>
      </c>
    </row>
    <row r="19" spans="1:2" x14ac:dyDescent="0.25">
      <c r="A19" s="67">
        <v>18</v>
      </c>
      <c r="B19" s="56">
        <v>0.8</v>
      </c>
    </row>
    <row r="20" spans="1:2" x14ac:dyDescent="0.25">
      <c r="A20" s="67">
        <v>19</v>
      </c>
      <c r="B20" s="56">
        <v>0.8</v>
      </c>
    </row>
    <row r="21" spans="1:2" x14ac:dyDescent="0.25">
      <c r="A21" s="67">
        <v>20</v>
      </c>
      <c r="B21" s="56">
        <v>0.8</v>
      </c>
    </row>
    <row r="22" spans="1:2" x14ac:dyDescent="0.25">
      <c r="A22" s="67">
        <v>21</v>
      </c>
      <c r="B22" s="56">
        <v>0.8</v>
      </c>
    </row>
    <row r="23" spans="1:2" x14ac:dyDescent="0.25">
      <c r="A23" s="67">
        <v>22</v>
      </c>
      <c r="B23" s="56">
        <v>0.8</v>
      </c>
    </row>
    <row r="24" spans="1:2" x14ac:dyDescent="0.25">
      <c r="A24" s="67">
        <v>23</v>
      </c>
      <c r="B24" s="56">
        <v>0.8</v>
      </c>
    </row>
    <row r="25" spans="1:2" x14ac:dyDescent="0.25">
      <c r="A25" s="67">
        <v>24</v>
      </c>
      <c r="B25" s="56">
        <v>0.8</v>
      </c>
    </row>
    <row r="26" spans="1:2" x14ac:dyDescent="0.25">
      <c r="A26" s="67">
        <v>25</v>
      </c>
      <c r="B26" s="56">
        <v>0.8</v>
      </c>
    </row>
    <row r="27" spans="1:2" x14ac:dyDescent="0.25">
      <c r="A27" s="67">
        <v>26</v>
      </c>
      <c r="B27" s="56">
        <v>0.8</v>
      </c>
    </row>
    <row r="28" spans="1:2" x14ac:dyDescent="0.25">
      <c r="A28" s="67">
        <v>27</v>
      </c>
      <c r="B28" s="56">
        <v>0.8</v>
      </c>
    </row>
    <row r="29" spans="1:2" x14ac:dyDescent="0.25">
      <c r="A29" s="67">
        <v>28</v>
      </c>
      <c r="B29" s="56">
        <v>0.8</v>
      </c>
    </row>
    <row r="30" spans="1:2" x14ac:dyDescent="0.25">
      <c r="A30" s="67">
        <v>29</v>
      </c>
      <c r="B30" s="56">
        <v>0.8</v>
      </c>
    </row>
    <row r="31" spans="1:2" x14ac:dyDescent="0.25">
      <c r="A31" s="67">
        <v>30</v>
      </c>
      <c r="B31" s="56">
        <v>0.8</v>
      </c>
    </row>
    <row r="32" spans="1:2" x14ac:dyDescent="0.25">
      <c r="A32" s="67">
        <v>31</v>
      </c>
      <c r="B32" s="56">
        <v>0.8</v>
      </c>
    </row>
    <row r="33" spans="1:2" x14ac:dyDescent="0.25">
      <c r="A33" s="67">
        <v>32</v>
      </c>
      <c r="B33" s="56">
        <v>0.8</v>
      </c>
    </row>
    <row r="34" spans="1:2" x14ac:dyDescent="0.25">
      <c r="A34" s="67">
        <v>33</v>
      </c>
      <c r="B34" s="56">
        <v>0.8</v>
      </c>
    </row>
    <row r="35" spans="1:2" x14ac:dyDescent="0.25">
      <c r="A35" s="67">
        <v>34</v>
      </c>
      <c r="B35" s="56">
        <v>0.8</v>
      </c>
    </row>
    <row r="36" spans="1:2" x14ac:dyDescent="0.25">
      <c r="A36" s="67">
        <v>35</v>
      </c>
      <c r="B36" s="56">
        <v>0.8</v>
      </c>
    </row>
    <row r="37" spans="1:2" x14ac:dyDescent="0.25">
      <c r="A37" s="67">
        <v>36</v>
      </c>
      <c r="B37" s="56">
        <v>0.8</v>
      </c>
    </row>
  </sheetData>
  <autoFilter ref="A1:C216"/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B2" sqref="B2"/>
    </sheetView>
  </sheetViews>
  <sheetFormatPr defaultRowHeight="15" x14ac:dyDescent="0.25"/>
  <cols>
    <col min="1" max="1" width="17.5703125"/>
    <col min="2" max="3" width="21"/>
    <col min="4" max="1025" width="8.5703125"/>
  </cols>
  <sheetData>
    <row r="1" spans="1:14" x14ac:dyDescent="0.25">
      <c r="A1" s="27" t="s">
        <v>119</v>
      </c>
      <c r="B1" s="27" t="s">
        <v>754</v>
      </c>
      <c r="C1" s="27" t="s">
        <v>754</v>
      </c>
      <c r="N1" s="29" t="s">
        <v>216</v>
      </c>
    </row>
    <row r="2" spans="1:14" x14ac:dyDescent="0.25">
      <c r="A2" s="67">
        <v>1</v>
      </c>
      <c r="B2" s="68">
        <v>1.0999999999999999E-2</v>
      </c>
      <c r="C2" s="68">
        <v>2.1228974376851402E-3</v>
      </c>
    </row>
    <row r="3" spans="1:14" x14ac:dyDescent="0.25">
      <c r="A3" s="67">
        <v>2</v>
      </c>
      <c r="B3" s="68">
        <v>1.0999999999999999E-2</v>
      </c>
      <c r="C3" s="68">
        <v>1.9441271271432299E-3</v>
      </c>
    </row>
    <row r="4" spans="1:14" x14ac:dyDescent="0.25">
      <c r="A4" s="67">
        <v>3</v>
      </c>
      <c r="B4" s="68">
        <v>1.0999999999999999E-2</v>
      </c>
      <c r="C4" s="68">
        <v>4.7809247155652396E-3</v>
      </c>
    </row>
    <row r="5" spans="1:14" x14ac:dyDescent="0.25">
      <c r="A5" s="67">
        <v>4</v>
      </c>
      <c r="B5" s="68">
        <v>1.0999999999999999E-2</v>
      </c>
      <c r="C5" s="68">
        <v>2.2718726964700599E-3</v>
      </c>
    </row>
    <row r="6" spans="1:14" x14ac:dyDescent="0.25">
      <c r="A6" s="67">
        <v>5</v>
      </c>
      <c r="B6" s="68">
        <v>1.0999999999999999E-2</v>
      </c>
      <c r="C6" s="68">
        <v>1.73556176484434E-3</v>
      </c>
    </row>
    <row r="7" spans="1:14" x14ac:dyDescent="0.25">
      <c r="A7" s="67">
        <v>6</v>
      </c>
      <c r="B7" s="68">
        <v>1.0999999999999999E-2</v>
      </c>
      <c r="C7" s="68">
        <v>2.2117729014280701E-2</v>
      </c>
    </row>
    <row r="8" spans="1:14" x14ac:dyDescent="0.25">
      <c r="A8" s="67">
        <v>7</v>
      </c>
      <c r="B8" s="68">
        <v>1.0999999999999999E-2</v>
      </c>
      <c r="C8" s="68">
        <v>9.2760942760942797E-3</v>
      </c>
    </row>
    <row r="9" spans="1:14" x14ac:dyDescent="0.25">
      <c r="A9" s="67">
        <v>8</v>
      </c>
      <c r="B9" s="68">
        <v>1.0999999999999999E-2</v>
      </c>
      <c r="C9" s="68">
        <v>1.4532338831109701E-2</v>
      </c>
    </row>
    <row r="10" spans="1:14" x14ac:dyDescent="0.25">
      <c r="A10" s="67">
        <v>9</v>
      </c>
      <c r="B10" s="68">
        <v>1.0999999999999999E-2</v>
      </c>
      <c r="C10" s="68">
        <v>6.3699999999999998E-3</v>
      </c>
    </row>
    <row r="11" spans="1:14" x14ac:dyDescent="0.25">
      <c r="A11" s="67">
        <v>10</v>
      </c>
      <c r="B11" s="68">
        <v>1.0999999999999999E-2</v>
      </c>
      <c r="C11" s="68">
        <v>6.97196129936083E-3</v>
      </c>
    </row>
    <row r="12" spans="1:14" x14ac:dyDescent="0.25">
      <c r="A12" s="67">
        <v>11</v>
      </c>
      <c r="B12" s="68">
        <v>1.0999999999999999E-2</v>
      </c>
      <c r="C12" s="68">
        <v>6.3699999999999998E-3</v>
      </c>
    </row>
    <row r="13" spans="1:14" x14ac:dyDescent="0.25">
      <c r="A13" s="67">
        <v>12</v>
      </c>
      <c r="B13" s="68">
        <v>1.0999999999999999E-2</v>
      </c>
      <c r="C13" s="68">
        <v>6.97196129936083E-3</v>
      </c>
    </row>
    <row r="14" spans="1:14" x14ac:dyDescent="0.25">
      <c r="A14" s="67">
        <v>13</v>
      </c>
      <c r="B14" s="68">
        <v>1.0999999999999999E-2</v>
      </c>
      <c r="C14" s="68">
        <v>2.5651961299360801E-2</v>
      </c>
    </row>
    <row r="15" spans="1:14" x14ac:dyDescent="0.25">
      <c r="A15" s="67">
        <v>14</v>
      </c>
      <c r="B15" s="68">
        <v>1.0999999999999999E-2</v>
      </c>
      <c r="C15" s="68">
        <v>6.97196129936083E-3</v>
      </c>
    </row>
    <row r="16" spans="1:14" x14ac:dyDescent="0.25">
      <c r="A16" s="67">
        <v>15</v>
      </c>
      <c r="B16" s="68">
        <v>1.0999999999999999E-2</v>
      </c>
      <c r="C16" s="68">
        <v>1.43019612993608E-2</v>
      </c>
    </row>
    <row r="17" spans="1:3" x14ac:dyDescent="0.25">
      <c r="A17" s="67">
        <v>16</v>
      </c>
      <c r="B17" s="68">
        <v>1.0999999999999999E-2</v>
      </c>
      <c r="C17" s="68">
        <v>1.59483597883598E-2</v>
      </c>
    </row>
    <row r="18" spans="1:3" x14ac:dyDescent="0.25">
      <c r="A18" s="67">
        <v>17</v>
      </c>
      <c r="B18" s="68">
        <v>1.0999999999999999E-2</v>
      </c>
      <c r="C18" s="68">
        <v>1.17619612993608E-2</v>
      </c>
    </row>
    <row r="19" spans="1:3" x14ac:dyDescent="0.25">
      <c r="A19" s="67">
        <v>18</v>
      </c>
      <c r="B19" s="68">
        <v>1.0999999999999999E-2</v>
      </c>
      <c r="C19" s="68">
        <v>1.116E-2</v>
      </c>
    </row>
    <row r="20" spans="1:3" x14ac:dyDescent="0.25">
      <c r="A20" s="67">
        <v>19</v>
      </c>
      <c r="B20" s="68">
        <v>1.0999999999999999E-2</v>
      </c>
      <c r="C20" s="68">
        <v>1.17619612993608E-2</v>
      </c>
    </row>
    <row r="21" spans="1:3" x14ac:dyDescent="0.25">
      <c r="A21" s="67">
        <v>20</v>
      </c>
      <c r="B21" s="68">
        <v>1.0999999999999999E-2</v>
      </c>
      <c r="C21" s="68">
        <v>3.04419612993608E-2</v>
      </c>
    </row>
    <row r="22" spans="1:3" x14ac:dyDescent="0.25">
      <c r="A22" s="67">
        <v>21</v>
      </c>
      <c r="B22" s="68">
        <v>1.0999999999999999E-2</v>
      </c>
      <c r="C22" s="68">
        <v>1.65519612993608E-2</v>
      </c>
    </row>
    <row r="23" spans="1:3" x14ac:dyDescent="0.25">
      <c r="A23" s="67">
        <v>22</v>
      </c>
      <c r="B23" s="68">
        <v>1.0999999999999999E-2</v>
      </c>
      <c r="C23" s="68">
        <v>3.32619612993608E-2</v>
      </c>
    </row>
    <row r="24" spans="1:3" x14ac:dyDescent="0.25">
      <c r="A24" s="67">
        <v>23</v>
      </c>
      <c r="B24" s="68">
        <v>1.0999999999999999E-2</v>
      </c>
      <c r="C24" s="68">
        <v>1.9441271271432299E-3</v>
      </c>
    </row>
    <row r="25" spans="1:3" x14ac:dyDescent="0.25">
      <c r="A25" s="67">
        <v>24</v>
      </c>
      <c r="B25" s="68">
        <v>1.0999999999999999E-2</v>
      </c>
      <c r="C25" s="68">
        <v>8.6778088242217099E-4</v>
      </c>
    </row>
    <row r="26" spans="1:3" x14ac:dyDescent="0.25">
      <c r="A26" s="67">
        <v>25</v>
      </c>
      <c r="B26" s="68">
        <v>1.0999999999999999E-2</v>
      </c>
      <c r="C26" s="68">
        <v>3.6281179138322002E-3</v>
      </c>
    </row>
    <row r="27" spans="1:3" x14ac:dyDescent="0.25">
      <c r="A27" s="67">
        <v>26</v>
      </c>
      <c r="B27" s="68">
        <v>1.0999999999999999E-2</v>
      </c>
      <c r="C27" s="68">
        <v>2.3809523809523799E-3</v>
      </c>
    </row>
    <row r="28" spans="1:3" x14ac:dyDescent="0.25">
      <c r="A28" s="67">
        <v>27</v>
      </c>
      <c r="B28" s="68">
        <v>1.0999999999999999E-2</v>
      </c>
      <c r="C28" s="68">
        <v>1.19444444444444E-2</v>
      </c>
    </row>
    <row r="29" spans="1:3" x14ac:dyDescent="0.25">
      <c r="A29" s="67">
        <v>28</v>
      </c>
      <c r="B29" s="68">
        <v>1.0999999999999999E-2</v>
      </c>
      <c r="C29" s="68">
        <v>1.50408838570296E-2</v>
      </c>
    </row>
    <row r="30" spans="1:3" x14ac:dyDescent="0.25">
      <c r="A30" s="67">
        <v>29</v>
      </c>
      <c r="B30" s="68">
        <v>1.0999999999999999E-2</v>
      </c>
      <c r="C30" s="68">
        <v>1.31663835894195E-2</v>
      </c>
    </row>
    <row r="31" spans="1:3" x14ac:dyDescent="0.25">
      <c r="A31" s="67">
        <v>30</v>
      </c>
      <c r="B31" s="68">
        <v>1.0999999999999999E-2</v>
      </c>
      <c r="C31" s="68">
        <v>7.8352769679300299E-3</v>
      </c>
    </row>
    <row r="32" spans="1:3" x14ac:dyDescent="0.25">
      <c r="A32" s="67">
        <v>31</v>
      </c>
      <c r="B32" s="68">
        <v>1.0999999999999999E-2</v>
      </c>
      <c r="C32" s="68">
        <v>8.8194444444444405E-3</v>
      </c>
    </row>
    <row r="33" spans="1:3" x14ac:dyDescent="0.25">
      <c r="A33" s="67">
        <v>32</v>
      </c>
      <c r="B33" s="68">
        <v>1.0999999999999999E-2</v>
      </c>
      <c r="C33" s="68">
        <v>1.3763444444444399E-2</v>
      </c>
    </row>
    <row r="34" spans="1:3" x14ac:dyDescent="0.25">
      <c r="A34" s="67">
        <v>33</v>
      </c>
      <c r="B34" s="68">
        <v>1.0999999999999999E-2</v>
      </c>
      <c r="C34" s="68">
        <v>2.3370883857029599E-2</v>
      </c>
    </row>
    <row r="35" spans="1:3" x14ac:dyDescent="0.25">
      <c r="A35" s="67">
        <v>34</v>
      </c>
      <c r="B35" s="68">
        <v>1.0999999999999999E-2</v>
      </c>
      <c r="C35" s="68">
        <v>2.2370883857029601E-2</v>
      </c>
    </row>
    <row r="36" spans="1:3" x14ac:dyDescent="0.25">
      <c r="A36" s="67">
        <v>35</v>
      </c>
      <c r="B36" s="68">
        <v>1.0999999999999999E-2</v>
      </c>
      <c r="C36" s="69">
        <v>5.0000000000000001E-3</v>
      </c>
    </row>
    <row r="37" spans="1:3" x14ac:dyDescent="0.25">
      <c r="A37" s="67">
        <v>36</v>
      </c>
      <c r="B37" s="68">
        <v>1.0999999999999999E-2</v>
      </c>
      <c r="C37" s="69">
        <v>1.2999999999999999E-2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B2" sqref="B2"/>
    </sheetView>
  </sheetViews>
  <sheetFormatPr defaultRowHeight="15" x14ac:dyDescent="0.25"/>
  <cols>
    <col min="1" max="1" width="17.5703125"/>
    <col min="2" max="2" width="20.42578125" style="70" customWidth="1"/>
    <col min="3" max="3" width="7.85546875" customWidth="1"/>
    <col min="4" max="1025" width="8.5703125"/>
  </cols>
  <sheetData>
    <row r="1" spans="1:14" x14ac:dyDescent="0.25">
      <c r="A1" s="27" t="s">
        <v>119</v>
      </c>
      <c r="B1" s="27"/>
      <c r="L1" s="29" t="s">
        <v>216</v>
      </c>
      <c r="N1" s="29"/>
    </row>
    <row r="2" spans="1:14" x14ac:dyDescent="0.25">
      <c r="A2" s="67">
        <v>1</v>
      </c>
      <c r="B2" s="56">
        <v>0.8</v>
      </c>
    </row>
    <row r="3" spans="1:14" x14ac:dyDescent="0.25">
      <c r="A3" s="67">
        <v>2</v>
      </c>
      <c r="B3" s="56">
        <v>0.8</v>
      </c>
    </row>
    <row r="4" spans="1:14" x14ac:dyDescent="0.25">
      <c r="A4" s="67">
        <v>3</v>
      </c>
      <c r="B4" s="56">
        <v>0.8</v>
      </c>
    </row>
    <row r="5" spans="1:14" x14ac:dyDescent="0.25">
      <c r="A5" s="67">
        <v>4</v>
      </c>
      <c r="B5" s="56">
        <v>0.8</v>
      </c>
    </row>
    <row r="6" spans="1:14" x14ac:dyDescent="0.25">
      <c r="A6" s="67">
        <v>5</v>
      </c>
      <c r="B6" s="56">
        <v>0.8</v>
      </c>
    </row>
    <row r="7" spans="1:14" x14ac:dyDescent="0.25">
      <c r="A7" s="67">
        <v>6</v>
      </c>
      <c r="B7" s="56">
        <v>0.8</v>
      </c>
    </row>
    <row r="8" spans="1:14" x14ac:dyDescent="0.25">
      <c r="A8" s="67">
        <v>7</v>
      </c>
      <c r="B8" s="56">
        <v>0.8</v>
      </c>
    </row>
    <row r="9" spans="1:14" x14ac:dyDescent="0.25">
      <c r="A9" s="67">
        <v>8</v>
      </c>
      <c r="B9" s="56">
        <v>0.8</v>
      </c>
    </row>
    <row r="10" spans="1:14" x14ac:dyDescent="0.25">
      <c r="A10" s="67">
        <v>9</v>
      </c>
      <c r="B10" s="56">
        <v>0.8</v>
      </c>
    </row>
    <row r="11" spans="1:14" x14ac:dyDescent="0.25">
      <c r="A11" s="67">
        <v>10</v>
      </c>
      <c r="B11" s="56">
        <v>0.8</v>
      </c>
    </row>
    <row r="12" spans="1:14" x14ac:dyDescent="0.25">
      <c r="A12" s="67">
        <v>11</v>
      </c>
      <c r="B12" s="56">
        <v>0.8</v>
      </c>
    </row>
    <row r="13" spans="1:14" x14ac:dyDescent="0.25">
      <c r="A13" s="67">
        <v>12</v>
      </c>
      <c r="B13" s="56">
        <v>0.8</v>
      </c>
    </row>
    <row r="14" spans="1:14" x14ac:dyDescent="0.25">
      <c r="A14" s="67">
        <v>13</v>
      </c>
      <c r="B14" s="56">
        <v>0.8</v>
      </c>
    </row>
    <row r="15" spans="1:14" x14ac:dyDescent="0.25">
      <c r="A15" s="67">
        <v>14</v>
      </c>
      <c r="B15" s="56">
        <v>0.8</v>
      </c>
    </row>
    <row r="16" spans="1:14" x14ac:dyDescent="0.25">
      <c r="A16" s="67">
        <v>15</v>
      </c>
      <c r="B16" s="56">
        <v>0.8</v>
      </c>
    </row>
    <row r="17" spans="1:2" x14ac:dyDescent="0.25">
      <c r="A17" s="67">
        <v>16</v>
      </c>
      <c r="B17" s="56">
        <v>0.8</v>
      </c>
    </row>
    <row r="18" spans="1:2" x14ac:dyDescent="0.25">
      <c r="A18" s="67">
        <v>17</v>
      </c>
      <c r="B18" s="56">
        <v>0.8</v>
      </c>
    </row>
    <row r="19" spans="1:2" x14ac:dyDescent="0.25">
      <c r="A19" s="67">
        <v>18</v>
      </c>
      <c r="B19" s="56">
        <v>0.8</v>
      </c>
    </row>
    <row r="20" spans="1:2" x14ac:dyDescent="0.25">
      <c r="A20" s="67">
        <v>19</v>
      </c>
      <c r="B20" s="56">
        <v>0.8</v>
      </c>
    </row>
    <row r="21" spans="1:2" x14ac:dyDescent="0.25">
      <c r="A21" s="67">
        <v>20</v>
      </c>
      <c r="B21" s="56">
        <v>0.8</v>
      </c>
    </row>
    <row r="22" spans="1:2" x14ac:dyDescent="0.25">
      <c r="A22" s="67">
        <v>21</v>
      </c>
      <c r="B22" s="56">
        <v>0.8</v>
      </c>
    </row>
    <row r="23" spans="1:2" x14ac:dyDescent="0.25">
      <c r="A23" s="67">
        <v>22</v>
      </c>
      <c r="B23" s="56">
        <v>0.8</v>
      </c>
    </row>
    <row r="24" spans="1:2" x14ac:dyDescent="0.25">
      <c r="A24" s="67">
        <v>23</v>
      </c>
      <c r="B24" s="56">
        <v>0.8</v>
      </c>
    </row>
    <row r="25" spans="1:2" x14ac:dyDescent="0.25">
      <c r="A25" s="67">
        <v>24</v>
      </c>
      <c r="B25" s="56">
        <v>0.8</v>
      </c>
    </row>
    <row r="26" spans="1:2" x14ac:dyDescent="0.25">
      <c r="A26" s="67">
        <v>25</v>
      </c>
      <c r="B26" s="56">
        <v>0.8</v>
      </c>
    </row>
    <row r="27" spans="1:2" x14ac:dyDescent="0.25">
      <c r="A27" s="67">
        <v>26</v>
      </c>
      <c r="B27" s="56">
        <v>0.8</v>
      </c>
    </row>
    <row r="28" spans="1:2" x14ac:dyDescent="0.25">
      <c r="A28" s="67">
        <v>27</v>
      </c>
      <c r="B28" s="56">
        <v>0.8</v>
      </c>
    </row>
    <row r="29" spans="1:2" x14ac:dyDescent="0.25">
      <c r="A29" s="67">
        <v>28</v>
      </c>
      <c r="B29" s="56">
        <v>0.8</v>
      </c>
    </row>
    <row r="30" spans="1:2" x14ac:dyDescent="0.25">
      <c r="A30" s="67">
        <v>29</v>
      </c>
      <c r="B30" s="56">
        <v>0.8</v>
      </c>
    </row>
    <row r="31" spans="1:2" x14ac:dyDescent="0.25">
      <c r="A31" s="67">
        <v>30</v>
      </c>
      <c r="B31" s="56">
        <v>0.8</v>
      </c>
    </row>
    <row r="32" spans="1:2" x14ac:dyDescent="0.25">
      <c r="A32" s="67">
        <v>31</v>
      </c>
      <c r="B32" s="56">
        <v>0.8</v>
      </c>
    </row>
    <row r="33" spans="1:2" x14ac:dyDescent="0.25">
      <c r="A33" s="67">
        <v>32</v>
      </c>
      <c r="B33" s="56">
        <v>0.8</v>
      </c>
    </row>
    <row r="34" spans="1:2" x14ac:dyDescent="0.25">
      <c r="A34" s="67">
        <v>33</v>
      </c>
      <c r="B34" s="56">
        <v>0.8</v>
      </c>
    </row>
    <row r="35" spans="1:2" x14ac:dyDescent="0.25">
      <c r="A35" s="67">
        <v>34</v>
      </c>
      <c r="B35" s="56">
        <v>0.8</v>
      </c>
    </row>
    <row r="36" spans="1:2" x14ac:dyDescent="0.25">
      <c r="A36" s="67">
        <v>35</v>
      </c>
      <c r="B36" s="56">
        <v>0.8</v>
      </c>
    </row>
    <row r="37" spans="1:2" x14ac:dyDescent="0.25">
      <c r="A37" s="67">
        <v>36</v>
      </c>
      <c r="B37" s="56">
        <v>0.8</v>
      </c>
    </row>
  </sheetData>
  <hyperlinks>
    <hyperlink ref="L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MH18"/>
  <sheetViews>
    <sheetView tabSelected="1" topLeftCell="B1" zoomScaleNormal="100" workbookViewId="0">
      <selection activeCell="N8" sqref="N8"/>
    </sheetView>
  </sheetViews>
  <sheetFormatPr defaultRowHeight="15" x14ac:dyDescent="0.25"/>
  <cols>
    <col min="1" max="1" width="0" style="67" hidden="1"/>
    <col min="2" max="2" width="9.7109375" style="67"/>
    <col min="3" max="3" width="3" style="67" bestFit="1" customWidth="1"/>
    <col min="4" max="4" width="3" style="71" bestFit="1" customWidth="1"/>
    <col min="5" max="5" width="3" style="72" bestFit="1" customWidth="1"/>
    <col min="6" max="8" width="3" style="53" bestFit="1" customWidth="1"/>
    <col min="9" max="9" width="2.85546875" style="53" customWidth="1"/>
    <col min="10" max="17" width="3" style="53" bestFit="1" customWidth="1"/>
    <col min="18" max="19" width="7.140625" style="53"/>
    <col min="20" max="20" width="14.5703125" style="53" bestFit="1" customWidth="1"/>
    <col min="21" max="1018" width="7.140625" style="53"/>
    <col min="1019" max="1022" width="7.5703125" style="53"/>
    <col min="1023" max="1025" width="8.28515625"/>
  </cols>
  <sheetData>
    <row r="1" spans="1:37" x14ac:dyDescent="0.25">
      <c r="A1" s="67" t="s">
        <v>755</v>
      </c>
      <c r="B1" s="67" t="s">
        <v>756</v>
      </c>
      <c r="C1"/>
      <c r="D1"/>
      <c r="E1"/>
      <c r="F1"/>
      <c r="G1"/>
      <c r="H1"/>
      <c r="I1" s="29" t="s">
        <v>216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7" x14ac:dyDescent="0.25">
      <c r="A2" s="73">
        <v>1</v>
      </c>
      <c r="B2" s="73">
        <v>1</v>
      </c>
      <c r="C2" s="73">
        <v>6</v>
      </c>
      <c r="D2" s="73">
        <v>7</v>
      </c>
      <c r="E2" s="73">
        <v>8</v>
      </c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</row>
    <row r="3" spans="1:37" x14ac:dyDescent="0.25">
      <c r="B3" s="67">
        <v>2</v>
      </c>
      <c r="C3" s="140">
        <v>9</v>
      </c>
      <c r="D3" s="71">
        <v>10</v>
      </c>
      <c r="E3" s="72">
        <v>11</v>
      </c>
      <c r="F3" s="140">
        <v>12</v>
      </c>
      <c r="G3" s="139">
        <v>13</v>
      </c>
      <c r="H3" s="140">
        <v>14</v>
      </c>
      <c r="I3" s="139">
        <v>15</v>
      </c>
      <c r="J3" s="140">
        <v>16</v>
      </c>
      <c r="K3" s="139">
        <v>17</v>
      </c>
      <c r="L3" s="140">
        <v>18</v>
      </c>
      <c r="M3" s="139">
        <v>19</v>
      </c>
      <c r="N3" s="140">
        <v>20</v>
      </c>
      <c r="O3" s="139">
        <v>21</v>
      </c>
      <c r="P3" s="140">
        <v>22</v>
      </c>
      <c r="Q3" s="139">
        <v>23</v>
      </c>
      <c r="R3" s="140"/>
    </row>
    <row r="4" spans="1:37" x14ac:dyDescent="0.25">
      <c r="B4" s="67">
        <v>3</v>
      </c>
      <c r="C4" s="140">
        <v>25</v>
      </c>
      <c r="D4" s="71">
        <v>26</v>
      </c>
      <c r="E4" s="72">
        <v>27</v>
      </c>
      <c r="F4" s="71">
        <v>28</v>
      </c>
      <c r="G4" s="139">
        <v>29</v>
      </c>
      <c r="H4" s="71">
        <v>30</v>
      </c>
      <c r="I4" s="139">
        <v>31</v>
      </c>
      <c r="J4" s="71">
        <v>32</v>
      </c>
      <c r="K4" s="139">
        <v>33</v>
      </c>
      <c r="L4" s="71">
        <v>34</v>
      </c>
    </row>
    <row r="5" spans="1:37" x14ac:dyDescent="0.25">
      <c r="B5" s="67">
        <v>4</v>
      </c>
      <c r="C5" s="140">
        <v>1</v>
      </c>
      <c r="D5" s="71">
        <v>2</v>
      </c>
      <c r="E5" s="72">
        <v>3</v>
      </c>
      <c r="F5" s="140">
        <v>4</v>
      </c>
      <c r="G5" s="140">
        <v>35</v>
      </c>
      <c r="H5" s="140">
        <v>36</v>
      </c>
      <c r="V5" s="141"/>
    </row>
    <row r="6" spans="1:37" x14ac:dyDescent="0.25">
      <c r="B6" s="67">
        <v>5</v>
      </c>
      <c r="C6" s="140">
        <v>5</v>
      </c>
      <c r="V6" s="141"/>
    </row>
    <row r="7" spans="1:37" x14ac:dyDescent="0.25">
      <c r="C7" s="140"/>
    </row>
    <row r="8" spans="1:37" x14ac:dyDescent="0.25">
      <c r="C8" s="140"/>
    </row>
    <row r="9" spans="1:37" x14ac:dyDescent="0.25">
      <c r="C9" s="140"/>
      <c r="V9" s="142"/>
    </row>
    <row r="10" spans="1:37" x14ac:dyDescent="0.25">
      <c r="C10" s="140"/>
    </row>
    <row r="11" spans="1:37" x14ac:dyDescent="0.25">
      <c r="C11" s="140"/>
    </row>
    <row r="12" spans="1:37" x14ac:dyDescent="0.25">
      <c r="C12" s="140"/>
    </row>
    <row r="13" spans="1:37" x14ac:dyDescent="0.25">
      <c r="C13" s="140"/>
    </row>
    <row r="14" spans="1:37" x14ac:dyDescent="0.25">
      <c r="C14" s="140"/>
    </row>
    <row r="15" spans="1:37" x14ac:dyDescent="0.25">
      <c r="C15" s="140"/>
    </row>
    <row r="16" spans="1:37" x14ac:dyDescent="0.25">
      <c r="C16" s="140"/>
    </row>
    <row r="17" spans="3:3" x14ac:dyDescent="0.25">
      <c r="C17" s="140"/>
    </row>
    <row r="18" spans="3:3" x14ac:dyDescent="0.25">
      <c r="C18" s="140"/>
    </row>
  </sheetData>
  <autoFilter ref="A1:G2"/>
  <hyperlinks>
    <hyperlink ref="I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H221"/>
  <sheetViews>
    <sheetView zoomScaleNormal="100" workbookViewId="0">
      <selection activeCell="E2" sqref="E2"/>
    </sheetView>
  </sheetViews>
  <sheetFormatPr defaultRowHeight="15" x14ac:dyDescent="0.25"/>
  <cols>
    <col min="1" max="1" width="9.140625" style="53"/>
    <col min="2" max="2" width="15.5703125" style="53"/>
    <col min="3" max="3" width="18.28515625"/>
    <col min="4" max="4" width="15.28515625"/>
    <col min="5" max="5" width="11.42578125" style="74" bestFit="1" customWidth="1"/>
    <col min="6" max="6" width="23.7109375" style="75"/>
    <col min="7" max="7" width="26.28515625" style="75"/>
    <col min="8" max="8" width="15.140625"/>
    <col min="9" max="9" width="15.28515625"/>
    <col min="10" max="10" width="9.85546875"/>
    <col min="11" max="1025" width="8.28515625"/>
  </cols>
  <sheetData>
    <row r="1" spans="1:8" s="79" customFormat="1" ht="30" x14ac:dyDescent="0.25">
      <c r="A1" s="76" t="s">
        <v>757</v>
      </c>
      <c r="B1" s="76" t="s">
        <v>758</v>
      </c>
      <c r="C1" s="76" t="s">
        <v>759</v>
      </c>
      <c r="D1" s="76" t="s">
        <v>760</v>
      </c>
      <c r="E1" s="77" t="s">
        <v>761</v>
      </c>
      <c r="F1" s="78" t="s">
        <v>762</v>
      </c>
      <c r="G1" s="78" t="s">
        <v>763</v>
      </c>
      <c r="H1" s="76"/>
    </row>
    <row r="2" spans="1:8" x14ac:dyDescent="0.25">
      <c r="A2" s="53" t="s">
        <v>764</v>
      </c>
      <c r="B2" s="53" t="s">
        <v>765</v>
      </c>
      <c r="C2" t="s">
        <v>766</v>
      </c>
      <c r="D2" t="s">
        <v>767</v>
      </c>
      <c r="E2" s="74" t="s">
        <v>768</v>
      </c>
      <c r="F2" s="80">
        <v>1.6</v>
      </c>
      <c r="G2" s="80">
        <v>2.2999999999999998</v>
      </c>
    </row>
    <row r="3" spans="1:8" x14ac:dyDescent="0.25">
      <c r="A3" s="53" t="s">
        <v>769</v>
      </c>
      <c r="B3" s="53" t="s">
        <v>120</v>
      </c>
      <c r="C3" t="s">
        <v>770</v>
      </c>
      <c r="D3" t="s">
        <v>767</v>
      </c>
      <c r="E3" s="74" t="s">
        <v>768</v>
      </c>
      <c r="F3" s="80">
        <v>1.6</v>
      </c>
      <c r="G3" s="80">
        <v>2.2999999999999998</v>
      </c>
    </row>
    <row r="4" spans="1:8" x14ac:dyDescent="0.25">
      <c r="A4" s="53" t="s">
        <v>771</v>
      </c>
      <c r="B4" s="53" t="s">
        <v>217</v>
      </c>
      <c r="C4" t="s">
        <v>772</v>
      </c>
      <c r="D4" t="s">
        <v>767</v>
      </c>
      <c r="E4" s="74" t="s">
        <v>768</v>
      </c>
      <c r="F4" s="80">
        <v>1.6</v>
      </c>
      <c r="G4" s="80">
        <v>2.2999999999999998</v>
      </c>
    </row>
    <row r="5" spans="1:8" x14ac:dyDescent="0.25">
      <c r="A5" s="53" t="s">
        <v>773</v>
      </c>
      <c r="B5" s="53" t="s">
        <v>774</v>
      </c>
      <c r="C5" t="s">
        <v>775</v>
      </c>
      <c r="D5" t="s">
        <v>776</v>
      </c>
      <c r="E5" s="74" t="s">
        <v>777</v>
      </c>
      <c r="F5" s="80">
        <v>1.6</v>
      </c>
      <c r="G5" s="80">
        <v>1.7</v>
      </c>
    </row>
    <row r="6" spans="1:8" x14ac:dyDescent="0.25">
      <c r="A6" s="53" t="s">
        <v>778</v>
      </c>
      <c r="B6" s="53" t="s">
        <v>779</v>
      </c>
      <c r="C6" t="s">
        <v>780</v>
      </c>
      <c r="D6" t="s">
        <v>781</v>
      </c>
      <c r="E6" s="74" t="s">
        <v>768</v>
      </c>
      <c r="F6" s="80">
        <v>1.6</v>
      </c>
      <c r="G6" s="80">
        <v>2.2999999999999998</v>
      </c>
    </row>
    <row r="7" spans="1:8" x14ac:dyDescent="0.25">
      <c r="A7" s="53" t="s">
        <v>782</v>
      </c>
      <c r="B7" s="53" t="s">
        <v>338</v>
      </c>
      <c r="C7" t="s">
        <v>783</v>
      </c>
      <c r="D7" t="s">
        <v>781</v>
      </c>
      <c r="E7" s="74" t="s">
        <v>768</v>
      </c>
      <c r="F7" s="80">
        <v>1.6</v>
      </c>
      <c r="G7" s="80">
        <v>2.2999999999999998</v>
      </c>
    </row>
    <row r="8" spans="1:8" x14ac:dyDescent="0.25">
      <c r="A8" s="53" t="s">
        <v>784</v>
      </c>
      <c r="B8" s="53" t="s">
        <v>785</v>
      </c>
      <c r="C8" t="s">
        <v>786</v>
      </c>
      <c r="D8" t="s">
        <v>781</v>
      </c>
      <c r="E8" s="74" t="s">
        <v>768</v>
      </c>
      <c r="F8" s="80">
        <v>1.6</v>
      </c>
      <c r="G8" s="80">
        <v>2.2999999999999998</v>
      </c>
    </row>
    <row r="9" spans="1:8" x14ac:dyDescent="0.25">
      <c r="A9" s="53" t="s">
        <v>787</v>
      </c>
      <c r="B9" s="53" t="s">
        <v>340</v>
      </c>
      <c r="C9" t="s">
        <v>788</v>
      </c>
      <c r="D9" t="s">
        <v>781</v>
      </c>
      <c r="E9" s="74" t="s">
        <v>768</v>
      </c>
      <c r="F9" s="80">
        <v>1.6</v>
      </c>
      <c r="G9" s="80">
        <v>2.2999999999999998</v>
      </c>
    </row>
    <row r="10" spans="1:8" x14ac:dyDescent="0.25">
      <c r="A10" s="53" t="s">
        <v>789</v>
      </c>
      <c r="B10" s="53" t="s">
        <v>218</v>
      </c>
      <c r="C10" t="s">
        <v>790</v>
      </c>
      <c r="D10" t="s">
        <v>781</v>
      </c>
      <c r="E10" s="74" t="s">
        <v>768</v>
      </c>
      <c r="F10" s="80">
        <v>1.6</v>
      </c>
      <c r="G10" s="80">
        <v>2.2999999999999998</v>
      </c>
    </row>
    <row r="11" spans="1:8" x14ac:dyDescent="0.25">
      <c r="A11" s="53" t="s">
        <v>791</v>
      </c>
      <c r="B11" s="53" t="s">
        <v>792</v>
      </c>
      <c r="C11" t="s">
        <v>793</v>
      </c>
      <c r="D11" t="s">
        <v>781</v>
      </c>
      <c r="E11" s="74" t="s">
        <v>768</v>
      </c>
      <c r="F11" s="80">
        <v>1.6</v>
      </c>
      <c r="G11" s="80">
        <v>2.2999999999999998</v>
      </c>
    </row>
    <row r="12" spans="1:8" x14ac:dyDescent="0.25">
      <c r="A12" s="53" t="s">
        <v>794</v>
      </c>
      <c r="B12" s="53" t="s">
        <v>795</v>
      </c>
      <c r="C12" t="s">
        <v>796</v>
      </c>
      <c r="D12" t="s">
        <v>781</v>
      </c>
      <c r="E12" s="74" t="s">
        <v>768</v>
      </c>
      <c r="F12" s="80">
        <v>1.6</v>
      </c>
      <c r="G12" s="80">
        <v>2.2999999999999998</v>
      </c>
    </row>
    <row r="13" spans="1:8" x14ac:dyDescent="0.25">
      <c r="A13" s="53" t="s">
        <v>797</v>
      </c>
      <c r="B13" s="53" t="s">
        <v>344</v>
      </c>
      <c r="C13" t="s">
        <v>798</v>
      </c>
      <c r="D13" t="s">
        <v>781</v>
      </c>
      <c r="E13" s="74" t="s">
        <v>768</v>
      </c>
      <c r="F13" s="80">
        <v>1.6</v>
      </c>
      <c r="G13" s="80">
        <v>2.2999999999999998</v>
      </c>
    </row>
    <row r="14" spans="1:8" x14ac:dyDescent="0.25">
      <c r="A14" s="53" t="s">
        <v>799</v>
      </c>
      <c r="B14" s="53" t="s">
        <v>219</v>
      </c>
      <c r="C14" t="s">
        <v>800</v>
      </c>
      <c r="D14" t="s">
        <v>781</v>
      </c>
      <c r="E14" s="74" t="s">
        <v>768</v>
      </c>
      <c r="F14" s="80">
        <v>1.6</v>
      </c>
      <c r="G14" s="80">
        <v>2.2999999999999998</v>
      </c>
    </row>
    <row r="15" spans="1:8" x14ac:dyDescent="0.25">
      <c r="A15" s="53" t="s">
        <v>801</v>
      </c>
      <c r="B15" s="53" t="s">
        <v>346</v>
      </c>
      <c r="C15" t="s">
        <v>802</v>
      </c>
      <c r="D15" t="s">
        <v>781</v>
      </c>
      <c r="E15" s="74" t="s">
        <v>768</v>
      </c>
      <c r="F15" s="80">
        <v>1.6</v>
      </c>
      <c r="G15" s="80">
        <v>2.2999999999999998</v>
      </c>
    </row>
    <row r="16" spans="1:8" x14ac:dyDescent="0.25">
      <c r="A16" s="53" t="s">
        <v>803</v>
      </c>
      <c r="B16" s="53" t="s">
        <v>220</v>
      </c>
      <c r="C16" t="s">
        <v>804</v>
      </c>
      <c r="D16" t="s">
        <v>781</v>
      </c>
      <c r="E16" s="74" t="s">
        <v>768</v>
      </c>
      <c r="F16" s="80">
        <v>1.6</v>
      </c>
      <c r="G16" s="80">
        <v>2.2999999999999998</v>
      </c>
    </row>
    <row r="17" spans="1:7" x14ac:dyDescent="0.25">
      <c r="A17" s="53" t="s">
        <v>805</v>
      </c>
      <c r="B17" s="53" t="s">
        <v>221</v>
      </c>
      <c r="C17" t="s">
        <v>806</v>
      </c>
      <c r="D17" t="s">
        <v>781</v>
      </c>
      <c r="E17" s="74" t="s">
        <v>768</v>
      </c>
      <c r="F17" s="80">
        <v>1.6</v>
      </c>
      <c r="G17" s="80">
        <v>2.2999999999999998</v>
      </c>
    </row>
    <row r="18" spans="1:7" x14ac:dyDescent="0.25">
      <c r="A18" s="53" t="s">
        <v>807</v>
      </c>
      <c r="B18" s="53" t="s">
        <v>350</v>
      </c>
      <c r="C18" t="s">
        <v>808</v>
      </c>
      <c r="D18" t="s">
        <v>781</v>
      </c>
      <c r="E18" s="74" t="s">
        <v>768</v>
      </c>
      <c r="F18" s="80">
        <v>1.6</v>
      </c>
      <c r="G18" s="80">
        <v>2.2999999999999998</v>
      </c>
    </row>
    <row r="19" spans="1:7" x14ac:dyDescent="0.25">
      <c r="A19" s="53" t="s">
        <v>809</v>
      </c>
      <c r="B19" s="53" t="s">
        <v>222</v>
      </c>
      <c r="C19" t="s">
        <v>810</v>
      </c>
      <c r="D19" t="s">
        <v>781</v>
      </c>
      <c r="E19" s="74" t="s">
        <v>768</v>
      </c>
      <c r="F19" s="80">
        <v>1.6</v>
      </c>
      <c r="G19" s="80">
        <v>2.2999999999999998</v>
      </c>
    </row>
    <row r="20" spans="1:7" x14ac:dyDescent="0.25">
      <c r="A20" s="53" t="s">
        <v>811</v>
      </c>
      <c r="B20" s="53" t="s">
        <v>812</v>
      </c>
      <c r="C20" t="s">
        <v>813</v>
      </c>
      <c r="D20" t="s">
        <v>781</v>
      </c>
      <c r="E20" s="74" t="s">
        <v>768</v>
      </c>
      <c r="F20" s="80">
        <v>1.6</v>
      </c>
      <c r="G20" s="80">
        <v>2.2999999999999998</v>
      </c>
    </row>
    <row r="21" spans="1:7" x14ac:dyDescent="0.25">
      <c r="A21" s="53" t="s">
        <v>814</v>
      </c>
      <c r="B21" s="53" t="s">
        <v>121</v>
      </c>
      <c r="C21" t="s">
        <v>815</v>
      </c>
      <c r="D21" t="s">
        <v>781</v>
      </c>
      <c r="E21" s="74" t="s">
        <v>768</v>
      </c>
      <c r="F21" s="80">
        <v>1.6</v>
      </c>
      <c r="G21" s="80">
        <v>2.2999999999999998</v>
      </c>
    </row>
    <row r="22" spans="1:7" x14ac:dyDescent="0.25">
      <c r="A22" s="53" t="s">
        <v>816</v>
      </c>
      <c r="B22" s="53" t="s">
        <v>223</v>
      </c>
      <c r="C22" t="s">
        <v>817</v>
      </c>
      <c r="D22" t="s">
        <v>781</v>
      </c>
      <c r="E22" s="74" t="s">
        <v>768</v>
      </c>
      <c r="F22" s="80">
        <v>1.6</v>
      </c>
      <c r="G22" s="80">
        <v>2.2999999999999998</v>
      </c>
    </row>
    <row r="23" spans="1:7" x14ac:dyDescent="0.25">
      <c r="A23" s="53" t="s">
        <v>818</v>
      </c>
      <c r="B23" s="53" t="s">
        <v>819</v>
      </c>
      <c r="C23" t="s">
        <v>820</v>
      </c>
      <c r="D23" t="s">
        <v>781</v>
      </c>
      <c r="E23" s="74" t="s">
        <v>768</v>
      </c>
      <c r="F23" s="80">
        <v>1.6</v>
      </c>
      <c r="G23" s="80">
        <v>2.2999999999999998</v>
      </c>
    </row>
    <row r="24" spans="1:7" x14ac:dyDescent="0.25">
      <c r="A24" s="53" t="s">
        <v>821</v>
      </c>
      <c r="B24" s="53" t="s">
        <v>822</v>
      </c>
      <c r="C24" t="s">
        <v>823</v>
      </c>
      <c r="D24" t="s">
        <v>824</v>
      </c>
      <c r="E24" s="74" t="s">
        <v>777</v>
      </c>
      <c r="F24" s="80">
        <v>1.6</v>
      </c>
      <c r="G24" s="80">
        <v>1.75</v>
      </c>
    </row>
    <row r="25" spans="1:7" x14ac:dyDescent="0.25">
      <c r="A25" s="53" t="s">
        <v>825</v>
      </c>
      <c r="B25" s="53" t="s">
        <v>826</v>
      </c>
      <c r="C25" t="s">
        <v>827</v>
      </c>
      <c r="D25" t="s">
        <v>824</v>
      </c>
      <c r="E25" s="74" t="s">
        <v>777</v>
      </c>
      <c r="F25" s="80">
        <v>1.6</v>
      </c>
      <c r="G25" s="80">
        <v>1.75</v>
      </c>
    </row>
    <row r="26" spans="1:7" x14ac:dyDescent="0.25">
      <c r="A26" s="53" t="s">
        <v>828</v>
      </c>
      <c r="B26" s="53" t="s">
        <v>829</v>
      </c>
      <c r="C26" t="s">
        <v>830</v>
      </c>
      <c r="D26" t="s">
        <v>824</v>
      </c>
      <c r="E26" s="74" t="s">
        <v>777</v>
      </c>
      <c r="F26" s="80">
        <v>1.6</v>
      </c>
      <c r="G26" s="80">
        <v>1.75</v>
      </c>
    </row>
    <row r="27" spans="1:7" x14ac:dyDescent="0.25">
      <c r="A27" s="53" t="s">
        <v>831</v>
      </c>
      <c r="B27" s="53" t="s">
        <v>832</v>
      </c>
      <c r="C27" t="s">
        <v>833</v>
      </c>
      <c r="D27" t="s">
        <v>824</v>
      </c>
      <c r="E27" s="74" t="s">
        <v>777</v>
      </c>
      <c r="F27" s="80">
        <v>1.6</v>
      </c>
      <c r="G27" s="80">
        <v>1.75</v>
      </c>
    </row>
    <row r="28" spans="1:7" x14ac:dyDescent="0.25">
      <c r="A28" s="53" t="s">
        <v>834</v>
      </c>
      <c r="B28" s="53" t="s">
        <v>224</v>
      </c>
      <c r="C28" t="s">
        <v>835</v>
      </c>
      <c r="D28" t="s">
        <v>824</v>
      </c>
      <c r="E28" s="74" t="s">
        <v>777</v>
      </c>
      <c r="F28" s="80">
        <v>1.6</v>
      </c>
      <c r="G28" s="80">
        <v>1.75</v>
      </c>
    </row>
    <row r="29" spans="1:7" x14ac:dyDescent="0.25">
      <c r="A29" s="53" t="s">
        <v>836</v>
      </c>
      <c r="B29" s="53" t="s">
        <v>837</v>
      </c>
      <c r="C29" t="s">
        <v>838</v>
      </c>
      <c r="D29" t="s">
        <v>839</v>
      </c>
      <c r="E29" s="74" t="s">
        <v>840</v>
      </c>
      <c r="F29" s="80">
        <v>1.8</v>
      </c>
      <c r="G29" s="80">
        <v>2</v>
      </c>
    </row>
    <row r="30" spans="1:7" x14ac:dyDescent="0.25">
      <c r="A30" s="53" t="s">
        <v>841</v>
      </c>
      <c r="B30" s="53" t="s">
        <v>842</v>
      </c>
      <c r="C30" t="s">
        <v>843</v>
      </c>
      <c r="D30" t="s">
        <v>839</v>
      </c>
      <c r="E30" s="74" t="s">
        <v>840</v>
      </c>
      <c r="F30" s="80">
        <v>1.8</v>
      </c>
      <c r="G30" s="80">
        <v>2</v>
      </c>
    </row>
    <row r="31" spans="1:7" x14ac:dyDescent="0.25">
      <c r="A31" s="53" t="s">
        <v>844</v>
      </c>
      <c r="B31" s="53" t="s">
        <v>122</v>
      </c>
      <c r="C31" t="s">
        <v>845</v>
      </c>
      <c r="D31" t="s">
        <v>839</v>
      </c>
      <c r="E31" s="74" t="s">
        <v>777</v>
      </c>
      <c r="F31" s="80">
        <v>1.6</v>
      </c>
      <c r="G31" s="80">
        <v>1.75</v>
      </c>
    </row>
    <row r="32" spans="1:7" x14ac:dyDescent="0.25">
      <c r="A32" s="53" t="s">
        <v>846</v>
      </c>
      <c r="B32" s="53" t="s">
        <v>847</v>
      </c>
      <c r="C32" t="s">
        <v>848</v>
      </c>
      <c r="D32" t="s">
        <v>849</v>
      </c>
      <c r="E32" s="74" t="s">
        <v>768</v>
      </c>
      <c r="F32" s="80">
        <v>1.6</v>
      </c>
      <c r="G32" s="80">
        <v>2.2999999999999998</v>
      </c>
    </row>
    <row r="33" spans="1:7" x14ac:dyDescent="0.25">
      <c r="A33" s="53" t="s">
        <v>850</v>
      </c>
      <c r="B33" s="53" t="s">
        <v>851</v>
      </c>
      <c r="C33" t="s">
        <v>852</v>
      </c>
      <c r="D33" t="s">
        <v>849</v>
      </c>
      <c r="E33" s="74" t="s">
        <v>768</v>
      </c>
      <c r="F33" s="80">
        <v>1.6</v>
      </c>
      <c r="G33" s="80">
        <v>2.2999999999999998</v>
      </c>
    </row>
    <row r="34" spans="1:7" x14ac:dyDescent="0.25">
      <c r="A34" s="53" t="s">
        <v>853</v>
      </c>
      <c r="B34" s="53" t="s">
        <v>854</v>
      </c>
      <c r="C34" t="s">
        <v>855</v>
      </c>
      <c r="D34" t="s">
        <v>856</v>
      </c>
      <c r="E34" s="74" t="s">
        <v>768</v>
      </c>
      <c r="F34" s="80">
        <v>1.6</v>
      </c>
      <c r="G34" s="80">
        <v>2.2999999999999998</v>
      </c>
    </row>
    <row r="35" spans="1:7" x14ac:dyDescent="0.25">
      <c r="A35" s="53" t="s">
        <v>857</v>
      </c>
      <c r="B35" s="53" t="s">
        <v>858</v>
      </c>
      <c r="C35" t="s">
        <v>859</v>
      </c>
      <c r="D35" t="s">
        <v>856</v>
      </c>
      <c r="E35" s="74" t="s">
        <v>768</v>
      </c>
      <c r="F35" s="80">
        <v>1.6</v>
      </c>
      <c r="G35" s="80">
        <v>2.2999999999999998</v>
      </c>
    </row>
    <row r="36" spans="1:7" x14ac:dyDescent="0.25">
      <c r="A36" s="53" t="s">
        <v>860</v>
      </c>
      <c r="B36" s="53" t="s">
        <v>225</v>
      </c>
      <c r="C36" t="s">
        <v>861</v>
      </c>
      <c r="D36" t="s">
        <v>862</v>
      </c>
      <c r="E36" s="74" t="s">
        <v>768</v>
      </c>
      <c r="F36" s="80">
        <v>2.2000000000000002</v>
      </c>
      <c r="G36" s="80">
        <v>2.4</v>
      </c>
    </row>
    <row r="37" spans="1:7" x14ac:dyDescent="0.25">
      <c r="A37" s="53" t="s">
        <v>863</v>
      </c>
      <c r="B37" s="53" t="s">
        <v>864</v>
      </c>
      <c r="C37" t="s">
        <v>865</v>
      </c>
      <c r="D37" t="s">
        <v>862</v>
      </c>
      <c r="E37" s="74" t="s">
        <v>840</v>
      </c>
      <c r="F37" s="80">
        <v>1.6</v>
      </c>
      <c r="G37" s="80">
        <v>2.2999999999999998</v>
      </c>
    </row>
    <row r="38" spans="1:7" x14ac:dyDescent="0.25">
      <c r="A38" s="53" t="s">
        <v>866</v>
      </c>
      <c r="B38" s="53" t="s">
        <v>867</v>
      </c>
      <c r="C38" t="s">
        <v>868</v>
      </c>
      <c r="D38" t="s">
        <v>862</v>
      </c>
      <c r="E38" s="74" t="s">
        <v>840</v>
      </c>
      <c r="F38" s="80">
        <v>1.85</v>
      </c>
      <c r="G38" s="80">
        <v>2.35</v>
      </c>
    </row>
    <row r="39" spans="1:7" x14ac:dyDescent="0.25">
      <c r="A39" s="53" t="s">
        <v>869</v>
      </c>
      <c r="B39" s="53" t="s">
        <v>870</v>
      </c>
      <c r="C39" t="s">
        <v>871</v>
      </c>
      <c r="D39" t="s">
        <v>862</v>
      </c>
      <c r="E39" s="74" t="s">
        <v>840</v>
      </c>
      <c r="F39" s="80">
        <v>1.85</v>
      </c>
      <c r="G39" s="80">
        <v>2.35</v>
      </c>
    </row>
    <row r="40" spans="1:7" x14ac:dyDescent="0.25">
      <c r="A40" s="53" t="s">
        <v>872</v>
      </c>
      <c r="B40" s="53" t="s">
        <v>226</v>
      </c>
      <c r="C40" t="s">
        <v>873</v>
      </c>
      <c r="D40" t="s">
        <v>862</v>
      </c>
      <c r="E40" s="74" t="s">
        <v>768</v>
      </c>
      <c r="F40" s="80">
        <v>2.0499999999999998</v>
      </c>
      <c r="G40" s="80">
        <v>2.4</v>
      </c>
    </row>
    <row r="41" spans="1:7" x14ac:dyDescent="0.25">
      <c r="A41" s="53" t="s">
        <v>874</v>
      </c>
      <c r="B41" s="53" t="s">
        <v>875</v>
      </c>
      <c r="C41" t="s">
        <v>876</v>
      </c>
      <c r="D41" t="s">
        <v>862</v>
      </c>
      <c r="E41" s="74" t="s">
        <v>768</v>
      </c>
      <c r="F41" s="80">
        <v>2.0499999999999998</v>
      </c>
      <c r="G41" s="80">
        <v>2.4</v>
      </c>
    </row>
    <row r="42" spans="1:7" x14ac:dyDescent="0.25">
      <c r="A42" s="53" t="s">
        <v>877</v>
      </c>
      <c r="B42" s="53" t="s">
        <v>878</v>
      </c>
      <c r="C42" t="s">
        <v>879</v>
      </c>
      <c r="D42" t="s">
        <v>862</v>
      </c>
      <c r="E42" s="74" t="s">
        <v>777</v>
      </c>
      <c r="F42" s="80">
        <v>16</v>
      </c>
      <c r="G42" s="80">
        <v>1.75</v>
      </c>
    </row>
    <row r="43" spans="1:7" x14ac:dyDescent="0.25">
      <c r="A43" s="53" t="s">
        <v>880</v>
      </c>
      <c r="B43" s="53" t="s">
        <v>881</v>
      </c>
      <c r="C43" t="s">
        <v>882</v>
      </c>
      <c r="D43" t="s">
        <v>862</v>
      </c>
      <c r="E43" s="74" t="s">
        <v>777</v>
      </c>
      <c r="F43" s="80">
        <v>16</v>
      </c>
      <c r="G43" s="80">
        <v>1.75</v>
      </c>
    </row>
    <row r="44" spans="1:7" x14ac:dyDescent="0.25">
      <c r="A44" s="53" t="s">
        <v>883</v>
      </c>
      <c r="B44" s="53" t="s">
        <v>123</v>
      </c>
      <c r="C44" t="s">
        <v>884</v>
      </c>
      <c r="D44" t="s">
        <v>862</v>
      </c>
      <c r="E44" s="74" t="s">
        <v>768</v>
      </c>
      <c r="F44" s="80">
        <v>1.6</v>
      </c>
      <c r="G44" s="80">
        <v>2.2999999999999998</v>
      </c>
    </row>
    <row r="45" spans="1:7" x14ac:dyDescent="0.25">
      <c r="A45" s="53" t="s">
        <v>885</v>
      </c>
      <c r="B45" s="53" t="s">
        <v>227</v>
      </c>
      <c r="C45" t="s">
        <v>886</v>
      </c>
      <c r="D45" t="s">
        <v>862</v>
      </c>
      <c r="E45" s="74" t="s">
        <v>768</v>
      </c>
      <c r="F45" s="80">
        <v>1.6</v>
      </c>
      <c r="G45" s="80">
        <v>2.2999999999999998</v>
      </c>
    </row>
    <row r="46" spans="1:7" x14ac:dyDescent="0.25">
      <c r="A46" s="53" t="s">
        <v>887</v>
      </c>
      <c r="B46" s="53" t="s">
        <v>888</v>
      </c>
      <c r="C46" t="s">
        <v>889</v>
      </c>
      <c r="D46" t="s">
        <v>862</v>
      </c>
      <c r="E46" s="74" t="s">
        <v>768</v>
      </c>
      <c r="F46" s="80">
        <v>1.6</v>
      </c>
      <c r="G46" s="80">
        <v>2.2999999999999998</v>
      </c>
    </row>
    <row r="47" spans="1:7" x14ac:dyDescent="0.25">
      <c r="A47" s="53" t="s">
        <v>890</v>
      </c>
      <c r="B47" s="53" t="s">
        <v>891</v>
      </c>
      <c r="C47" t="s">
        <v>892</v>
      </c>
      <c r="D47" t="s">
        <v>862</v>
      </c>
      <c r="E47" s="74" t="s">
        <v>768</v>
      </c>
      <c r="F47" s="80">
        <v>1.6</v>
      </c>
      <c r="G47" s="80">
        <v>2.2999999999999998</v>
      </c>
    </row>
    <row r="48" spans="1:7" x14ac:dyDescent="0.25">
      <c r="A48" s="53" t="s">
        <v>893</v>
      </c>
      <c r="B48" s="53" t="s">
        <v>894</v>
      </c>
      <c r="C48" t="s">
        <v>895</v>
      </c>
      <c r="D48" t="s">
        <v>896</v>
      </c>
      <c r="E48" s="74" t="s">
        <v>777</v>
      </c>
      <c r="F48" s="80">
        <v>1.6</v>
      </c>
      <c r="G48" s="80">
        <v>1.95</v>
      </c>
    </row>
    <row r="49" spans="1:7" x14ac:dyDescent="0.25">
      <c r="A49" s="53" t="s">
        <v>897</v>
      </c>
      <c r="B49" s="53" t="s">
        <v>898</v>
      </c>
      <c r="C49" t="s">
        <v>899</v>
      </c>
      <c r="D49" t="s">
        <v>896</v>
      </c>
      <c r="E49" s="74" t="s">
        <v>777</v>
      </c>
      <c r="F49" s="80">
        <v>1.6</v>
      </c>
      <c r="G49" s="80">
        <v>1.95</v>
      </c>
    </row>
    <row r="50" spans="1:7" x14ac:dyDescent="0.25">
      <c r="A50" s="53" t="s">
        <v>900</v>
      </c>
      <c r="B50" s="53" t="s">
        <v>365</v>
      </c>
      <c r="C50" t="s">
        <v>901</v>
      </c>
      <c r="D50" t="s">
        <v>896</v>
      </c>
      <c r="E50" s="74" t="s">
        <v>777</v>
      </c>
      <c r="F50" s="80">
        <v>1.6</v>
      </c>
      <c r="G50" s="80">
        <v>1.95</v>
      </c>
    </row>
    <row r="51" spans="1:7" x14ac:dyDescent="0.25">
      <c r="A51" s="53" t="s">
        <v>902</v>
      </c>
      <c r="B51" s="53" t="s">
        <v>367</v>
      </c>
      <c r="C51" t="s">
        <v>903</v>
      </c>
      <c r="D51" t="s">
        <v>904</v>
      </c>
      <c r="E51" s="74" t="s">
        <v>768</v>
      </c>
      <c r="F51" s="80">
        <v>1.6</v>
      </c>
      <c r="G51" s="80">
        <v>2.2999999999999998</v>
      </c>
    </row>
    <row r="52" spans="1:7" x14ac:dyDescent="0.25">
      <c r="A52" s="53" t="s">
        <v>905</v>
      </c>
      <c r="B52" s="53" t="s">
        <v>228</v>
      </c>
      <c r="C52" t="s">
        <v>906</v>
      </c>
      <c r="D52" t="s">
        <v>904</v>
      </c>
      <c r="E52" s="74" t="s">
        <v>768</v>
      </c>
      <c r="F52" s="80">
        <v>1.6</v>
      </c>
      <c r="G52" s="80">
        <v>2.2999999999999998</v>
      </c>
    </row>
    <row r="53" spans="1:7" x14ac:dyDescent="0.25">
      <c r="A53" s="53" t="s">
        <v>907</v>
      </c>
      <c r="B53" s="53" t="s">
        <v>124</v>
      </c>
      <c r="C53" t="s">
        <v>908</v>
      </c>
      <c r="D53" t="s">
        <v>904</v>
      </c>
      <c r="E53" s="74" t="s">
        <v>840</v>
      </c>
      <c r="F53" s="80">
        <v>1.8</v>
      </c>
      <c r="G53" s="80">
        <v>1.95</v>
      </c>
    </row>
    <row r="54" spans="1:7" x14ac:dyDescent="0.25">
      <c r="A54" s="53" t="s">
        <v>909</v>
      </c>
      <c r="B54" s="53" t="s">
        <v>229</v>
      </c>
      <c r="C54" t="s">
        <v>910</v>
      </c>
      <c r="D54" t="s">
        <v>904</v>
      </c>
      <c r="E54" s="74" t="s">
        <v>840</v>
      </c>
      <c r="F54" s="80">
        <v>1.9</v>
      </c>
      <c r="G54" s="80">
        <v>2.4</v>
      </c>
    </row>
    <row r="55" spans="1:7" x14ac:dyDescent="0.25">
      <c r="A55" s="53" t="s">
        <v>911</v>
      </c>
      <c r="B55" s="53" t="s">
        <v>912</v>
      </c>
      <c r="C55" t="s">
        <v>913</v>
      </c>
      <c r="D55" t="s">
        <v>904</v>
      </c>
      <c r="E55" s="74" t="s">
        <v>768</v>
      </c>
      <c r="F55" s="80">
        <v>1.6</v>
      </c>
      <c r="G55" s="80">
        <v>2.2999999999999998</v>
      </c>
    </row>
    <row r="56" spans="1:7" x14ac:dyDescent="0.25">
      <c r="A56" s="53" t="s">
        <v>914</v>
      </c>
      <c r="B56" s="53" t="s">
        <v>230</v>
      </c>
      <c r="C56" t="s">
        <v>915</v>
      </c>
      <c r="D56" t="s">
        <v>904</v>
      </c>
      <c r="E56" s="74" t="s">
        <v>777</v>
      </c>
      <c r="F56" s="80">
        <v>1.6</v>
      </c>
      <c r="G56" s="80">
        <v>1.75</v>
      </c>
    </row>
    <row r="57" spans="1:7" x14ac:dyDescent="0.25">
      <c r="A57" s="53" t="s">
        <v>916</v>
      </c>
      <c r="B57" s="53" t="s">
        <v>125</v>
      </c>
      <c r="C57" t="s">
        <v>917</v>
      </c>
      <c r="D57" t="s">
        <v>904</v>
      </c>
      <c r="E57" s="74" t="s">
        <v>768</v>
      </c>
      <c r="F57" s="80">
        <v>1.6</v>
      </c>
      <c r="G57" s="80">
        <v>2.2999999999999998</v>
      </c>
    </row>
    <row r="58" spans="1:7" x14ac:dyDescent="0.25">
      <c r="A58" s="53" t="s">
        <v>918</v>
      </c>
      <c r="B58" s="53" t="s">
        <v>231</v>
      </c>
      <c r="C58" t="s">
        <v>919</v>
      </c>
      <c r="D58" t="s">
        <v>904</v>
      </c>
      <c r="E58" s="74" t="s">
        <v>768</v>
      </c>
      <c r="F58" s="80">
        <v>1.6</v>
      </c>
      <c r="G58" s="80">
        <v>2.2999999999999998</v>
      </c>
    </row>
    <row r="59" spans="1:7" x14ac:dyDescent="0.25">
      <c r="A59" s="53" t="s">
        <v>920</v>
      </c>
      <c r="B59" s="53" t="s">
        <v>921</v>
      </c>
      <c r="C59" t="s">
        <v>922</v>
      </c>
      <c r="D59" t="s">
        <v>904</v>
      </c>
      <c r="E59" s="74" t="s">
        <v>768</v>
      </c>
      <c r="F59" s="80">
        <v>2.0499999999999998</v>
      </c>
      <c r="G59" s="80">
        <v>2.2999999999999998</v>
      </c>
    </row>
    <row r="60" spans="1:7" x14ac:dyDescent="0.25">
      <c r="A60" s="53" t="s">
        <v>923</v>
      </c>
      <c r="B60" s="53" t="s">
        <v>924</v>
      </c>
      <c r="C60" t="s">
        <v>925</v>
      </c>
      <c r="D60" t="s">
        <v>904</v>
      </c>
      <c r="E60" s="74" t="s">
        <v>768</v>
      </c>
      <c r="F60" s="80">
        <v>2.0499999999999998</v>
      </c>
      <c r="G60" s="80">
        <v>2.2999999999999998</v>
      </c>
    </row>
    <row r="61" spans="1:7" x14ac:dyDescent="0.25">
      <c r="A61" s="53" t="s">
        <v>926</v>
      </c>
      <c r="B61" s="53" t="s">
        <v>376</v>
      </c>
      <c r="C61" t="s">
        <v>927</v>
      </c>
      <c r="D61" t="s">
        <v>904</v>
      </c>
      <c r="E61" s="74" t="s">
        <v>768</v>
      </c>
      <c r="F61" s="80">
        <v>1.6</v>
      </c>
      <c r="G61" s="80">
        <v>2.2999999999999998</v>
      </c>
    </row>
    <row r="62" spans="1:7" x14ac:dyDescent="0.25">
      <c r="A62" s="53" t="s">
        <v>928</v>
      </c>
      <c r="B62" s="53" t="s">
        <v>929</v>
      </c>
      <c r="C62" t="s">
        <v>930</v>
      </c>
      <c r="D62" t="s">
        <v>931</v>
      </c>
      <c r="E62" s="74" t="s">
        <v>768</v>
      </c>
      <c r="F62" s="80">
        <v>1.6</v>
      </c>
      <c r="G62" s="80">
        <v>2.2999999999999998</v>
      </c>
    </row>
    <row r="63" spans="1:7" x14ac:dyDescent="0.25">
      <c r="A63" s="53" t="s">
        <v>932</v>
      </c>
      <c r="B63" s="53" t="s">
        <v>933</v>
      </c>
      <c r="C63" t="s">
        <v>934</v>
      </c>
      <c r="D63" t="s">
        <v>931</v>
      </c>
      <c r="E63" s="74" t="s">
        <v>768</v>
      </c>
      <c r="F63" s="80">
        <v>1.6</v>
      </c>
      <c r="G63" s="80">
        <v>2.2999999999999998</v>
      </c>
    </row>
    <row r="64" spans="1:7" x14ac:dyDescent="0.25">
      <c r="A64" s="53" t="s">
        <v>935</v>
      </c>
      <c r="B64" s="53" t="s">
        <v>378</v>
      </c>
      <c r="C64" t="s">
        <v>936</v>
      </c>
      <c r="D64" t="s">
        <v>931</v>
      </c>
      <c r="E64" s="74" t="s">
        <v>768</v>
      </c>
      <c r="F64" s="80">
        <v>2.0499999999999998</v>
      </c>
      <c r="G64" s="80">
        <v>2.2999999999999998</v>
      </c>
    </row>
    <row r="65" spans="1:7" x14ac:dyDescent="0.25">
      <c r="A65" s="53" t="s">
        <v>937</v>
      </c>
      <c r="B65" s="53" t="s">
        <v>232</v>
      </c>
      <c r="C65" t="s">
        <v>938</v>
      </c>
      <c r="D65" t="s">
        <v>931</v>
      </c>
      <c r="E65" s="74" t="s">
        <v>768</v>
      </c>
      <c r="F65" s="80">
        <v>1.6</v>
      </c>
      <c r="G65" s="80">
        <v>2.2999999999999998</v>
      </c>
    </row>
    <row r="66" spans="1:7" x14ac:dyDescent="0.25">
      <c r="A66" s="53" t="s">
        <v>939</v>
      </c>
      <c r="B66" s="53" t="s">
        <v>126</v>
      </c>
      <c r="C66" t="s">
        <v>940</v>
      </c>
      <c r="D66" t="s">
        <v>931</v>
      </c>
      <c r="E66" s="74" t="s">
        <v>768</v>
      </c>
      <c r="F66" s="80">
        <v>1.6</v>
      </c>
      <c r="G66" s="80">
        <v>2.2999999999999998</v>
      </c>
    </row>
    <row r="67" spans="1:7" x14ac:dyDescent="0.25">
      <c r="A67" s="53" t="s">
        <v>941</v>
      </c>
      <c r="B67" s="53" t="s">
        <v>942</v>
      </c>
      <c r="C67" t="s">
        <v>943</v>
      </c>
      <c r="D67" t="s">
        <v>931</v>
      </c>
      <c r="E67" s="74" t="s">
        <v>768</v>
      </c>
      <c r="F67" s="80">
        <v>1.6</v>
      </c>
      <c r="G67" s="80">
        <v>2.2999999999999998</v>
      </c>
    </row>
    <row r="68" spans="1:7" x14ac:dyDescent="0.25">
      <c r="A68" s="53" t="s">
        <v>944</v>
      </c>
      <c r="B68" s="53" t="s">
        <v>233</v>
      </c>
      <c r="C68" t="s">
        <v>945</v>
      </c>
      <c r="D68" t="s">
        <v>931</v>
      </c>
      <c r="E68" s="74" t="s">
        <v>768</v>
      </c>
      <c r="F68" s="80">
        <v>1.6</v>
      </c>
      <c r="G68" s="80">
        <v>2.2999999999999998</v>
      </c>
    </row>
    <row r="69" spans="1:7" x14ac:dyDescent="0.25">
      <c r="A69" s="53" t="s">
        <v>946</v>
      </c>
      <c r="B69" s="53" t="s">
        <v>947</v>
      </c>
      <c r="C69" t="s">
        <v>948</v>
      </c>
      <c r="D69" t="s">
        <v>931</v>
      </c>
      <c r="E69" s="74" t="s">
        <v>768</v>
      </c>
      <c r="F69" s="80">
        <v>2.2000000000000002</v>
      </c>
      <c r="G69" s="80">
        <v>2.4</v>
      </c>
    </row>
    <row r="70" spans="1:7" x14ac:dyDescent="0.25">
      <c r="A70" s="53" t="s">
        <v>949</v>
      </c>
      <c r="B70" s="53" t="s">
        <v>234</v>
      </c>
      <c r="C70" t="s">
        <v>950</v>
      </c>
      <c r="D70" t="s">
        <v>931</v>
      </c>
      <c r="E70" s="74" t="s">
        <v>768</v>
      </c>
      <c r="F70" s="80">
        <v>2.2000000000000002</v>
      </c>
      <c r="G70" s="80">
        <v>2.4</v>
      </c>
    </row>
    <row r="71" spans="1:7" x14ac:dyDescent="0.25">
      <c r="A71" s="53" t="s">
        <v>951</v>
      </c>
      <c r="B71" s="53" t="s">
        <v>389</v>
      </c>
      <c r="C71" t="s">
        <v>952</v>
      </c>
      <c r="D71" t="s">
        <v>931</v>
      </c>
      <c r="E71" s="74" t="s">
        <v>768</v>
      </c>
      <c r="F71" s="80">
        <v>1.6</v>
      </c>
      <c r="G71" s="80">
        <v>2.2999999999999998</v>
      </c>
    </row>
    <row r="72" spans="1:7" x14ac:dyDescent="0.25">
      <c r="A72" s="81" t="s">
        <v>953</v>
      </c>
      <c r="B72" s="53" t="s">
        <v>235</v>
      </c>
      <c r="C72" t="s">
        <v>954</v>
      </c>
      <c r="D72" t="s">
        <v>955</v>
      </c>
      <c r="E72" s="74" t="s">
        <v>768</v>
      </c>
      <c r="F72" s="80">
        <v>1.6</v>
      </c>
      <c r="G72" s="80">
        <v>2.2999999999999998</v>
      </c>
    </row>
    <row r="73" spans="1:7" x14ac:dyDescent="0.25">
      <c r="A73" s="81" t="s">
        <v>956</v>
      </c>
      <c r="B73" s="53" t="s">
        <v>957</v>
      </c>
      <c r="C73" t="s">
        <v>958</v>
      </c>
      <c r="D73" t="s">
        <v>955</v>
      </c>
      <c r="E73" s="74" t="s">
        <v>768</v>
      </c>
      <c r="F73" s="80">
        <v>1.6</v>
      </c>
      <c r="G73" s="80">
        <v>2.2999999999999998</v>
      </c>
    </row>
    <row r="74" spans="1:7" x14ac:dyDescent="0.25">
      <c r="A74" s="81" t="s">
        <v>959</v>
      </c>
      <c r="B74" s="53" t="s">
        <v>960</v>
      </c>
      <c r="C74" t="s">
        <v>961</v>
      </c>
      <c r="D74" t="s">
        <v>955</v>
      </c>
      <c r="E74" s="74" t="s">
        <v>768</v>
      </c>
      <c r="F74" s="80">
        <v>1.6</v>
      </c>
      <c r="G74" s="80">
        <v>2.2999999999999998</v>
      </c>
    </row>
    <row r="75" spans="1:7" x14ac:dyDescent="0.25">
      <c r="A75" s="81" t="s">
        <v>962</v>
      </c>
      <c r="B75" s="53" t="s">
        <v>236</v>
      </c>
      <c r="C75" t="s">
        <v>963</v>
      </c>
      <c r="D75" t="s">
        <v>955</v>
      </c>
      <c r="E75" s="74" t="s">
        <v>777</v>
      </c>
      <c r="F75" s="80">
        <v>1.6</v>
      </c>
      <c r="G75" s="80">
        <v>1.8</v>
      </c>
    </row>
    <row r="76" spans="1:7" x14ac:dyDescent="0.25">
      <c r="A76" s="81" t="s">
        <v>964</v>
      </c>
      <c r="B76" s="53" t="s">
        <v>965</v>
      </c>
      <c r="C76" t="s">
        <v>966</v>
      </c>
      <c r="D76" t="s">
        <v>955</v>
      </c>
      <c r="E76" s="74" t="s">
        <v>768</v>
      </c>
      <c r="F76" s="80">
        <v>1.6</v>
      </c>
      <c r="G76" s="80">
        <v>2.2999999999999998</v>
      </c>
    </row>
    <row r="77" spans="1:7" x14ac:dyDescent="0.25">
      <c r="A77" s="81" t="s">
        <v>967</v>
      </c>
      <c r="B77" s="53" t="s">
        <v>968</v>
      </c>
      <c r="C77" t="s">
        <v>969</v>
      </c>
      <c r="D77" t="s">
        <v>970</v>
      </c>
      <c r="E77" s="74" t="s">
        <v>768</v>
      </c>
      <c r="F77" s="80">
        <v>1.6</v>
      </c>
      <c r="G77" s="80">
        <v>2.2999999999999998</v>
      </c>
    </row>
    <row r="78" spans="1:7" x14ac:dyDescent="0.25">
      <c r="A78" s="81" t="s">
        <v>971</v>
      </c>
      <c r="B78" s="53" t="s">
        <v>972</v>
      </c>
      <c r="C78" t="s">
        <v>973</v>
      </c>
      <c r="D78" t="s">
        <v>970</v>
      </c>
      <c r="E78" s="74" t="s">
        <v>768</v>
      </c>
      <c r="F78" s="80">
        <v>1.6</v>
      </c>
      <c r="G78" s="80">
        <v>2.2999999999999998</v>
      </c>
    </row>
    <row r="79" spans="1:7" x14ac:dyDescent="0.25">
      <c r="A79" s="81" t="s">
        <v>974</v>
      </c>
      <c r="B79" s="53" t="s">
        <v>975</v>
      </c>
      <c r="C79" t="s">
        <v>976</v>
      </c>
      <c r="D79" t="s">
        <v>970</v>
      </c>
      <c r="E79" s="74" t="s">
        <v>768</v>
      </c>
      <c r="F79" s="80">
        <v>1.85</v>
      </c>
      <c r="G79" s="80">
        <v>2.2999999999999998</v>
      </c>
    </row>
    <row r="80" spans="1:7" x14ac:dyDescent="0.25">
      <c r="A80" s="81" t="s">
        <v>977</v>
      </c>
      <c r="B80" s="53" t="s">
        <v>127</v>
      </c>
      <c r="C80" t="s">
        <v>978</v>
      </c>
      <c r="D80" t="s">
        <v>970</v>
      </c>
      <c r="E80" s="74" t="s">
        <v>777</v>
      </c>
      <c r="F80" s="80">
        <v>1.6</v>
      </c>
      <c r="G80" s="80">
        <v>1.9</v>
      </c>
    </row>
    <row r="81" spans="1:7" x14ac:dyDescent="0.25">
      <c r="A81" s="81" t="s">
        <v>979</v>
      </c>
      <c r="B81" s="53" t="s">
        <v>237</v>
      </c>
      <c r="C81" t="s">
        <v>980</v>
      </c>
      <c r="D81" t="s">
        <v>970</v>
      </c>
      <c r="E81" s="74" t="s">
        <v>768</v>
      </c>
      <c r="F81" s="80">
        <v>1.85</v>
      </c>
      <c r="G81" s="80">
        <v>2.2999999999999998</v>
      </c>
    </row>
    <row r="82" spans="1:7" x14ac:dyDescent="0.25">
      <c r="A82" s="81" t="s">
        <v>981</v>
      </c>
      <c r="B82" s="53" t="s">
        <v>982</v>
      </c>
      <c r="C82" t="s">
        <v>983</v>
      </c>
      <c r="D82" t="s">
        <v>970</v>
      </c>
      <c r="E82" s="74" t="s">
        <v>768</v>
      </c>
      <c r="F82" s="80">
        <v>1.6</v>
      </c>
      <c r="G82" s="80">
        <v>2.2999999999999998</v>
      </c>
    </row>
    <row r="83" spans="1:7" x14ac:dyDescent="0.25">
      <c r="A83" s="81" t="s">
        <v>984</v>
      </c>
      <c r="B83" s="53" t="s">
        <v>985</v>
      </c>
      <c r="C83" t="s">
        <v>986</v>
      </c>
      <c r="D83" t="s">
        <v>987</v>
      </c>
      <c r="E83" s="74" t="s">
        <v>768</v>
      </c>
      <c r="F83" s="80">
        <v>1.6</v>
      </c>
      <c r="G83" s="80">
        <v>2.2999999999999998</v>
      </c>
    </row>
    <row r="84" spans="1:7" x14ac:dyDescent="0.25">
      <c r="A84" s="81" t="s">
        <v>988</v>
      </c>
      <c r="B84" s="53" t="s">
        <v>128</v>
      </c>
      <c r="C84" t="s">
        <v>989</v>
      </c>
      <c r="D84" t="s">
        <v>990</v>
      </c>
      <c r="E84" s="74" t="s">
        <v>840</v>
      </c>
      <c r="F84" s="80">
        <v>1.85</v>
      </c>
      <c r="G84" s="80">
        <v>2.15</v>
      </c>
    </row>
    <row r="85" spans="1:7" x14ac:dyDescent="0.25">
      <c r="A85" s="81" t="s">
        <v>991</v>
      </c>
      <c r="B85" s="53" t="s">
        <v>238</v>
      </c>
      <c r="C85" t="s">
        <v>992</v>
      </c>
      <c r="D85" t="s">
        <v>990</v>
      </c>
      <c r="E85" s="74" t="s">
        <v>777</v>
      </c>
      <c r="F85" s="80">
        <v>1.6</v>
      </c>
      <c r="G85" s="80">
        <v>1.75</v>
      </c>
    </row>
    <row r="86" spans="1:7" x14ac:dyDescent="0.25">
      <c r="A86" s="81" t="s">
        <v>993</v>
      </c>
      <c r="B86" s="53" t="s">
        <v>239</v>
      </c>
      <c r="C86" t="s">
        <v>994</v>
      </c>
      <c r="D86" t="s">
        <v>990</v>
      </c>
      <c r="E86" s="74" t="s">
        <v>840</v>
      </c>
      <c r="F86" s="80">
        <v>1.85</v>
      </c>
      <c r="G86" s="80">
        <v>2.15</v>
      </c>
    </row>
    <row r="87" spans="1:7" x14ac:dyDescent="0.25">
      <c r="A87" s="81" t="s">
        <v>995</v>
      </c>
      <c r="B87" s="53" t="s">
        <v>129</v>
      </c>
      <c r="C87" t="s">
        <v>996</v>
      </c>
      <c r="D87" t="s">
        <v>990</v>
      </c>
      <c r="E87" s="74" t="s">
        <v>768</v>
      </c>
      <c r="F87" s="80">
        <v>2.1</v>
      </c>
      <c r="G87" s="80">
        <v>2.25</v>
      </c>
    </row>
    <row r="88" spans="1:7" x14ac:dyDescent="0.25">
      <c r="A88" s="81" t="s">
        <v>997</v>
      </c>
      <c r="B88" s="53" t="s">
        <v>998</v>
      </c>
      <c r="C88" t="s">
        <v>999</v>
      </c>
      <c r="D88" t="s">
        <v>1000</v>
      </c>
      <c r="E88" s="74" t="s">
        <v>768</v>
      </c>
      <c r="F88" s="80">
        <v>1.6</v>
      </c>
      <c r="G88" s="80">
        <v>2.2999999999999998</v>
      </c>
    </row>
    <row r="89" spans="1:7" x14ac:dyDescent="0.25">
      <c r="A89" s="81" t="s">
        <v>1001</v>
      </c>
      <c r="B89" s="53" t="s">
        <v>240</v>
      </c>
      <c r="C89" t="s">
        <v>1002</v>
      </c>
      <c r="D89" t="s">
        <v>1000</v>
      </c>
      <c r="E89" s="74" t="s">
        <v>768</v>
      </c>
      <c r="F89" s="80">
        <v>1.6</v>
      </c>
      <c r="G89" s="80">
        <v>2.2999999999999998</v>
      </c>
    </row>
    <row r="90" spans="1:7" x14ac:dyDescent="0.25">
      <c r="A90" s="81" t="s">
        <v>1003</v>
      </c>
      <c r="B90" s="53" t="s">
        <v>130</v>
      </c>
      <c r="C90" t="s">
        <v>1004</v>
      </c>
      <c r="D90" t="s">
        <v>1000</v>
      </c>
      <c r="E90" s="74" t="s">
        <v>768</v>
      </c>
      <c r="F90" s="80">
        <v>1.95</v>
      </c>
      <c r="G90" s="80">
        <v>2.4</v>
      </c>
    </row>
    <row r="91" spans="1:7" x14ac:dyDescent="0.25">
      <c r="A91" s="81" t="s">
        <v>1005</v>
      </c>
      <c r="B91" s="53" t="s">
        <v>241</v>
      </c>
      <c r="C91" t="s">
        <v>1006</v>
      </c>
      <c r="D91" t="s">
        <v>1000</v>
      </c>
      <c r="E91" s="74" t="s">
        <v>768</v>
      </c>
      <c r="F91" s="80">
        <v>1.6</v>
      </c>
      <c r="G91" s="80">
        <v>2.2999999999999998</v>
      </c>
    </row>
    <row r="92" spans="1:7" x14ac:dyDescent="0.25">
      <c r="A92" s="81" t="s">
        <v>1007</v>
      </c>
      <c r="B92" s="53" t="s">
        <v>1008</v>
      </c>
      <c r="C92" t="s">
        <v>1009</v>
      </c>
      <c r="D92" t="s">
        <v>1010</v>
      </c>
      <c r="E92" s="74" t="s">
        <v>777</v>
      </c>
      <c r="F92" s="80">
        <v>1.6</v>
      </c>
      <c r="G92" s="80">
        <v>1.65</v>
      </c>
    </row>
    <row r="93" spans="1:7" x14ac:dyDescent="0.25">
      <c r="A93" s="81" t="s">
        <v>1011</v>
      </c>
      <c r="B93" s="53" t="s">
        <v>242</v>
      </c>
      <c r="C93" t="s">
        <v>1012</v>
      </c>
      <c r="D93" t="s">
        <v>1010</v>
      </c>
      <c r="E93" s="74" t="s">
        <v>768</v>
      </c>
      <c r="F93" s="80">
        <v>1.6</v>
      </c>
      <c r="G93" s="80">
        <v>2.2999999999999998</v>
      </c>
    </row>
    <row r="94" spans="1:7" x14ac:dyDescent="0.25">
      <c r="A94" s="81" t="s">
        <v>1013</v>
      </c>
      <c r="B94" s="53" t="s">
        <v>131</v>
      </c>
      <c r="C94" t="s">
        <v>1014</v>
      </c>
      <c r="D94" t="s">
        <v>1010</v>
      </c>
      <c r="E94" s="74" t="s">
        <v>768</v>
      </c>
      <c r="F94" s="80">
        <v>1.6</v>
      </c>
      <c r="G94" s="80">
        <v>2.2999999999999998</v>
      </c>
    </row>
    <row r="95" spans="1:7" x14ac:dyDescent="0.25">
      <c r="A95" s="81" t="s">
        <v>1015</v>
      </c>
      <c r="B95" s="53" t="s">
        <v>243</v>
      </c>
      <c r="C95" t="s">
        <v>1016</v>
      </c>
      <c r="D95" t="s">
        <v>1010</v>
      </c>
      <c r="E95" s="74" t="s">
        <v>768</v>
      </c>
      <c r="F95" s="80">
        <v>1.6</v>
      </c>
      <c r="G95" s="80">
        <v>2.2999999999999998</v>
      </c>
    </row>
    <row r="96" spans="1:7" x14ac:dyDescent="0.25">
      <c r="A96" s="81" t="s">
        <v>1017</v>
      </c>
      <c r="B96" s="53" t="s">
        <v>403</v>
      </c>
      <c r="C96" t="s">
        <v>1018</v>
      </c>
      <c r="D96" t="s">
        <v>1010</v>
      </c>
      <c r="E96" s="74" t="s">
        <v>768</v>
      </c>
      <c r="F96" s="80">
        <v>1.6</v>
      </c>
      <c r="G96" s="80">
        <v>2.2999999999999998</v>
      </c>
    </row>
    <row r="97" spans="1:7" x14ac:dyDescent="0.25">
      <c r="A97" s="81" t="s">
        <v>1019</v>
      </c>
      <c r="B97" s="53" t="s">
        <v>244</v>
      </c>
      <c r="C97" t="s">
        <v>1020</v>
      </c>
      <c r="D97" t="s">
        <v>1010</v>
      </c>
      <c r="E97" s="74" t="s">
        <v>768</v>
      </c>
      <c r="F97" s="80">
        <v>1.6</v>
      </c>
      <c r="G97" s="80">
        <v>2.2999999999999998</v>
      </c>
    </row>
    <row r="98" spans="1:7" x14ac:dyDescent="0.25">
      <c r="A98" s="81" t="s">
        <v>1021</v>
      </c>
      <c r="B98" s="53" t="s">
        <v>1022</v>
      </c>
      <c r="C98" t="s">
        <v>1023</v>
      </c>
      <c r="D98" t="s">
        <v>1024</v>
      </c>
      <c r="E98" s="74" t="s">
        <v>840</v>
      </c>
      <c r="F98" s="80">
        <v>1.65</v>
      </c>
      <c r="G98" s="80">
        <v>2.4</v>
      </c>
    </row>
    <row r="99" spans="1:7" x14ac:dyDescent="0.25">
      <c r="A99" s="81" t="s">
        <v>1025</v>
      </c>
      <c r="B99" s="53" t="s">
        <v>245</v>
      </c>
      <c r="C99" t="s">
        <v>1026</v>
      </c>
      <c r="D99" t="s">
        <v>1027</v>
      </c>
      <c r="E99" s="74" t="s">
        <v>768</v>
      </c>
      <c r="F99" s="80">
        <v>1.6</v>
      </c>
      <c r="G99" s="80">
        <v>2.2999999999999998</v>
      </c>
    </row>
    <row r="100" spans="1:7" x14ac:dyDescent="0.25">
      <c r="A100" s="81" t="s">
        <v>1028</v>
      </c>
      <c r="B100" s="53" t="s">
        <v>1029</v>
      </c>
      <c r="C100" t="s">
        <v>1030</v>
      </c>
      <c r="D100" t="s">
        <v>1027</v>
      </c>
      <c r="E100" s="74" t="s">
        <v>768</v>
      </c>
      <c r="F100" s="80">
        <v>1.6</v>
      </c>
      <c r="G100" s="80">
        <v>2.2999999999999998</v>
      </c>
    </row>
    <row r="101" spans="1:7" x14ac:dyDescent="0.25">
      <c r="A101" s="81" t="s">
        <v>1031</v>
      </c>
      <c r="B101" s="53" t="s">
        <v>132</v>
      </c>
      <c r="C101" t="s">
        <v>1032</v>
      </c>
      <c r="D101" t="s">
        <v>1027</v>
      </c>
      <c r="E101" s="74" t="s">
        <v>840</v>
      </c>
      <c r="F101" s="80">
        <v>1.8</v>
      </c>
      <c r="G101" s="80">
        <v>2.15</v>
      </c>
    </row>
    <row r="102" spans="1:7" x14ac:dyDescent="0.25">
      <c r="A102" s="81" t="s">
        <v>1033</v>
      </c>
      <c r="B102" s="53" t="s">
        <v>1034</v>
      </c>
      <c r="C102" t="s">
        <v>1035</v>
      </c>
      <c r="D102" t="s">
        <v>1027</v>
      </c>
      <c r="E102" s="74" t="s">
        <v>840</v>
      </c>
      <c r="F102" s="80">
        <v>1.8</v>
      </c>
      <c r="G102" s="80">
        <v>2.15</v>
      </c>
    </row>
    <row r="103" spans="1:7" x14ac:dyDescent="0.25">
      <c r="A103" s="81" t="s">
        <v>1036</v>
      </c>
      <c r="B103" s="53" t="s">
        <v>1037</v>
      </c>
      <c r="C103" t="s">
        <v>1038</v>
      </c>
      <c r="D103" t="s">
        <v>1027</v>
      </c>
      <c r="E103" s="74" t="s">
        <v>768</v>
      </c>
      <c r="F103" s="80">
        <v>1.9</v>
      </c>
      <c r="G103" s="80">
        <v>2.15</v>
      </c>
    </row>
    <row r="104" spans="1:7" x14ac:dyDescent="0.25">
      <c r="A104" s="81" t="s">
        <v>1039</v>
      </c>
      <c r="B104" s="53" t="s">
        <v>133</v>
      </c>
      <c r="C104" t="s">
        <v>1040</v>
      </c>
      <c r="D104" t="s">
        <v>1027</v>
      </c>
      <c r="E104" s="74" t="s">
        <v>768</v>
      </c>
      <c r="F104" s="80">
        <v>1.9</v>
      </c>
      <c r="G104" s="80">
        <v>2.15</v>
      </c>
    </row>
    <row r="105" spans="1:7" x14ac:dyDescent="0.25">
      <c r="A105" s="81" t="s">
        <v>1041</v>
      </c>
      <c r="B105" s="53" t="s">
        <v>246</v>
      </c>
      <c r="C105" t="s">
        <v>1042</v>
      </c>
      <c r="D105" t="s">
        <v>1027</v>
      </c>
      <c r="E105" s="74" t="s">
        <v>768</v>
      </c>
      <c r="F105" s="80">
        <v>1.6</v>
      </c>
      <c r="G105" s="80">
        <v>2.2999999999999998</v>
      </c>
    </row>
    <row r="106" spans="1:7" x14ac:dyDescent="0.25">
      <c r="A106" s="81" t="s">
        <v>1043</v>
      </c>
      <c r="B106" s="53" t="s">
        <v>1044</v>
      </c>
      <c r="C106" t="s">
        <v>1045</v>
      </c>
      <c r="D106" t="s">
        <v>1027</v>
      </c>
      <c r="E106" s="74" t="s">
        <v>768</v>
      </c>
      <c r="F106" s="80">
        <v>1.9</v>
      </c>
      <c r="G106" s="80">
        <v>2.15</v>
      </c>
    </row>
    <row r="107" spans="1:7" x14ac:dyDescent="0.25">
      <c r="A107" s="81" t="s">
        <v>1046</v>
      </c>
      <c r="B107" s="53" t="s">
        <v>1047</v>
      </c>
      <c r="C107" t="s">
        <v>1048</v>
      </c>
      <c r="D107" t="s">
        <v>1027</v>
      </c>
      <c r="E107" s="74" t="s">
        <v>777</v>
      </c>
      <c r="F107" s="80">
        <v>1.6</v>
      </c>
      <c r="G107" s="80">
        <v>1.75</v>
      </c>
    </row>
    <row r="108" spans="1:7" x14ac:dyDescent="0.25">
      <c r="A108" s="81" t="s">
        <v>1049</v>
      </c>
      <c r="B108" s="53" t="s">
        <v>411</v>
      </c>
      <c r="C108" t="s">
        <v>1050</v>
      </c>
      <c r="D108" t="s">
        <v>1027</v>
      </c>
      <c r="E108" s="74" t="s">
        <v>768</v>
      </c>
      <c r="F108" s="80">
        <v>1.6</v>
      </c>
      <c r="G108" s="80">
        <v>2.2999999999999998</v>
      </c>
    </row>
    <row r="109" spans="1:7" x14ac:dyDescent="0.25">
      <c r="A109" s="81" t="s">
        <v>1051</v>
      </c>
      <c r="B109" s="53" t="s">
        <v>1052</v>
      </c>
      <c r="C109" t="s">
        <v>1053</v>
      </c>
      <c r="D109" t="s">
        <v>1054</v>
      </c>
      <c r="E109" s="74" t="s">
        <v>768</v>
      </c>
      <c r="F109" s="80">
        <v>1.6</v>
      </c>
      <c r="G109" s="80">
        <v>2.2999999999999998</v>
      </c>
    </row>
    <row r="110" spans="1:7" x14ac:dyDescent="0.25">
      <c r="A110" s="81" t="s">
        <v>1055</v>
      </c>
      <c r="B110" s="53" t="s">
        <v>1056</v>
      </c>
      <c r="C110" t="s">
        <v>1057</v>
      </c>
      <c r="D110" t="s">
        <v>1054</v>
      </c>
      <c r="E110" s="74" t="s">
        <v>768</v>
      </c>
      <c r="F110" s="80">
        <v>1.6</v>
      </c>
      <c r="G110" s="80">
        <v>2.2999999999999998</v>
      </c>
    </row>
    <row r="111" spans="1:7" x14ac:dyDescent="0.25">
      <c r="A111" s="81" t="s">
        <v>1058</v>
      </c>
      <c r="B111" s="53" t="s">
        <v>248</v>
      </c>
      <c r="C111" t="s">
        <v>1059</v>
      </c>
      <c r="D111" t="s">
        <v>1054</v>
      </c>
      <c r="E111" s="74" t="s">
        <v>768</v>
      </c>
      <c r="F111" s="80">
        <v>1.6</v>
      </c>
      <c r="G111" s="80">
        <v>2.2999999999999998</v>
      </c>
    </row>
    <row r="112" spans="1:7" x14ac:dyDescent="0.25">
      <c r="A112" s="81" t="s">
        <v>1060</v>
      </c>
      <c r="B112" s="53" t="s">
        <v>416</v>
      </c>
      <c r="C112" t="s">
        <v>1061</v>
      </c>
      <c r="D112" t="s">
        <v>1054</v>
      </c>
      <c r="E112" s="74" t="s">
        <v>768</v>
      </c>
      <c r="F112" s="80">
        <v>1.6</v>
      </c>
      <c r="G112" s="80">
        <v>2.2999999999999998</v>
      </c>
    </row>
    <row r="113" spans="1:7" x14ac:dyDescent="0.25">
      <c r="A113" s="81" t="s">
        <v>1062</v>
      </c>
      <c r="B113" s="53" t="s">
        <v>1063</v>
      </c>
      <c r="C113" t="s">
        <v>1064</v>
      </c>
      <c r="D113" t="s">
        <v>1054</v>
      </c>
      <c r="E113" s="74" t="s">
        <v>768</v>
      </c>
      <c r="F113" s="80">
        <v>1.6</v>
      </c>
      <c r="G113" s="80">
        <v>2.2999999999999998</v>
      </c>
    </row>
    <row r="114" spans="1:7" x14ac:dyDescent="0.25">
      <c r="A114" s="81" t="s">
        <v>1065</v>
      </c>
      <c r="B114" s="53" t="s">
        <v>418</v>
      </c>
      <c r="C114" t="s">
        <v>1066</v>
      </c>
      <c r="D114" t="s">
        <v>1054</v>
      </c>
      <c r="E114" s="74" t="s">
        <v>768</v>
      </c>
      <c r="F114" s="80">
        <v>1.6</v>
      </c>
      <c r="G114" s="80">
        <v>2.2999999999999998</v>
      </c>
    </row>
    <row r="115" spans="1:7" x14ac:dyDescent="0.25">
      <c r="A115" s="81" t="s">
        <v>1067</v>
      </c>
      <c r="B115" s="53" t="s">
        <v>1068</v>
      </c>
      <c r="C115" t="s">
        <v>1069</v>
      </c>
      <c r="D115" t="s">
        <v>1054</v>
      </c>
      <c r="E115" s="74" t="s">
        <v>768</v>
      </c>
      <c r="F115" s="80">
        <v>1.6</v>
      </c>
      <c r="G115" s="80">
        <v>2.2999999999999998</v>
      </c>
    </row>
    <row r="116" spans="1:7" x14ac:dyDescent="0.25">
      <c r="A116" s="81" t="s">
        <v>1070</v>
      </c>
      <c r="B116" s="53" t="s">
        <v>136</v>
      </c>
      <c r="C116" t="s">
        <v>1071</v>
      </c>
      <c r="D116" t="s">
        <v>1054</v>
      </c>
      <c r="E116" s="74" t="s">
        <v>840</v>
      </c>
      <c r="F116" s="80">
        <v>1.9</v>
      </c>
      <c r="G116" s="80">
        <v>2.2000000000000002</v>
      </c>
    </row>
    <row r="117" spans="1:7" x14ac:dyDescent="0.25">
      <c r="A117" s="81" t="s">
        <v>1072</v>
      </c>
      <c r="B117" s="53" t="s">
        <v>250</v>
      </c>
      <c r="C117" t="s">
        <v>1073</v>
      </c>
      <c r="D117" t="s">
        <v>1054</v>
      </c>
      <c r="E117" s="74" t="s">
        <v>777</v>
      </c>
      <c r="F117" s="80">
        <v>1.6</v>
      </c>
      <c r="G117" s="80">
        <v>1.75</v>
      </c>
    </row>
    <row r="118" spans="1:7" x14ac:dyDescent="0.25">
      <c r="A118" s="81" t="s">
        <v>1074</v>
      </c>
      <c r="B118" s="53" t="s">
        <v>421</v>
      </c>
      <c r="C118" t="s">
        <v>1075</v>
      </c>
      <c r="D118" t="s">
        <v>1054</v>
      </c>
      <c r="E118" s="74" t="s">
        <v>777</v>
      </c>
      <c r="F118" s="80">
        <v>1.6</v>
      </c>
      <c r="G118" s="80">
        <v>1.75</v>
      </c>
    </row>
    <row r="119" spans="1:7" x14ac:dyDescent="0.25">
      <c r="A119" s="81" t="s">
        <v>1076</v>
      </c>
      <c r="B119" s="53" t="s">
        <v>1077</v>
      </c>
      <c r="C119" t="s">
        <v>1078</v>
      </c>
      <c r="D119" t="s">
        <v>1054</v>
      </c>
      <c r="E119" s="74" t="s">
        <v>840</v>
      </c>
      <c r="F119" s="80">
        <v>1.8</v>
      </c>
      <c r="G119" s="80">
        <v>2.15</v>
      </c>
    </row>
    <row r="120" spans="1:7" x14ac:dyDescent="0.25">
      <c r="A120" s="81" t="s">
        <v>1079</v>
      </c>
      <c r="B120" s="53" t="s">
        <v>137</v>
      </c>
      <c r="C120" t="s">
        <v>1080</v>
      </c>
      <c r="D120" t="s">
        <v>1054</v>
      </c>
      <c r="E120" s="74" t="s">
        <v>840</v>
      </c>
      <c r="F120" s="80">
        <v>1.7</v>
      </c>
      <c r="G120" s="80">
        <v>1.95</v>
      </c>
    </row>
    <row r="121" spans="1:7" x14ac:dyDescent="0.25">
      <c r="A121" s="81" t="s">
        <v>1081</v>
      </c>
      <c r="B121" s="53" t="s">
        <v>251</v>
      </c>
      <c r="C121" t="s">
        <v>1082</v>
      </c>
      <c r="D121" t="s">
        <v>1083</v>
      </c>
      <c r="E121" s="74" t="s">
        <v>768</v>
      </c>
      <c r="F121" s="80">
        <v>1.6</v>
      </c>
      <c r="G121" s="80">
        <v>2.2999999999999998</v>
      </c>
    </row>
    <row r="122" spans="1:7" x14ac:dyDescent="0.25">
      <c r="A122" s="81" t="s">
        <v>1084</v>
      </c>
      <c r="B122" s="53" t="s">
        <v>1085</v>
      </c>
      <c r="C122" t="s">
        <v>1082</v>
      </c>
      <c r="D122" t="s">
        <v>1083</v>
      </c>
      <c r="E122" s="74" t="s">
        <v>768</v>
      </c>
      <c r="F122" s="80">
        <v>1.6</v>
      </c>
      <c r="G122" s="80">
        <v>2.2999999999999998</v>
      </c>
    </row>
    <row r="123" spans="1:7" x14ac:dyDescent="0.25">
      <c r="A123" s="81" t="s">
        <v>1086</v>
      </c>
      <c r="B123" s="53" t="s">
        <v>1087</v>
      </c>
      <c r="C123" t="s">
        <v>1088</v>
      </c>
      <c r="D123" t="s">
        <v>1089</v>
      </c>
      <c r="E123" s="74" t="s">
        <v>768</v>
      </c>
      <c r="F123" s="80">
        <v>1.6</v>
      </c>
      <c r="G123" s="80">
        <v>2.2999999999999998</v>
      </c>
    </row>
    <row r="124" spans="1:7" x14ac:dyDescent="0.25">
      <c r="A124" s="81" t="s">
        <v>1090</v>
      </c>
      <c r="B124" s="53" t="s">
        <v>138</v>
      </c>
      <c r="C124" t="s">
        <v>1091</v>
      </c>
      <c r="D124" t="s">
        <v>1092</v>
      </c>
      <c r="E124" s="74" t="s">
        <v>768</v>
      </c>
      <c r="F124" s="80">
        <v>1.6</v>
      </c>
      <c r="G124" s="80">
        <v>2.2999999999999998</v>
      </c>
    </row>
    <row r="125" spans="1:7" x14ac:dyDescent="0.25">
      <c r="A125" s="53" t="s">
        <v>1093</v>
      </c>
      <c r="B125" s="53" t="s">
        <v>139</v>
      </c>
      <c r="C125" t="s">
        <v>1094</v>
      </c>
      <c r="D125" t="s">
        <v>1095</v>
      </c>
      <c r="E125" s="74" t="s">
        <v>777</v>
      </c>
      <c r="F125" s="80">
        <v>1.6</v>
      </c>
      <c r="G125" s="80">
        <v>1.75</v>
      </c>
    </row>
    <row r="126" spans="1:7" x14ac:dyDescent="0.25">
      <c r="A126" s="53" t="s">
        <v>1096</v>
      </c>
      <c r="B126" s="53" t="s">
        <v>252</v>
      </c>
      <c r="C126" t="s">
        <v>1094</v>
      </c>
      <c r="D126" t="s">
        <v>1095</v>
      </c>
      <c r="E126" s="74" t="s">
        <v>777</v>
      </c>
      <c r="F126" s="80">
        <v>1.6</v>
      </c>
      <c r="G126" s="80">
        <v>1.75</v>
      </c>
    </row>
    <row r="127" spans="1:7" x14ac:dyDescent="0.25">
      <c r="A127" s="53" t="s">
        <v>1097</v>
      </c>
      <c r="B127" s="53" t="s">
        <v>1098</v>
      </c>
      <c r="C127" t="s">
        <v>1099</v>
      </c>
      <c r="D127" t="s">
        <v>1095</v>
      </c>
      <c r="E127" s="74" t="s">
        <v>777</v>
      </c>
      <c r="F127" s="80">
        <v>1.6</v>
      </c>
      <c r="G127" s="80">
        <v>1.75</v>
      </c>
    </row>
    <row r="128" spans="1:7" x14ac:dyDescent="0.25">
      <c r="A128" s="53" t="s">
        <v>1100</v>
      </c>
      <c r="B128" s="53" t="s">
        <v>1101</v>
      </c>
      <c r="C128" t="s">
        <v>1102</v>
      </c>
      <c r="D128" t="s">
        <v>1095</v>
      </c>
      <c r="E128" s="74" t="s">
        <v>840</v>
      </c>
      <c r="F128" s="80">
        <v>1.8</v>
      </c>
      <c r="G128" s="80">
        <v>2.1</v>
      </c>
    </row>
    <row r="129" spans="1:7" x14ac:dyDescent="0.25">
      <c r="A129" s="53" t="s">
        <v>1103</v>
      </c>
      <c r="B129" s="53" t="s">
        <v>140</v>
      </c>
      <c r="C129" t="s">
        <v>1104</v>
      </c>
      <c r="D129" t="s">
        <v>1095</v>
      </c>
      <c r="E129" s="74" t="s">
        <v>840</v>
      </c>
      <c r="F129" s="80">
        <v>1.8</v>
      </c>
      <c r="G129" s="80">
        <v>2.2000000000000002</v>
      </c>
    </row>
    <row r="130" spans="1:7" x14ac:dyDescent="0.25">
      <c r="A130" s="53" t="s">
        <v>1105</v>
      </c>
      <c r="B130" s="53" t="s">
        <v>253</v>
      </c>
      <c r="C130" t="s">
        <v>1104</v>
      </c>
      <c r="D130" t="s">
        <v>1095</v>
      </c>
      <c r="E130" s="74" t="s">
        <v>840</v>
      </c>
      <c r="F130" s="80">
        <v>1.8</v>
      </c>
      <c r="G130" s="80">
        <v>2.2000000000000002</v>
      </c>
    </row>
    <row r="131" spans="1:7" x14ac:dyDescent="0.25">
      <c r="A131" s="53" t="s">
        <v>1106</v>
      </c>
      <c r="B131" s="53" t="s">
        <v>427</v>
      </c>
      <c r="C131" t="s">
        <v>1107</v>
      </c>
      <c r="D131" t="s">
        <v>1095</v>
      </c>
      <c r="E131" s="74" t="s">
        <v>840</v>
      </c>
      <c r="F131" s="80">
        <v>1.8</v>
      </c>
      <c r="G131" s="80">
        <v>2.2000000000000002</v>
      </c>
    </row>
    <row r="132" spans="1:7" x14ac:dyDescent="0.25">
      <c r="A132" s="53" t="s">
        <v>1108</v>
      </c>
      <c r="B132" s="53" t="s">
        <v>1109</v>
      </c>
      <c r="C132" t="s">
        <v>1107</v>
      </c>
      <c r="D132" t="s">
        <v>1095</v>
      </c>
      <c r="E132" s="74" t="s">
        <v>840</v>
      </c>
      <c r="F132" s="80">
        <v>1.8</v>
      </c>
      <c r="G132" s="80">
        <v>2.2000000000000002</v>
      </c>
    </row>
    <row r="133" spans="1:7" x14ac:dyDescent="0.25">
      <c r="A133" s="53" t="s">
        <v>1110</v>
      </c>
      <c r="B133" s="53" t="s">
        <v>141</v>
      </c>
      <c r="C133" t="s">
        <v>1111</v>
      </c>
      <c r="D133" t="s">
        <v>1095</v>
      </c>
      <c r="E133" s="74" t="s">
        <v>777</v>
      </c>
      <c r="F133" s="80">
        <v>1.6</v>
      </c>
      <c r="G133" s="80">
        <v>2.2000000000000002</v>
      </c>
    </row>
    <row r="134" spans="1:7" x14ac:dyDescent="0.25">
      <c r="A134" s="53" t="s">
        <v>1112</v>
      </c>
      <c r="B134" s="53" t="s">
        <v>254</v>
      </c>
      <c r="C134" t="s">
        <v>1113</v>
      </c>
      <c r="D134" t="s">
        <v>1095</v>
      </c>
      <c r="E134" s="74" t="s">
        <v>777</v>
      </c>
      <c r="F134" s="80">
        <v>1.6</v>
      </c>
      <c r="G134" s="80">
        <v>1.75</v>
      </c>
    </row>
    <row r="135" spans="1:7" x14ac:dyDescent="0.25">
      <c r="A135" s="53" t="s">
        <v>1114</v>
      </c>
      <c r="B135" s="53" t="s">
        <v>142</v>
      </c>
      <c r="C135" t="s">
        <v>1115</v>
      </c>
      <c r="D135" t="s">
        <v>1095</v>
      </c>
      <c r="E135" s="74" t="s">
        <v>777</v>
      </c>
      <c r="F135" s="80">
        <v>1.6</v>
      </c>
      <c r="G135" s="80">
        <v>2.2000000000000002</v>
      </c>
    </row>
    <row r="136" spans="1:7" x14ac:dyDescent="0.25">
      <c r="A136" s="53" t="s">
        <v>1116</v>
      </c>
      <c r="B136" s="53" t="s">
        <v>255</v>
      </c>
      <c r="C136" t="s">
        <v>1117</v>
      </c>
      <c r="D136" t="s">
        <v>1095</v>
      </c>
      <c r="E136" s="74" t="s">
        <v>777</v>
      </c>
      <c r="F136" s="80">
        <v>1.6</v>
      </c>
      <c r="G136" s="80">
        <v>2.2000000000000002</v>
      </c>
    </row>
    <row r="137" spans="1:7" x14ac:dyDescent="0.25">
      <c r="A137" s="53" t="s">
        <v>1118</v>
      </c>
      <c r="B137" s="53" t="s">
        <v>431</v>
      </c>
      <c r="C137" t="s">
        <v>1119</v>
      </c>
      <c r="D137" t="s">
        <v>1120</v>
      </c>
      <c r="E137" s="74" t="s">
        <v>777</v>
      </c>
      <c r="F137" s="80">
        <v>1.6</v>
      </c>
      <c r="G137" s="80">
        <v>2.15</v>
      </c>
    </row>
    <row r="138" spans="1:7" x14ac:dyDescent="0.25">
      <c r="A138" s="53" t="s">
        <v>1121</v>
      </c>
      <c r="B138" s="53" t="s">
        <v>256</v>
      </c>
      <c r="C138" t="s">
        <v>1119</v>
      </c>
      <c r="D138" t="s">
        <v>1120</v>
      </c>
      <c r="E138" s="74" t="s">
        <v>777</v>
      </c>
      <c r="F138" s="80">
        <v>1.6</v>
      </c>
      <c r="G138" s="80">
        <v>2.15</v>
      </c>
    </row>
    <row r="139" spans="1:7" x14ac:dyDescent="0.25">
      <c r="A139" s="53" t="s">
        <v>1122</v>
      </c>
      <c r="B139" s="53" t="s">
        <v>143</v>
      </c>
      <c r="C139" t="s">
        <v>1119</v>
      </c>
      <c r="D139" t="s">
        <v>1120</v>
      </c>
      <c r="E139" s="74" t="s">
        <v>777</v>
      </c>
      <c r="F139" s="80">
        <v>1.6</v>
      </c>
      <c r="G139" s="80">
        <v>2.15</v>
      </c>
    </row>
    <row r="140" spans="1:7" x14ac:dyDescent="0.25">
      <c r="A140" s="53" t="s">
        <v>1123</v>
      </c>
      <c r="B140" s="53" t="s">
        <v>257</v>
      </c>
      <c r="C140" t="s">
        <v>1124</v>
      </c>
      <c r="D140" t="s">
        <v>1120</v>
      </c>
      <c r="E140" s="74" t="s">
        <v>777</v>
      </c>
      <c r="F140" s="80">
        <v>1.6</v>
      </c>
      <c r="G140" s="80">
        <v>2.15</v>
      </c>
    </row>
    <row r="141" spans="1:7" x14ac:dyDescent="0.25">
      <c r="A141" s="53" t="s">
        <v>1125</v>
      </c>
      <c r="B141" s="53" t="s">
        <v>258</v>
      </c>
      <c r="C141" t="s">
        <v>1119</v>
      </c>
      <c r="D141" t="s">
        <v>1120</v>
      </c>
      <c r="E141" s="74" t="s">
        <v>777</v>
      </c>
      <c r="F141" s="80">
        <v>1.6</v>
      </c>
      <c r="G141" s="80">
        <v>2.15</v>
      </c>
    </row>
    <row r="142" spans="1:7" x14ac:dyDescent="0.25">
      <c r="A142" s="53" t="s">
        <v>1126</v>
      </c>
      <c r="B142" s="53" t="s">
        <v>1127</v>
      </c>
      <c r="C142" t="s">
        <v>1119</v>
      </c>
      <c r="D142" t="s">
        <v>1120</v>
      </c>
      <c r="E142" s="74" t="s">
        <v>777</v>
      </c>
      <c r="F142" s="80">
        <v>1.6</v>
      </c>
      <c r="G142" s="80">
        <v>2.15</v>
      </c>
    </row>
    <row r="143" spans="1:7" x14ac:dyDescent="0.25">
      <c r="A143" s="53" t="s">
        <v>1128</v>
      </c>
      <c r="B143" s="53" t="s">
        <v>1129</v>
      </c>
      <c r="C143" t="s">
        <v>1130</v>
      </c>
      <c r="D143" t="s">
        <v>1120</v>
      </c>
      <c r="E143" s="74" t="s">
        <v>777</v>
      </c>
      <c r="F143" s="80">
        <v>1.6</v>
      </c>
      <c r="G143" s="80">
        <v>2.15</v>
      </c>
    </row>
    <row r="144" spans="1:7" x14ac:dyDescent="0.25">
      <c r="A144" s="53" t="s">
        <v>1131</v>
      </c>
      <c r="B144" s="53" t="s">
        <v>436</v>
      </c>
      <c r="C144" t="s">
        <v>1132</v>
      </c>
      <c r="D144" t="s">
        <v>1120</v>
      </c>
      <c r="E144" s="74" t="s">
        <v>777</v>
      </c>
      <c r="F144" s="80">
        <v>1.6</v>
      </c>
      <c r="G144" s="80">
        <v>2.15</v>
      </c>
    </row>
    <row r="145" spans="1:7" x14ac:dyDescent="0.25">
      <c r="A145" s="53" t="s">
        <v>1133</v>
      </c>
      <c r="B145" s="53" t="s">
        <v>259</v>
      </c>
      <c r="C145" t="s">
        <v>1134</v>
      </c>
      <c r="D145" t="s">
        <v>1024</v>
      </c>
      <c r="E145" s="74" t="s">
        <v>840</v>
      </c>
      <c r="F145" s="80">
        <v>1.8</v>
      </c>
      <c r="G145" s="80">
        <v>2.25</v>
      </c>
    </row>
    <row r="146" spans="1:7" x14ac:dyDescent="0.25">
      <c r="A146" s="53" t="s">
        <v>1135</v>
      </c>
      <c r="B146" s="53" t="s">
        <v>1136</v>
      </c>
      <c r="C146" t="s">
        <v>1134</v>
      </c>
      <c r="D146" t="s">
        <v>1024</v>
      </c>
      <c r="E146" s="74" t="s">
        <v>840</v>
      </c>
      <c r="F146" s="80">
        <v>1.8</v>
      </c>
      <c r="G146" s="80">
        <v>2.25</v>
      </c>
    </row>
    <row r="147" spans="1:7" x14ac:dyDescent="0.25">
      <c r="A147" s="53" t="s">
        <v>1137</v>
      </c>
      <c r="B147" s="53" t="s">
        <v>438</v>
      </c>
      <c r="C147" t="s">
        <v>1138</v>
      </c>
      <c r="D147" t="s">
        <v>1024</v>
      </c>
      <c r="E147" s="74" t="s">
        <v>840</v>
      </c>
      <c r="F147" s="80">
        <v>1.8</v>
      </c>
      <c r="G147" s="80">
        <v>2.25</v>
      </c>
    </row>
    <row r="148" spans="1:7" x14ac:dyDescent="0.25">
      <c r="A148" s="53" t="s">
        <v>1139</v>
      </c>
      <c r="B148" s="53" t="s">
        <v>260</v>
      </c>
      <c r="C148" t="s">
        <v>1140</v>
      </c>
      <c r="D148" t="s">
        <v>1024</v>
      </c>
      <c r="E148" s="74" t="s">
        <v>840</v>
      </c>
      <c r="F148" s="80">
        <v>1.8</v>
      </c>
      <c r="G148" s="80">
        <v>2.25</v>
      </c>
    </row>
    <row r="149" spans="1:7" x14ac:dyDescent="0.25">
      <c r="A149" s="53" t="s">
        <v>1141</v>
      </c>
      <c r="B149" s="53" t="s">
        <v>144</v>
      </c>
      <c r="C149" t="s">
        <v>1142</v>
      </c>
      <c r="D149" t="s">
        <v>1024</v>
      </c>
      <c r="E149" s="74" t="s">
        <v>777</v>
      </c>
      <c r="F149" s="80">
        <v>1.6</v>
      </c>
      <c r="G149" s="80">
        <v>1.95</v>
      </c>
    </row>
    <row r="150" spans="1:7" x14ac:dyDescent="0.25">
      <c r="A150" s="53" t="s">
        <v>1143</v>
      </c>
      <c r="B150" s="53" t="s">
        <v>261</v>
      </c>
      <c r="C150" t="s">
        <v>1144</v>
      </c>
      <c r="D150" t="s">
        <v>1024</v>
      </c>
      <c r="E150" s="74" t="s">
        <v>840</v>
      </c>
      <c r="F150" s="80">
        <v>1.8</v>
      </c>
      <c r="G150" s="80">
        <v>2.25</v>
      </c>
    </row>
    <row r="151" spans="1:7" x14ac:dyDescent="0.25">
      <c r="A151" s="53" t="s">
        <v>1145</v>
      </c>
      <c r="B151" s="53" t="s">
        <v>1146</v>
      </c>
      <c r="C151" t="s">
        <v>1144</v>
      </c>
      <c r="D151" t="s">
        <v>1024</v>
      </c>
      <c r="E151" s="74" t="s">
        <v>840</v>
      </c>
      <c r="F151" s="80">
        <v>1.8</v>
      </c>
      <c r="G151" s="80">
        <v>2.25</v>
      </c>
    </row>
    <row r="152" spans="1:7" x14ac:dyDescent="0.25">
      <c r="A152" s="53" t="s">
        <v>1147</v>
      </c>
      <c r="B152" s="53" t="s">
        <v>1148</v>
      </c>
      <c r="C152" t="s">
        <v>1149</v>
      </c>
      <c r="D152" t="s">
        <v>1024</v>
      </c>
      <c r="E152" s="74" t="s">
        <v>777</v>
      </c>
      <c r="F152" s="80">
        <v>1.6</v>
      </c>
      <c r="G152" s="80">
        <v>1.95</v>
      </c>
    </row>
    <row r="153" spans="1:7" x14ac:dyDescent="0.25">
      <c r="A153" s="53" t="s">
        <v>1150</v>
      </c>
      <c r="B153" s="53" t="s">
        <v>1151</v>
      </c>
      <c r="C153" t="s">
        <v>1149</v>
      </c>
      <c r="D153" t="s">
        <v>1024</v>
      </c>
      <c r="E153" s="74" t="s">
        <v>777</v>
      </c>
      <c r="F153" s="80">
        <v>1.6</v>
      </c>
      <c r="G153" s="80">
        <v>1.95</v>
      </c>
    </row>
    <row r="154" spans="1:7" x14ac:dyDescent="0.25">
      <c r="A154" s="53" t="s">
        <v>1152</v>
      </c>
      <c r="B154" s="53" t="s">
        <v>145</v>
      </c>
      <c r="C154" t="s">
        <v>1153</v>
      </c>
      <c r="D154" t="s">
        <v>1024</v>
      </c>
      <c r="E154" s="74" t="s">
        <v>840</v>
      </c>
      <c r="F154" s="80">
        <v>1.8</v>
      </c>
      <c r="G154" s="80">
        <v>2.25</v>
      </c>
    </row>
    <row r="155" spans="1:7" x14ac:dyDescent="0.25">
      <c r="A155" s="53" t="s">
        <v>1154</v>
      </c>
      <c r="B155" s="53" t="s">
        <v>262</v>
      </c>
      <c r="C155" t="s">
        <v>1155</v>
      </c>
      <c r="D155" t="s">
        <v>1024</v>
      </c>
      <c r="E155" s="74" t="s">
        <v>840</v>
      </c>
      <c r="F155" s="80">
        <v>1.65</v>
      </c>
      <c r="G155" s="80">
        <v>2.4</v>
      </c>
    </row>
    <row r="156" spans="1:7" x14ac:dyDescent="0.25">
      <c r="A156" s="53" t="s">
        <v>1156</v>
      </c>
      <c r="B156" s="53" t="s">
        <v>146</v>
      </c>
      <c r="C156" t="s">
        <v>1157</v>
      </c>
      <c r="D156" t="s">
        <v>1024</v>
      </c>
      <c r="E156" s="74" t="s">
        <v>777</v>
      </c>
      <c r="F156" s="80">
        <v>1.6</v>
      </c>
      <c r="G156" s="80">
        <v>1.65</v>
      </c>
    </row>
    <row r="157" spans="1:7" x14ac:dyDescent="0.25">
      <c r="A157" s="53" t="s">
        <v>1158</v>
      </c>
      <c r="B157" s="53" t="s">
        <v>263</v>
      </c>
      <c r="C157" t="s">
        <v>1157</v>
      </c>
      <c r="D157" t="s">
        <v>1024</v>
      </c>
      <c r="E157" s="74" t="s">
        <v>777</v>
      </c>
      <c r="F157" s="80">
        <v>1.6</v>
      </c>
      <c r="G157" s="80">
        <v>1.65</v>
      </c>
    </row>
    <row r="158" spans="1:7" x14ac:dyDescent="0.25">
      <c r="A158" s="53" t="s">
        <v>1159</v>
      </c>
      <c r="B158" s="53" t="s">
        <v>1160</v>
      </c>
      <c r="C158" t="s">
        <v>1161</v>
      </c>
      <c r="D158" t="s">
        <v>1024</v>
      </c>
      <c r="E158" s="74" t="s">
        <v>840</v>
      </c>
      <c r="F158" s="80">
        <v>1.8</v>
      </c>
      <c r="G158" s="80">
        <v>2.25</v>
      </c>
    </row>
    <row r="159" spans="1:7" x14ac:dyDescent="0.25">
      <c r="A159" s="53" t="s">
        <v>1162</v>
      </c>
      <c r="B159" s="53" t="s">
        <v>1163</v>
      </c>
      <c r="C159" t="s">
        <v>1164</v>
      </c>
      <c r="D159" t="s">
        <v>1165</v>
      </c>
      <c r="E159" s="74" t="s">
        <v>840</v>
      </c>
      <c r="F159" s="80">
        <v>1.6</v>
      </c>
      <c r="G159" s="80">
        <v>2.25</v>
      </c>
    </row>
    <row r="160" spans="1:7" x14ac:dyDescent="0.25">
      <c r="A160" s="53" t="s">
        <v>1166</v>
      </c>
      <c r="B160" s="53" t="s">
        <v>147</v>
      </c>
      <c r="C160" t="s">
        <v>1165</v>
      </c>
      <c r="D160" t="s">
        <v>1165</v>
      </c>
      <c r="E160" s="74" t="s">
        <v>840</v>
      </c>
      <c r="F160" s="80">
        <v>1.6</v>
      </c>
      <c r="G160" s="80">
        <v>2.25</v>
      </c>
    </row>
    <row r="161" spans="1:7" x14ac:dyDescent="0.25">
      <c r="A161" s="53" t="s">
        <v>1167</v>
      </c>
      <c r="B161" s="53" t="s">
        <v>264</v>
      </c>
      <c r="C161" t="s">
        <v>1165</v>
      </c>
      <c r="D161" t="s">
        <v>1165</v>
      </c>
      <c r="E161" s="74" t="s">
        <v>840</v>
      </c>
      <c r="F161" s="80">
        <v>1.6</v>
      </c>
      <c r="G161" s="80">
        <v>2.25</v>
      </c>
    </row>
    <row r="162" spans="1:7" x14ac:dyDescent="0.25">
      <c r="A162" s="53" t="s">
        <v>1168</v>
      </c>
      <c r="B162" s="53" t="s">
        <v>1169</v>
      </c>
      <c r="C162" t="s">
        <v>1170</v>
      </c>
      <c r="D162" t="s">
        <v>1165</v>
      </c>
      <c r="E162" s="74" t="s">
        <v>777</v>
      </c>
      <c r="F162" s="80">
        <v>1.6</v>
      </c>
      <c r="G162" s="80">
        <v>2</v>
      </c>
    </row>
    <row r="163" spans="1:7" x14ac:dyDescent="0.25">
      <c r="A163" s="53" t="s">
        <v>1171</v>
      </c>
      <c r="B163" s="53" t="s">
        <v>1172</v>
      </c>
      <c r="C163" t="s">
        <v>1170</v>
      </c>
      <c r="D163" t="s">
        <v>1165</v>
      </c>
      <c r="E163" s="74" t="s">
        <v>777</v>
      </c>
      <c r="F163" s="80">
        <v>1.6</v>
      </c>
      <c r="G163" s="80">
        <v>2</v>
      </c>
    </row>
    <row r="164" spans="1:7" x14ac:dyDescent="0.25">
      <c r="A164" s="53" t="s">
        <v>1173</v>
      </c>
      <c r="B164" s="53" t="s">
        <v>148</v>
      </c>
      <c r="C164" t="s">
        <v>1174</v>
      </c>
      <c r="D164" t="s">
        <v>1165</v>
      </c>
      <c r="E164" s="74" t="s">
        <v>840</v>
      </c>
      <c r="F164" s="80">
        <v>1.6</v>
      </c>
      <c r="G164" s="80">
        <v>2.25</v>
      </c>
    </row>
    <row r="165" spans="1:7" x14ac:dyDescent="0.25">
      <c r="A165" s="53" t="s">
        <v>1175</v>
      </c>
      <c r="B165" s="53" t="s">
        <v>265</v>
      </c>
      <c r="C165" t="s">
        <v>1176</v>
      </c>
      <c r="D165" t="s">
        <v>1177</v>
      </c>
      <c r="E165" s="74" t="s">
        <v>1178</v>
      </c>
      <c r="F165" s="80">
        <v>1.6</v>
      </c>
      <c r="G165" s="80">
        <v>1.65</v>
      </c>
    </row>
    <row r="166" spans="1:7" x14ac:dyDescent="0.25">
      <c r="A166" s="53" t="s">
        <v>1179</v>
      </c>
      <c r="B166" s="53" t="s">
        <v>149</v>
      </c>
      <c r="C166" t="s">
        <v>1180</v>
      </c>
      <c r="D166" t="s">
        <v>1177</v>
      </c>
      <c r="E166" s="74" t="s">
        <v>777</v>
      </c>
      <c r="F166" s="80">
        <v>1.6</v>
      </c>
      <c r="G166" s="80">
        <v>1.85</v>
      </c>
    </row>
    <row r="167" spans="1:7" x14ac:dyDescent="0.25">
      <c r="A167" s="53" t="s">
        <v>1181</v>
      </c>
      <c r="B167" s="53" t="s">
        <v>150</v>
      </c>
      <c r="C167" t="s">
        <v>1182</v>
      </c>
      <c r="D167" t="s">
        <v>1177</v>
      </c>
      <c r="E167" s="74" t="s">
        <v>777</v>
      </c>
      <c r="F167" s="80">
        <v>1.6</v>
      </c>
      <c r="G167" s="80">
        <v>1.85</v>
      </c>
    </row>
    <row r="168" spans="1:7" x14ac:dyDescent="0.25">
      <c r="A168" s="53" t="s">
        <v>1183</v>
      </c>
      <c r="B168" s="53" t="s">
        <v>266</v>
      </c>
      <c r="C168" t="s">
        <v>1184</v>
      </c>
      <c r="D168" t="s">
        <v>1177</v>
      </c>
      <c r="E168" s="74" t="s">
        <v>777</v>
      </c>
      <c r="F168" s="80">
        <v>1.6</v>
      </c>
      <c r="G168" s="80">
        <v>1.85</v>
      </c>
    </row>
    <row r="169" spans="1:7" x14ac:dyDescent="0.25">
      <c r="A169" s="53" t="s">
        <v>1185</v>
      </c>
      <c r="B169" s="53" t="s">
        <v>151</v>
      </c>
      <c r="C169" t="s">
        <v>1184</v>
      </c>
      <c r="D169" t="s">
        <v>1177</v>
      </c>
      <c r="E169" s="74" t="s">
        <v>777</v>
      </c>
      <c r="F169" s="80">
        <v>1.6</v>
      </c>
      <c r="G169" s="80">
        <v>1.85</v>
      </c>
    </row>
    <row r="170" spans="1:7" x14ac:dyDescent="0.25">
      <c r="A170" s="53" t="s">
        <v>1186</v>
      </c>
      <c r="B170" s="53" t="s">
        <v>448</v>
      </c>
      <c r="C170" t="s">
        <v>1187</v>
      </c>
      <c r="D170" t="s">
        <v>1177</v>
      </c>
      <c r="E170" s="74" t="s">
        <v>840</v>
      </c>
      <c r="F170" s="80">
        <v>1.8</v>
      </c>
      <c r="G170" s="80">
        <v>2.15</v>
      </c>
    </row>
    <row r="171" spans="1:7" x14ac:dyDescent="0.25">
      <c r="A171" s="53" t="s">
        <v>1188</v>
      </c>
      <c r="B171" s="53" t="s">
        <v>267</v>
      </c>
      <c r="C171" t="s">
        <v>1187</v>
      </c>
      <c r="D171" t="s">
        <v>1177</v>
      </c>
      <c r="E171" s="74" t="s">
        <v>840</v>
      </c>
      <c r="F171" s="80">
        <v>1.6</v>
      </c>
      <c r="G171" s="80">
        <v>1.85</v>
      </c>
    </row>
    <row r="172" spans="1:7" x14ac:dyDescent="0.25">
      <c r="A172" s="53" t="s">
        <v>1189</v>
      </c>
      <c r="B172" s="53" t="s">
        <v>1190</v>
      </c>
      <c r="C172" t="s">
        <v>1191</v>
      </c>
      <c r="D172" t="s">
        <v>1177</v>
      </c>
      <c r="E172" s="74" t="s">
        <v>777</v>
      </c>
      <c r="F172" s="80">
        <v>1.6</v>
      </c>
      <c r="G172" s="80">
        <v>1.85</v>
      </c>
    </row>
    <row r="173" spans="1:7" x14ac:dyDescent="0.25">
      <c r="A173" s="53" t="s">
        <v>1192</v>
      </c>
      <c r="B173" s="53" t="s">
        <v>1193</v>
      </c>
      <c r="C173" t="s">
        <v>1191</v>
      </c>
      <c r="D173" t="s">
        <v>1177</v>
      </c>
      <c r="E173" s="74" t="s">
        <v>777</v>
      </c>
      <c r="F173" s="80">
        <v>1.6</v>
      </c>
      <c r="G173" s="80">
        <v>1.85</v>
      </c>
    </row>
    <row r="174" spans="1:7" x14ac:dyDescent="0.25">
      <c r="A174" s="53" t="s">
        <v>1194</v>
      </c>
      <c r="B174" s="53" t="s">
        <v>152</v>
      </c>
      <c r="C174" t="s">
        <v>1191</v>
      </c>
      <c r="D174" t="s">
        <v>1177</v>
      </c>
      <c r="E174" s="74" t="s">
        <v>777</v>
      </c>
      <c r="F174" s="80">
        <v>1.6</v>
      </c>
      <c r="G174" s="80">
        <v>1.85</v>
      </c>
    </row>
    <row r="175" spans="1:7" x14ac:dyDescent="0.25">
      <c r="A175" s="53" t="s">
        <v>1195</v>
      </c>
      <c r="B175" s="53" t="s">
        <v>268</v>
      </c>
      <c r="C175" t="s">
        <v>1191</v>
      </c>
      <c r="D175" t="s">
        <v>1177</v>
      </c>
      <c r="E175" s="74" t="s">
        <v>777</v>
      </c>
      <c r="F175" s="80">
        <v>1.6</v>
      </c>
      <c r="G175" s="80">
        <v>1.85</v>
      </c>
    </row>
    <row r="176" spans="1:7" x14ac:dyDescent="0.25">
      <c r="A176" s="53" t="s">
        <v>1196</v>
      </c>
      <c r="B176" s="53" t="s">
        <v>1197</v>
      </c>
      <c r="C176" t="s">
        <v>1198</v>
      </c>
      <c r="D176" t="s">
        <v>1177</v>
      </c>
      <c r="E176" s="74" t="s">
        <v>1178</v>
      </c>
      <c r="F176" s="80">
        <v>1.75</v>
      </c>
      <c r="G176" s="80">
        <v>1.9</v>
      </c>
    </row>
    <row r="177" spans="1:7" x14ac:dyDescent="0.25">
      <c r="A177" s="53" t="s">
        <v>1199</v>
      </c>
      <c r="B177" s="53" t="s">
        <v>1200</v>
      </c>
      <c r="C177" t="s">
        <v>1201</v>
      </c>
      <c r="D177" t="s">
        <v>1177</v>
      </c>
      <c r="E177" s="74" t="s">
        <v>1178</v>
      </c>
      <c r="F177" s="80">
        <v>1.6</v>
      </c>
      <c r="G177" s="80">
        <v>1.85</v>
      </c>
    </row>
    <row r="178" spans="1:7" x14ac:dyDescent="0.25">
      <c r="A178" s="53" t="s">
        <v>1202</v>
      </c>
      <c r="B178" s="53" t="s">
        <v>1203</v>
      </c>
      <c r="C178" t="s">
        <v>1204</v>
      </c>
      <c r="D178" t="s">
        <v>1177</v>
      </c>
      <c r="E178" s="74" t="s">
        <v>1178</v>
      </c>
      <c r="F178" s="80">
        <v>1.6</v>
      </c>
      <c r="G178" s="80">
        <v>1.85</v>
      </c>
    </row>
    <row r="179" spans="1:7" x14ac:dyDescent="0.25">
      <c r="A179" s="53" t="s">
        <v>1205</v>
      </c>
      <c r="B179" s="53" t="s">
        <v>269</v>
      </c>
      <c r="C179" t="s">
        <v>1206</v>
      </c>
      <c r="D179" t="s">
        <v>1177</v>
      </c>
      <c r="E179" s="74" t="s">
        <v>1178</v>
      </c>
      <c r="F179" s="80">
        <v>1.6</v>
      </c>
      <c r="G179" s="80">
        <v>1.85</v>
      </c>
    </row>
    <row r="180" spans="1:7" x14ac:dyDescent="0.25">
      <c r="A180" s="53" t="s">
        <v>1207</v>
      </c>
      <c r="B180" s="53" t="s">
        <v>270</v>
      </c>
      <c r="C180" t="s">
        <v>1208</v>
      </c>
      <c r="D180" t="s">
        <v>1177</v>
      </c>
      <c r="E180" s="74" t="s">
        <v>1178</v>
      </c>
      <c r="F180" s="80">
        <v>1.75</v>
      </c>
      <c r="G180" s="80">
        <v>1.9</v>
      </c>
    </row>
    <row r="181" spans="1:7" x14ac:dyDescent="0.25">
      <c r="A181" s="53" t="s">
        <v>1209</v>
      </c>
      <c r="B181" s="53" t="s">
        <v>153</v>
      </c>
      <c r="C181" t="s">
        <v>1210</v>
      </c>
      <c r="D181" t="s">
        <v>1177</v>
      </c>
      <c r="E181" s="74" t="s">
        <v>1178</v>
      </c>
      <c r="F181" s="80">
        <v>1.75</v>
      </c>
      <c r="G181" s="80">
        <v>1.9</v>
      </c>
    </row>
    <row r="182" spans="1:7" x14ac:dyDescent="0.25">
      <c r="A182" s="53" t="s">
        <v>1211</v>
      </c>
      <c r="B182" s="53" t="s">
        <v>271</v>
      </c>
      <c r="C182" t="s">
        <v>1212</v>
      </c>
      <c r="D182" t="s">
        <v>1177</v>
      </c>
      <c r="E182" s="74" t="s">
        <v>1213</v>
      </c>
      <c r="F182" s="80">
        <v>1.85</v>
      </c>
      <c r="G182" s="80">
        <v>2</v>
      </c>
    </row>
    <row r="183" spans="1:7" x14ac:dyDescent="0.25">
      <c r="A183" s="53" t="s">
        <v>1214</v>
      </c>
      <c r="B183" s="53" t="s">
        <v>1215</v>
      </c>
      <c r="C183" t="s">
        <v>1216</v>
      </c>
      <c r="D183" t="s">
        <v>1217</v>
      </c>
      <c r="E183" s="74" t="s">
        <v>840</v>
      </c>
      <c r="F183" s="80">
        <v>1.6</v>
      </c>
      <c r="G183" s="80">
        <v>2</v>
      </c>
    </row>
    <row r="184" spans="1:7" x14ac:dyDescent="0.25">
      <c r="A184" s="53" t="s">
        <v>1218</v>
      </c>
      <c r="B184" s="53" t="s">
        <v>456</v>
      </c>
      <c r="C184" t="s">
        <v>1219</v>
      </c>
      <c r="D184" t="s">
        <v>1217</v>
      </c>
      <c r="E184" s="74" t="s">
        <v>840</v>
      </c>
      <c r="F184" s="80">
        <v>1.6</v>
      </c>
      <c r="G184" s="80">
        <v>2</v>
      </c>
    </row>
    <row r="185" spans="1:7" x14ac:dyDescent="0.25">
      <c r="A185" s="53" t="s">
        <v>1220</v>
      </c>
      <c r="B185" s="53" t="s">
        <v>272</v>
      </c>
      <c r="C185" t="s">
        <v>1219</v>
      </c>
      <c r="D185" t="s">
        <v>1217</v>
      </c>
      <c r="E185" s="74" t="s">
        <v>840</v>
      </c>
      <c r="F185" s="80">
        <v>1.6</v>
      </c>
      <c r="G185" s="80">
        <v>2</v>
      </c>
    </row>
    <row r="186" spans="1:7" x14ac:dyDescent="0.25">
      <c r="A186" s="53" t="s">
        <v>1221</v>
      </c>
      <c r="B186" s="53" t="s">
        <v>697</v>
      </c>
      <c r="C186" t="s">
        <v>1222</v>
      </c>
      <c r="D186" t="s">
        <v>1217</v>
      </c>
      <c r="E186" s="74" t="s">
        <v>840</v>
      </c>
      <c r="F186" s="80">
        <v>1.6</v>
      </c>
      <c r="G186" s="80">
        <v>2</v>
      </c>
    </row>
    <row r="187" spans="1:7" x14ac:dyDescent="0.25">
      <c r="A187" s="53" t="s">
        <v>1223</v>
      </c>
      <c r="B187" s="53" t="s">
        <v>1224</v>
      </c>
      <c r="C187" t="s">
        <v>1225</v>
      </c>
      <c r="D187" t="s">
        <v>1217</v>
      </c>
      <c r="E187" s="74" t="s">
        <v>840</v>
      </c>
      <c r="F187" s="80">
        <v>1.6</v>
      </c>
      <c r="G187" s="80">
        <v>2</v>
      </c>
    </row>
    <row r="188" spans="1:7" x14ac:dyDescent="0.25">
      <c r="A188" s="53" t="s">
        <v>1226</v>
      </c>
      <c r="B188" s="53" t="s">
        <v>1227</v>
      </c>
      <c r="C188" t="s">
        <v>1228</v>
      </c>
      <c r="D188" t="s">
        <v>1217</v>
      </c>
      <c r="E188" s="74" t="s">
        <v>768</v>
      </c>
      <c r="F188" s="80">
        <v>1.9</v>
      </c>
      <c r="G188" s="80">
        <v>2.25</v>
      </c>
    </row>
    <row r="189" spans="1:7" x14ac:dyDescent="0.25">
      <c r="A189" s="53" t="s">
        <v>1229</v>
      </c>
      <c r="B189" s="53" t="s">
        <v>1230</v>
      </c>
      <c r="C189" t="s">
        <v>1228</v>
      </c>
      <c r="D189" t="s">
        <v>1217</v>
      </c>
      <c r="E189" s="74" t="s">
        <v>768</v>
      </c>
      <c r="F189" s="80">
        <v>1.9</v>
      </c>
      <c r="G189" s="80">
        <v>2.25</v>
      </c>
    </row>
    <row r="190" spans="1:7" x14ac:dyDescent="0.25">
      <c r="A190" s="53" t="s">
        <v>1231</v>
      </c>
      <c r="B190" s="53" t="s">
        <v>1232</v>
      </c>
      <c r="C190" t="s">
        <v>1233</v>
      </c>
      <c r="D190" t="s">
        <v>1217</v>
      </c>
      <c r="E190" s="74" t="s">
        <v>768</v>
      </c>
      <c r="F190" s="80">
        <v>2.0499999999999998</v>
      </c>
      <c r="G190" s="80">
        <v>2.25</v>
      </c>
    </row>
    <row r="191" spans="1:7" x14ac:dyDescent="0.25">
      <c r="A191" s="53" t="s">
        <v>1234</v>
      </c>
      <c r="B191" s="53" t="s">
        <v>320</v>
      </c>
      <c r="C191" t="s">
        <v>1235</v>
      </c>
      <c r="D191" t="s">
        <v>1217</v>
      </c>
      <c r="E191" s="74" t="s">
        <v>840</v>
      </c>
      <c r="F191" s="80">
        <v>1.65</v>
      </c>
      <c r="G191" s="80">
        <v>1.95</v>
      </c>
    </row>
    <row r="192" spans="1:7" x14ac:dyDescent="0.25">
      <c r="A192" s="53" t="s">
        <v>1236</v>
      </c>
      <c r="B192" s="53" t="s">
        <v>199</v>
      </c>
      <c r="C192" t="s">
        <v>1237</v>
      </c>
      <c r="D192" t="s">
        <v>1217</v>
      </c>
      <c r="E192" s="74" t="s">
        <v>840</v>
      </c>
      <c r="F192" s="80">
        <v>1.8</v>
      </c>
      <c r="G192" s="80">
        <v>1.95</v>
      </c>
    </row>
    <row r="193" spans="1:7" x14ac:dyDescent="0.25">
      <c r="A193" s="53" t="s">
        <v>1238</v>
      </c>
      <c r="B193" s="53" t="s">
        <v>321</v>
      </c>
      <c r="C193" t="s">
        <v>1239</v>
      </c>
      <c r="D193" t="s">
        <v>1217</v>
      </c>
      <c r="E193" s="74" t="s">
        <v>840</v>
      </c>
      <c r="F193" s="80">
        <v>1.65</v>
      </c>
      <c r="G193" s="80">
        <v>1.95</v>
      </c>
    </row>
    <row r="194" spans="1:7" x14ac:dyDescent="0.25">
      <c r="A194" s="53" t="s">
        <v>1240</v>
      </c>
      <c r="B194" s="53" t="s">
        <v>200</v>
      </c>
      <c r="C194" t="s">
        <v>1241</v>
      </c>
      <c r="D194" t="s">
        <v>1217</v>
      </c>
      <c r="E194" s="74" t="s">
        <v>768</v>
      </c>
      <c r="F194" s="80">
        <v>1.9</v>
      </c>
      <c r="G194" s="80">
        <v>2.25</v>
      </c>
    </row>
    <row r="195" spans="1:7" x14ac:dyDescent="0.25">
      <c r="A195" s="53" t="s">
        <v>1242</v>
      </c>
      <c r="B195" s="53" t="s">
        <v>322</v>
      </c>
      <c r="C195" t="s">
        <v>1243</v>
      </c>
      <c r="D195" t="s">
        <v>1244</v>
      </c>
      <c r="E195" s="74" t="s">
        <v>840</v>
      </c>
      <c r="F195" s="80">
        <v>1.6</v>
      </c>
      <c r="G195" s="80">
        <v>2.25</v>
      </c>
    </row>
    <row r="196" spans="1:7" x14ac:dyDescent="0.25">
      <c r="A196" s="53" t="s">
        <v>1245</v>
      </c>
      <c r="B196" s="53" t="s">
        <v>1246</v>
      </c>
      <c r="C196" t="s">
        <v>1247</v>
      </c>
      <c r="D196" t="s">
        <v>1244</v>
      </c>
      <c r="E196" s="74" t="s">
        <v>777</v>
      </c>
      <c r="F196" s="80">
        <v>1.6</v>
      </c>
      <c r="G196" s="80">
        <v>1.8</v>
      </c>
    </row>
    <row r="197" spans="1:7" x14ac:dyDescent="0.25">
      <c r="A197" s="53" t="s">
        <v>1248</v>
      </c>
      <c r="B197" s="53" t="s">
        <v>1249</v>
      </c>
      <c r="C197" t="s">
        <v>1247</v>
      </c>
      <c r="D197" t="s">
        <v>1244</v>
      </c>
      <c r="E197" s="74" t="s">
        <v>777</v>
      </c>
      <c r="F197" s="80">
        <v>1.6</v>
      </c>
      <c r="G197" s="80">
        <v>1.8</v>
      </c>
    </row>
    <row r="198" spans="1:7" x14ac:dyDescent="0.25">
      <c r="A198" s="53" t="s">
        <v>1250</v>
      </c>
      <c r="B198" s="53" t="s">
        <v>705</v>
      </c>
      <c r="C198" t="s">
        <v>1251</v>
      </c>
      <c r="D198" t="s">
        <v>1244</v>
      </c>
      <c r="E198" s="74" t="s">
        <v>840</v>
      </c>
      <c r="F198" s="80">
        <v>1.85</v>
      </c>
      <c r="G198" s="80">
        <v>2.25</v>
      </c>
    </row>
    <row r="199" spans="1:7" x14ac:dyDescent="0.25">
      <c r="A199" s="53" t="s">
        <v>1252</v>
      </c>
      <c r="B199" s="53" t="s">
        <v>1253</v>
      </c>
      <c r="C199" t="s">
        <v>1251</v>
      </c>
      <c r="D199" t="s">
        <v>1244</v>
      </c>
      <c r="E199" s="74" t="s">
        <v>840</v>
      </c>
      <c r="F199" s="80">
        <v>1.85</v>
      </c>
      <c r="G199" s="80">
        <v>2.25</v>
      </c>
    </row>
    <row r="200" spans="1:7" x14ac:dyDescent="0.25">
      <c r="A200" s="53" t="s">
        <v>1254</v>
      </c>
      <c r="B200" s="53" t="s">
        <v>707</v>
      </c>
      <c r="C200" t="s">
        <v>1255</v>
      </c>
      <c r="D200" t="s">
        <v>1244</v>
      </c>
      <c r="E200" s="74" t="s">
        <v>840</v>
      </c>
      <c r="F200" s="80">
        <v>1.85</v>
      </c>
      <c r="G200" s="80">
        <v>2.25</v>
      </c>
    </row>
    <row r="201" spans="1:7" x14ac:dyDescent="0.25">
      <c r="A201" s="53" t="s">
        <v>1256</v>
      </c>
      <c r="B201" s="53" t="s">
        <v>1257</v>
      </c>
      <c r="C201" t="s">
        <v>1255</v>
      </c>
      <c r="D201" t="s">
        <v>1244</v>
      </c>
      <c r="E201" s="74" t="s">
        <v>840</v>
      </c>
      <c r="F201" s="80">
        <v>1.85</v>
      </c>
      <c r="G201" s="80">
        <v>2.25</v>
      </c>
    </row>
    <row r="202" spans="1:7" x14ac:dyDescent="0.25">
      <c r="A202" s="53" t="s">
        <v>1258</v>
      </c>
      <c r="B202" s="53" t="s">
        <v>323</v>
      </c>
      <c r="C202" t="s">
        <v>1247</v>
      </c>
      <c r="D202" t="s">
        <v>1244</v>
      </c>
      <c r="E202" s="74" t="s">
        <v>777</v>
      </c>
      <c r="F202" s="80">
        <v>1.6</v>
      </c>
      <c r="G202" s="80">
        <v>1.8</v>
      </c>
    </row>
    <row r="203" spans="1:7" x14ac:dyDescent="0.25">
      <c r="A203" s="53" t="s">
        <v>1259</v>
      </c>
      <c r="B203" s="53" t="s">
        <v>201</v>
      </c>
      <c r="C203" t="s">
        <v>1251</v>
      </c>
      <c r="D203" t="s">
        <v>1244</v>
      </c>
      <c r="E203" s="74" t="s">
        <v>777</v>
      </c>
      <c r="F203" s="80">
        <v>1.6</v>
      </c>
      <c r="G203" s="80">
        <v>1.8</v>
      </c>
    </row>
    <row r="204" spans="1:7" x14ac:dyDescent="0.25">
      <c r="A204" s="53" t="s">
        <v>1260</v>
      </c>
      <c r="B204" s="53" t="s">
        <v>324</v>
      </c>
      <c r="C204" t="s">
        <v>1261</v>
      </c>
      <c r="D204" t="s">
        <v>1262</v>
      </c>
      <c r="E204" s="74" t="s">
        <v>840</v>
      </c>
      <c r="F204" s="80">
        <v>1.8</v>
      </c>
      <c r="G204" s="80">
        <v>2.25</v>
      </c>
    </row>
    <row r="205" spans="1:7" x14ac:dyDescent="0.25">
      <c r="A205" s="53" t="s">
        <v>1263</v>
      </c>
      <c r="B205" s="53" t="s">
        <v>1264</v>
      </c>
      <c r="C205" t="s">
        <v>1261</v>
      </c>
      <c r="D205" t="s">
        <v>1262</v>
      </c>
      <c r="E205" s="74" t="s">
        <v>840</v>
      </c>
      <c r="F205" s="80">
        <v>1.8</v>
      </c>
      <c r="G205" s="80">
        <v>2.25</v>
      </c>
    </row>
    <row r="206" spans="1:7" x14ac:dyDescent="0.25">
      <c r="A206" s="53" t="s">
        <v>1265</v>
      </c>
      <c r="B206" s="53" t="s">
        <v>712</v>
      </c>
      <c r="C206" t="s">
        <v>1266</v>
      </c>
      <c r="D206" t="s">
        <v>1262</v>
      </c>
      <c r="E206" s="74" t="s">
        <v>840</v>
      </c>
      <c r="F206" s="80">
        <v>1.8</v>
      </c>
      <c r="G206" s="80">
        <v>2.25</v>
      </c>
    </row>
    <row r="207" spans="1:7" x14ac:dyDescent="0.25">
      <c r="A207" s="53" t="s">
        <v>1267</v>
      </c>
      <c r="B207" s="53" t="s">
        <v>1268</v>
      </c>
      <c r="C207" t="s">
        <v>1269</v>
      </c>
      <c r="D207" t="s">
        <v>1262</v>
      </c>
      <c r="E207" s="74" t="s">
        <v>840</v>
      </c>
      <c r="F207" s="80">
        <v>1.8</v>
      </c>
      <c r="G207" s="80">
        <v>2.25</v>
      </c>
    </row>
    <row r="208" spans="1:7" x14ac:dyDescent="0.25">
      <c r="A208" s="53" t="s">
        <v>1270</v>
      </c>
      <c r="B208" s="53" t="s">
        <v>714</v>
      </c>
      <c r="C208" t="s">
        <v>1269</v>
      </c>
      <c r="D208" t="s">
        <v>1262</v>
      </c>
      <c r="E208" s="74" t="s">
        <v>840</v>
      </c>
      <c r="F208" s="80">
        <v>1.8</v>
      </c>
      <c r="G208" s="80">
        <v>2.25</v>
      </c>
    </row>
    <row r="209" spans="1:7" x14ac:dyDescent="0.25">
      <c r="A209" s="53" t="s">
        <v>1271</v>
      </c>
      <c r="B209" s="53" t="s">
        <v>1272</v>
      </c>
      <c r="C209" t="s">
        <v>1273</v>
      </c>
      <c r="D209" t="s">
        <v>1274</v>
      </c>
      <c r="E209" s="74" t="s">
        <v>777</v>
      </c>
      <c r="F209" s="80">
        <v>1.65</v>
      </c>
      <c r="G209" s="80">
        <v>2.25</v>
      </c>
    </row>
    <row r="210" spans="1:7" x14ac:dyDescent="0.25">
      <c r="A210" s="53" t="s">
        <v>1275</v>
      </c>
      <c r="B210" s="53" t="s">
        <v>202</v>
      </c>
      <c r="C210" t="s">
        <v>1276</v>
      </c>
      <c r="D210" t="s">
        <v>1274</v>
      </c>
      <c r="E210" s="74" t="s">
        <v>777</v>
      </c>
      <c r="F210" s="80">
        <v>1.65</v>
      </c>
      <c r="G210" s="80">
        <v>1.95</v>
      </c>
    </row>
    <row r="211" spans="1:7" x14ac:dyDescent="0.25">
      <c r="A211" s="53" t="s">
        <v>1277</v>
      </c>
      <c r="B211" s="53" t="s">
        <v>1278</v>
      </c>
      <c r="C211" t="s">
        <v>1276</v>
      </c>
      <c r="D211" t="s">
        <v>1274</v>
      </c>
      <c r="E211" s="74" t="s">
        <v>777</v>
      </c>
      <c r="F211" s="80">
        <v>1.65</v>
      </c>
      <c r="G211" s="80">
        <v>1.95</v>
      </c>
    </row>
    <row r="212" spans="1:7" x14ac:dyDescent="0.25">
      <c r="A212" s="53" t="s">
        <v>1279</v>
      </c>
      <c r="B212" s="53" t="s">
        <v>1280</v>
      </c>
      <c r="C212" t="s">
        <v>1281</v>
      </c>
      <c r="D212" t="s">
        <v>1274</v>
      </c>
      <c r="E212" s="74" t="s">
        <v>777</v>
      </c>
      <c r="F212" s="80">
        <v>1.65</v>
      </c>
      <c r="G212" s="80">
        <v>1.95</v>
      </c>
    </row>
    <row r="213" spans="1:7" x14ac:dyDescent="0.25">
      <c r="A213" s="53" t="s">
        <v>1282</v>
      </c>
      <c r="B213" s="53" t="s">
        <v>717</v>
      </c>
      <c r="C213" t="s">
        <v>1283</v>
      </c>
      <c r="D213" t="s">
        <v>1274</v>
      </c>
      <c r="E213" s="74" t="s">
        <v>768</v>
      </c>
      <c r="F213" s="80">
        <v>1.9</v>
      </c>
      <c r="G213" s="80">
        <v>2.25</v>
      </c>
    </row>
    <row r="214" spans="1:7" x14ac:dyDescent="0.25">
      <c r="A214" s="53" t="s">
        <v>1284</v>
      </c>
      <c r="B214" s="53" t="s">
        <v>1285</v>
      </c>
      <c r="C214" t="s">
        <v>1286</v>
      </c>
      <c r="D214" t="s">
        <v>1274</v>
      </c>
      <c r="E214" s="74" t="s">
        <v>768</v>
      </c>
      <c r="F214" s="80">
        <v>2</v>
      </c>
      <c r="G214" s="80">
        <v>2.25</v>
      </c>
    </row>
    <row r="215" spans="1:7" x14ac:dyDescent="0.25">
      <c r="A215" s="53" t="s">
        <v>1287</v>
      </c>
      <c r="B215" s="53" t="s">
        <v>203</v>
      </c>
      <c r="C215" t="s">
        <v>1288</v>
      </c>
      <c r="D215" t="s">
        <v>1274</v>
      </c>
      <c r="E215" s="74" t="s">
        <v>768</v>
      </c>
      <c r="F215" s="80">
        <v>2</v>
      </c>
      <c r="G215" s="80">
        <v>2.25</v>
      </c>
    </row>
    <row r="216" spans="1:7" x14ac:dyDescent="0.25">
      <c r="A216" s="53" t="s">
        <v>1289</v>
      </c>
      <c r="B216" s="53" t="s">
        <v>325</v>
      </c>
      <c r="C216" t="s">
        <v>1288</v>
      </c>
      <c r="D216" t="s">
        <v>1274</v>
      </c>
      <c r="E216" s="74" t="s">
        <v>768</v>
      </c>
      <c r="F216" s="80">
        <v>2</v>
      </c>
      <c r="G216" s="80">
        <v>2.25</v>
      </c>
    </row>
    <row r="217" spans="1:7" x14ac:dyDescent="0.25">
      <c r="A217" s="53" t="s">
        <v>1290</v>
      </c>
      <c r="B217" s="53" t="s">
        <v>1291</v>
      </c>
      <c r="C217" t="s">
        <v>1292</v>
      </c>
      <c r="D217" t="s">
        <v>1274</v>
      </c>
      <c r="E217" s="74" t="s">
        <v>768</v>
      </c>
      <c r="F217" s="80">
        <v>2</v>
      </c>
      <c r="G217" s="80">
        <v>2.25</v>
      </c>
    </row>
    <row r="218" spans="1:7" x14ac:dyDescent="0.25">
      <c r="A218" s="53" t="s">
        <v>1293</v>
      </c>
      <c r="B218" s="53" t="s">
        <v>720</v>
      </c>
      <c r="C218" t="s">
        <v>1294</v>
      </c>
      <c r="D218" t="s">
        <v>1274</v>
      </c>
      <c r="E218" s="74" t="s">
        <v>768</v>
      </c>
      <c r="F218" s="80">
        <v>2</v>
      </c>
      <c r="G218" s="80">
        <v>2.25</v>
      </c>
    </row>
    <row r="219" spans="1:7" x14ac:dyDescent="0.25">
      <c r="A219" s="53" t="s">
        <v>1295</v>
      </c>
      <c r="B219" s="53" t="s">
        <v>1296</v>
      </c>
      <c r="C219" t="s">
        <v>1294</v>
      </c>
      <c r="D219" t="s">
        <v>1274</v>
      </c>
      <c r="E219" s="74" t="s">
        <v>768</v>
      </c>
      <c r="F219" s="80">
        <v>2</v>
      </c>
      <c r="G219" s="80">
        <v>2.25</v>
      </c>
    </row>
    <row r="220" spans="1:7" x14ac:dyDescent="0.25">
      <c r="A220" s="53" t="s">
        <v>1297</v>
      </c>
      <c r="B220" s="53" t="s">
        <v>204</v>
      </c>
      <c r="C220" t="s">
        <v>1298</v>
      </c>
      <c r="D220" t="s">
        <v>1274</v>
      </c>
      <c r="E220" s="74" t="s">
        <v>777</v>
      </c>
      <c r="F220" s="80">
        <v>1.65</v>
      </c>
      <c r="G220" s="80">
        <v>1.95</v>
      </c>
    </row>
    <row r="221" spans="1:7" x14ac:dyDescent="0.25">
      <c r="A221" s="53" t="s">
        <v>1299</v>
      </c>
      <c r="B221" s="53" t="s">
        <v>1300</v>
      </c>
      <c r="C221" t="s">
        <v>1301</v>
      </c>
      <c r="D221" t="s">
        <v>1274</v>
      </c>
      <c r="E221" s="74" t="s">
        <v>777</v>
      </c>
      <c r="F221" s="80">
        <v>1.65</v>
      </c>
      <c r="G221" s="80">
        <v>1.95</v>
      </c>
    </row>
  </sheetData>
  <autoFilter ref="B1:H221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7"/>
  <sheetViews>
    <sheetView zoomScaleNormal="100" workbookViewId="0">
      <selection activeCell="E2" activeCellId="1" sqref="B2:B120 E2"/>
    </sheetView>
  </sheetViews>
  <sheetFormatPr defaultRowHeight="15" x14ac:dyDescent="0.25"/>
  <cols>
    <col min="1" max="1" width="6.140625"/>
    <col min="2" max="2" width="12.85546875"/>
    <col min="3" max="3" width="8.5703125"/>
    <col min="4" max="4" width="10.5703125"/>
    <col min="5" max="1025" width="8.5703125"/>
  </cols>
  <sheetData>
    <row r="1" spans="1:14" x14ac:dyDescent="0.25">
      <c r="A1" s="82" t="s">
        <v>1302</v>
      </c>
      <c r="B1" s="82" t="s">
        <v>1303</v>
      </c>
      <c r="D1" t="s">
        <v>1304</v>
      </c>
      <c r="E1">
        <f>195+91</f>
        <v>286</v>
      </c>
      <c r="N1" s="29" t="s">
        <v>216</v>
      </c>
    </row>
    <row r="2" spans="1:14" x14ac:dyDescent="0.25">
      <c r="A2">
        <v>1</v>
      </c>
      <c r="B2" s="83">
        <f>7.75*Available_Hour_Regular!$E$1</f>
        <v>2216.5</v>
      </c>
    </row>
    <row r="3" spans="1:14" x14ac:dyDescent="0.25">
      <c r="A3">
        <v>2</v>
      </c>
      <c r="B3" s="83">
        <f>7.75*Available_Hour_Regular!$E$1</f>
        <v>2216.5</v>
      </c>
    </row>
    <row r="4" spans="1:14" x14ac:dyDescent="0.25">
      <c r="A4">
        <v>3</v>
      </c>
      <c r="B4" s="83">
        <f>7.75*Available_Hour_Regular!$E$1</f>
        <v>2216.5</v>
      </c>
    </row>
    <row r="5" spans="1:14" x14ac:dyDescent="0.25">
      <c r="A5">
        <v>4</v>
      </c>
      <c r="B5" s="83">
        <f>7.75*Available_Hour_Regular!$E$1</f>
        <v>2216.5</v>
      </c>
    </row>
    <row r="6" spans="1:14" x14ac:dyDescent="0.25">
      <c r="B6" s="83"/>
    </row>
    <row r="7" spans="1:14" x14ac:dyDescent="0.25">
      <c r="B7" s="83"/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T56"/>
  <sheetViews>
    <sheetView topLeftCell="A7" zoomScaleNormal="100" workbookViewId="0">
      <selection activeCell="B27" sqref="B27"/>
    </sheetView>
  </sheetViews>
  <sheetFormatPr defaultRowHeight="15" x14ac:dyDescent="0.25"/>
  <cols>
    <col min="1" max="1" width="9.85546875"/>
    <col min="2" max="2" width="13.5703125" customWidth="1"/>
    <col min="3" max="3" width="8.5703125" style="124"/>
    <col min="4" max="4" width="12" bestFit="1" customWidth="1"/>
    <col min="5" max="5" width="11" bestFit="1" customWidth="1"/>
    <col min="6" max="6" width="8.5703125"/>
    <col min="10" max="10" width="8.5703125"/>
    <col min="15" max="1031" width="8.5703125"/>
  </cols>
  <sheetData>
    <row r="1" spans="1:20" x14ac:dyDescent="0.25">
      <c r="A1" s="82" t="s">
        <v>1305</v>
      </c>
      <c r="B1" s="82" t="s">
        <v>1306</v>
      </c>
      <c r="C1" s="125"/>
      <c r="K1" s="126"/>
      <c r="L1" s="126"/>
      <c r="T1" s="29"/>
    </row>
    <row r="2" spans="1:20" x14ac:dyDescent="0.25">
      <c r="A2" s="82">
        <v>0</v>
      </c>
      <c r="B2" s="82"/>
      <c r="T2" s="29"/>
    </row>
    <row r="3" spans="1:20" x14ac:dyDescent="0.25">
      <c r="A3">
        <v>1</v>
      </c>
      <c r="B3" s="135">
        <v>1.4862578314354965E-4</v>
      </c>
      <c r="D3" s="124"/>
      <c r="E3" s="124"/>
      <c r="J3" s="124"/>
      <c r="K3" s="127"/>
      <c r="L3" s="127"/>
      <c r="M3" s="124"/>
      <c r="N3" s="124"/>
      <c r="P3" s="84"/>
      <c r="Q3" s="84"/>
      <c r="R3" s="84"/>
    </row>
    <row r="4" spans="1:20" x14ac:dyDescent="0.25">
      <c r="A4">
        <v>1.05</v>
      </c>
      <c r="B4" s="135">
        <v>3.201170713861069E-4</v>
      </c>
      <c r="C4" s="135"/>
      <c r="D4" s="124"/>
      <c r="E4" s="124"/>
      <c r="J4" s="124"/>
      <c r="K4" s="127"/>
      <c r="L4" s="127"/>
      <c r="M4" s="124"/>
      <c r="N4" s="124"/>
      <c r="O4" s="123"/>
      <c r="P4" s="84"/>
      <c r="Q4" s="84"/>
      <c r="R4" s="84"/>
    </row>
    <row r="5" spans="1:20" x14ac:dyDescent="0.25">
      <c r="A5">
        <v>1.1000000000000001</v>
      </c>
      <c r="B5" s="135">
        <v>6.7453240042072526E-4</v>
      </c>
      <c r="C5" s="135"/>
      <c r="D5" s="124"/>
      <c r="E5" s="124"/>
      <c r="J5" s="124"/>
      <c r="K5" s="127"/>
      <c r="L5" s="127"/>
      <c r="M5" s="124"/>
      <c r="N5" s="124"/>
      <c r="O5" s="123"/>
      <c r="P5" s="84"/>
      <c r="Q5" s="84"/>
    </row>
    <row r="6" spans="1:20" x14ac:dyDescent="0.25">
      <c r="A6">
        <v>1.1499999999999999</v>
      </c>
      <c r="B6" s="135">
        <v>1.3376320482919467E-3</v>
      </c>
      <c r="C6" s="135"/>
      <c r="D6" s="124"/>
      <c r="E6" s="124"/>
      <c r="J6" s="124"/>
      <c r="K6" s="127"/>
      <c r="L6" s="127"/>
      <c r="M6" s="124"/>
      <c r="N6" s="124"/>
      <c r="O6" s="123"/>
    </row>
    <row r="7" spans="1:20" x14ac:dyDescent="0.25">
      <c r="A7">
        <v>1.2</v>
      </c>
      <c r="B7" s="135">
        <v>2.5152055608908402E-3</v>
      </c>
      <c r="C7" s="135"/>
      <c r="D7" s="124"/>
      <c r="E7" s="124"/>
      <c r="J7" s="124"/>
      <c r="K7" s="127"/>
      <c r="L7" s="127"/>
      <c r="M7" s="124"/>
      <c r="N7" s="124"/>
      <c r="O7" s="123"/>
    </row>
    <row r="8" spans="1:20" x14ac:dyDescent="0.25">
      <c r="A8">
        <v>1.25</v>
      </c>
      <c r="B8" s="135">
        <v>4.458773494306489E-3</v>
      </c>
      <c r="C8" s="135"/>
      <c r="D8" s="124"/>
      <c r="E8" s="124"/>
      <c r="J8" s="124"/>
      <c r="K8" s="127"/>
      <c r="L8" s="127"/>
      <c r="M8" s="124"/>
      <c r="N8" s="124"/>
      <c r="O8" s="123"/>
    </row>
    <row r="9" spans="1:20" x14ac:dyDescent="0.25">
      <c r="A9">
        <v>1.3</v>
      </c>
      <c r="B9" s="135">
        <v>7.4770201673754972E-3</v>
      </c>
      <c r="C9" s="135"/>
      <c r="D9" s="124"/>
      <c r="E9" s="124"/>
      <c r="J9" s="124"/>
      <c r="K9" s="127"/>
      <c r="L9" s="127"/>
      <c r="M9" s="124"/>
      <c r="N9" s="124"/>
      <c r="O9" s="123"/>
    </row>
    <row r="10" spans="1:20" x14ac:dyDescent="0.25">
      <c r="A10">
        <v>1.35</v>
      </c>
      <c r="B10" s="135">
        <v>1.1878629898934467E-2</v>
      </c>
      <c r="C10" s="135"/>
      <c r="D10" s="124"/>
      <c r="E10" s="124"/>
      <c r="J10" s="124"/>
      <c r="K10" s="127"/>
      <c r="L10" s="127"/>
      <c r="M10" s="124"/>
      <c r="N10" s="124"/>
      <c r="O10" s="123"/>
    </row>
    <row r="11" spans="1:20" x14ac:dyDescent="0.25">
      <c r="A11">
        <v>1.4</v>
      </c>
      <c r="B11" s="135">
        <v>1.7892257739973477E-2</v>
      </c>
      <c r="C11" s="135"/>
      <c r="D11" s="124"/>
      <c r="E11" s="124"/>
      <c r="J11" s="124"/>
      <c r="K11" s="127"/>
      <c r="L11" s="127"/>
      <c r="M11" s="124"/>
      <c r="N11" s="124"/>
      <c r="O11" s="123"/>
    </row>
    <row r="12" spans="1:20" x14ac:dyDescent="0.25">
      <c r="A12">
        <v>1.45</v>
      </c>
      <c r="B12" s="135">
        <v>2.5552201948141035E-2</v>
      </c>
      <c r="C12" s="135"/>
      <c r="D12" s="124"/>
      <c r="E12" s="124"/>
      <c r="J12" s="124"/>
      <c r="K12" s="127"/>
      <c r="L12" s="127"/>
      <c r="M12" s="124"/>
      <c r="N12" s="124"/>
      <c r="O12" s="123"/>
    </row>
    <row r="13" spans="1:20" x14ac:dyDescent="0.25">
      <c r="A13">
        <v>1.5</v>
      </c>
      <c r="B13" s="135">
        <v>3.4629807472447066E-2</v>
      </c>
      <c r="C13" s="135"/>
      <c r="D13" s="124"/>
      <c r="E13" s="124"/>
      <c r="J13" s="124"/>
      <c r="K13" s="127"/>
      <c r="L13" s="127"/>
      <c r="M13" s="124"/>
      <c r="N13" s="124"/>
    </row>
    <row r="14" spans="1:20" x14ac:dyDescent="0.25">
      <c r="A14">
        <v>1.55</v>
      </c>
      <c r="B14" s="135">
        <v>4.4553436685416378E-2</v>
      </c>
      <c r="C14" s="135"/>
      <c r="D14" s="124"/>
      <c r="E14" s="124"/>
      <c r="J14" s="124"/>
      <c r="K14" s="127"/>
      <c r="L14" s="127"/>
      <c r="M14" s="124"/>
      <c r="N14" s="124"/>
    </row>
    <row r="15" spans="1:20" x14ac:dyDescent="0.25">
      <c r="A15">
        <v>1.6</v>
      </c>
      <c r="B15" s="135">
        <v>5.4522796908583714E-2</v>
      </c>
      <c r="C15" s="135"/>
      <c r="D15" s="124"/>
      <c r="E15" s="124"/>
      <c r="J15" s="124"/>
      <c r="K15" s="127"/>
      <c r="L15" s="127"/>
      <c r="M15" s="124"/>
      <c r="N15" s="124"/>
    </row>
    <row r="16" spans="1:20" x14ac:dyDescent="0.25">
      <c r="A16">
        <v>1.65</v>
      </c>
      <c r="B16" s="135">
        <v>6.3497507659944205E-2</v>
      </c>
      <c r="C16" s="135"/>
      <c r="D16" s="124"/>
      <c r="E16" s="124"/>
      <c r="J16" s="124"/>
      <c r="K16" s="127"/>
      <c r="L16" s="127"/>
      <c r="M16" s="124"/>
      <c r="N16" s="124"/>
    </row>
    <row r="17" spans="1:14" x14ac:dyDescent="0.25">
      <c r="A17">
        <v>1.7</v>
      </c>
      <c r="B17" s="135">
        <v>7.052865047788906E-2</v>
      </c>
      <c r="C17" s="135"/>
      <c r="D17" s="124"/>
      <c r="E17" s="124"/>
      <c r="J17" s="124"/>
      <c r="K17" s="127"/>
      <c r="L17" s="127"/>
      <c r="M17" s="124"/>
      <c r="N17" s="124"/>
    </row>
    <row r="18" spans="1:14" x14ac:dyDescent="0.25">
      <c r="A18">
        <v>1.75</v>
      </c>
      <c r="B18" s="135">
        <v>7.4838798189051994E-2</v>
      </c>
      <c r="C18" s="135"/>
      <c r="D18" s="124"/>
      <c r="E18" s="124"/>
      <c r="J18" s="124"/>
      <c r="K18" s="127"/>
      <c r="L18" s="127"/>
      <c r="M18" s="124"/>
      <c r="N18" s="124"/>
    </row>
    <row r="19" spans="1:14" x14ac:dyDescent="0.25">
      <c r="A19">
        <v>1.8</v>
      </c>
      <c r="B19" s="135">
        <v>7.6062102711848906E-2</v>
      </c>
      <c r="C19" s="135"/>
      <c r="D19" s="124"/>
      <c r="E19" s="124"/>
      <c r="J19" s="124"/>
      <c r="K19" s="127"/>
      <c r="L19" s="127"/>
      <c r="M19" s="124"/>
      <c r="N19" s="124"/>
    </row>
    <row r="20" spans="1:14" x14ac:dyDescent="0.25">
      <c r="A20">
        <v>1.85</v>
      </c>
      <c r="B20" s="135">
        <v>7.4255727809027297E-2</v>
      </c>
      <c r="C20" s="135"/>
      <c r="D20" s="124"/>
      <c r="E20" s="124"/>
      <c r="J20" s="124"/>
      <c r="K20" s="127"/>
      <c r="L20" s="127"/>
      <c r="M20" s="124"/>
      <c r="N20" s="124"/>
    </row>
    <row r="21" spans="1:14" x14ac:dyDescent="0.25">
      <c r="A21">
        <v>1.9</v>
      </c>
      <c r="B21" s="135">
        <v>6.9831252572369329E-2</v>
      </c>
      <c r="C21" s="135"/>
      <c r="D21" s="124"/>
      <c r="E21" s="124"/>
      <c r="J21" s="124"/>
      <c r="K21" s="127"/>
      <c r="L21" s="127"/>
      <c r="M21" s="124"/>
      <c r="N21" s="124"/>
    </row>
    <row r="22" spans="1:14" x14ac:dyDescent="0.25">
      <c r="A22">
        <v>1.95</v>
      </c>
      <c r="B22" s="135">
        <v>6.352037316504322E-2</v>
      </c>
      <c r="C22" s="135"/>
      <c r="D22" s="124"/>
      <c r="E22" s="124"/>
      <c r="J22" s="124"/>
      <c r="K22" s="127"/>
      <c r="L22" s="127"/>
      <c r="M22" s="124"/>
      <c r="N22" s="124"/>
    </row>
    <row r="23" spans="1:14" x14ac:dyDescent="0.25">
      <c r="A23">
        <v>2</v>
      </c>
      <c r="B23" s="135">
        <v>5.6066218502766725E-2</v>
      </c>
      <c r="C23" s="135"/>
      <c r="D23" s="124"/>
      <c r="E23" s="124"/>
      <c r="J23" s="124"/>
      <c r="K23" s="127"/>
      <c r="L23" s="127"/>
      <c r="M23" s="124"/>
      <c r="N23" s="124"/>
    </row>
    <row r="24" spans="1:14" x14ac:dyDescent="0.25">
      <c r="A24">
        <v>2.0499999999999998</v>
      </c>
      <c r="B24" s="135">
        <v>4.8246215758906114E-2</v>
      </c>
      <c r="C24" s="135"/>
      <c r="D24" s="124"/>
      <c r="E24" s="124"/>
      <c r="J24" s="124"/>
      <c r="K24" s="127"/>
      <c r="L24" s="127"/>
      <c r="M24" s="124"/>
      <c r="N24" s="124"/>
    </row>
    <row r="25" spans="1:14" x14ac:dyDescent="0.25">
      <c r="A25">
        <v>2.1</v>
      </c>
      <c r="B25" s="135">
        <v>4.059770430328806E-2</v>
      </c>
      <c r="C25" s="135"/>
      <c r="D25" s="124"/>
      <c r="E25" s="124"/>
      <c r="J25" s="124"/>
      <c r="K25" s="127"/>
      <c r="L25" s="127"/>
      <c r="M25" s="124"/>
      <c r="N25" s="124"/>
    </row>
    <row r="26" spans="1:14" x14ac:dyDescent="0.25">
      <c r="A26">
        <v>2.15</v>
      </c>
      <c r="B26" s="135">
        <v>3.3566561485343212E-2</v>
      </c>
      <c r="C26" s="135"/>
      <c r="D26" s="124"/>
      <c r="E26" s="124"/>
      <c r="J26" s="124"/>
      <c r="K26" s="127"/>
      <c r="L26" s="127"/>
      <c r="M26" s="124"/>
      <c r="N26" s="124"/>
    </row>
    <row r="27" spans="1:14" x14ac:dyDescent="0.25">
      <c r="A27">
        <v>2.2000000000000002</v>
      </c>
      <c r="B27" s="135">
        <v>2.7335711345863632E-2</v>
      </c>
      <c r="C27" s="135"/>
      <c r="D27" s="124"/>
      <c r="E27" s="124"/>
      <c r="J27" s="124"/>
      <c r="K27" s="127"/>
      <c r="L27" s="127"/>
      <c r="M27" s="124"/>
      <c r="N27" s="124"/>
    </row>
    <row r="28" spans="1:14" x14ac:dyDescent="0.25">
      <c r="A28">
        <v>2.25</v>
      </c>
      <c r="B28" s="135">
        <v>2.1985183152695844E-2</v>
      </c>
      <c r="C28" s="135"/>
      <c r="D28" s="124"/>
      <c r="E28" s="124"/>
      <c r="J28" s="124"/>
      <c r="K28" s="127"/>
      <c r="L28" s="127"/>
      <c r="M28" s="124"/>
      <c r="N28" s="124"/>
    </row>
    <row r="29" spans="1:14" x14ac:dyDescent="0.25">
      <c r="A29">
        <v>2.2999999999999998</v>
      </c>
      <c r="B29" s="135">
        <v>1.7514976905839849E-2</v>
      </c>
      <c r="C29" s="135"/>
      <c r="D29" s="124"/>
      <c r="E29" s="124"/>
      <c r="J29" s="124"/>
      <c r="K29" s="127"/>
      <c r="L29" s="127"/>
      <c r="M29" s="124"/>
      <c r="N29" s="124"/>
    </row>
    <row r="30" spans="1:14" x14ac:dyDescent="0.25">
      <c r="A30">
        <v>2.35</v>
      </c>
      <c r="B30" s="135">
        <v>1.383363058489962E-2</v>
      </c>
      <c r="C30" s="135"/>
      <c r="D30" s="124"/>
      <c r="E30" s="124"/>
      <c r="J30" s="124"/>
      <c r="K30" s="127"/>
      <c r="L30" s="127"/>
      <c r="M30" s="124"/>
      <c r="N30" s="124"/>
    </row>
    <row r="31" spans="1:14" x14ac:dyDescent="0.25">
      <c r="A31">
        <v>2.4</v>
      </c>
      <c r="B31" s="135">
        <v>1.083824941692962E-2</v>
      </c>
      <c r="C31" s="135"/>
      <c r="D31" s="124"/>
      <c r="E31" s="124"/>
      <c r="J31" s="124"/>
      <c r="K31" s="127"/>
      <c r="L31" s="127"/>
      <c r="M31" s="124"/>
      <c r="N31" s="124"/>
    </row>
    <row r="32" spans="1:14" x14ac:dyDescent="0.25">
      <c r="A32">
        <v>2.4500000000000002</v>
      </c>
      <c r="B32" s="135">
        <v>8.403073123885307E-3</v>
      </c>
      <c r="C32" s="135"/>
      <c r="D32" s="124"/>
      <c r="E32" s="124"/>
      <c r="J32" s="124"/>
      <c r="K32" s="127"/>
      <c r="L32" s="127"/>
      <c r="M32" s="124"/>
      <c r="N32" s="124"/>
    </row>
    <row r="33" spans="1:14" x14ac:dyDescent="0.25">
      <c r="A33">
        <v>2.5</v>
      </c>
      <c r="B33" s="135">
        <v>6.4480724379201533E-3</v>
      </c>
      <c r="C33" s="135"/>
      <c r="D33" s="124"/>
      <c r="E33" s="124"/>
      <c r="J33" s="124"/>
      <c r="K33" s="127"/>
      <c r="L33" s="127"/>
      <c r="M33" s="124"/>
      <c r="N33" s="124"/>
    </row>
    <row r="34" spans="1:14" x14ac:dyDescent="0.25">
      <c r="A34">
        <v>2.5499999999999998</v>
      </c>
      <c r="B34" s="135">
        <v>4.870352586088627E-3</v>
      </c>
      <c r="C34" s="135"/>
      <c r="D34" s="124"/>
      <c r="E34" s="124"/>
      <c r="J34" s="124"/>
      <c r="K34" s="127"/>
      <c r="L34" s="127"/>
      <c r="M34" s="124"/>
      <c r="N34" s="124"/>
    </row>
    <row r="35" spans="1:14" x14ac:dyDescent="0.25">
      <c r="A35">
        <v>2.6</v>
      </c>
      <c r="B35" s="135">
        <v>3.6241825581927105E-3</v>
      </c>
      <c r="C35" s="135"/>
      <c r="D35" s="124"/>
      <c r="E35" s="124"/>
      <c r="J35" s="124"/>
      <c r="K35" s="127"/>
      <c r="L35" s="127"/>
      <c r="M35" s="124"/>
      <c r="N35" s="124"/>
    </row>
    <row r="36" spans="1:14" x14ac:dyDescent="0.25">
      <c r="A36">
        <v>2.65</v>
      </c>
      <c r="B36" s="135">
        <v>2.6295330863858784E-3</v>
      </c>
      <c r="C36" s="135"/>
      <c r="D36" s="124"/>
      <c r="E36" s="124"/>
      <c r="J36" s="124"/>
      <c r="K36" s="127"/>
      <c r="L36" s="127"/>
      <c r="M36" s="124"/>
      <c r="N36" s="124"/>
    </row>
    <row r="37" spans="1:14" x14ac:dyDescent="0.25">
      <c r="A37">
        <v>2.7</v>
      </c>
      <c r="B37" s="135">
        <v>1.8749714181186263E-3</v>
      </c>
      <c r="C37" s="135"/>
      <c r="D37" s="124"/>
      <c r="E37" s="124"/>
      <c r="J37" s="124"/>
      <c r="K37" s="127"/>
      <c r="L37" s="127"/>
      <c r="M37" s="124"/>
      <c r="N37" s="124"/>
    </row>
    <row r="38" spans="1:14" x14ac:dyDescent="0.25">
      <c r="A38">
        <v>2.75</v>
      </c>
      <c r="B38" s="135">
        <v>1.3033337906434353E-3</v>
      </c>
      <c r="C38" s="135"/>
      <c r="D38" s="124"/>
      <c r="E38" s="124"/>
      <c r="J38" s="124"/>
      <c r="K38" s="127"/>
      <c r="L38" s="127"/>
      <c r="M38" s="124"/>
      <c r="N38" s="124"/>
    </row>
    <row r="39" spans="1:14" x14ac:dyDescent="0.25">
      <c r="A39">
        <v>2.8</v>
      </c>
      <c r="B39" s="135">
        <v>8.80321946311794E-4</v>
      </c>
      <c r="C39" s="135"/>
      <c r="D39" s="124"/>
      <c r="E39" s="124"/>
      <c r="J39" s="124"/>
      <c r="K39" s="127"/>
      <c r="L39" s="127"/>
      <c r="M39" s="124"/>
      <c r="N39" s="124"/>
    </row>
    <row r="40" spans="1:14" x14ac:dyDescent="0.25">
      <c r="A40">
        <v>2.85</v>
      </c>
      <c r="B40" s="135">
        <v>5.8307038002469475E-4</v>
      </c>
      <c r="C40" s="135"/>
      <c r="D40" s="124"/>
      <c r="E40" s="124"/>
      <c r="J40" s="124"/>
      <c r="K40" s="127"/>
      <c r="L40" s="127"/>
      <c r="M40" s="124"/>
      <c r="N40" s="124"/>
    </row>
    <row r="41" spans="1:14" x14ac:dyDescent="0.25">
      <c r="A41">
        <v>2.9</v>
      </c>
      <c r="B41" s="135">
        <v>3.6584808158412221E-4</v>
      </c>
      <c r="C41" s="135"/>
      <c r="D41" s="124"/>
      <c r="E41" s="124"/>
      <c r="J41" s="124"/>
      <c r="K41" s="127"/>
      <c r="L41" s="127"/>
      <c r="M41" s="124"/>
      <c r="N41" s="124"/>
    </row>
    <row r="42" spans="1:14" x14ac:dyDescent="0.25">
      <c r="A42">
        <v>2.95</v>
      </c>
      <c r="B42" s="135">
        <v>2.2865505099007636E-4</v>
      </c>
      <c r="C42" s="135"/>
      <c r="D42" s="124"/>
      <c r="E42" s="124"/>
      <c r="J42" s="124"/>
      <c r="K42" s="127"/>
      <c r="L42" s="127"/>
      <c r="M42" s="124"/>
      <c r="N42" s="124"/>
    </row>
    <row r="43" spans="1:14" x14ac:dyDescent="0.25">
      <c r="A43">
        <v>3</v>
      </c>
      <c r="B43" s="135">
        <v>1.3719303059404582E-4</v>
      </c>
      <c r="C43" s="135"/>
      <c r="D43" s="124"/>
      <c r="E43" s="124"/>
      <c r="J43" s="124"/>
      <c r="K43" s="127"/>
      <c r="L43" s="127"/>
      <c r="M43" s="124"/>
      <c r="N43" s="124"/>
    </row>
    <row r="44" spans="1:14" x14ac:dyDescent="0.25">
      <c r="A44">
        <v>3.05</v>
      </c>
      <c r="B44" s="135">
        <v>8.0029267846526726E-5</v>
      </c>
      <c r="C44" s="135"/>
      <c r="D44" s="124"/>
      <c r="E44" s="124"/>
      <c r="J44" s="124"/>
      <c r="K44" s="127"/>
      <c r="L44" s="127"/>
      <c r="M44" s="124"/>
      <c r="N44" s="124"/>
    </row>
    <row r="45" spans="1:14" x14ac:dyDescent="0.25">
      <c r="A45">
        <v>3.1</v>
      </c>
      <c r="B45" s="135">
        <v>4.5731010198015277E-5</v>
      </c>
      <c r="C45" s="135"/>
      <c r="D45" s="124"/>
      <c r="E45" s="124"/>
      <c r="J45" s="124"/>
      <c r="K45" s="127"/>
      <c r="L45" s="127"/>
      <c r="M45" s="124"/>
      <c r="N45" s="124"/>
    </row>
    <row r="46" spans="1:14" x14ac:dyDescent="0.25">
      <c r="A46">
        <v>3.15</v>
      </c>
      <c r="B46" s="135">
        <v>2.2865505099007638E-5</v>
      </c>
      <c r="C46" s="135"/>
      <c r="D46" s="124"/>
      <c r="E46" s="124"/>
      <c r="J46" s="124"/>
      <c r="K46" s="127"/>
      <c r="L46" s="127"/>
      <c r="M46" s="124"/>
      <c r="N46" s="124"/>
    </row>
    <row r="47" spans="1:14" x14ac:dyDescent="0.25">
      <c r="A47">
        <v>3.2</v>
      </c>
      <c r="B47" s="135">
        <v>1.1432752549503819E-5</v>
      </c>
      <c r="C47" s="135"/>
      <c r="D47" s="124"/>
      <c r="E47" s="124"/>
      <c r="J47" s="124"/>
      <c r="K47" s="127"/>
      <c r="L47" s="127"/>
      <c r="M47" s="124"/>
      <c r="N47" s="124"/>
    </row>
    <row r="48" spans="1:14" x14ac:dyDescent="0.25">
      <c r="A48">
        <v>3.25</v>
      </c>
      <c r="B48" s="135">
        <v>1.1432752549503819E-5</v>
      </c>
      <c r="C48" s="135"/>
      <c r="D48" s="124"/>
      <c r="E48" s="124"/>
      <c r="J48" s="124"/>
      <c r="K48" s="127"/>
      <c r="L48" s="127"/>
      <c r="M48" s="124"/>
      <c r="N48" s="124"/>
    </row>
    <row r="49" spans="1:14" x14ac:dyDescent="0.25">
      <c r="A49">
        <v>3.3</v>
      </c>
      <c r="B49" s="135">
        <v>0</v>
      </c>
      <c r="C49" s="135"/>
      <c r="D49" s="124"/>
      <c r="E49" s="124"/>
      <c r="J49" s="124"/>
      <c r="K49" s="127"/>
      <c r="L49" s="127"/>
      <c r="M49" s="124"/>
      <c r="N49" s="124"/>
    </row>
    <row r="50" spans="1:14" x14ac:dyDescent="0.25">
      <c r="A50">
        <v>3.35</v>
      </c>
      <c r="B50" s="135">
        <v>0</v>
      </c>
      <c r="C50" s="135"/>
      <c r="D50" s="124"/>
      <c r="E50" s="124"/>
      <c r="J50" s="124"/>
      <c r="K50" s="127"/>
      <c r="L50" s="127"/>
      <c r="M50" s="124"/>
      <c r="N50" s="124"/>
    </row>
    <row r="51" spans="1:14" x14ac:dyDescent="0.25">
      <c r="A51">
        <v>3.4</v>
      </c>
      <c r="B51" s="135">
        <v>0</v>
      </c>
      <c r="C51" s="135"/>
      <c r="D51" s="124"/>
      <c r="E51" s="124"/>
      <c r="J51" s="124"/>
      <c r="K51" s="127"/>
      <c r="L51" s="127"/>
      <c r="M51" s="124"/>
      <c r="N51" s="124"/>
    </row>
    <row r="52" spans="1:14" x14ac:dyDescent="0.25">
      <c r="A52">
        <v>3.45</v>
      </c>
      <c r="B52" s="135">
        <v>0</v>
      </c>
      <c r="C52" s="135"/>
      <c r="D52" s="124"/>
      <c r="E52" s="124"/>
      <c r="J52" s="124"/>
      <c r="K52" s="127"/>
      <c r="L52" s="127"/>
      <c r="M52" s="124"/>
      <c r="N52" s="124"/>
    </row>
    <row r="53" spans="1:14" x14ac:dyDescent="0.25">
      <c r="A53">
        <v>3.5</v>
      </c>
      <c r="B53" s="135">
        <v>0</v>
      </c>
      <c r="C53" s="135"/>
      <c r="D53" s="124"/>
      <c r="E53" s="124"/>
      <c r="J53" s="124"/>
      <c r="K53" s="127"/>
      <c r="L53" s="127"/>
      <c r="M53" s="124"/>
      <c r="N53" s="124"/>
    </row>
    <row r="54" spans="1:14" x14ac:dyDescent="0.25">
      <c r="A54">
        <v>3.55</v>
      </c>
      <c r="B54" s="135">
        <v>0</v>
      </c>
      <c r="C54" s="135"/>
      <c r="D54" s="124"/>
      <c r="E54" s="124"/>
      <c r="J54" s="124"/>
      <c r="K54" s="127"/>
      <c r="L54" s="127"/>
      <c r="M54" s="124"/>
      <c r="N54" s="124"/>
    </row>
    <row r="55" spans="1:14" x14ac:dyDescent="0.25">
      <c r="A55">
        <v>3.6</v>
      </c>
      <c r="B55" s="135">
        <v>0</v>
      </c>
      <c r="C55" s="135"/>
      <c r="D55" s="124"/>
      <c r="E55" s="124"/>
      <c r="J55" s="124"/>
      <c r="K55" s="127"/>
      <c r="L55" s="127"/>
      <c r="M55" s="124"/>
      <c r="N55" s="124"/>
    </row>
    <row r="56" spans="1:14" x14ac:dyDescent="0.25">
      <c r="A56">
        <v>4</v>
      </c>
      <c r="B56" s="135">
        <v>0</v>
      </c>
      <c r="C56" s="135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T56"/>
  <sheetViews>
    <sheetView zoomScaleNormal="100" workbookViewId="0">
      <selection activeCell="K5" sqref="K5"/>
    </sheetView>
  </sheetViews>
  <sheetFormatPr defaultRowHeight="15" x14ac:dyDescent="0.25"/>
  <cols>
    <col min="1" max="1" width="9.140625" style="130"/>
    <col min="2" max="2" width="13.5703125" style="130" customWidth="1"/>
    <col min="3" max="3" width="9.140625" style="135"/>
    <col min="4" max="4" width="12" style="130" bestFit="1" customWidth="1"/>
    <col min="5" max="5" width="11" style="130" bestFit="1" customWidth="1"/>
    <col min="6" max="16384" width="9.140625" style="130"/>
  </cols>
  <sheetData>
    <row r="1" spans="1:20" x14ac:dyDescent="0.25">
      <c r="A1" s="132" t="s">
        <v>1305</v>
      </c>
      <c r="B1" s="132" t="s">
        <v>1306</v>
      </c>
      <c r="C1" s="125">
        <v>1.75</v>
      </c>
      <c r="D1" s="130">
        <v>1.95</v>
      </c>
      <c r="E1" s="130">
        <v>2.25</v>
      </c>
      <c r="G1" s="130">
        <f>SUM(F3:H55)</f>
        <v>87468</v>
      </c>
      <c r="K1" s="133">
        <v>0.4</v>
      </c>
      <c r="L1" s="133">
        <f>100%-K1</f>
        <v>0.6</v>
      </c>
      <c r="N1" s="130" t="s">
        <v>1495</v>
      </c>
      <c r="T1" s="131" t="s">
        <v>216</v>
      </c>
    </row>
    <row r="2" spans="1:20" x14ac:dyDescent="0.25">
      <c r="A2" s="132">
        <v>0</v>
      </c>
      <c r="B2" s="132"/>
      <c r="K2" s="130" t="s">
        <v>1496</v>
      </c>
      <c r="L2" s="130" t="s">
        <v>1497</v>
      </c>
      <c r="N2" s="130" t="s">
        <v>1498</v>
      </c>
      <c r="T2" s="131"/>
    </row>
    <row r="3" spans="1:20" x14ac:dyDescent="0.25">
      <c r="A3" s="130">
        <v>1</v>
      </c>
      <c r="B3" s="135">
        <v>1.4862578314354965E-4</v>
      </c>
      <c r="C3" s="135">
        <f>_xlfn.NORM.DIST(A4,C$1,C$1*$O$10,TRUE)-_xlfn.NORM.DIST(A3,C$1,C$1*$O$10,TRUE)</f>
        <v>2.5154064282336623E-4</v>
      </c>
      <c r="D3" s="135">
        <f>_xlfn.NORM.DIST(A4,D$1,D$1*$O$10,TRUE)-_xlfn.NORM.DIST(A3,D$1,D$1*$O$10,TRUE)</f>
        <v>3.543889295533795E-5</v>
      </c>
      <c r="E3" s="135">
        <f>_xlfn.NORM.DIST(A4,E$1,E$1*$O$10,TRUE)-_xlfn.NORM.DIST(A3,E$1,E$1*$O$10,TRUE)</f>
        <v>2.5743619711060956E-6</v>
      </c>
      <c r="F3" s="130">
        <f>ROUND(C3*$T$5,0)</f>
        <v>12</v>
      </c>
      <c r="G3" s="130">
        <f>ROUND(D3*$T$6,0)</f>
        <v>1</v>
      </c>
      <c r="H3" s="130">
        <f>ROUND(E3*$T$7,0)</f>
        <v>0</v>
      </c>
      <c r="I3" s="130">
        <f>SUM(F3:H3)</f>
        <v>13</v>
      </c>
      <c r="J3" s="135">
        <f>I3/$G$1</f>
        <v>1.4862578314354965E-4</v>
      </c>
      <c r="K3" s="127">
        <f>I3*$K$1</f>
        <v>5.2</v>
      </c>
      <c r="L3" s="127">
        <f>I3*$L$1</f>
        <v>7.8</v>
      </c>
      <c r="M3" s="135"/>
      <c r="N3" s="135"/>
      <c r="O3" s="130" t="s">
        <v>1494</v>
      </c>
      <c r="P3" s="84"/>
      <c r="Q3" s="84"/>
      <c r="R3" s="84"/>
    </row>
    <row r="4" spans="1:20" x14ac:dyDescent="0.25">
      <c r="A4" s="130">
        <v>1.05</v>
      </c>
      <c r="B4" s="135">
        <v>3.201170713861069E-4</v>
      </c>
      <c r="C4" s="135">
        <f t="shared" ref="C4:C55" si="0">_xlfn.NORM.DIST(A5,C$1,C$1*$O$10,TRUE)-_xlfn.NORM.DIST(A4,C$1,C$1*$O$10,TRUE)</f>
        <v>5.542144890455633E-4</v>
      </c>
      <c r="D4" s="135">
        <f t="shared" ref="D4:D55" si="1">_xlfn.NORM.DIST(A5,D$1,D$1*$O$10,TRUE)-_xlfn.NORM.DIST(A4,D$1,D$1*$O$10,TRUE)</f>
        <v>8.0362693030622257E-5</v>
      </c>
      <c r="E4" s="135">
        <f t="shared" ref="E4:E55" si="2">_xlfn.NORM.DIST(A5,E$1,E$1*$O$10,TRUE)-_xlfn.NORM.DIST(A4,E$1,E$1*$O$10,TRUE)</f>
        <v>5.8493096476862364E-6</v>
      </c>
      <c r="F4" s="130">
        <f t="shared" ref="F4:F55" si="3">ROUND(C4*$T$5,0)</f>
        <v>26</v>
      </c>
      <c r="G4" s="130">
        <f t="shared" ref="G4:G55" si="4">ROUND(D4*$T$6,0)</f>
        <v>2</v>
      </c>
      <c r="H4" s="130">
        <f t="shared" ref="H4:H55" si="5">ROUND(E4*$T$7,0)</f>
        <v>0</v>
      </c>
      <c r="I4" s="130">
        <f t="shared" ref="I4:I55" si="6">SUM(F4:H4)</f>
        <v>28</v>
      </c>
      <c r="J4" s="135">
        <f t="shared" ref="J4:J55" si="7">I4/$G$1</f>
        <v>3.201170713861069E-4</v>
      </c>
      <c r="K4" s="127">
        <f t="shared" ref="K4:K55" si="8">I4*$K$1</f>
        <v>11.200000000000001</v>
      </c>
      <c r="L4" s="127">
        <f t="shared" ref="L4:L55" si="9">I4*$L$1</f>
        <v>16.8</v>
      </c>
      <c r="M4" s="135"/>
      <c r="N4" s="135"/>
      <c r="O4" s="134">
        <v>0.06</v>
      </c>
      <c r="P4" s="84"/>
      <c r="Q4" s="84"/>
      <c r="R4" s="84"/>
    </row>
    <row r="5" spans="1:20" x14ac:dyDescent="0.25">
      <c r="A5" s="130">
        <v>1.1000000000000001</v>
      </c>
      <c r="B5" s="135">
        <v>6.7453240042072526E-4</v>
      </c>
      <c r="C5" s="135">
        <f t="shared" si="0"/>
        <v>1.1540921578438738E-3</v>
      </c>
      <c r="D5" s="135">
        <f t="shared" si="1"/>
        <v>1.7412983182239615E-4</v>
      </c>
      <c r="E5" s="135">
        <f t="shared" si="2"/>
        <v>1.2843615138354725E-5</v>
      </c>
      <c r="F5" s="130">
        <f t="shared" si="3"/>
        <v>54</v>
      </c>
      <c r="G5" s="130">
        <f t="shared" si="4"/>
        <v>5</v>
      </c>
      <c r="H5" s="130">
        <f t="shared" si="5"/>
        <v>0</v>
      </c>
      <c r="I5" s="130">
        <f t="shared" si="6"/>
        <v>59</v>
      </c>
      <c r="J5" s="135">
        <f t="shared" si="7"/>
        <v>6.7453240042072526E-4</v>
      </c>
      <c r="K5" s="127">
        <f t="shared" si="8"/>
        <v>23.6</v>
      </c>
      <c r="L5" s="127">
        <f t="shared" si="9"/>
        <v>35.4</v>
      </c>
      <c r="M5" s="135"/>
      <c r="N5" s="135"/>
      <c r="O5" s="134">
        <v>7.0000000000000007E-2</v>
      </c>
      <c r="P5" s="84"/>
      <c r="Q5" s="84"/>
      <c r="R5" s="130" t="s">
        <v>1346</v>
      </c>
      <c r="S5" s="130">
        <v>1.75</v>
      </c>
      <c r="T5" s="130">
        <f>12*3888</f>
        <v>46656</v>
      </c>
    </row>
    <row r="6" spans="1:20" x14ac:dyDescent="0.25">
      <c r="A6" s="130">
        <v>1.1499999999999999</v>
      </c>
      <c r="B6" s="135">
        <v>1.3376320482919467E-3</v>
      </c>
      <c r="C6" s="135">
        <f t="shared" si="0"/>
        <v>2.2714149128007033E-3</v>
      </c>
      <c r="D6" s="135">
        <f t="shared" si="1"/>
        <v>3.6052592237206506E-4</v>
      </c>
      <c r="E6" s="135">
        <f t="shared" si="2"/>
        <v>2.7253214438154765E-5</v>
      </c>
      <c r="F6" s="130">
        <f t="shared" si="3"/>
        <v>106</v>
      </c>
      <c r="G6" s="130">
        <f t="shared" si="4"/>
        <v>11</v>
      </c>
      <c r="H6" s="130">
        <f t="shared" si="5"/>
        <v>0</v>
      </c>
      <c r="I6" s="130">
        <f t="shared" si="6"/>
        <v>117</v>
      </c>
      <c r="J6" s="135">
        <f t="shared" si="7"/>
        <v>1.3376320482919467E-3</v>
      </c>
      <c r="K6" s="127">
        <f t="shared" si="8"/>
        <v>46.800000000000004</v>
      </c>
      <c r="L6" s="127">
        <f t="shared" si="9"/>
        <v>70.2</v>
      </c>
      <c r="M6" s="135"/>
      <c r="N6" s="135"/>
      <c r="O6" s="134">
        <v>0.08</v>
      </c>
      <c r="R6" s="130" t="s">
        <v>1347</v>
      </c>
      <c r="S6" s="130">
        <v>1.95</v>
      </c>
      <c r="T6" s="130">
        <f>8*3888</f>
        <v>31104</v>
      </c>
    </row>
    <row r="7" spans="1:20" x14ac:dyDescent="0.25">
      <c r="A7" s="130">
        <v>1.2</v>
      </c>
      <c r="B7" s="135">
        <v>2.5152055608908402E-3</v>
      </c>
      <c r="C7" s="135">
        <f t="shared" si="0"/>
        <v>4.2251901052008248E-3</v>
      </c>
      <c r="D7" s="135">
        <f t="shared" si="1"/>
        <v>7.1325474628618614E-4</v>
      </c>
      <c r="E7" s="135">
        <f t="shared" si="2"/>
        <v>5.5885104523029735E-5</v>
      </c>
      <c r="F7" s="130">
        <f t="shared" si="3"/>
        <v>197</v>
      </c>
      <c r="G7" s="130">
        <f t="shared" si="4"/>
        <v>22</v>
      </c>
      <c r="H7" s="130">
        <f t="shared" si="5"/>
        <v>1</v>
      </c>
      <c r="I7" s="130">
        <f t="shared" si="6"/>
        <v>220</v>
      </c>
      <c r="J7" s="135">
        <f t="shared" si="7"/>
        <v>2.5152055608908402E-3</v>
      </c>
      <c r="K7" s="127">
        <f t="shared" si="8"/>
        <v>88</v>
      </c>
      <c r="L7" s="127">
        <f t="shared" si="9"/>
        <v>132</v>
      </c>
      <c r="M7" s="135"/>
      <c r="N7" s="135"/>
      <c r="O7" s="134">
        <v>0.09</v>
      </c>
      <c r="R7" s="130" t="s">
        <v>1348</v>
      </c>
      <c r="S7" s="130">
        <v>2.25</v>
      </c>
      <c r="T7" s="130">
        <f>3*3240</f>
        <v>9720</v>
      </c>
    </row>
    <row r="8" spans="1:20" x14ac:dyDescent="0.25">
      <c r="A8" s="130">
        <v>1.25</v>
      </c>
      <c r="B8" s="135">
        <v>4.458773494306489E-3</v>
      </c>
      <c r="C8" s="135">
        <f t="shared" si="0"/>
        <v>7.4283136057405209E-3</v>
      </c>
      <c r="D8" s="135">
        <f t="shared" si="1"/>
        <v>1.3483353722839738E-3</v>
      </c>
      <c r="E8" s="135">
        <f t="shared" si="2"/>
        <v>1.1074455600137195E-4</v>
      </c>
      <c r="F8" s="130">
        <f t="shared" si="3"/>
        <v>347</v>
      </c>
      <c r="G8" s="130">
        <f t="shared" si="4"/>
        <v>42</v>
      </c>
      <c r="H8" s="130">
        <f t="shared" si="5"/>
        <v>1</v>
      </c>
      <c r="I8" s="130">
        <f t="shared" si="6"/>
        <v>390</v>
      </c>
      <c r="J8" s="135">
        <f t="shared" si="7"/>
        <v>4.458773494306489E-3</v>
      </c>
      <c r="K8" s="127">
        <f t="shared" si="8"/>
        <v>156</v>
      </c>
      <c r="L8" s="127">
        <f t="shared" si="9"/>
        <v>234</v>
      </c>
      <c r="M8" s="135"/>
      <c r="N8" s="135"/>
      <c r="O8" s="134">
        <v>0.1</v>
      </c>
    </row>
    <row r="9" spans="1:20" x14ac:dyDescent="0.25">
      <c r="A9" s="130">
        <v>1.3</v>
      </c>
      <c r="B9" s="135">
        <v>7.4770201673754972E-3</v>
      </c>
      <c r="C9" s="135">
        <f t="shared" si="0"/>
        <v>1.2343228363535502E-2</v>
      </c>
      <c r="D9" s="135">
        <f t="shared" si="1"/>
        <v>2.4355468152548946E-3</v>
      </c>
      <c r="E9" s="135">
        <f t="shared" si="2"/>
        <v>2.1207856974565182E-4</v>
      </c>
      <c r="F9" s="130">
        <f t="shared" si="3"/>
        <v>576</v>
      </c>
      <c r="G9" s="130">
        <f t="shared" si="4"/>
        <v>76</v>
      </c>
      <c r="H9" s="130">
        <f t="shared" si="5"/>
        <v>2</v>
      </c>
      <c r="I9" s="130">
        <f t="shared" si="6"/>
        <v>654</v>
      </c>
      <c r="J9" s="135">
        <f t="shared" si="7"/>
        <v>7.4770201673754972E-3</v>
      </c>
      <c r="K9" s="127">
        <f t="shared" si="8"/>
        <v>261.60000000000002</v>
      </c>
      <c r="L9" s="127">
        <f t="shared" si="9"/>
        <v>392.4</v>
      </c>
      <c r="M9" s="137"/>
      <c r="N9" s="136"/>
      <c r="O9" s="134">
        <v>0.11</v>
      </c>
    </row>
    <row r="10" spans="1:20" x14ac:dyDescent="0.25">
      <c r="A10" s="130">
        <v>1.35</v>
      </c>
      <c r="B10" s="135">
        <v>1.1878629898934467E-2</v>
      </c>
      <c r="C10" s="135">
        <f t="shared" si="0"/>
        <v>1.9384838305450822E-2</v>
      </c>
      <c r="D10" s="135">
        <f t="shared" si="1"/>
        <v>4.203785326334775E-3</v>
      </c>
      <c r="E10" s="135">
        <f t="shared" si="2"/>
        <v>3.9248165111574826E-4</v>
      </c>
      <c r="F10" s="130">
        <f t="shared" si="3"/>
        <v>904</v>
      </c>
      <c r="G10" s="130">
        <f t="shared" si="4"/>
        <v>131</v>
      </c>
      <c r="H10" s="130">
        <f t="shared" si="5"/>
        <v>4</v>
      </c>
      <c r="I10" s="130">
        <f t="shared" si="6"/>
        <v>1039</v>
      </c>
      <c r="J10" s="135">
        <f t="shared" si="7"/>
        <v>1.1878629898934467E-2</v>
      </c>
      <c r="K10" s="127">
        <f t="shared" si="8"/>
        <v>415.6</v>
      </c>
      <c r="L10" s="127">
        <f t="shared" si="9"/>
        <v>623.4</v>
      </c>
      <c r="M10" s="137"/>
      <c r="N10" s="136"/>
      <c r="O10" s="134">
        <v>0.12</v>
      </c>
    </row>
    <row r="11" spans="1:20" x14ac:dyDescent="0.25">
      <c r="A11" s="130">
        <v>1.4</v>
      </c>
      <c r="B11" s="135">
        <v>1.7892257739973477E-2</v>
      </c>
      <c r="C11" s="135">
        <f t="shared" si="0"/>
        <v>2.8773373237020054E-2</v>
      </c>
      <c r="D11" s="135">
        <f t="shared" si="1"/>
        <v>6.9331445610289651E-3</v>
      </c>
      <c r="E11" s="135">
        <f t="shared" si="2"/>
        <v>7.0192415768726443E-4</v>
      </c>
      <c r="F11" s="130">
        <f t="shared" si="3"/>
        <v>1342</v>
      </c>
      <c r="G11" s="130">
        <f t="shared" si="4"/>
        <v>216</v>
      </c>
      <c r="H11" s="130">
        <f t="shared" si="5"/>
        <v>7</v>
      </c>
      <c r="I11" s="130">
        <f t="shared" si="6"/>
        <v>1565</v>
      </c>
      <c r="J11" s="135">
        <f t="shared" si="7"/>
        <v>1.7892257739973477E-2</v>
      </c>
      <c r="K11" s="127">
        <f t="shared" si="8"/>
        <v>626</v>
      </c>
      <c r="L11" s="127">
        <f t="shared" si="9"/>
        <v>939</v>
      </c>
      <c r="M11" s="137"/>
      <c r="N11" s="136"/>
      <c r="O11" s="134">
        <v>0.13</v>
      </c>
    </row>
    <row r="12" spans="1:20" x14ac:dyDescent="0.25">
      <c r="A12" s="130">
        <v>1.45</v>
      </c>
      <c r="B12" s="135">
        <v>2.5552201948141035E-2</v>
      </c>
      <c r="C12" s="135">
        <f t="shared" si="0"/>
        <v>4.0365915836537689E-2</v>
      </c>
      <c r="D12" s="135">
        <f t="shared" si="1"/>
        <v>1.0926116524875917E-2</v>
      </c>
      <c r="E12" s="135">
        <f t="shared" si="2"/>
        <v>1.213135644244292E-3</v>
      </c>
      <c r="F12" s="130">
        <f t="shared" si="3"/>
        <v>1883</v>
      </c>
      <c r="G12" s="130">
        <f t="shared" si="4"/>
        <v>340</v>
      </c>
      <c r="H12" s="130">
        <f t="shared" si="5"/>
        <v>12</v>
      </c>
      <c r="I12" s="130">
        <f t="shared" si="6"/>
        <v>2235</v>
      </c>
      <c r="J12" s="135">
        <f t="shared" si="7"/>
        <v>2.5552201948141035E-2</v>
      </c>
      <c r="K12" s="127">
        <f t="shared" si="8"/>
        <v>894</v>
      </c>
      <c r="L12" s="127">
        <f t="shared" si="9"/>
        <v>1341</v>
      </c>
      <c r="M12" s="137"/>
      <c r="N12" s="136"/>
      <c r="O12" s="134">
        <v>0.14000000000000001</v>
      </c>
    </row>
    <row r="13" spans="1:20" x14ac:dyDescent="0.25">
      <c r="A13" s="130">
        <v>1.5</v>
      </c>
      <c r="B13" s="135">
        <v>3.4629807472447066E-2</v>
      </c>
      <c r="C13" s="135">
        <f t="shared" si="0"/>
        <v>5.3522266617692785E-2</v>
      </c>
      <c r="D13" s="135">
        <f t="shared" si="1"/>
        <v>1.6453087243873447E-2</v>
      </c>
      <c r="E13" s="135">
        <f t="shared" si="2"/>
        <v>2.0261750221391354E-3</v>
      </c>
      <c r="F13" s="130">
        <f t="shared" si="3"/>
        <v>2497</v>
      </c>
      <c r="G13" s="130">
        <f t="shared" si="4"/>
        <v>512</v>
      </c>
      <c r="H13" s="130">
        <f t="shared" si="5"/>
        <v>20</v>
      </c>
      <c r="I13" s="130">
        <f t="shared" si="6"/>
        <v>3029</v>
      </c>
      <c r="J13" s="135">
        <f t="shared" si="7"/>
        <v>3.4629807472447066E-2</v>
      </c>
      <c r="K13" s="127">
        <f t="shared" si="8"/>
        <v>1211.6000000000001</v>
      </c>
      <c r="L13" s="127">
        <f t="shared" si="9"/>
        <v>1817.3999999999999</v>
      </c>
      <c r="M13" s="137"/>
      <c r="N13" s="136"/>
    </row>
    <row r="14" spans="1:20" x14ac:dyDescent="0.25">
      <c r="A14" s="130">
        <v>1.55</v>
      </c>
      <c r="B14" s="135">
        <v>4.4553436685416378E-2</v>
      </c>
      <c r="C14" s="135">
        <f t="shared" si="0"/>
        <v>6.7073354062911483E-2</v>
      </c>
      <c r="D14" s="135">
        <f t="shared" si="1"/>
        <v>2.3674189132921832E-2</v>
      </c>
      <c r="E14" s="135">
        <f t="shared" si="2"/>
        <v>3.2703410412138895E-3</v>
      </c>
      <c r="F14" s="130">
        <f t="shared" si="3"/>
        <v>3129</v>
      </c>
      <c r="G14" s="130">
        <f t="shared" si="4"/>
        <v>736</v>
      </c>
      <c r="H14" s="130">
        <f t="shared" si="5"/>
        <v>32</v>
      </c>
      <c r="I14" s="130">
        <f t="shared" si="6"/>
        <v>3897</v>
      </c>
      <c r="J14" s="135">
        <f t="shared" si="7"/>
        <v>4.4553436685416378E-2</v>
      </c>
      <c r="K14" s="127">
        <f t="shared" si="8"/>
        <v>1558.8000000000002</v>
      </c>
      <c r="L14" s="127">
        <f t="shared" si="9"/>
        <v>2338.1999999999998</v>
      </c>
      <c r="M14" s="137"/>
      <c r="N14" s="136"/>
    </row>
    <row r="15" spans="1:20" x14ac:dyDescent="0.25">
      <c r="A15" s="130">
        <v>1.6</v>
      </c>
      <c r="B15" s="135">
        <v>5.4522796908583714E-2</v>
      </c>
      <c r="C15" s="135">
        <f t="shared" si="0"/>
        <v>7.9444079913696009E-2</v>
      </c>
      <c r="D15" s="135">
        <f t="shared" si="1"/>
        <v>3.2549857275657776E-2</v>
      </c>
      <c r="E15" s="135">
        <f t="shared" si="2"/>
        <v>5.1010278414239489E-3</v>
      </c>
      <c r="F15" s="130">
        <f t="shared" si="3"/>
        <v>3707</v>
      </c>
      <c r="G15" s="130">
        <f t="shared" si="4"/>
        <v>1012</v>
      </c>
      <c r="H15" s="130">
        <f t="shared" si="5"/>
        <v>50</v>
      </c>
      <c r="I15" s="130">
        <f t="shared" si="6"/>
        <v>4769</v>
      </c>
      <c r="J15" s="135">
        <f t="shared" si="7"/>
        <v>5.4522796908583714E-2</v>
      </c>
      <c r="K15" s="127">
        <f t="shared" si="8"/>
        <v>1907.6000000000001</v>
      </c>
      <c r="L15" s="127">
        <f t="shared" si="9"/>
        <v>2861.4</v>
      </c>
      <c r="M15" s="137"/>
      <c r="N15" s="136"/>
    </row>
    <row r="16" spans="1:20" x14ac:dyDescent="0.25">
      <c r="A16" s="130">
        <v>1.65</v>
      </c>
      <c r="B16" s="135">
        <v>6.3497507659944205E-2</v>
      </c>
      <c r="C16" s="135">
        <f t="shared" si="0"/>
        <v>8.8934272061043707E-2</v>
      </c>
      <c r="D16" s="135">
        <f t="shared" si="1"/>
        <v>4.276312519104862E-2</v>
      </c>
      <c r="E16" s="135">
        <f t="shared" si="2"/>
        <v>7.689019620000551E-3</v>
      </c>
      <c r="F16" s="130">
        <f t="shared" si="3"/>
        <v>4149</v>
      </c>
      <c r="G16" s="130">
        <f t="shared" si="4"/>
        <v>1330</v>
      </c>
      <c r="H16" s="130">
        <f t="shared" si="5"/>
        <v>75</v>
      </c>
      <c r="I16" s="130">
        <f t="shared" si="6"/>
        <v>5554</v>
      </c>
      <c r="J16" s="135">
        <f t="shared" si="7"/>
        <v>6.3497507659944205E-2</v>
      </c>
      <c r="K16" s="127">
        <f t="shared" si="8"/>
        <v>2221.6</v>
      </c>
      <c r="L16" s="127">
        <f t="shared" si="9"/>
        <v>3332.4</v>
      </c>
      <c r="M16" s="137"/>
      <c r="N16" s="136"/>
    </row>
    <row r="17" spans="1:14" x14ac:dyDescent="0.25">
      <c r="A17" s="130">
        <v>1.7</v>
      </c>
      <c r="B17" s="135">
        <v>7.052865047788906E-2</v>
      </c>
      <c r="C17" s="135">
        <f t="shared" si="0"/>
        <v>9.4096385998283627E-2</v>
      </c>
      <c r="D17" s="135">
        <f t="shared" si="1"/>
        <v>5.3682934772212726E-2</v>
      </c>
      <c r="E17" s="135">
        <f t="shared" si="2"/>
        <v>1.1200384429699849E-2</v>
      </c>
      <c r="F17" s="130">
        <f t="shared" si="3"/>
        <v>4390</v>
      </c>
      <c r="G17" s="130">
        <f t="shared" si="4"/>
        <v>1670</v>
      </c>
      <c r="H17" s="130">
        <f t="shared" si="5"/>
        <v>109</v>
      </c>
      <c r="I17" s="130">
        <f t="shared" si="6"/>
        <v>6169</v>
      </c>
      <c r="J17" s="135">
        <f t="shared" si="7"/>
        <v>7.052865047788906E-2</v>
      </c>
      <c r="K17" s="127">
        <f t="shared" si="8"/>
        <v>2467.6000000000004</v>
      </c>
      <c r="L17" s="127">
        <f t="shared" si="9"/>
        <v>3701.3999999999996</v>
      </c>
      <c r="M17" s="137"/>
      <c r="N17" s="136"/>
    </row>
    <row r="18" spans="1:14" x14ac:dyDescent="0.25">
      <c r="A18" s="130">
        <v>1.75</v>
      </c>
      <c r="B18" s="135">
        <v>7.4838798189051994E-2</v>
      </c>
      <c r="C18" s="135">
        <f t="shared" si="0"/>
        <v>9.4096385998283627E-2</v>
      </c>
      <c r="D18" s="135">
        <f t="shared" si="1"/>
        <v>6.4394623326630374E-2</v>
      </c>
      <c r="E18" s="135">
        <f t="shared" si="2"/>
        <v>1.5766802532093227E-2</v>
      </c>
      <c r="F18" s="130">
        <f t="shared" si="3"/>
        <v>4390</v>
      </c>
      <c r="G18" s="130">
        <f t="shared" si="4"/>
        <v>2003</v>
      </c>
      <c r="H18" s="130">
        <f t="shared" si="5"/>
        <v>153</v>
      </c>
      <c r="I18" s="130">
        <f t="shared" si="6"/>
        <v>6546</v>
      </c>
      <c r="J18" s="135">
        <f t="shared" si="7"/>
        <v>7.4838798189051994E-2</v>
      </c>
      <c r="K18" s="127">
        <f t="shared" si="8"/>
        <v>2618.4</v>
      </c>
      <c r="L18" s="127">
        <f t="shared" si="9"/>
        <v>3927.6</v>
      </c>
      <c r="M18" s="137"/>
      <c r="N18" s="136"/>
    </row>
    <row r="19" spans="1:14" x14ac:dyDescent="0.25">
      <c r="A19" s="130">
        <v>1.8</v>
      </c>
      <c r="B19" s="135">
        <v>7.6062102711848906E-2</v>
      </c>
      <c r="C19" s="135">
        <f t="shared" si="0"/>
        <v>8.8934272061043651E-2</v>
      </c>
      <c r="D19" s="135">
        <f t="shared" si="1"/>
        <v>7.3809042298564109E-2</v>
      </c>
      <c r="E19" s="135">
        <f t="shared" si="2"/>
        <v>2.1448805760595609E-2</v>
      </c>
      <c r="F19" s="130">
        <f t="shared" si="3"/>
        <v>4149</v>
      </c>
      <c r="G19" s="130">
        <f t="shared" si="4"/>
        <v>2296</v>
      </c>
      <c r="H19" s="130">
        <f t="shared" si="5"/>
        <v>208</v>
      </c>
      <c r="I19" s="130">
        <f t="shared" si="6"/>
        <v>6653</v>
      </c>
      <c r="J19" s="135">
        <f t="shared" si="7"/>
        <v>7.6062102711848906E-2</v>
      </c>
      <c r="K19" s="127">
        <f t="shared" si="8"/>
        <v>2661.2000000000003</v>
      </c>
      <c r="L19" s="127">
        <f t="shared" si="9"/>
        <v>3991.7999999999997</v>
      </c>
      <c r="M19" s="137"/>
      <c r="N19" s="136"/>
    </row>
    <row r="20" spans="1:14" x14ac:dyDescent="0.25">
      <c r="A20" s="130">
        <v>1.85</v>
      </c>
      <c r="B20" s="135">
        <v>7.4255727809027297E-2</v>
      </c>
      <c r="C20" s="135">
        <f t="shared" si="0"/>
        <v>7.9444079913696064E-2</v>
      </c>
      <c r="D20" s="135">
        <f t="shared" si="1"/>
        <v>8.0838116525011883E-2</v>
      </c>
      <c r="E20" s="135">
        <f t="shared" si="2"/>
        <v>2.8197554018056584E-2</v>
      </c>
      <c r="F20" s="130">
        <f t="shared" si="3"/>
        <v>3707</v>
      </c>
      <c r="G20" s="130">
        <f t="shared" si="4"/>
        <v>2514</v>
      </c>
      <c r="H20" s="130">
        <f t="shared" si="5"/>
        <v>274</v>
      </c>
      <c r="I20" s="130">
        <f t="shared" si="6"/>
        <v>6495</v>
      </c>
      <c r="J20" s="135">
        <f t="shared" si="7"/>
        <v>7.4255727809027297E-2</v>
      </c>
      <c r="K20" s="127">
        <f t="shared" si="8"/>
        <v>2598</v>
      </c>
      <c r="L20" s="127">
        <f t="shared" si="9"/>
        <v>3897</v>
      </c>
      <c r="M20" s="137"/>
      <c r="N20" s="136"/>
    </row>
    <row r="21" spans="1:14" x14ac:dyDescent="0.25">
      <c r="A21" s="130">
        <v>1.9</v>
      </c>
      <c r="B21" s="135">
        <v>6.9831252572369329E-2</v>
      </c>
      <c r="C21" s="135">
        <f t="shared" si="0"/>
        <v>6.7073354062911483E-2</v>
      </c>
      <c r="D21" s="135">
        <f t="shared" si="1"/>
        <v>8.4599829220340539E-2</v>
      </c>
      <c r="E21" s="135">
        <f t="shared" si="2"/>
        <v>3.5823550851038485E-2</v>
      </c>
      <c r="F21" s="130">
        <f t="shared" si="3"/>
        <v>3129</v>
      </c>
      <c r="G21" s="130">
        <f t="shared" si="4"/>
        <v>2631</v>
      </c>
      <c r="H21" s="130">
        <f t="shared" si="5"/>
        <v>348</v>
      </c>
      <c r="I21" s="130">
        <f t="shared" si="6"/>
        <v>6108</v>
      </c>
      <c r="J21" s="135">
        <f t="shared" si="7"/>
        <v>6.9831252572369329E-2</v>
      </c>
      <c r="K21" s="127">
        <f t="shared" si="8"/>
        <v>2443.2000000000003</v>
      </c>
      <c r="L21" s="127">
        <f t="shared" si="9"/>
        <v>3664.7999999999997</v>
      </c>
      <c r="M21" s="137"/>
      <c r="N21" s="136"/>
    </row>
    <row r="22" spans="1:14" x14ac:dyDescent="0.25">
      <c r="A22" s="130">
        <v>1.95</v>
      </c>
      <c r="B22" s="135">
        <v>6.352037316504322E-2</v>
      </c>
      <c r="C22" s="135">
        <f t="shared" si="0"/>
        <v>5.3522266617692771E-2</v>
      </c>
      <c r="D22" s="135">
        <f t="shared" si="1"/>
        <v>8.4599829220340483E-2</v>
      </c>
      <c r="E22" s="135">
        <f t="shared" si="2"/>
        <v>4.3981975534150564E-2</v>
      </c>
      <c r="F22" s="130">
        <f t="shared" si="3"/>
        <v>2497</v>
      </c>
      <c r="G22" s="130">
        <f t="shared" si="4"/>
        <v>2631</v>
      </c>
      <c r="H22" s="130">
        <f t="shared" si="5"/>
        <v>428</v>
      </c>
      <c r="I22" s="130">
        <f t="shared" si="6"/>
        <v>5556</v>
      </c>
      <c r="J22" s="135">
        <f t="shared" si="7"/>
        <v>6.352037316504322E-2</v>
      </c>
      <c r="K22" s="127">
        <f t="shared" si="8"/>
        <v>2222.4</v>
      </c>
      <c r="L22" s="127">
        <f t="shared" si="9"/>
        <v>3333.6</v>
      </c>
      <c r="M22" s="137"/>
      <c r="N22" s="136"/>
    </row>
    <row r="23" spans="1:14" x14ac:dyDescent="0.25">
      <c r="A23" s="130">
        <v>2</v>
      </c>
      <c r="B23" s="135">
        <v>5.6066218502766725E-2</v>
      </c>
      <c r="C23" s="135">
        <f t="shared" si="0"/>
        <v>4.036591583653748E-2</v>
      </c>
      <c r="D23" s="135">
        <f t="shared" si="1"/>
        <v>8.0838116525011938E-2</v>
      </c>
      <c r="E23" s="135">
        <f t="shared" si="2"/>
        <v>5.2183087528077488E-2</v>
      </c>
      <c r="F23" s="130">
        <f t="shared" si="3"/>
        <v>1883</v>
      </c>
      <c r="G23" s="130">
        <f t="shared" si="4"/>
        <v>2514</v>
      </c>
      <c r="H23" s="130">
        <f t="shared" si="5"/>
        <v>507</v>
      </c>
      <c r="I23" s="130">
        <f t="shared" si="6"/>
        <v>4904</v>
      </c>
      <c r="J23" s="135">
        <f t="shared" si="7"/>
        <v>5.6066218502766725E-2</v>
      </c>
      <c r="K23" s="127">
        <f t="shared" si="8"/>
        <v>1961.6000000000001</v>
      </c>
      <c r="L23" s="127">
        <f t="shared" si="9"/>
        <v>2942.4</v>
      </c>
      <c r="M23" s="137"/>
      <c r="N23" s="136"/>
    </row>
    <row r="24" spans="1:14" x14ac:dyDescent="0.25">
      <c r="A24" s="130">
        <v>2.0499999999999998</v>
      </c>
      <c r="B24" s="135">
        <v>4.8246215758906114E-2</v>
      </c>
      <c r="C24" s="135">
        <f t="shared" si="0"/>
        <v>2.8773373237020228E-2</v>
      </c>
      <c r="D24" s="135">
        <f t="shared" si="1"/>
        <v>7.3809042298564442E-2</v>
      </c>
      <c r="E24" s="135">
        <f t="shared" si="2"/>
        <v>5.9832034789238653E-2</v>
      </c>
      <c r="F24" s="130">
        <f t="shared" si="3"/>
        <v>1342</v>
      </c>
      <c r="G24" s="130">
        <f t="shared" si="4"/>
        <v>2296</v>
      </c>
      <c r="H24" s="130">
        <f t="shared" si="5"/>
        <v>582</v>
      </c>
      <c r="I24" s="130">
        <f t="shared" si="6"/>
        <v>4220</v>
      </c>
      <c r="J24" s="135">
        <f t="shared" si="7"/>
        <v>4.8246215758906114E-2</v>
      </c>
      <c r="K24" s="127">
        <f t="shared" si="8"/>
        <v>1688</v>
      </c>
      <c r="L24" s="127">
        <f t="shared" si="9"/>
        <v>2532</v>
      </c>
      <c r="M24" s="137"/>
      <c r="N24" s="136"/>
    </row>
    <row r="25" spans="1:14" x14ac:dyDescent="0.25">
      <c r="A25" s="130">
        <v>2.1</v>
      </c>
      <c r="B25" s="135">
        <v>4.059770430328806E-2</v>
      </c>
      <c r="C25" s="135">
        <f t="shared" si="0"/>
        <v>1.9384838305450902E-2</v>
      </c>
      <c r="D25" s="135">
        <f t="shared" si="1"/>
        <v>6.4394623326630041E-2</v>
      </c>
      <c r="E25" s="135">
        <f t="shared" si="2"/>
        <v>6.6295913043429688E-2</v>
      </c>
      <c r="F25" s="130">
        <f t="shared" si="3"/>
        <v>904</v>
      </c>
      <c r="G25" s="130">
        <f t="shared" si="4"/>
        <v>2003</v>
      </c>
      <c r="H25" s="130">
        <f t="shared" si="5"/>
        <v>644</v>
      </c>
      <c r="I25" s="130">
        <f t="shared" si="6"/>
        <v>3551</v>
      </c>
      <c r="J25" s="135">
        <f t="shared" si="7"/>
        <v>4.059770430328806E-2</v>
      </c>
      <c r="K25" s="127">
        <f t="shared" si="8"/>
        <v>1420.4</v>
      </c>
      <c r="L25" s="127">
        <f t="shared" si="9"/>
        <v>2130.6</v>
      </c>
      <c r="M25" s="137"/>
      <c r="N25" s="136"/>
    </row>
    <row r="26" spans="1:14" x14ac:dyDescent="0.25">
      <c r="A26" s="130">
        <v>2.15</v>
      </c>
      <c r="B26" s="135">
        <v>3.3566561485343212E-2</v>
      </c>
      <c r="C26" s="135">
        <f t="shared" si="0"/>
        <v>1.2343228363535519E-2</v>
      </c>
      <c r="D26" s="135">
        <f t="shared" si="1"/>
        <v>5.3682934772212976E-2</v>
      </c>
      <c r="E26" s="135">
        <f t="shared" si="2"/>
        <v>7.0988620518564138E-2</v>
      </c>
      <c r="F26" s="130">
        <f t="shared" si="3"/>
        <v>576</v>
      </c>
      <c r="G26" s="130">
        <f t="shared" si="4"/>
        <v>1670</v>
      </c>
      <c r="H26" s="130">
        <f t="shared" si="5"/>
        <v>690</v>
      </c>
      <c r="I26" s="130">
        <f t="shared" si="6"/>
        <v>2936</v>
      </c>
      <c r="J26" s="135">
        <f t="shared" si="7"/>
        <v>3.3566561485343212E-2</v>
      </c>
      <c r="K26" s="127">
        <f t="shared" si="8"/>
        <v>1174.4000000000001</v>
      </c>
      <c r="L26" s="127">
        <f t="shared" si="9"/>
        <v>1761.6</v>
      </c>
      <c r="M26" s="137"/>
      <c r="N26" s="136"/>
    </row>
    <row r="27" spans="1:14" x14ac:dyDescent="0.25">
      <c r="A27" s="130">
        <v>2.2000000000000002</v>
      </c>
      <c r="B27" s="135">
        <v>2.7335711345863632E-2</v>
      </c>
      <c r="C27" s="135">
        <f t="shared" si="0"/>
        <v>7.4283136057404775E-3</v>
      </c>
      <c r="D27" s="135">
        <f t="shared" si="1"/>
        <v>4.2763125191048412E-2</v>
      </c>
      <c r="E27" s="135">
        <f t="shared" si="2"/>
        <v>7.3458105684034047E-2</v>
      </c>
      <c r="F27" s="130">
        <f t="shared" si="3"/>
        <v>347</v>
      </c>
      <c r="G27" s="130">
        <f t="shared" si="4"/>
        <v>1330</v>
      </c>
      <c r="H27" s="130">
        <f t="shared" si="5"/>
        <v>714</v>
      </c>
      <c r="I27" s="130">
        <f t="shared" si="6"/>
        <v>2391</v>
      </c>
      <c r="J27" s="135">
        <f t="shared" si="7"/>
        <v>2.7335711345863632E-2</v>
      </c>
      <c r="K27" s="127">
        <f t="shared" si="8"/>
        <v>956.40000000000009</v>
      </c>
      <c r="L27" s="127">
        <f t="shared" si="9"/>
        <v>1434.6</v>
      </c>
      <c r="M27" s="137"/>
      <c r="N27" s="136"/>
    </row>
    <row r="28" spans="1:14" x14ac:dyDescent="0.25">
      <c r="A28" s="130">
        <v>2.25</v>
      </c>
      <c r="B28" s="135">
        <v>2.1985183152695844E-2</v>
      </c>
      <c r="C28" s="135">
        <f t="shared" si="0"/>
        <v>4.2251901052008378E-3</v>
      </c>
      <c r="D28" s="135">
        <f t="shared" si="1"/>
        <v>3.2549857275657734E-2</v>
      </c>
      <c r="E28" s="135">
        <f t="shared" si="2"/>
        <v>7.3458105684033992E-2</v>
      </c>
      <c r="F28" s="130">
        <f t="shared" si="3"/>
        <v>197</v>
      </c>
      <c r="G28" s="130">
        <f t="shared" si="4"/>
        <v>1012</v>
      </c>
      <c r="H28" s="130">
        <f t="shared" si="5"/>
        <v>714</v>
      </c>
      <c r="I28" s="130">
        <f t="shared" si="6"/>
        <v>1923</v>
      </c>
      <c r="J28" s="135">
        <f t="shared" si="7"/>
        <v>2.1985183152695844E-2</v>
      </c>
      <c r="K28" s="127">
        <f t="shared" si="8"/>
        <v>769.2</v>
      </c>
      <c r="L28" s="127">
        <f t="shared" si="9"/>
        <v>1153.8</v>
      </c>
      <c r="M28" s="137"/>
      <c r="N28" s="136"/>
    </row>
    <row r="29" spans="1:14" x14ac:dyDescent="0.25">
      <c r="A29" s="130">
        <v>2.2999999999999998</v>
      </c>
      <c r="B29" s="135">
        <v>1.7514976905839849E-2</v>
      </c>
      <c r="C29" s="135">
        <f t="shared" si="0"/>
        <v>2.2714149128006955E-3</v>
      </c>
      <c r="D29" s="135">
        <f t="shared" si="1"/>
        <v>2.3674189132921963E-2</v>
      </c>
      <c r="E29" s="135">
        <f t="shared" si="2"/>
        <v>7.0988620518564138E-2</v>
      </c>
      <c r="F29" s="130">
        <f t="shared" si="3"/>
        <v>106</v>
      </c>
      <c r="G29" s="130">
        <f t="shared" si="4"/>
        <v>736</v>
      </c>
      <c r="H29" s="130">
        <f t="shared" si="5"/>
        <v>690</v>
      </c>
      <c r="I29" s="130">
        <f t="shared" si="6"/>
        <v>1532</v>
      </c>
      <c r="J29" s="135">
        <f t="shared" si="7"/>
        <v>1.7514976905839849E-2</v>
      </c>
      <c r="K29" s="127">
        <f t="shared" si="8"/>
        <v>612.80000000000007</v>
      </c>
      <c r="L29" s="127">
        <f t="shared" si="9"/>
        <v>919.19999999999993</v>
      </c>
      <c r="M29" s="137"/>
      <c r="N29" s="136"/>
    </row>
    <row r="30" spans="1:14" x14ac:dyDescent="0.25">
      <c r="A30" s="130">
        <v>2.35</v>
      </c>
      <c r="B30" s="135">
        <v>1.383363058489962E-2</v>
      </c>
      <c r="C30" s="135">
        <f t="shared" si="0"/>
        <v>1.1540921578439001E-3</v>
      </c>
      <c r="D30" s="135">
        <f t="shared" si="1"/>
        <v>1.6453087243873288E-2</v>
      </c>
      <c r="E30" s="135">
        <f t="shared" si="2"/>
        <v>6.6295913043429744E-2</v>
      </c>
      <c r="F30" s="130">
        <f t="shared" si="3"/>
        <v>54</v>
      </c>
      <c r="G30" s="130">
        <f t="shared" si="4"/>
        <v>512</v>
      </c>
      <c r="H30" s="130">
        <f t="shared" si="5"/>
        <v>644</v>
      </c>
      <c r="I30" s="130">
        <f t="shared" si="6"/>
        <v>1210</v>
      </c>
      <c r="J30" s="135">
        <f t="shared" si="7"/>
        <v>1.383363058489962E-2</v>
      </c>
      <c r="K30" s="127">
        <f t="shared" si="8"/>
        <v>484</v>
      </c>
      <c r="L30" s="127">
        <f t="shared" si="9"/>
        <v>726</v>
      </c>
      <c r="M30" s="137"/>
      <c r="N30" s="136"/>
    </row>
    <row r="31" spans="1:14" x14ac:dyDescent="0.25">
      <c r="A31" s="130">
        <v>2.4</v>
      </c>
      <c r="B31" s="135">
        <v>1.083824941692962E-2</v>
      </c>
      <c r="C31" s="135">
        <f t="shared" si="0"/>
        <v>5.5421448904557913E-4</v>
      </c>
      <c r="D31" s="135">
        <f t="shared" si="1"/>
        <v>1.0926116524875962E-2</v>
      </c>
      <c r="E31" s="135">
        <f t="shared" si="2"/>
        <v>5.9832034789238708E-2</v>
      </c>
      <c r="F31" s="130">
        <f t="shared" si="3"/>
        <v>26</v>
      </c>
      <c r="G31" s="130">
        <f t="shared" si="4"/>
        <v>340</v>
      </c>
      <c r="H31" s="130">
        <f t="shared" si="5"/>
        <v>582</v>
      </c>
      <c r="I31" s="130">
        <f t="shared" si="6"/>
        <v>948</v>
      </c>
      <c r="J31" s="135">
        <f t="shared" si="7"/>
        <v>1.083824941692962E-2</v>
      </c>
      <c r="K31" s="127">
        <f t="shared" si="8"/>
        <v>379.20000000000005</v>
      </c>
      <c r="L31" s="127">
        <f t="shared" si="9"/>
        <v>568.79999999999995</v>
      </c>
      <c r="M31" s="137"/>
      <c r="N31" s="136"/>
    </row>
    <row r="32" spans="1:14" x14ac:dyDescent="0.25">
      <c r="A32" s="130">
        <v>2.4500000000000002</v>
      </c>
      <c r="B32" s="135">
        <v>8.403073123885307E-3</v>
      </c>
      <c r="C32" s="135">
        <f t="shared" si="0"/>
        <v>2.5154064282328914E-4</v>
      </c>
      <c r="D32" s="135">
        <f t="shared" si="1"/>
        <v>6.9331445610288922E-3</v>
      </c>
      <c r="E32" s="135">
        <f t="shared" si="2"/>
        <v>5.2183087528077432E-2</v>
      </c>
      <c r="F32" s="130">
        <f t="shared" si="3"/>
        <v>12</v>
      </c>
      <c r="G32" s="130">
        <f t="shared" si="4"/>
        <v>216</v>
      </c>
      <c r="H32" s="130">
        <f t="shared" si="5"/>
        <v>507</v>
      </c>
      <c r="I32" s="130">
        <f t="shared" si="6"/>
        <v>735</v>
      </c>
      <c r="J32" s="135">
        <f t="shared" si="7"/>
        <v>8.403073123885307E-3</v>
      </c>
      <c r="K32" s="127">
        <f t="shared" si="8"/>
        <v>294</v>
      </c>
      <c r="L32" s="127">
        <f t="shared" si="9"/>
        <v>441</v>
      </c>
      <c r="M32" s="137"/>
      <c r="N32" s="136"/>
    </row>
    <row r="33" spans="1:14" x14ac:dyDescent="0.25">
      <c r="A33" s="130">
        <v>2.5</v>
      </c>
      <c r="B33" s="135">
        <v>6.4480724379201533E-3</v>
      </c>
      <c r="C33" s="135">
        <f t="shared" si="0"/>
        <v>1.0790234110114039E-4</v>
      </c>
      <c r="D33" s="135">
        <f t="shared" si="1"/>
        <v>4.2037853263348079E-3</v>
      </c>
      <c r="E33" s="135">
        <f t="shared" si="2"/>
        <v>4.3981975534150397E-2</v>
      </c>
      <c r="F33" s="130">
        <f t="shared" si="3"/>
        <v>5</v>
      </c>
      <c r="G33" s="130">
        <f t="shared" si="4"/>
        <v>131</v>
      </c>
      <c r="H33" s="130">
        <f t="shared" si="5"/>
        <v>428</v>
      </c>
      <c r="I33" s="130">
        <f t="shared" si="6"/>
        <v>564</v>
      </c>
      <c r="J33" s="135">
        <f t="shared" si="7"/>
        <v>6.4480724379201533E-3</v>
      </c>
      <c r="K33" s="127">
        <f t="shared" si="8"/>
        <v>225.60000000000002</v>
      </c>
      <c r="L33" s="127">
        <f t="shared" si="9"/>
        <v>338.4</v>
      </c>
      <c r="M33" s="137"/>
      <c r="N33" s="136"/>
    </row>
    <row r="34" spans="1:14" x14ac:dyDescent="0.25">
      <c r="A34" s="130">
        <v>2.5499999999999998</v>
      </c>
      <c r="B34" s="135">
        <v>4.870352586088627E-3</v>
      </c>
      <c r="C34" s="135">
        <f t="shared" si="0"/>
        <v>4.374671549411957E-5</v>
      </c>
      <c r="D34" s="135">
        <f t="shared" si="1"/>
        <v>2.4355468152549298E-3</v>
      </c>
      <c r="E34" s="135">
        <f t="shared" si="2"/>
        <v>3.582355085103861E-2</v>
      </c>
      <c r="F34" s="130">
        <f t="shared" si="3"/>
        <v>2</v>
      </c>
      <c r="G34" s="130">
        <f t="shared" si="4"/>
        <v>76</v>
      </c>
      <c r="H34" s="130">
        <f t="shared" si="5"/>
        <v>348</v>
      </c>
      <c r="I34" s="130">
        <f t="shared" si="6"/>
        <v>426</v>
      </c>
      <c r="J34" s="135">
        <f t="shared" si="7"/>
        <v>4.870352586088627E-3</v>
      </c>
      <c r="K34" s="127">
        <f t="shared" si="8"/>
        <v>170.4</v>
      </c>
      <c r="L34" s="127">
        <f t="shared" si="9"/>
        <v>255.6</v>
      </c>
      <c r="M34" s="137"/>
      <c r="N34" s="136"/>
    </row>
    <row r="35" spans="1:14" x14ac:dyDescent="0.25">
      <c r="A35" s="130">
        <v>2.6</v>
      </c>
      <c r="B35" s="135">
        <v>3.6241825581927105E-3</v>
      </c>
      <c r="C35" s="135">
        <f t="shared" si="0"/>
        <v>1.6762985203699898E-5</v>
      </c>
      <c r="D35" s="135">
        <f t="shared" si="1"/>
        <v>1.3483353722839597E-3</v>
      </c>
      <c r="E35" s="135">
        <f t="shared" si="2"/>
        <v>2.819755401805657E-2</v>
      </c>
      <c r="F35" s="130">
        <f t="shared" si="3"/>
        <v>1</v>
      </c>
      <c r="G35" s="130">
        <f t="shared" si="4"/>
        <v>42</v>
      </c>
      <c r="H35" s="130">
        <f t="shared" si="5"/>
        <v>274</v>
      </c>
      <c r="I35" s="130">
        <f t="shared" si="6"/>
        <v>317</v>
      </c>
      <c r="J35" s="135">
        <f t="shared" si="7"/>
        <v>3.6241825581927105E-3</v>
      </c>
      <c r="K35" s="127">
        <f t="shared" si="8"/>
        <v>126.80000000000001</v>
      </c>
      <c r="L35" s="127">
        <f t="shared" si="9"/>
        <v>190.2</v>
      </c>
      <c r="M35" s="137"/>
      <c r="N35" s="136"/>
    </row>
    <row r="36" spans="1:14" x14ac:dyDescent="0.25">
      <c r="A36" s="130">
        <v>2.65</v>
      </c>
      <c r="B36" s="135">
        <v>2.6295330863858784E-3</v>
      </c>
      <c r="C36" s="135">
        <f t="shared" si="0"/>
        <v>6.0708291342859155E-6</v>
      </c>
      <c r="D36" s="135">
        <f t="shared" si="1"/>
        <v>7.132547462861405E-4</v>
      </c>
      <c r="E36" s="135">
        <f t="shared" si="2"/>
        <v>2.1448805760595713E-2</v>
      </c>
      <c r="F36" s="130">
        <f t="shared" si="3"/>
        <v>0</v>
      </c>
      <c r="G36" s="130">
        <f t="shared" si="4"/>
        <v>22</v>
      </c>
      <c r="H36" s="130">
        <f t="shared" si="5"/>
        <v>208</v>
      </c>
      <c r="I36" s="130">
        <f t="shared" si="6"/>
        <v>230</v>
      </c>
      <c r="J36" s="135">
        <f t="shared" si="7"/>
        <v>2.6295330863858784E-3</v>
      </c>
      <c r="K36" s="127">
        <f t="shared" si="8"/>
        <v>92</v>
      </c>
      <c r="L36" s="127">
        <f t="shared" si="9"/>
        <v>138</v>
      </c>
      <c r="M36" s="135"/>
      <c r="N36" s="136"/>
    </row>
    <row r="37" spans="1:14" x14ac:dyDescent="0.25">
      <c r="A37" s="130">
        <v>2.7</v>
      </c>
      <c r="B37" s="135">
        <v>1.8749714181186263E-3</v>
      </c>
      <c r="C37" s="135">
        <f t="shared" si="0"/>
        <v>2.0779484957156313E-6</v>
      </c>
      <c r="D37" s="135">
        <f t="shared" si="1"/>
        <v>3.6052592237212355E-4</v>
      </c>
      <c r="E37" s="135">
        <f t="shared" si="2"/>
        <v>1.5766802532093172E-2</v>
      </c>
      <c r="F37" s="130">
        <f t="shared" si="3"/>
        <v>0</v>
      </c>
      <c r="G37" s="130">
        <f t="shared" si="4"/>
        <v>11</v>
      </c>
      <c r="H37" s="130">
        <f t="shared" si="5"/>
        <v>153</v>
      </c>
      <c r="I37" s="130">
        <f t="shared" si="6"/>
        <v>164</v>
      </c>
      <c r="J37" s="135">
        <f t="shared" si="7"/>
        <v>1.8749714181186263E-3</v>
      </c>
      <c r="K37" s="127">
        <f t="shared" si="8"/>
        <v>65.600000000000009</v>
      </c>
      <c r="L37" s="127">
        <f t="shared" si="9"/>
        <v>98.399999999999991</v>
      </c>
      <c r="M37" s="135"/>
      <c r="N37" s="136"/>
    </row>
    <row r="38" spans="1:14" x14ac:dyDescent="0.25">
      <c r="A38" s="130">
        <v>2.75</v>
      </c>
      <c r="B38" s="135">
        <v>1.3033337906434353E-3</v>
      </c>
      <c r="C38" s="135">
        <f t="shared" si="0"/>
        <v>6.7221937261052744E-7</v>
      </c>
      <c r="D38" s="135">
        <f t="shared" si="1"/>
        <v>1.741298318224116E-4</v>
      </c>
      <c r="E38" s="135">
        <f t="shared" si="2"/>
        <v>1.1200384429699839E-2</v>
      </c>
      <c r="F38" s="130">
        <f t="shared" si="3"/>
        <v>0</v>
      </c>
      <c r="G38" s="130">
        <f t="shared" si="4"/>
        <v>5</v>
      </c>
      <c r="H38" s="130">
        <f t="shared" si="5"/>
        <v>109</v>
      </c>
      <c r="I38" s="130">
        <f t="shared" si="6"/>
        <v>114</v>
      </c>
      <c r="J38" s="135">
        <f t="shared" si="7"/>
        <v>1.3033337906434353E-3</v>
      </c>
      <c r="K38" s="127">
        <f t="shared" si="8"/>
        <v>45.6</v>
      </c>
      <c r="L38" s="127">
        <f t="shared" si="9"/>
        <v>68.399999999999991</v>
      </c>
      <c r="M38" s="135"/>
      <c r="N38" s="136"/>
    </row>
    <row r="39" spans="1:14" x14ac:dyDescent="0.25">
      <c r="A39" s="130">
        <v>2.8</v>
      </c>
      <c r="B39" s="135">
        <v>8.80321946311794E-4</v>
      </c>
      <c r="C39" s="135">
        <f t="shared" si="0"/>
        <v>2.0553040269710721E-7</v>
      </c>
      <c r="D39" s="135">
        <f t="shared" si="1"/>
        <v>8.0362693030577859E-5</v>
      </c>
      <c r="E39" s="135">
        <f t="shared" si="2"/>
        <v>7.68901962000057E-3</v>
      </c>
      <c r="F39" s="130">
        <f t="shared" si="3"/>
        <v>0</v>
      </c>
      <c r="G39" s="130">
        <f t="shared" si="4"/>
        <v>2</v>
      </c>
      <c r="H39" s="130">
        <f t="shared" si="5"/>
        <v>75</v>
      </c>
      <c r="I39" s="130">
        <f t="shared" si="6"/>
        <v>77</v>
      </c>
      <c r="J39" s="135">
        <f t="shared" si="7"/>
        <v>8.80321946311794E-4</v>
      </c>
      <c r="K39" s="127">
        <f t="shared" si="8"/>
        <v>30.8</v>
      </c>
      <c r="L39" s="127">
        <f t="shared" si="9"/>
        <v>46.199999999999996</v>
      </c>
      <c r="M39" s="135"/>
      <c r="N39" s="136"/>
    </row>
    <row r="40" spans="1:14" x14ac:dyDescent="0.25">
      <c r="A40" s="130">
        <v>2.85</v>
      </c>
      <c r="B40" s="135">
        <v>5.8307038002469475E-4</v>
      </c>
      <c r="C40" s="135">
        <f t="shared" si="0"/>
        <v>5.9392174400763054E-8</v>
      </c>
      <c r="D40" s="135">
        <f t="shared" si="1"/>
        <v>3.5438892955319545E-5</v>
      </c>
      <c r="E40" s="135">
        <f t="shared" si="2"/>
        <v>5.1010278414239663E-3</v>
      </c>
      <c r="F40" s="130">
        <f t="shared" si="3"/>
        <v>0</v>
      </c>
      <c r="G40" s="130">
        <f t="shared" si="4"/>
        <v>1</v>
      </c>
      <c r="H40" s="130">
        <f t="shared" si="5"/>
        <v>50</v>
      </c>
      <c r="I40" s="130">
        <f t="shared" si="6"/>
        <v>51</v>
      </c>
      <c r="J40" s="135">
        <f t="shared" si="7"/>
        <v>5.8307038002469475E-4</v>
      </c>
      <c r="K40" s="127">
        <f t="shared" si="8"/>
        <v>20.400000000000002</v>
      </c>
      <c r="L40" s="127">
        <f t="shared" si="9"/>
        <v>30.599999999999998</v>
      </c>
      <c r="M40" s="135"/>
      <c r="N40" s="136"/>
    </row>
    <row r="41" spans="1:14" x14ac:dyDescent="0.25">
      <c r="A41" s="130">
        <v>2.9</v>
      </c>
      <c r="B41" s="135">
        <v>3.6584808158412221E-4</v>
      </c>
      <c r="C41" s="135">
        <f t="shared" si="0"/>
        <v>1.6220706222647152E-8</v>
      </c>
      <c r="D41" s="135">
        <f t="shared" si="1"/>
        <v>1.4933097756131275E-5</v>
      </c>
      <c r="E41" s="135">
        <f t="shared" si="2"/>
        <v>3.2703410412139311E-3</v>
      </c>
      <c r="F41" s="130">
        <f t="shared" si="3"/>
        <v>0</v>
      </c>
      <c r="G41" s="130">
        <f t="shared" si="4"/>
        <v>0</v>
      </c>
      <c r="H41" s="130">
        <f t="shared" si="5"/>
        <v>32</v>
      </c>
      <c r="I41" s="130">
        <f t="shared" si="6"/>
        <v>32</v>
      </c>
      <c r="J41" s="135">
        <f t="shared" si="7"/>
        <v>3.6584808158412221E-4</v>
      </c>
      <c r="K41" s="127">
        <f t="shared" si="8"/>
        <v>12.8</v>
      </c>
      <c r="L41" s="127">
        <f t="shared" si="9"/>
        <v>19.2</v>
      </c>
      <c r="M41" s="135"/>
      <c r="N41" s="136"/>
    </row>
    <row r="42" spans="1:14" x14ac:dyDescent="0.25">
      <c r="A42" s="130">
        <v>2.95</v>
      </c>
      <c r="B42" s="135">
        <v>2.2865505099007636E-4</v>
      </c>
      <c r="C42" s="135">
        <f t="shared" si="0"/>
        <v>4.1869417932716146E-9</v>
      </c>
      <c r="D42" s="135">
        <f t="shared" si="1"/>
        <v>6.0126162355622625E-6</v>
      </c>
      <c r="E42" s="135">
        <f t="shared" si="2"/>
        <v>2.0261750221390873E-3</v>
      </c>
      <c r="F42" s="130">
        <f t="shared" si="3"/>
        <v>0</v>
      </c>
      <c r="G42" s="130">
        <f t="shared" si="4"/>
        <v>0</v>
      </c>
      <c r="H42" s="130">
        <f t="shared" si="5"/>
        <v>20</v>
      </c>
      <c r="I42" s="130">
        <f t="shared" si="6"/>
        <v>20</v>
      </c>
      <c r="J42" s="135">
        <f t="shared" si="7"/>
        <v>2.2865505099007636E-4</v>
      </c>
      <c r="K42" s="127">
        <f t="shared" si="8"/>
        <v>8</v>
      </c>
      <c r="L42" s="127">
        <f t="shared" si="9"/>
        <v>12</v>
      </c>
      <c r="M42" s="135"/>
      <c r="N42" s="136"/>
    </row>
    <row r="43" spans="1:14" x14ac:dyDescent="0.25">
      <c r="A43" s="130">
        <v>3</v>
      </c>
      <c r="B43" s="135">
        <v>1.3719303059404582E-4</v>
      </c>
      <c r="C43" s="135">
        <f t="shared" si="0"/>
        <v>1.0214331602753646E-9</v>
      </c>
      <c r="D43" s="135">
        <f t="shared" si="1"/>
        <v>2.3132394219027574E-6</v>
      </c>
      <c r="E43" s="135">
        <f t="shared" si="2"/>
        <v>1.2131356442443009E-3</v>
      </c>
      <c r="F43" s="130">
        <f t="shared" si="3"/>
        <v>0</v>
      </c>
      <c r="G43" s="130">
        <f t="shared" si="4"/>
        <v>0</v>
      </c>
      <c r="H43" s="130">
        <f t="shared" si="5"/>
        <v>12</v>
      </c>
      <c r="I43" s="130">
        <f t="shared" si="6"/>
        <v>12</v>
      </c>
      <c r="J43" s="135">
        <f t="shared" si="7"/>
        <v>1.3719303059404582E-4</v>
      </c>
      <c r="K43" s="127">
        <f t="shared" si="8"/>
        <v>4.8000000000000007</v>
      </c>
      <c r="L43" s="127">
        <f t="shared" si="9"/>
        <v>7.1999999999999993</v>
      </c>
      <c r="M43" s="135"/>
      <c r="N43" s="136"/>
    </row>
    <row r="44" spans="1:14" x14ac:dyDescent="0.25">
      <c r="A44" s="130">
        <v>3.05</v>
      </c>
      <c r="B44" s="135">
        <v>8.0029267846526726E-5</v>
      </c>
      <c r="C44" s="135">
        <f t="shared" si="0"/>
        <v>2.3550927874538274E-10</v>
      </c>
      <c r="D44" s="135">
        <f t="shared" si="1"/>
        <v>8.5039539754472315E-7</v>
      </c>
      <c r="E44" s="135">
        <f t="shared" si="2"/>
        <v>7.0192415768721705E-4</v>
      </c>
      <c r="F44" s="130">
        <f t="shared" si="3"/>
        <v>0</v>
      </c>
      <c r="G44" s="130">
        <f t="shared" si="4"/>
        <v>0</v>
      </c>
      <c r="H44" s="130">
        <f t="shared" si="5"/>
        <v>7</v>
      </c>
      <c r="I44" s="130">
        <f t="shared" si="6"/>
        <v>7</v>
      </c>
      <c r="J44" s="135">
        <f t="shared" si="7"/>
        <v>8.0029267846526726E-5</v>
      </c>
      <c r="K44" s="127">
        <f t="shared" si="8"/>
        <v>2.8000000000000003</v>
      </c>
      <c r="L44" s="127">
        <f t="shared" si="9"/>
        <v>4.2</v>
      </c>
      <c r="M44" s="135"/>
      <c r="N44" s="136"/>
    </row>
    <row r="45" spans="1:14" x14ac:dyDescent="0.25">
      <c r="A45" s="130">
        <v>3.1</v>
      </c>
      <c r="B45" s="135">
        <v>4.5731010198015277E-5</v>
      </c>
      <c r="C45" s="135">
        <f t="shared" si="0"/>
        <v>5.1320392380205249E-11</v>
      </c>
      <c r="D45" s="135">
        <f t="shared" si="1"/>
        <v>2.9871987261564925E-7</v>
      </c>
      <c r="E45" s="135">
        <f t="shared" si="2"/>
        <v>3.92481651115828E-4</v>
      </c>
      <c r="F45" s="130">
        <f t="shared" si="3"/>
        <v>0</v>
      </c>
      <c r="G45" s="130">
        <f t="shared" si="4"/>
        <v>0</v>
      </c>
      <c r="H45" s="130">
        <f t="shared" si="5"/>
        <v>4</v>
      </c>
      <c r="I45" s="130">
        <f t="shared" si="6"/>
        <v>4</v>
      </c>
      <c r="J45" s="135">
        <f t="shared" si="7"/>
        <v>4.5731010198015277E-5</v>
      </c>
      <c r="K45" s="127">
        <f t="shared" si="8"/>
        <v>1.6</v>
      </c>
      <c r="L45" s="127">
        <f t="shared" si="9"/>
        <v>2.4</v>
      </c>
      <c r="M45" s="135"/>
      <c r="N45" s="136"/>
    </row>
    <row r="46" spans="1:14" x14ac:dyDescent="0.25">
      <c r="A46" s="130">
        <v>3.15</v>
      </c>
      <c r="B46" s="135">
        <v>2.2865505099007638E-5</v>
      </c>
      <c r="C46" s="135">
        <f t="shared" si="0"/>
        <v>1.0569545239036415E-11</v>
      </c>
      <c r="D46" s="135">
        <f t="shared" si="1"/>
        <v>1.0026512464733628E-7</v>
      </c>
      <c r="E46" s="135">
        <f t="shared" si="2"/>
        <v>2.1207856974558847E-4</v>
      </c>
      <c r="F46" s="130">
        <f t="shared" si="3"/>
        <v>0</v>
      </c>
      <c r="G46" s="130">
        <f t="shared" si="4"/>
        <v>0</v>
      </c>
      <c r="H46" s="130">
        <f t="shared" si="5"/>
        <v>2</v>
      </c>
      <c r="I46" s="130">
        <f t="shared" si="6"/>
        <v>2</v>
      </c>
      <c r="J46" s="135">
        <f t="shared" si="7"/>
        <v>2.2865505099007638E-5</v>
      </c>
      <c r="K46" s="127">
        <f t="shared" si="8"/>
        <v>0.8</v>
      </c>
      <c r="L46" s="127">
        <f t="shared" si="9"/>
        <v>1.2</v>
      </c>
      <c r="M46" s="135"/>
      <c r="N46" s="136"/>
    </row>
    <row r="47" spans="1:14" x14ac:dyDescent="0.25">
      <c r="A47" s="130">
        <v>3.2</v>
      </c>
      <c r="B47" s="135">
        <v>1.1432752549503819E-5</v>
      </c>
      <c r="C47" s="135">
        <f t="shared" si="0"/>
        <v>2.0573542869328776E-12</v>
      </c>
      <c r="D47" s="135">
        <f t="shared" si="1"/>
        <v>3.2157176255154241E-8</v>
      </c>
      <c r="E47" s="135">
        <f t="shared" si="2"/>
        <v>1.1074455600135202E-4</v>
      </c>
      <c r="F47" s="130">
        <f t="shared" si="3"/>
        <v>0</v>
      </c>
      <c r="G47" s="130">
        <f t="shared" si="4"/>
        <v>0</v>
      </c>
      <c r="H47" s="130">
        <f t="shared" si="5"/>
        <v>1</v>
      </c>
      <c r="I47" s="130">
        <f t="shared" si="6"/>
        <v>1</v>
      </c>
      <c r="J47" s="135">
        <f t="shared" si="7"/>
        <v>1.1432752549503819E-5</v>
      </c>
      <c r="K47" s="127">
        <f t="shared" si="8"/>
        <v>0.4</v>
      </c>
      <c r="L47" s="127">
        <f t="shared" si="9"/>
        <v>0.6</v>
      </c>
      <c r="M47" s="135"/>
      <c r="N47" s="136"/>
    </row>
    <row r="48" spans="1:14" x14ac:dyDescent="0.25">
      <c r="A48" s="130">
        <v>3.25</v>
      </c>
      <c r="B48" s="135">
        <v>1.1432752549503819E-5</v>
      </c>
      <c r="C48" s="135">
        <f t="shared" si="0"/>
        <v>3.7847502909471586E-13</v>
      </c>
      <c r="D48" s="135">
        <f t="shared" si="1"/>
        <v>9.8547993099273867E-9</v>
      </c>
      <c r="E48" s="135">
        <f t="shared" si="2"/>
        <v>5.5885104523034634E-5</v>
      </c>
      <c r="F48" s="130">
        <f t="shared" si="3"/>
        <v>0</v>
      </c>
      <c r="G48" s="130">
        <f t="shared" si="4"/>
        <v>0</v>
      </c>
      <c r="H48" s="130">
        <f t="shared" si="5"/>
        <v>1</v>
      </c>
      <c r="I48" s="130">
        <f t="shared" si="6"/>
        <v>1</v>
      </c>
      <c r="J48" s="135">
        <f t="shared" si="7"/>
        <v>1.1432752549503819E-5</v>
      </c>
      <c r="K48" s="127">
        <f t="shared" si="8"/>
        <v>0.4</v>
      </c>
      <c r="L48" s="127">
        <f t="shared" si="9"/>
        <v>0.6</v>
      </c>
      <c r="M48" s="135"/>
      <c r="N48" s="136"/>
    </row>
    <row r="49" spans="1:14" x14ac:dyDescent="0.25">
      <c r="A49" s="130">
        <v>3.3</v>
      </c>
      <c r="B49" s="135">
        <v>0</v>
      </c>
      <c r="C49" s="135">
        <f t="shared" si="0"/>
        <v>6.5836225360271783E-14</v>
      </c>
      <c r="D49" s="135">
        <f t="shared" si="1"/>
        <v>2.8857530809389687E-9</v>
      </c>
      <c r="E49" s="135">
        <f t="shared" si="2"/>
        <v>2.7253214438194284E-5</v>
      </c>
      <c r="F49" s="130">
        <f t="shared" si="3"/>
        <v>0</v>
      </c>
      <c r="G49" s="130">
        <f t="shared" si="4"/>
        <v>0</v>
      </c>
      <c r="H49" s="130">
        <f t="shared" si="5"/>
        <v>0</v>
      </c>
      <c r="I49" s="130">
        <f t="shared" si="6"/>
        <v>0</v>
      </c>
      <c r="J49" s="135">
        <f t="shared" si="7"/>
        <v>0</v>
      </c>
      <c r="K49" s="127">
        <f t="shared" si="8"/>
        <v>0</v>
      </c>
      <c r="L49" s="127">
        <f t="shared" si="9"/>
        <v>0</v>
      </c>
      <c r="M49" s="135"/>
      <c r="N49" s="136"/>
    </row>
    <row r="50" spans="1:14" x14ac:dyDescent="0.25">
      <c r="A50" s="130">
        <v>3.35</v>
      </c>
      <c r="B50" s="135">
        <v>0</v>
      </c>
      <c r="C50" s="135">
        <f t="shared" si="0"/>
        <v>1.0769163338864018E-14</v>
      </c>
      <c r="D50" s="135">
        <f t="shared" si="1"/>
        <v>8.0744266828247646E-10</v>
      </c>
      <c r="E50" s="135">
        <f t="shared" si="2"/>
        <v>1.284361513831378E-5</v>
      </c>
      <c r="F50" s="130">
        <f t="shared" si="3"/>
        <v>0</v>
      </c>
      <c r="G50" s="130">
        <f t="shared" si="4"/>
        <v>0</v>
      </c>
      <c r="H50" s="130">
        <f t="shared" si="5"/>
        <v>0</v>
      </c>
      <c r="I50" s="130">
        <f t="shared" si="6"/>
        <v>0</v>
      </c>
      <c r="J50" s="135">
        <f t="shared" si="7"/>
        <v>0</v>
      </c>
      <c r="K50" s="127">
        <f t="shared" si="8"/>
        <v>0</v>
      </c>
      <c r="L50" s="127">
        <f t="shared" si="9"/>
        <v>0</v>
      </c>
      <c r="M50" s="135"/>
      <c r="N50" s="136"/>
    </row>
    <row r="51" spans="1:14" x14ac:dyDescent="0.25">
      <c r="A51" s="130">
        <v>3.4</v>
      </c>
      <c r="B51" s="135">
        <v>0</v>
      </c>
      <c r="C51" s="135">
        <f t="shared" si="0"/>
        <v>1.6653345369377348E-15</v>
      </c>
      <c r="D51" s="135">
        <f t="shared" si="1"/>
        <v>2.158763168225164E-10</v>
      </c>
      <c r="E51" s="135">
        <f t="shared" si="2"/>
        <v>5.8493096477540973E-6</v>
      </c>
      <c r="F51" s="130">
        <f t="shared" si="3"/>
        <v>0</v>
      </c>
      <c r="G51" s="130">
        <f t="shared" si="4"/>
        <v>0</v>
      </c>
      <c r="H51" s="130">
        <f t="shared" si="5"/>
        <v>0</v>
      </c>
      <c r="I51" s="130">
        <f t="shared" si="6"/>
        <v>0</v>
      </c>
      <c r="J51" s="135">
        <f t="shared" si="7"/>
        <v>0</v>
      </c>
      <c r="K51" s="127">
        <f t="shared" si="8"/>
        <v>0</v>
      </c>
      <c r="L51" s="127">
        <f t="shared" si="9"/>
        <v>0</v>
      </c>
      <c r="M51" s="135"/>
      <c r="N51" s="136"/>
    </row>
    <row r="52" spans="1:14" x14ac:dyDescent="0.25">
      <c r="A52" s="130">
        <v>3.45</v>
      </c>
      <c r="B52" s="135">
        <v>0</v>
      </c>
      <c r="C52" s="135">
        <f t="shared" si="0"/>
        <v>0</v>
      </c>
      <c r="D52" s="135">
        <f t="shared" si="1"/>
        <v>5.5149107502927563E-11</v>
      </c>
      <c r="E52" s="135">
        <f t="shared" si="2"/>
        <v>2.574361971041661E-6</v>
      </c>
      <c r="F52" s="130">
        <f t="shared" si="3"/>
        <v>0</v>
      </c>
      <c r="G52" s="130">
        <f t="shared" si="4"/>
        <v>0</v>
      </c>
      <c r="H52" s="130">
        <f t="shared" si="5"/>
        <v>0</v>
      </c>
      <c r="I52" s="130">
        <f t="shared" si="6"/>
        <v>0</v>
      </c>
      <c r="J52" s="135">
        <f t="shared" si="7"/>
        <v>0</v>
      </c>
      <c r="K52" s="127">
        <f t="shared" si="8"/>
        <v>0</v>
      </c>
      <c r="L52" s="127">
        <f t="shared" si="9"/>
        <v>0</v>
      </c>
      <c r="M52" s="135"/>
      <c r="N52" s="136"/>
    </row>
    <row r="53" spans="1:14" x14ac:dyDescent="0.25">
      <c r="A53" s="130">
        <v>3.5</v>
      </c>
      <c r="B53" s="135">
        <v>0</v>
      </c>
      <c r="C53" s="135">
        <f t="shared" si="0"/>
        <v>0</v>
      </c>
      <c r="D53" s="135">
        <f t="shared" si="1"/>
        <v>1.3462120307394798E-11</v>
      </c>
      <c r="E53" s="135">
        <f t="shared" si="2"/>
        <v>1.0949194398923723E-6</v>
      </c>
      <c r="F53" s="130">
        <f t="shared" si="3"/>
        <v>0</v>
      </c>
      <c r="G53" s="130">
        <f t="shared" si="4"/>
        <v>0</v>
      </c>
      <c r="H53" s="130">
        <f t="shared" si="5"/>
        <v>0</v>
      </c>
      <c r="I53" s="130">
        <f t="shared" si="6"/>
        <v>0</v>
      </c>
      <c r="J53" s="135">
        <f t="shared" si="7"/>
        <v>0</v>
      </c>
      <c r="K53" s="127">
        <f t="shared" si="8"/>
        <v>0</v>
      </c>
      <c r="L53" s="127">
        <f t="shared" si="9"/>
        <v>0</v>
      </c>
      <c r="M53" s="135"/>
      <c r="N53" s="136"/>
    </row>
    <row r="54" spans="1:14" x14ac:dyDescent="0.25">
      <c r="A54" s="130">
        <v>3.55</v>
      </c>
      <c r="B54" s="135">
        <v>0</v>
      </c>
      <c r="C54" s="135">
        <f t="shared" si="0"/>
        <v>0</v>
      </c>
      <c r="D54" s="135">
        <f t="shared" si="1"/>
        <v>3.1399327582448677E-12</v>
      </c>
      <c r="E54" s="135">
        <f t="shared" si="2"/>
        <v>4.500307196897424E-7</v>
      </c>
      <c r="F54" s="130">
        <f t="shared" si="3"/>
        <v>0</v>
      </c>
      <c r="G54" s="130">
        <f t="shared" si="4"/>
        <v>0</v>
      </c>
      <c r="H54" s="130">
        <f t="shared" si="5"/>
        <v>0</v>
      </c>
      <c r="I54" s="130">
        <f t="shared" si="6"/>
        <v>0</v>
      </c>
      <c r="J54" s="135">
        <f t="shared" si="7"/>
        <v>0</v>
      </c>
      <c r="K54" s="127">
        <f t="shared" si="8"/>
        <v>0</v>
      </c>
      <c r="L54" s="127">
        <f t="shared" si="9"/>
        <v>0</v>
      </c>
      <c r="M54" s="135"/>
      <c r="N54" s="136"/>
    </row>
    <row r="55" spans="1:14" x14ac:dyDescent="0.25">
      <c r="A55" s="130">
        <v>3.6</v>
      </c>
      <c r="B55" s="135">
        <v>0</v>
      </c>
      <c r="C55" s="135">
        <f t="shared" si="0"/>
        <v>0</v>
      </c>
      <c r="D55" s="135">
        <f t="shared" si="1"/>
        <v>8.8640206286072498E-13</v>
      </c>
      <c r="E55" s="135">
        <f t="shared" si="2"/>
        <v>2.8660615880582441E-7</v>
      </c>
      <c r="F55" s="130">
        <f t="shared" si="3"/>
        <v>0</v>
      </c>
      <c r="G55" s="130">
        <f t="shared" si="4"/>
        <v>0</v>
      </c>
      <c r="H55" s="130">
        <f t="shared" si="5"/>
        <v>0</v>
      </c>
      <c r="I55" s="130">
        <f t="shared" si="6"/>
        <v>0</v>
      </c>
      <c r="J55" s="135">
        <f t="shared" si="7"/>
        <v>0</v>
      </c>
      <c r="K55" s="127">
        <f t="shared" si="8"/>
        <v>0</v>
      </c>
      <c r="L55" s="127">
        <f t="shared" si="9"/>
        <v>0</v>
      </c>
      <c r="M55" s="135"/>
      <c r="N55" s="136"/>
    </row>
    <row r="56" spans="1:14" x14ac:dyDescent="0.25">
      <c r="A56" s="130">
        <v>4</v>
      </c>
      <c r="N56" s="136"/>
    </row>
  </sheetData>
  <hyperlinks>
    <hyperlink ref="T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L11"/>
  <sheetViews>
    <sheetView zoomScaleNormal="100" workbookViewId="0">
      <selection activeCell="B10" sqref="B10"/>
    </sheetView>
  </sheetViews>
  <sheetFormatPr defaultRowHeight="15" x14ac:dyDescent="0.25"/>
  <cols>
    <col min="1" max="1" width="36.5703125"/>
    <col min="2" max="2" width="22.7109375"/>
    <col min="3" max="3" width="10.5703125"/>
    <col min="4" max="1025" width="8.5703125"/>
  </cols>
  <sheetData>
    <row r="1" spans="1:12" x14ac:dyDescent="0.25">
      <c r="A1" s="82" t="s">
        <v>1307</v>
      </c>
      <c r="B1" s="82" t="s">
        <v>1308</v>
      </c>
      <c r="L1" s="29" t="s">
        <v>216</v>
      </c>
    </row>
    <row r="2" spans="1:12" x14ac:dyDescent="0.25">
      <c r="A2" s="82" t="s">
        <v>67</v>
      </c>
      <c r="B2" s="38">
        <v>96768</v>
      </c>
    </row>
    <row r="3" spans="1:12" x14ac:dyDescent="0.25">
      <c r="A3" s="82" t="s">
        <v>69</v>
      </c>
      <c r="B3" s="38">
        <v>1433116</v>
      </c>
    </row>
    <row r="4" spans="1:12" x14ac:dyDescent="0.25">
      <c r="A4" s="85" t="s">
        <v>1309</v>
      </c>
      <c r="B4" s="38">
        <v>87</v>
      </c>
    </row>
    <row r="5" spans="1:12" x14ac:dyDescent="0.25">
      <c r="A5" s="82" t="s">
        <v>1310</v>
      </c>
      <c r="B5" s="86">
        <f>Common_Data!B4*7.75*10</f>
        <v>6742.5</v>
      </c>
    </row>
    <row r="6" spans="1:12" x14ac:dyDescent="0.25">
      <c r="A6" s="82" t="s">
        <v>1311</v>
      </c>
      <c r="B6" s="87">
        <f>Common_Data!B4*4*10</f>
        <v>3480</v>
      </c>
    </row>
    <row r="7" spans="1:12" x14ac:dyDescent="0.25">
      <c r="A7" s="82" t="s">
        <v>75</v>
      </c>
      <c r="B7">
        <v>1E-4</v>
      </c>
      <c r="C7" t="s">
        <v>1312</v>
      </c>
    </row>
    <row r="8" spans="1:12" x14ac:dyDescent="0.25">
      <c r="A8" s="82" t="s">
        <v>76</v>
      </c>
      <c r="B8">
        <f>2000*9</f>
        <v>18000</v>
      </c>
    </row>
    <row r="9" spans="1:12" x14ac:dyDescent="0.25">
      <c r="A9" s="82" t="s">
        <v>77</v>
      </c>
      <c r="B9">
        <v>1</v>
      </c>
    </row>
    <row r="10" spans="1:12" x14ac:dyDescent="0.25">
      <c r="A10" s="82" t="s">
        <v>1313</v>
      </c>
    </row>
    <row r="11" spans="1:12" x14ac:dyDescent="0.25">
      <c r="A11" s="82" t="s">
        <v>1314</v>
      </c>
      <c r="B11" s="88"/>
      <c r="C11" t="s">
        <v>1312</v>
      </c>
    </row>
  </sheetData>
  <autoFilter ref="A13:D381"/>
  <hyperlinks>
    <hyperlink ref="L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5"/>
  <sheetViews>
    <sheetView zoomScaleNormal="100" workbookViewId="0">
      <selection activeCell="B2" sqref="B2:B5"/>
    </sheetView>
  </sheetViews>
  <sheetFormatPr defaultRowHeight="15" x14ac:dyDescent="0.25"/>
  <cols>
    <col min="1" max="1" width="8.5703125"/>
    <col min="2" max="2" width="9.5703125"/>
    <col min="3" max="1025" width="8.5703125"/>
  </cols>
  <sheetData>
    <row r="1" spans="1:14" x14ac:dyDescent="0.25">
      <c r="A1" s="82" t="s">
        <v>1315</v>
      </c>
      <c r="B1" s="82" t="s">
        <v>87</v>
      </c>
      <c r="C1" t="s">
        <v>1499</v>
      </c>
      <c r="N1" s="29" t="s">
        <v>216</v>
      </c>
    </row>
    <row r="2" spans="1:14" x14ac:dyDescent="0.25">
      <c r="A2">
        <v>1</v>
      </c>
      <c r="B2" s="130">
        <v>87468</v>
      </c>
      <c r="D2">
        <v>87468</v>
      </c>
      <c r="E2">
        <f>B2-D2</f>
        <v>0</v>
      </c>
    </row>
    <row r="3" spans="1:14" x14ac:dyDescent="0.25">
      <c r="A3">
        <v>2</v>
      </c>
      <c r="B3" s="130">
        <v>87468</v>
      </c>
    </row>
    <row r="4" spans="1:14" x14ac:dyDescent="0.25">
      <c r="A4">
        <v>3</v>
      </c>
      <c r="B4" s="130">
        <v>87468</v>
      </c>
    </row>
    <row r="5" spans="1:14" x14ac:dyDescent="0.25">
      <c r="A5">
        <v>4</v>
      </c>
      <c r="B5" s="130">
        <v>87468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7"/>
  <sheetViews>
    <sheetView zoomScaleNormal="100" workbookViewId="0">
      <selection activeCell="D3" sqref="D3"/>
    </sheetView>
  </sheetViews>
  <sheetFormatPr defaultRowHeight="15" x14ac:dyDescent="0.25"/>
  <cols>
    <col min="1" max="1" width="6.140625"/>
    <col min="2" max="2" width="12.85546875"/>
    <col min="3" max="3" width="8.5703125"/>
    <col min="4" max="4" width="17"/>
    <col min="5" max="1025" width="8.5703125"/>
  </cols>
  <sheetData>
    <row r="1" spans="1:14" x14ac:dyDescent="0.25">
      <c r="A1" s="82" t="s">
        <v>1302</v>
      </c>
      <c r="B1" s="82" t="s">
        <v>1303</v>
      </c>
      <c r="D1" t="s">
        <v>1316</v>
      </c>
      <c r="E1">
        <f>195</f>
        <v>195</v>
      </c>
      <c r="N1" s="29" t="s">
        <v>216</v>
      </c>
    </row>
    <row r="2" spans="1:14" x14ac:dyDescent="0.25">
      <c r="A2">
        <v>1</v>
      </c>
      <c r="B2" s="83">
        <f>Available_Hour_Overtime!$E$1*4</f>
        <v>780</v>
      </c>
    </row>
    <row r="3" spans="1:14" x14ac:dyDescent="0.25">
      <c r="A3">
        <v>2</v>
      </c>
      <c r="B3" s="83">
        <f>Available_Hour_Overtime!$E$1*4</f>
        <v>780</v>
      </c>
    </row>
    <row r="4" spans="1:14" x14ac:dyDescent="0.25">
      <c r="A4">
        <v>3</v>
      </c>
      <c r="B4" s="83">
        <f>Available_Hour_Overtime!$E$1*4</f>
        <v>780</v>
      </c>
    </row>
    <row r="5" spans="1:14" x14ac:dyDescent="0.25">
      <c r="A5">
        <v>4</v>
      </c>
      <c r="B5" s="83">
        <f>Available_Hour_Overtime!$E$1*4</f>
        <v>780</v>
      </c>
    </row>
    <row r="6" spans="1:14" x14ac:dyDescent="0.25">
      <c r="B6" s="83"/>
    </row>
    <row r="7" spans="1:14" x14ac:dyDescent="0.25">
      <c r="B7" s="83"/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I19"/>
  <sheetViews>
    <sheetView zoomScaleNormal="100" workbookViewId="0">
      <selection activeCell="C2" sqref="C2"/>
    </sheetView>
  </sheetViews>
  <sheetFormatPr defaultRowHeight="15" x14ac:dyDescent="0.25"/>
  <cols>
    <col min="1" max="2" width="15.140625"/>
    <col min="3" max="3" width="16.7109375"/>
    <col min="4" max="1025" width="8.5703125"/>
  </cols>
  <sheetData>
    <row r="1" spans="1:9" x14ac:dyDescent="0.25">
      <c r="A1" t="s">
        <v>1317</v>
      </c>
      <c r="B1" t="s">
        <v>1318</v>
      </c>
      <c r="C1" t="s">
        <v>1319</v>
      </c>
      <c r="D1" t="s">
        <v>93</v>
      </c>
      <c r="I1" s="29" t="s">
        <v>216</v>
      </c>
    </row>
    <row r="2" spans="1:9" x14ac:dyDescent="0.25">
      <c r="A2" t="s">
        <v>243</v>
      </c>
      <c r="B2" t="s">
        <v>199</v>
      </c>
      <c r="C2" s="65">
        <v>6.0998498498498498E-2</v>
      </c>
    </row>
    <row r="3" spans="1:9" x14ac:dyDescent="0.25">
      <c r="A3" t="s">
        <v>268</v>
      </c>
      <c r="B3" t="s">
        <v>139</v>
      </c>
      <c r="C3" s="65">
        <v>2.14491587908037E-2</v>
      </c>
    </row>
    <row r="4" spans="1:9" x14ac:dyDescent="0.25">
      <c r="A4" t="s">
        <v>271</v>
      </c>
      <c r="B4" t="s">
        <v>139</v>
      </c>
      <c r="C4" s="65">
        <v>2.14491587908037E-2</v>
      </c>
    </row>
    <row r="5" spans="1:9" x14ac:dyDescent="0.25">
      <c r="A5" t="s">
        <v>261</v>
      </c>
      <c r="B5" t="s">
        <v>139</v>
      </c>
      <c r="C5" s="65">
        <v>2.2949511075633599E-2</v>
      </c>
    </row>
    <row r="6" spans="1:9" x14ac:dyDescent="0.25">
      <c r="A6" t="s">
        <v>251</v>
      </c>
      <c r="B6" t="s">
        <v>139</v>
      </c>
      <c r="C6" s="65">
        <v>2.8146361077603502E-2</v>
      </c>
    </row>
    <row r="7" spans="1:9" x14ac:dyDescent="0.25">
      <c r="A7" t="s">
        <v>265</v>
      </c>
      <c r="B7" t="s">
        <v>139</v>
      </c>
      <c r="C7" s="65">
        <v>4.0661549707602301E-2</v>
      </c>
    </row>
    <row r="8" spans="1:9" x14ac:dyDescent="0.25">
      <c r="A8" t="s">
        <v>266</v>
      </c>
      <c r="B8" t="s">
        <v>139</v>
      </c>
      <c r="C8" s="65">
        <v>4.0661549707602301E-2</v>
      </c>
    </row>
    <row r="9" spans="1:9" x14ac:dyDescent="0.25">
      <c r="A9" t="s">
        <v>262</v>
      </c>
      <c r="B9" t="s">
        <v>139</v>
      </c>
      <c r="C9" s="65">
        <v>2.7073428420496599E-2</v>
      </c>
    </row>
    <row r="10" spans="1:9" x14ac:dyDescent="0.25">
      <c r="A10" t="s">
        <v>263</v>
      </c>
      <c r="B10" t="s">
        <v>139</v>
      </c>
      <c r="C10" s="65">
        <v>2.7073428420496599E-2</v>
      </c>
    </row>
    <row r="11" spans="1:9" x14ac:dyDescent="0.25">
      <c r="A11" t="s">
        <v>264</v>
      </c>
      <c r="B11" t="s">
        <v>139</v>
      </c>
      <c r="C11" s="65">
        <v>2.7073428420496599E-2</v>
      </c>
    </row>
    <row r="12" spans="1:9" x14ac:dyDescent="0.25">
      <c r="A12" t="s">
        <v>131</v>
      </c>
      <c r="B12" t="s">
        <v>201</v>
      </c>
      <c r="C12" s="65">
        <v>0.63502824858757101</v>
      </c>
    </row>
    <row r="13" spans="1:9" x14ac:dyDescent="0.25">
      <c r="A13" t="s">
        <v>131</v>
      </c>
      <c r="B13" t="s">
        <v>203</v>
      </c>
      <c r="C13" s="65">
        <v>0.63502824858757101</v>
      </c>
    </row>
    <row r="14" spans="1:9" x14ac:dyDescent="0.25">
      <c r="A14" t="s">
        <v>144</v>
      </c>
      <c r="B14" t="s">
        <v>826</v>
      </c>
      <c r="C14" s="65">
        <v>0.29828895598865401</v>
      </c>
    </row>
    <row r="15" spans="1:9" x14ac:dyDescent="0.25">
      <c r="A15" t="s">
        <v>141</v>
      </c>
      <c r="B15" s="65" t="s">
        <v>376</v>
      </c>
      <c r="C15" s="65">
        <v>0.50075257612597002</v>
      </c>
    </row>
    <row r="16" spans="1:9" x14ac:dyDescent="0.25">
      <c r="A16" t="s">
        <v>149</v>
      </c>
      <c r="B16" s="65" t="s">
        <v>826</v>
      </c>
      <c r="C16" s="65">
        <v>0.358523506671655</v>
      </c>
    </row>
    <row r="17" spans="1:3" x14ac:dyDescent="0.25">
      <c r="A17" t="s">
        <v>150</v>
      </c>
      <c r="B17" s="65" t="s">
        <v>826</v>
      </c>
      <c r="C17" s="65">
        <v>0.358523506671655</v>
      </c>
    </row>
    <row r="18" spans="1:3" x14ac:dyDescent="0.25">
      <c r="A18" t="s">
        <v>147</v>
      </c>
      <c r="B18" s="65" t="s">
        <v>125</v>
      </c>
      <c r="C18" s="65">
        <v>0.38261515601783103</v>
      </c>
    </row>
    <row r="19" spans="1:3" x14ac:dyDescent="0.25">
      <c r="A19" t="s">
        <v>421</v>
      </c>
      <c r="B19" s="65" t="s">
        <v>121</v>
      </c>
      <c r="C19" s="65">
        <v>0.20110957004160901</v>
      </c>
    </row>
  </sheetData>
  <hyperlinks>
    <hyperlink ref="I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22"/>
  <sheetViews>
    <sheetView zoomScaleNormal="100" workbookViewId="0">
      <selection activeCell="B2" sqref="B2:B120"/>
    </sheetView>
  </sheetViews>
  <sheetFormatPr defaultRowHeight="15" x14ac:dyDescent="0.25"/>
  <cols>
    <col min="1" max="1" width="29"/>
    <col min="2" max="2" width="14"/>
    <col min="3" max="3" width="11.85546875"/>
    <col min="4" max="1025" width="8.28515625"/>
  </cols>
  <sheetData>
    <row r="1" spans="1:3" x14ac:dyDescent="0.25">
      <c r="A1" t="s">
        <v>1320</v>
      </c>
      <c r="B1" t="s">
        <v>1321</v>
      </c>
      <c r="C1" t="s">
        <v>93</v>
      </c>
    </row>
    <row r="2" spans="1:3" x14ac:dyDescent="0.25">
      <c r="A2" t="s">
        <v>1322</v>
      </c>
    </row>
    <row r="3" spans="1:3" x14ac:dyDescent="0.25">
      <c r="A3" t="s">
        <v>1323</v>
      </c>
    </row>
    <row r="4" spans="1:3" x14ac:dyDescent="0.25">
      <c r="A4" t="s">
        <v>1324</v>
      </c>
    </row>
    <row r="5" spans="1:3" x14ac:dyDescent="0.25">
      <c r="A5" t="s">
        <v>1325</v>
      </c>
    </row>
    <row r="6" spans="1:3" x14ac:dyDescent="0.25">
      <c r="A6" t="s">
        <v>1326</v>
      </c>
    </row>
    <row r="7" spans="1:3" x14ac:dyDescent="0.25">
      <c r="A7" t="s">
        <v>1327</v>
      </c>
    </row>
    <row r="8" spans="1:3" x14ac:dyDescent="0.25">
      <c r="A8" t="s">
        <v>1328</v>
      </c>
    </row>
    <row r="9" spans="1:3" x14ac:dyDescent="0.25">
      <c r="A9" t="s">
        <v>1329</v>
      </c>
    </row>
    <row r="10" spans="1:3" x14ac:dyDescent="0.25">
      <c r="A10" t="s">
        <v>1330</v>
      </c>
    </row>
    <row r="11" spans="1:3" x14ac:dyDescent="0.25">
      <c r="A11" t="s">
        <v>1331</v>
      </c>
    </row>
    <row r="12" spans="1:3" x14ac:dyDescent="0.25">
      <c r="A12" t="s">
        <v>1332</v>
      </c>
    </row>
    <row r="13" spans="1:3" x14ac:dyDescent="0.25">
      <c r="A13" t="s">
        <v>1333</v>
      </c>
    </row>
    <row r="14" spans="1:3" x14ac:dyDescent="0.25">
      <c r="A14" t="s">
        <v>1334</v>
      </c>
    </row>
    <row r="15" spans="1:3" x14ac:dyDescent="0.25">
      <c r="A15" t="s">
        <v>1335</v>
      </c>
    </row>
    <row r="16" spans="1:3" x14ac:dyDescent="0.25">
      <c r="A16" t="s">
        <v>1336</v>
      </c>
    </row>
    <row r="17" spans="1:1" x14ac:dyDescent="0.25">
      <c r="A17" t="s">
        <v>1337</v>
      </c>
    </row>
    <row r="18" spans="1:1" x14ac:dyDescent="0.25">
      <c r="A18" t="s">
        <v>1338</v>
      </c>
    </row>
    <row r="19" spans="1:1" x14ac:dyDescent="0.25">
      <c r="A19" t="s">
        <v>1339</v>
      </c>
    </row>
    <row r="20" spans="1:1" x14ac:dyDescent="0.25">
      <c r="A20" t="s">
        <v>1340</v>
      </c>
    </row>
    <row r="21" spans="1:1" x14ac:dyDescent="0.25">
      <c r="A21" t="s">
        <v>1341</v>
      </c>
    </row>
    <row r="22" spans="1:1" x14ac:dyDescent="0.25">
      <c r="A22" t="s">
        <v>1342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8"/>
  <sheetViews>
    <sheetView zoomScaleNormal="100" workbookViewId="0">
      <selection activeCell="C5" sqref="C5"/>
    </sheetView>
  </sheetViews>
  <sheetFormatPr defaultRowHeight="15" x14ac:dyDescent="0.25"/>
  <cols>
    <col min="1" max="1" width="8.28515625"/>
    <col min="2" max="2" width="12.28515625"/>
    <col min="3" max="1025" width="8.28515625"/>
  </cols>
  <sheetData>
    <row r="1" spans="1:3" x14ac:dyDescent="0.25">
      <c r="A1" t="s">
        <v>1343</v>
      </c>
      <c r="B1" t="s">
        <v>1344</v>
      </c>
    </row>
    <row r="2" spans="1:3" x14ac:dyDescent="0.25">
      <c r="A2" t="s">
        <v>1345</v>
      </c>
    </row>
    <row r="3" spans="1:3" x14ac:dyDescent="0.25">
      <c r="A3" t="s">
        <v>1346</v>
      </c>
      <c r="B3" s="56">
        <f>Raw_Material!$B$8*Raw_Material!C3</f>
        <v>7.0175000000000001</v>
      </c>
      <c r="C3">
        <v>1.75</v>
      </c>
    </row>
    <row r="4" spans="1:3" x14ac:dyDescent="0.25">
      <c r="A4" t="s">
        <v>1347</v>
      </c>
      <c r="B4" s="56">
        <f>Raw_Material!$B$8*Raw_Material!C4</f>
        <v>7.8194999999999997</v>
      </c>
      <c r="C4">
        <v>1.95</v>
      </c>
    </row>
    <row r="5" spans="1:3" x14ac:dyDescent="0.25">
      <c r="A5" t="s">
        <v>1348</v>
      </c>
      <c r="B5" s="56">
        <f>Raw_Material!$B$8*Raw_Material!C5</f>
        <v>8.822000000000001</v>
      </c>
      <c r="C5">
        <v>2.2000000000000002</v>
      </c>
    </row>
    <row r="6" spans="1:3" x14ac:dyDescent="0.25">
      <c r="A6" t="s">
        <v>1349</v>
      </c>
      <c r="B6" s="56">
        <f>Raw_Material!$B$8*Raw_Material!C6</f>
        <v>9.6239999999999988</v>
      </c>
      <c r="C6">
        <v>2.4</v>
      </c>
    </row>
    <row r="8" spans="1:3" x14ac:dyDescent="0.25">
      <c r="A8" t="s">
        <v>1350</v>
      </c>
      <c r="B8">
        <v>4.01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52"/>
  <sheetViews>
    <sheetView zoomScaleNormal="100" workbookViewId="0">
      <selection activeCell="B8" sqref="B8"/>
    </sheetView>
  </sheetViews>
  <sheetFormatPr defaultRowHeight="15" x14ac:dyDescent="0.25"/>
  <cols>
    <col min="1" max="2" width="16.140625"/>
    <col min="3" max="1020" width="8.28515625"/>
    <col min="1021" max="1025" width="8.5703125"/>
  </cols>
  <sheetData>
    <row r="1" spans="1:2" x14ac:dyDescent="0.25">
      <c r="A1" s="27" t="s">
        <v>1351</v>
      </c>
      <c r="B1" s="27" t="s">
        <v>1352</v>
      </c>
    </row>
    <row r="2" spans="1:2" x14ac:dyDescent="0.25">
      <c r="A2" t="s">
        <v>120</v>
      </c>
      <c r="B2" t="s">
        <v>217</v>
      </c>
    </row>
    <row r="3" spans="1:2" x14ac:dyDescent="0.25">
      <c r="A3" t="s">
        <v>121</v>
      </c>
      <c r="B3" t="s">
        <v>223</v>
      </c>
    </row>
    <row r="4" spans="1:2" x14ac:dyDescent="0.25">
      <c r="A4" t="s">
        <v>123</v>
      </c>
      <c r="B4" t="s">
        <v>227</v>
      </c>
    </row>
    <row r="5" spans="1:2" x14ac:dyDescent="0.25">
      <c r="A5" t="s">
        <v>124</v>
      </c>
      <c r="B5" t="s">
        <v>229</v>
      </c>
    </row>
    <row r="6" spans="1:2" x14ac:dyDescent="0.25">
      <c r="A6" t="s">
        <v>125</v>
      </c>
      <c r="B6" t="s">
        <v>231</v>
      </c>
    </row>
    <row r="7" spans="1:2" x14ac:dyDescent="0.25">
      <c r="A7" t="s">
        <v>127</v>
      </c>
      <c r="B7" t="s">
        <v>237</v>
      </c>
    </row>
    <row r="8" spans="1:2" x14ac:dyDescent="0.25">
      <c r="A8" t="s">
        <v>128</v>
      </c>
      <c r="B8" t="s">
        <v>238</v>
      </c>
    </row>
    <row r="9" spans="1:2" x14ac:dyDescent="0.25">
      <c r="A9" t="s">
        <v>130</v>
      </c>
      <c r="B9" t="s">
        <v>241</v>
      </c>
    </row>
    <row r="10" spans="1:2" x14ac:dyDescent="0.25">
      <c r="A10" t="s">
        <v>131</v>
      </c>
      <c r="B10" t="s">
        <v>243</v>
      </c>
    </row>
    <row r="11" spans="1:2" x14ac:dyDescent="0.25">
      <c r="A11" t="s">
        <v>133</v>
      </c>
      <c r="B11" t="s">
        <v>246</v>
      </c>
    </row>
    <row r="12" spans="1:2" x14ac:dyDescent="0.25">
      <c r="A12" t="s">
        <v>134</v>
      </c>
      <c r="B12" t="s">
        <v>249</v>
      </c>
    </row>
    <row r="13" spans="1:2" x14ac:dyDescent="0.25">
      <c r="A13" t="s">
        <v>136</v>
      </c>
      <c r="B13" t="s">
        <v>250</v>
      </c>
    </row>
    <row r="14" spans="1:2" x14ac:dyDescent="0.25">
      <c r="A14" t="s">
        <v>137</v>
      </c>
      <c r="B14" t="s">
        <v>251</v>
      </c>
    </row>
    <row r="15" spans="1:2" x14ac:dyDescent="0.25">
      <c r="A15" t="s">
        <v>139</v>
      </c>
      <c r="B15" t="s">
        <v>252</v>
      </c>
    </row>
    <row r="16" spans="1:2" x14ac:dyDescent="0.25">
      <c r="A16" t="s">
        <v>140</v>
      </c>
      <c r="B16" t="s">
        <v>253</v>
      </c>
    </row>
    <row r="17" spans="1:2" x14ac:dyDescent="0.25">
      <c r="A17" t="s">
        <v>141</v>
      </c>
      <c r="B17" t="s">
        <v>254</v>
      </c>
    </row>
    <row r="18" spans="1:2" x14ac:dyDescent="0.25">
      <c r="A18" t="s">
        <v>142</v>
      </c>
      <c r="B18" t="s">
        <v>255</v>
      </c>
    </row>
    <row r="19" spans="1:2" x14ac:dyDescent="0.25">
      <c r="A19" t="s">
        <v>143</v>
      </c>
      <c r="B19" t="s">
        <v>257</v>
      </c>
    </row>
    <row r="20" spans="1:2" x14ac:dyDescent="0.25">
      <c r="A20" t="s">
        <v>144</v>
      </c>
      <c r="B20" t="s">
        <v>261</v>
      </c>
    </row>
    <row r="21" spans="1:2" x14ac:dyDescent="0.25">
      <c r="A21" t="s">
        <v>145</v>
      </c>
      <c r="B21" t="s">
        <v>262</v>
      </c>
    </row>
    <row r="22" spans="1:2" x14ac:dyDescent="0.25">
      <c r="A22" t="s">
        <v>146</v>
      </c>
      <c r="B22" t="s">
        <v>263</v>
      </c>
    </row>
    <row r="23" spans="1:2" x14ac:dyDescent="0.25">
      <c r="A23" t="s">
        <v>147</v>
      </c>
      <c r="B23" t="s">
        <v>264</v>
      </c>
    </row>
    <row r="24" spans="1:2" x14ac:dyDescent="0.25">
      <c r="A24" t="s">
        <v>148</v>
      </c>
      <c r="B24" t="s">
        <v>265</v>
      </c>
    </row>
    <row r="25" spans="1:2" x14ac:dyDescent="0.25">
      <c r="A25" t="s">
        <v>150</v>
      </c>
      <c r="B25" t="s">
        <v>266</v>
      </c>
    </row>
    <row r="26" spans="1:2" x14ac:dyDescent="0.25">
      <c r="A26" t="s">
        <v>152</v>
      </c>
      <c r="B26" t="s">
        <v>268</v>
      </c>
    </row>
    <row r="27" spans="1:2" x14ac:dyDescent="0.25">
      <c r="A27" t="s">
        <v>153</v>
      </c>
      <c r="B27" t="s">
        <v>271</v>
      </c>
    </row>
    <row r="28" spans="1:2" x14ac:dyDescent="0.25">
      <c r="A28" t="s">
        <v>154</v>
      </c>
      <c r="B28" t="s">
        <v>273</v>
      </c>
    </row>
    <row r="29" spans="1:2" x14ac:dyDescent="0.25">
      <c r="A29" t="s">
        <v>155</v>
      </c>
      <c r="B29" t="s">
        <v>276</v>
      </c>
    </row>
    <row r="30" spans="1:2" x14ac:dyDescent="0.25">
      <c r="A30" t="s">
        <v>156</v>
      </c>
      <c r="B30" t="s">
        <v>277</v>
      </c>
    </row>
    <row r="31" spans="1:2" x14ac:dyDescent="0.25">
      <c r="A31" t="s">
        <v>157</v>
      </c>
      <c r="B31" t="s">
        <v>278</v>
      </c>
    </row>
    <row r="32" spans="1:2" x14ac:dyDescent="0.25">
      <c r="A32" t="s">
        <v>158</v>
      </c>
      <c r="B32" t="s">
        <v>280</v>
      </c>
    </row>
    <row r="33" spans="1:2" x14ac:dyDescent="0.25">
      <c r="A33" t="s">
        <v>160</v>
      </c>
      <c r="B33" t="s">
        <v>283</v>
      </c>
    </row>
    <row r="34" spans="1:2" x14ac:dyDescent="0.25">
      <c r="A34" t="s">
        <v>161</v>
      </c>
      <c r="B34" t="s">
        <v>284</v>
      </c>
    </row>
    <row r="35" spans="1:2" x14ac:dyDescent="0.25">
      <c r="A35" t="s">
        <v>164</v>
      </c>
      <c r="B35" t="s">
        <v>286</v>
      </c>
    </row>
    <row r="36" spans="1:2" x14ac:dyDescent="0.25">
      <c r="A36" t="s">
        <v>165</v>
      </c>
      <c r="B36" t="s">
        <v>1353</v>
      </c>
    </row>
    <row r="37" spans="1:2" x14ac:dyDescent="0.25">
      <c r="A37" t="s">
        <v>166</v>
      </c>
      <c r="B37" t="s">
        <v>288</v>
      </c>
    </row>
    <row r="38" spans="1:2" x14ac:dyDescent="0.25">
      <c r="A38" t="s">
        <v>174</v>
      </c>
      <c r="B38" t="s">
        <v>299</v>
      </c>
    </row>
    <row r="39" spans="1:2" x14ac:dyDescent="0.25">
      <c r="A39" t="s">
        <v>187</v>
      </c>
      <c r="B39" t="s">
        <v>317</v>
      </c>
    </row>
    <row r="40" spans="1:2" x14ac:dyDescent="0.25">
      <c r="A40" t="s">
        <v>199</v>
      </c>
      <c r="B40" t="s">
        <v>321</v>
      </c>
    </row>
    <row r="41" spans="1:2" x14ac:dyDescent="0.25">
      <c r="A41" t="s">
        <v>200</v>
      </c>
      <c r="B41" t="s">
        <v>322</v>
      </c>
    </row>
    <row r="42" spans="1:2" x14ac:dyDescent="0.25">
      <c r="A42" t="s">
        <v>201</v>
      </c>
      <c r="B42" t="s">
        <v>324</v>
      </c>
    </row>
    <row r="43" spans="1:2" x14ac:dyDescent="0.25">
      <c r="A43" t="s">
        <v>203</v>
      </c>
      <c r="B43" t="s">
        <v>325</v>
      </c>
    </row>
    <row r="44" spans="1:2" x14ac:dyDescent="0.25">
      <c r="A44" t="s">
        <v>205</v>
      </c>
      <c r="B44" t="s">
        <v>326</v>
      </c>
    </row>
    <row r="45" spans="1:2" x14ac:dyDescent="0.25">
      <c r="A45" t="s">
        <v>207</v>
      </c>
      <c r="B45" t="s">
        <v>327</v>
      </c>
    </row>
    <row r="46" spans="1:2" x14ac:dyDescent="0.25">
      <c r="A46" t="s">
        <v>208</v>
      </c>
      <c r="B46" t="s">
        <v>328</v>
      </c>
    </row>
    <row r="47" spans="1:2" x14ac:dyDescent="0.25">
      <c r="A47" t="s">
        <v>209</v>
      </c>
      <c r="B47" t="s">
        <v>329</v>
      </c>
    </row>
    <row r="48" spans="1:2" x14ac:dyDescent="0.25">
      <c r="A48" t="s">
        <v>210</v>
      </c>
      <c r="B48" t="s">
        <v>331</v>
      </c>
    </row>
    <row r="49" spans="1:2" x14ac:dyDescent="0.25">
      <c r="A49" t="s">
        <v>211</v>
      </c>
      <c r="B49" t="s">
        <v>332</v>
      </c>
    </row>
    <row r="50" spans="1:2" x14ac:dyDescent="0.25">
      <c r="A50" t="s">
        <v>213</v>
      </c>
      <c r="B50" t="s">
        <v>333</v>
      </c>
    </row>
    <row r="51" spans="1:2" x14ac:dyDescent="0.25">
      <c r="A51" t="s">
        <v>214</v>
      </c>
      <c r="B51" t="s">
        <v>334</v>
      </c>
    </row>
    <row r="52" spans="1:2" x14ac:dyDescent="0.25">
      <c r="A52" t="s">
        <v>215</v>
      </c>
      <c r="B52" t="s">
        <v>335</v>
      </c>
    </row>
  </sheetData>
  <autoFilter ref="A1:B137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00B050"/>
  </sheetPr>
  <dimension ref="A1:AD431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80" sqref="B80"/>
    </sheetView>
  </sheetViews>
  <sheetFormatPr defaultRowHeight="15" x14ac:dyDescent="0.25"/>
  <cols>
    <col min="1" max="1" width="14.85546875" style="70"/>
    <col min="2" max="2" width="11.85546875" style="70" bestFit="1" customWidth="1"/>
    <col min="3" max="3" width="18" bestFit="1" customWidth="1"/>
    <col min="4" max="4" width="43.28515625" bestFit="1" customWidth="1"/>
    <col min="5" max="5" width="6.140625" style="70"/>
    <col min="6" max="6" width="9" style="89"/>
    <col min="7" max="7" width="8.28515625" style="89"/>
    <col min="8" max="8" width="9.7109375" style="89"/>
    <col min="9" max="9" width="8.5703125" style="89"/>
    <col min="10" max="10" width="6.5703125" style="89"/>
    <col min="11" max="11" width="7.5703125" style="90"/>
    <col min="12" max="14" width="7.5703125" style="75"/>
    <col min="15" max="15" width="7.140625" style="75"/>
    <col min="16" max="19" width="7.140625" style="91"/>
    <col min="20" max="23" width="7.140625" style="92"/>
    <col min="24" max="28" width="7.140625" style="89"/>
    <col min="29" max="29" width="7.140625" style="70"/>
    <col min="30" max="1025" width="8.5703125"/>
  </cols>
  <sheetData>
    <row r="1" spans="1:30" x14ac:dyDescent="0.25">
      <c r="A1"/>
      <c r="B1"/>
      <c r="E1"/>
      <c r="F1"/>
      <c r="G1"/>
      <c r="H1"/>
      <c r="I1"/>
      <c r="J1"/>
      <c r="K1"/>
      <c r="L1" s="93">
        <f>Yield_Originals!L2*0.75</f>
        <v>1.2000000000000002</v>
      </c>
      <c r="M1" s="93">
        <f>Yield_Originals!M2*0.75</f>
        <v>1.2375</v>
      </c>
      <c r="N1" s="93">
        <f>Yield_Originals!N2*0.75</f>
        <v>1.2750000000000001</v>
      </c>
      <c r="O1" s="93">
        <f>Yield_Originals!O2*0.75</f>
        <v>1.3125000000000002</v>
      </c>
      <c r="P1" s="94">
        <f>Yield_Originals!P2*0.75</f>
        <v>1.35</v>
      </c>
      <c r="Q1" s="94">
        <f>Yield_Originals!Q2*0.75</f>
        <v>1.3875000000000002</v>
      </c>
      <c r="R1" s="94">
        <f>Yield_Originals!R2*0.75</f>
        <v>1.4250000000000003</v>
      </c>
      <c r="S1" s="94">
        <f>Yield_Originals!S2*0.75</f>
        <v>1.4625000000000004</v>
      </c>
      <c r="T1" s="95">
        <f>Yield_Originals!T2*0.75</f>
        <v>1.5000000000000004</v>
      </c>
      <c r="U1" s="95">
        <f>Yield_Originals!U2*0.75</f>
        <v>1.5375000000000001</v>
      </c>
      <c r="V1" s="95">
        <f>Yield_Originals!V2*0.75</f>
        <v>1.5750000000000002</v>
      </c>
      <c r="W1" s="95">
        <f>Yield_Originals!W2*0.75</f>
        <v>1.6124999999999998</v>
      </c>
      <c r="X1" s="96">
        <f>Yield_Originals!X2*0.75</f>
        <v>1.65</v>
      </c>
      <c r="Y1" s="96">
        <f>Yield_Originals!Y2*0.75</f>
        <v>1.6874999999999996</v>
      </c>
      <c r="Z1" s="96">
        <f>Yield_Originals!Z2*0.75</f>
        <v>1.7249999999999996</v>
      </c>
      <c r="AA1" s="96">
        <f>Yield_Originals!AA2*0.75</f>
        <v>1.7624999999999993</v>
      </c>
      <c r="AB1" s="96">
        <f>Yield_Originals!AB2*0.75</f>
        <v>1.7999999999999994</v>
      </c>
      <c r="AC1"/>
    </row>
    <row r="2" spans="1:30" x14ac:dyDescent="0.25">
      <c r="A2" s="97" t="s">
        <v>1320</v>
      </c>
      <c r="B2" s="97" t="s">
        <v>756</v>
      </c>
      <c r="C2" s="82" t="s">
        <v>1354</v>
      </c>
      <c r="D2" s="82" t="s">
        <v>1355</v>
      </c>
      <c r="E2" s="97" t="s">
        <v>1356</v>
      </c>
      <c r="F2" s="96" t="s">
        <v>1357</v>
      </c>
      <c r="G2" s="96" t="s">
        <v>1358</v>
      </c>
      <c r="H2" s="96" t="s">
        <v>1359</v>
      </c>
      <c r="I2" s="96" t="s">
        <v>1360</v>
      </c>
      <c r="J2" s="96" t="s">
        <v>1361</v>
      </c>
      <c r="K2" s="98" t="s">
        <v>1362</v>
      </c>
      <c r="L2" s="93">
        <v>1.6</v>
      </c>
      <c r="M2" s="93">
        <f>Yield_Originals!L2+0.05</f>
        <v>1.6500000000000001</v>
      </c>
      <c r="N2" s="93">
        <f>Yield_Originals!M2+0.05</f>
        <v>1.7000000000000002</v>
      </c>
      <c r="O2" s="93">
        <f>Yield_Originals!N2+0.05</f>
        <v>1.7500000000000002</v>
      </c>
      <c r="P2" s="94">
        <f>Yield_Originals!O2+0.05</f>
        <v>1.8000000000000003</v>
      </c>
      <c r="Q2" s="94">
        <f>Yield_Originals!P2+0.05</f>
        <v>1.8500000000000003</v>
      </c>
      <c r="R2" s="94">
        <f>Yield_Originals!Q2+0.05</f>
        <v>1.9000000000000004</v>
      </c>
      <c r="S2" s="94">
        <f>Yield_Originals!R2+0.05</f>
        <v>1.9500000000000004</v>
      </c>
      <c r="T2" s="95">
        <f>Yield_Originals!S2+0.05</f>
        <v>2.0000000000000004</v>
      </c>
      <c r="U2" s="95">
        <f>Yield_Originals!T2+0.05</f>
        <v>2.0500000000000003</v>
      </c>
      <c r="V2" s="95">
        <f>Yield_Originals!U2+0.05</f>
        <v>2.1</v>
      </c>
      <c r="W2" s="95">
        <f>Yield_Originals!V2+0.05</f>
        <v>2.15</v>
      </c>
      <c r="X2" s="96">
        <f>Yield_Originals!W2+0.05</f>
        <v>2.1999999999999997</v>
      </c>
      <c r="Y2" s="96">
        <f>Yield_Originals!X2+0.05</f>
        <v>2.2499999999999996</v>
      </c>
      <c r="Z2" s="96">
        <f>Yield_Originals!Y2+0.05</f>
        <v>2.2999999999999994</v>
      </c>
      <c r="AA2" s="96">
        <f>Yield_Originals!Z2+0.05</f>
        <v>2.3499999999999992</v>
      </c>
      <c r="AB2" s="96">
        <f>Yield_Originals!AA2+0.05</f>
        <v>2.399999999999999</v>
      </c>
      <c r="AC2" s="97"/>
      <c r="AD2" s="53"/>
    </row>
    <row r="3" spans="1:30" x14ac:dyDescent="0.25">
      <c r="A3" s="70" t="s">
        <v>776</v>
      </c>
      <c r="B3" s="70">
        <v>2</v>
      </c>
      <c r="C3" s="99" t="s">
        <v>765</v>
      </c>
      <c r="D3" s="99" t="s">
        <v>775</v>
      </c>
      <c r="E3" s="100">
        <v>11</v>
      </c>
      <c r="F3" s="101">
        <v>0.25629900044451998</v>
      </c>
      <c r="G3" s="101">
        <v>0.25629900044451998</v>
      </c>
      <c r="H3" s="102">
        <f>+(Yield_Originals!I3+Yield_Originals!G3)/2</f>
        <v>0.27126595610804449</v>
      </c>
      <c r="I3" s="101">
        <v>0.28623291177156901</v>
      </c>
      <c r="J3" s="101">
        <v>0.28623291177156901</v>
      </c>
      <c r="K3" s="103">
        <v>1</v>
      </c>
      <c r="L3" s="104">
        <f>(Yield_Originals!$G3*Yield_Originals!L$1)/Yield_Originals!$K3</f>
        <v>0.30755880053342399</v>
      </c>
      <c r="M3" s="104">
        <f>(Yield_Originals!$G3*Yield_Originals!M$1)/Yield_Originals!$K3</f>
        <v>0.31717001305009346</v>
      </c>
      <c r="N3" s="104">
        <f>(Yield_Originals!$G3*Yield_Originals!N$1)/Yield_Originals!$K3</f>
        <v>0.32678122556676298</v>
      </c>
      <c r="O3" s="104"/>
      <c r="P3" s="105"/>
      <c r="Q3" s="105"/>
      <c r="R3" s="105"/>
      <c r="S3" s="105"/>
      <c r="T3"/>
      <c r="U3"/>
      <c r="V3"/>
      <c r="W3"/>
      <c r="X3"/>
      <c r="Y3"/>
      <c r="Z3"/>
      <c r="AA3"/>
      <c r="AB3"/>
      <c r="AC3" s="106"/>
    </row>
    <row r="4" spans="1:30" x14ac:dyDescent="0.25">
      <c r="A4" s="70" t="s">
        <v>776</v>
      </c>
      <c r="B4" s="70">
        <v>2</v>
      </c>
      <c r="C4" s="99" t="s">
        <v>765</v>
      </c>
      <c r="D4" s="99" t="s">
        <v>775</v>
      </c>
      <c r="E4" s="100">
        <v>18</v>
      </c>
      <c r="F4" s="101">
        <v>0.25629900044451998</v>
      </c>
      <c r="G4" s="101">
        <v>0.25629900044451998</v>
      </c>
      <c r="H4" s="102">
        <f>+(Yield_Originals!I4+Yield_Originals!G4)/2</f>
        <v>0.27126595610804449</v>
      </c>
      <c r="I4" s="101">
        <v>0.28623291177156901</v>
      </c>
      <c r="J4" s="101">
        <v>0.28623291177156901</v>
      </c>
      <c r="K4" s="103">
        <v>1</v>
      </c>
      <c r="L4" s="104">
        <f>(Yield_Originals!$G4*Yield_Originals!L$1)/Yield_Originals!$K4</f>
        <v>0.30755880053342399</v>
      </c>
      <c r="M4" s="104">
        <f>(Yield_Originals!$G4*Yield_Originals!M$1)/Yield_Originals!$K4</f>
        <v>0.31717001305009346</v>
      </c>
      <c r="N4" s="104">
        <f>(Yield_Originals!$G4*Yield_Originals!N$1)/Yield_Originals!$K4</f>
        <v>0.32678122556676298</v>
      </c>
      <c r="O4" s="104"/>
      <c r="P4" s="105"/>
      <c r="Q4" s="105"/>
      <c r="R4" s="105"/>
      <c r="S4" s="105"/>
      <c r="T4"/>
      <c r="U4"/>
      <c r="V4"/>
      <c r="W4"/>
      <c r="X4"/>
      <c r="Y4"/>
      <c r="Z4"/>
      <c r="AA4"/>
      <c r="AB4"/>
      <c r="AC4" s="106"/>
    </row>
    <row r="5" spans="1:30" x14ac:dyDescent="0.25">
      <c r="A5" s="70" t="s">
        <v>767</v>
      </c>
      <c r="B5" s="70">
        <v>2</v>
      </c>
      <c r="C5" s="99" t="s">
        <v>120</v>
      </c>
      <c r="D5" s="99" t="s">
        <v>1363</v>
      </c>
      <c r="E5" s="100">
        <v>9</v>
      </c>
      <c r="F5" s="102">
        <v>0.26400256871097999</v>
      </c>
      <c r="G5" s="102">
        <v>0.26400256871097999</v>
      </c>
      <c r="H5" s="102">
        <f>+(Yield_Originals!I5+Yield_Originals!G5)/2</f>
        <v>0.27481461426681197</v>
      </c>
      <c r="I5" s="102">
        <v>0.28562665982264401</v>
      </c>
      <c r="J5" s="102">
        <v>0.26674367384992997</v>
      </c>
      <c r="K5" s="103">
        <v>1</v>
      </c>
      <c r="L5" s="104">
        <f>(Yield_Originals!$G5*Yield_Originals!L$1)/Yield_Originals!$K5</f>
        <v>0.31680308245317601</v>
      </c>
      <c r="M5" s="104">
        <f>(Yield_Originals!$G5*Yield_Originals!M$1)/Yield_Originals!$K5</f>
        <v>0.32670317877983773</v>
      </c>
      <c r="N5" s="104">
        <f>(Yield_Originals!$G5*Yield_Originals!N$1)/Yield_Originals!$K5</f>
        <v>0.33660327510649951</v>
      </c>
      <c r="O5" s="104">
        <f>(Yield_Originals!$G5*Yield_Originals!O$1)/Yield_Originals!$K5</f>
        <v>0.34650337143316129</v>
      </c>
      <c r="P5" s="105">
        <f>(Yield_Originals!$H5*Yield_Originals!P$1)/Yield_Originals!$K5</f>
        <v>0.3709997292601962</v>
      </c>
      <c r="Q5" s="105">
        <f>(Yield_Originals!$H5*Yield_Originals!Q$1)/Yield_Originals!$K5</f>
        <v>0.38130527729520164</v>
      </c>
      <c r="R5" s="105">
        <f>(Yield_Originals!$H5*Yield_Originals!R$1)/Yield_Originals!$K5</f>
        <v>0.39161082533020714</v>
      </c>
      <c r="S5" s="105">
        <f>(Yield_Originals!$H5*Yield_Originals!S$1)/Yield_Originals!$K5</f>
        <v>0.40191637336521263</v>
      </c>
      <c r="T5" s="107">
        <f>(Yield_Originals!$I5*Yield_Originals!T$1)/Yield_Originals!$K5</f>
        <v>0.42843998973396613</v>
      </c>
      <c r="U5" s="107">
        <f>(Yield_Originals!$I5*Yield_Originals!U$1)/Yield_Originals!$K5</f>
        <v>0.43915098947731518</v>
      </c>
      <c r="V5" s="107">
        <f>(Yield_Originals!$I5*Yield_Originals!V$1)/Yield_Originals!$K5</f>
        <v>0.44986198922066439</v>
      </c>
      <c r="W5" s="107">
        <f>(Yield_Originals!$I5*Yield_Originals!W$1)/Yield_Originals!$K5</f>
        <v>0.46057298896401344</v>
      </c>
      <c r="X5" s="108">
        <f>(Yield_Originals!$J5*Yield_Originals!X$1)/Yield_Originals!$K5</f>
        <v>0.44012706185238443</v>
      </c>
      <c r="Y5" s="108">
        <f>(Yield_Originals!$J5*Yield_Originals!Y$1)/Yield_Originals!$K5</f>
        <v>0.45012994962175673</v>
      </c>
      <c r="Z5" s="108">
        <f>(Yield_Originals!$J5*Yield_Originals!Z$1)/Yield_Originals!$K5</f>
        <v>0.46013283739112909</v>
      </c>
      <c r="AA5" s="108">
        <f>(Yield_Originals!$J5*Yield_Originals!AA$1)/Yield_Originals!$K5</f>
        <v>0.47013572516050139</v>
      </c>
      <c r="AB5" s="108">
        <f>(Yield_Originals!$J5*Yield_Originals!AB$1)/Yield_Originals!$K5</f>
        <v>0.48013861292987381</v>
      </c>
      <c r="AC5" s="84"/>
    </row>
    <row r="6" spans="1:30" x14ac:dyDescent="0.25">
      <c r="A6" s="70" t="s">
        <v>767</v>
      </c>
      <c r="B6" s="70">
        <v>2</v>
      </c>
      <c r="C6" s="99" t="s">
        <v>120</v>
      </c>
      <c r="D6" s="99" t="s">
        <v>1363</v>
      </c>
      <c r="E6" s="100">
        <v>16</v>
      </c>
      <c r="F6" s="102">
        <v>0.26400256871097999</v>
      </c>
      <c r="G6" s="102">
        <v>0.26400256871097999</v>
      </c>
      <c r="H6" s="102">
        <f>+(Yield_Originals!I6+Yield_Originals!G6)/2</f>
        <v>0.27481461426681197</v>
      </c>
      <c r="I6" s="102">
        <v>0.28562665982264401</v>
      </c>
      <c r="J6" s="102">
        <v>0.26674367384992997</v>
      </c>
      <c r="K6" s="103">
        <v>1</v>
      </c>
      <c r="L6" s="104">
        <f>(Yield_Originals!$G6*Yield_Originals!L$1)/Yield_Originals!$K6</f>
        <v>0.31680308245317601</v>
      </c>
      <c r="M6" s="104">
        <f>(Yield_Originals!$G6*Yield_Originals!M$1)/Yield_Originals!$K6</f>
        <v>0.32670317877983773</v>
      </c>
      <c r="N6" s="104">
        <f>(Yield_Originals!$G6*Yield_Originals!N$1)/Yield_Originals!$K6</f>
        <v>0.33660327510649951</v>
      </c>
      <c r="O6" s="104">
        <f>(Yield_Originals!$G6*Yield_Originals!O$1)/Yield_Originals!$K6</f>
        <v>0.34650337143316129</v>
      </c>
      <c r="P6" s="105">
        <f>(Yield_Originals!$H6*Yield_Originals!P$1)/Yield_Originals!$K6</f>
        <v>0.3709997292601962</v>
      </c>
      <c r="Q6" s="105">
        <f>(Yield_Originals!$H6*Yield_Originals!Q$1)/Yield_Originals!$K6</f>
        <v>0.38130527729520164</v>
      </c>
      <c r="R6" s="105">
        <f>(Yield_Originals!$H6*Yield_Originals!R$1)/Yield_Originals!$K6</f>
        <v>0.39161082533020714</v>
      </c>
      <c r="S6" s="105">
        <f>(Yield_Originals!$H6*Yield_Originals!S$1)/Yield_Originals!$K6</f>
        <v>0.40191637336521263</v>
      </c>
      <c r="T6" s="107">
        <f>(Yield_Originals!$I6*Yield_Originals!T$1)/Yield_Originals!$K6</f>
        <v>0.42843998973396613</v>
      </c>
      <c r="U6" s="107">
        <f>(Yield_Originals!$I6*Yield_Originals!U$1)/Yield_Originals!$K6</f>
        <v>0.43915098947731518</v>
      </c>
      <c r="V6" s="107">
        <f>(Yield_Originals!$I6*Yield_Originals!V$1)/Yield_Originals!$K6</f>
        <v>0.44986198922066439</v>
      </c>
      <c r="W6" s="107">
        <f>(Yield_Originals!$I6*Yield_Originals!W$1)/Yield_Originals!$K6</f>
        <v>0.46057298896401344</v>
      </c>
      <c r="X6" s="108">
        <f>(Yield_Originals!$J6*Yield_Originals!X$1)/Yield_Originals!$K6</f>
        <v>0.44012706185238443</v>
      </c>
      <c r="Y6" s="108">
        <f>(Yield_Originals!$J6*Yield_Originals!Y$1)/Yield_Originals!$K6</f>
        <v>0.45012994962175673</v>
      </c>
      <c r="Z6" s="108">
        <f>(Yield_Originals!$J6*Yield_Originals!Z$1)/Yield_Originals!$K6</f>
        <v>0.46013283739112909</v>
      </c>
      <c r="AA6" s="108">
        <f>(Yield_Originals!$J6*Yield_Originals!AA$1)/Yield_Originals!$K6</f>
        <v>0.47013572516050139</v>
      </c>
      <c r="AB6" s="108">
        <f>(Yield_Originals!$J6*Yield_Originals!AB$1)/Yield_Originals!$K6</f>
        <v>0.48013861292987381</v>
      </c>
      <c r="AC6"/>
    </row>
    <row r="7" spans="1:30" x14ac:dyDescent="0.25">
      <c r="A7" s="70" t="s">
        <v>781</v>
      </c>
      <c r="B7" s="70">
        <v>2</v>
      </c>
      <c r="C7" s="39" t="s">
        <v>120</v>
      </c>
      <c r="D7" s="39" t="s">
        <v>1363</v>
      </c>
      <c r="E7" s="100">
        <v>10</v>
      </c>
      <c r="F7" s="102">
        <v>0.22742850037206999</v>
      </c>
      <c r="G7" s="102">
        <v>0.22742850037206999</v>
      </c>
      <c r="H7" s="102">
        <v>0.24190829770173999</v>
      </c>
      <c r="I7" s="102">
        <v>0.25638809503141102</v>
      </c>
      <c r="J7" s="102">
        <v>0.23020812247051201</v>
      </c>
      <c r="K7" s="103">
        <v>1</v>
      </c>
      <c r="L7" s="104">
        <f>(Yield_Originals!$G7*Yield_Originals!L$1)/Yield_Originals!$K7</f>
        <v>0.27291420044648401</v>
      </c>
      <c r="M7" s="104">
        <f>(Yield_Originals!$G7*Yield_Originals!M$1)/Yield_Originals!$K7</f>
        <v>0.28144276921043665</v>
      </c>
      <c r="N7" s="104">
        <f>(Yield_Originals!$G7*Yield_Originals!N$1)/Yield_Originals!$K7</f>
        <v>0.28997133797438929</v>
      </c>
      <c r="O7" s="104">
        <f>(Yield_Originals!$G7*Yield_Originals!O$1)/Yield_Originals!$K7</f>
        <v>0.29849990673834192</v>
      </c>
      <c r="P7" s="105">
        <f>(Yield_Originals!$H7*Yield_Originals!P$1)/Yield_Originals!$K7</f>
        <v>0.32657620189734904</v>
      </c>
      <c r="Q7" s="105">
        <f>(Yield_Originals!$H7*Yield_Originals!Q$1)/Yield_Originals!$K7</f>
        <v>0.33564776306116428</v>
      </c>
      <c r="R7" s="105">
        <f>(Yield_Originals!$H7*Yield_Originals!R$1)/Yield_Originals!$K7</f>
        <v>0.34471932422497953</v>
      </c>
      <c r="S7" s="105">
        <f>(Yield_Originals!$H7*Yield_Originals!S$1)/Yield_Originals!$K7</f>
        <v>0.35379088538879483</v>
      </c>
      <c r="T7" s="107">
        <f>(Yield_Originals!$I7*Yield_Originals!T$1)/Yield_Originals!$K7</f>
        <v>0.38458214254711665</v>
      </c>
      <c r="U7" s="107">
        <f>(Yield_Originals!$I7*Yield_Originals!U$1)/Yield_Originals!$K7</f>
        <v>0.3941966961107945</v>
      </c>
      <c r="V7" s="107">
        <f>(Yield_Originals!$I7*Yield_Originals!V$1)/Yield_Originals!$K7</f>
        <v>0.40381124967447241</v>
      </c>
      <c r="W7" s="107">
        <f>(Yield_Originals!$I7*Yield_Originals!W$1)/Yield_Originals!$K7</f>
        <v>0.4134258032381502</v>
      </c>
      <c r="X7" s="108">
        <f>(Yield_Originals!$J7*Yield_Originals!X$1)/Yield_Originals!$K7</f>
        <v>0.37984340207634482</v>
      </c>
      <c r="Y7" s="108">
        <f>(Yield_Originals!$J7*Yield_Originals!Y$1)/Yield_Originals!$K7</f>
        <v>0.38847620666898891</v>
      </c>
      <c r="Z7" s="108">
        <f>(Yield_Originals!$J7*Yield_Originals!Z$1)/Yield_Originals!$K7</f>
        <v>0.39710901126163312</v>
      </c>
      <c r="AA7" s="108">
        <f>(Yield_Originals!$J7*Yield_Originals!AA$1)/Yield_Originals!$K7</f>
        <v>0.40574181585427727</v>
      </c>
      <c r="AB7" s="108">
        <f>(Yield_Originals!$J7*Yield_Originals!AB$1)/Yield_Originals!$K7</f>
        <v>0.41437462044692147</v>
      </c>
      <c r="AC7"/>
    </row>
    <row r="8" spans="1:30" x14ac:dyDescent="0.25">
      <c r="A8" s="70" t="s">
        <v>781</v>
      </c>
      <c r="B8" s="70">
        <v>2</v>
      </c>
      <c r="C8" s="39" t="s">
        <v>120</v>
      </c>
      <c r="D8" s="39" t="s">
        <v>1363</v>
      </c>
      <c r="E8" s="100">
        <v>17</v>
      </c>
      <c r="F8" s="102">
        <v>0.22742850037206999</v>
      </c>
      <c r="G8" s="102">
        <v>0.22742850037206999</v>
      </c>
      <c r="H8" s="102">
        <v>0.24190829770173999</v>
      </c>
      <c r="I8" s="102">
        <v>0.25638809503141102</v>
      </c>
      <c r="J8" s="102">
        <v>0.23020812247051201</v>
      </c>
      <c r="K8" s="103">
        <v>1</v>
      </c>
      <c r="L8" s="104">
        <f>(Yield_Originals!$G8*Yield_Originals!L$1)/Yield_Originals!$K8</f>
        <v>0.27291420044648401</v>
      </c>
      <c r="M8" s="104">
        <f>(Yield_Originals!$G8*Yield_Originals!M$1)/Yield_Originals!$K8</f>
        <v>0.28144276921043665</v>
      </c>
      <c r="N8" s="104">
        <f>(Yield_Originals!$G8*Yield_Originals!N$1)/Yield_Originals!$K8</f>
        <v>0.28997133797438929</v>
      </c>
      <c r="O8" s="104">
        <f>(Yield_Originals!$G8*Yield_Originals!O$1)/Yield_Originals!$K8</f>
        <v>0.29849990673834192</v>
      </c>
      <c r="P8" s="105">
        <f>(Yield_Originals!$H8*Yield_Originals!P$1)/Yield_Originals!$K8</f>
        <v>0.32657620189734904</v>
      </c>
      <c r="Q8" s="105">
        <f>(Yield_Originals!$H8*Yield_Originals!Q$1)/Yield_Originals!$K8</f>
        <v>0.33564776306116428</v>
      </c>
      <c r="R8" s="105">
        <f>(Yield_Originals!$H8*Yield_Originals!R$1)/Yield_Originals!$K8</f>
        <v>0.34471932422497953</v>
      </c>
      <c r="S8" s="105">
        <f>(Yield_Originals!$H8*Yield_Originals!S$1)/Yield_Originals!$K8</f>
        <v>0.35379088538879483</v>
      </c>
      <c r="T8" s="107">
        <f>(Yield_Originals!$I8*Yield_Originals!T$1)/Yield_Originals!$K8</f>
        <v>0.38458214254711665</v>
      </c>
      <c r="U8" s="107">
        <f>(Yield_Originals!$I8*Yield_Originals!U$1)/Yield_Originals!$K8</f>
        <v>0.3941966961107945</v>
      </c>
      <c r="V8" s="107">
        <f>(Yield_Originals!$I8*Yield_Originals!V$1)/Yield_Originals!$K8</f>
        <v>0.40381124967447241</v>
      </c>
      <c r="W8" s="107">
        <f>(Yield_Originals!$I8*Yield_Originals!W$1)/Yield_Originals!$K8</f>
        <v>0.4134258032381502</v>
      </c>
      <c r="X8" s="108">
        <f>(Yield_Originals!$J8*Yield_Originals!X$1)/Yield_Originals!$K8</f>
        <v>0.37984340207634482</v>
      </c>
      <c r="Y8" s="108">
        <f>(Yield_Originals!$J8*Yield_Originals!Y$1)/Yield_Originals!$K8</f>
        <v>0.38847620666898891</v>
      </c>
      <c r="Z8" s="108">
        <f>(Yield_Originals!$J8*Yield_Originals!Z$1)/Yield_Originals!$K8</f>
        <v>0.39710901126163312</v>
      </c>
      <c r="AA8" s="108">
        <f>(Yield_Originals!$J8*Yield_Originals!AA$1)/Yield_Originals!$K8</f>
        <v>0.40574181585427727</v>
      </c>
      <c r="AB8" s="108">
        <f>(Yield_Originals!$J8*Yield_Originals!AB$1)/Yield_Originals!$K8</f>
        <v>0.41437462044692147</v>
      </c>
      <c r="AC8"/>
    </row>
    <row r="9" spans="1:30" x14ac:dyDescent="0.25">
      <c r="A9" s="70" t="s">
        <v>767</v>
      </c>
      <c r="B9" s="70">
        <v>2</v>
      </c>
      <c r="C9" s="99" t="s">
        <v>217</v>
      </c>
      <c r="D9" s="99" t="s">
        <v>1363</v>
      </c>
      <c r="E9" s="100">
        <v>9</v>
      </c>
      <c r="F9" s="102">
        <v>0.26400256871097999</v>
      </c>
      <c r="G9" s="102">
        <v>0.26400256871097999</v>
      </c>
      <c r="H9" s="102">
        <f>+(Yield_Originals!I9+Yield_Originals!G9)/2</f>
        <v>0.27481461426681197</v>
      </c>
      <c r="I9" s="102">
        <v>0.28562665982264401</v>
      </c>
      <c r="J9" s="102">
        <v>0.26674367384992997</v>
      </c>
      <c r="K9" s="103">
        <v>1</v>
      </c>
      <c r="L9" s="104">
        <f>(Yield_Originals!$G9*Yield_Originals!L$1)/Yield_Originals!$K9</f>
        <v>0.31680308245317601</v>
      </c>
      <c r="M9" s="104">
        <f>(Yield_Originals!$G9*Yield_Originals!M$1)/Yield_Originals!$K9</f>
        <v>0.32670317877983773</v>
      </c>
      <c r="N9" s="104">
        <f>(Yield_Originals!$G9*Yield_Originals!N$1)/Yield_Originals!$K9</f>
        <v>0.33660327510649951</v>
      </c>
      <c r="O9" s="104">
        <f>(Yield_Originals!$G9*Yield_Originals!O$1)/Yield_Originals!$K9</f>
        <v>0.34650337143316129</v>
      </c>
      <c r="P9" s="105">
        <f>(Yield_Originals!$H9*Yield_Originals!P$1)/Yield_Originals!$K9</f>
        <v>0.3709997292601962</v>
      </c>
      <c r="Q9" s="105">
        <f>(Yield_Originals!$H9*Yield_Originals!Q$1)/Yield_Originals!$K9</f>
        <v>0.38130527729520164</v>
      </c>
      <c r="R9" s="105">
        <f>(Yield_Originals!$H9*Yield_Originals!R$1)/Yield_Originals!$K9</f>
        <v>0.39161082533020714</v>
      </c>
      <c r="S9" s="105">
        <f>(Yield_Originals!$H9*Yield_Originals!S$1)/Yield_Originals!$K9</f>
        <v>0.40191637336521263</v>
      </c>
      <c r="T9" s="107">
        <f>(Yield_Originals!$I9*Yield_Originals!T$1)/Yield_Originals!$K9</f>
        <v>0.42843998973396613</v>
      </c>
      <c r="U9" s="107">
        <f>(Yield_Originals!$I9*Yield_Originals!U$1)/Yield_Originals!$K9</f>
        <v>0.43915098947731518</v>
      </c>
      <c r="V9" s="107">
        <f>(Yield_Originals!$I9*Yield_Originals!V$1)/Yield_Originals!$K9</f>
        <v>0.44986198922066439</v>
      </c>
      <c r="W9" s="107">
        <f>(Yield_Originals!$I9*Yield_Originals!W$1)/Yield_Originals!$K9</f>
        <v>0.46057298896401344</v>
      </c>
      <c r="X9" s="108">
        <f>(Yield_Originals!$J9*Yield_Originals!X$1)/Yield_Originals!$K9</f>
        <v>0.44012706185238443</v>
      </c>
      <c r="Y9" s="108">
        <f>(Yield_Originals!$J9*Yield_Originals!Y$1)/Yield_Originals!$K9</f>
        <v>0.45012994962175673</v>
      </c>
      <c r="Z9" s="108">
        <f>(Yield_Originals!$J9*Yield_Originals!Z$1)/Yield_Originals!$K9</f>
        <v>0.46013283739112909</v>
      </c>
      <c r="AA9" s="108">
        <f>(Yield_Originals!$J9*Yield_Originals!AA$1)/Yield_Originals!$K9</f>
        <v>0.47013572516050139</v>
      </c>
      <c r="AB9" s="108">
        <f>(Yield_Originals!$J9*Yield_Originals!AB$1)/Yield_Originals!$K9</f>
        <v>0.48013861292987381</v>
      </c>
      <c r="AC9"/>
    </row>
    <row r="10" spans="1:30" x14ac:dyDescent="0.25">
      <c r="A10" s="70" t="s">
        <v>767</v>
      </c>
      <c r="B10" s="70">
        <v>2</v>
      </c>
      <c r="C10" s="99" t="s">
        <v>217</v>
      </c>
      <c r="D10" s="99" t="s">
        <v>1363</v>
      </c>
      <c r="E10" s="100">
        <v>16</v>
      </c>
      <c r="F10" s="102">
        <v>0.26400256871097999</v>
      </c>
      <c r="G10" s="102">
        <v>0.26400256871097999</v>
      </c>
      <c r="H10" s="102">
        <f>+(Yield_Originals!I10+Yield_Originals!G10)/2</f>
        <v>0.27481461426681197</v>
      </c>
      <c r="I10" s="102">
        <v>0.28562665982264401</v>
      </c>
      <c r="J10" s="102">
        <v>0.26674367384992997</v>
      </c>
      <c r="K10" s="103">
        <v>1</v>
      </c>
      <c r="L10" s="104">
        <f>(Yield_Originals!$G10*Yield_Originals!L$1)/Yield_Originals!$K10</f>
        <v>0.31680308245317601</v>
      </c>
      <c r="M10" s="104">
        <f>(Yield_Originals!$G10*Yield_Originals!M$1)/Yield_Originals!$K10</f>
        <v>0.32670317877983773</v>
      </c>
      <c r="N10" s="104">
        <f>(Yield_Originals!$G10*Yield_Originals!N$1)/Yield_Originals!$K10</f>
        <v>0.33660327510649951</v>
      </c>
      <c r="O10" s="104">
        <f>(Yield_Originals!$G10*Yield_Originals!O$1)/Yield_Originals!$K10</f>
        <v>0.34650337143316129</v>
      </c>
      <c r="P10" s="105">
        <f>(Yield_Originals!$H10*Yield_Originals!P$1)/Yield_Originals!$K10</f>
        <v>0.3709997292601962</v>
      </c>
      <c r="Q10" s="105">
        <f>(Yield_Originals!$H10*Yield_Originals!Q$1)/Yield_Originals!$K10</f>
        <v>0.38130527729520164</v>
      </c>
      <c r="R10" s="105">
        <f>(Yield_Originals!$H10*Yield_Originals!R$1)/Yield_Originals!$K10</f>
        <v>0.39161082533020714</v>
      </c>
      <c r="S10" s="105">
        <f>(Yield_Originals!$H10*Yield_Originals!S$1)/Yield_Originals!$K10</f>
        <v>0.40191637336521263</v>
      </c>
      <c r="T10" s="107">
        <f>(Yield_Originals!$I10*Yield_Originals!T$1)/Yield_Originals!$K10</f>
        <v>0.42843998973396613</v>
      </c>
      <c r="U10" s="107">
        <f>(Yield_Originals!$I10*Yield_Originals!U$1)/Yield_Originals!$K10</f>
        <v>0.43915098947731518</v>
      </c>
      <c r="V10" s="107">
        <f>(Yield_Originals!$I10*Yield_Originals!V$1)/Yield_Originals!$K10</f>
        <v>0.44986198922066439</v>
      </c>
      <c r="W10" s="107">
        <f>(Yield_Originals!$I10*Yield_Originals!W$1)/Yield_Originals!$K10</f>
        <v>0.46057298896401344</v>
      </c>
      <c r="X10" s="108">
        <f>(Yield_Originals!$J10*Yield_Originals!X$1)/Yield_Originals!$K10</f>
        <v>0.44012706185238443</v>
      </c>
      <c r="Y10" s="108">
        <f>(Yield_Originals!$J10*Yield_Originals!Y$1)/Yield_Originals!$K10</f>
        <v>0.45012994962175673</v>
      </c>
      <c r="Z10" s="108">
        <f>(Yield_Originals!$J10*Yield_Originals!Z$1)/Yield_Originals!$K10</f>
        <v>0.46013283739112909</v>
      </c>
      <c r="AA10" s="108">
        <f>(Yield_Originals!$J10*Yield_Originals!AA$1)/Yield_Originals!$K10</f>
        <v>0.47013572516050139</v>
      </c>
      <c r="AB10" s="108">
        <f>(Yield_Originals!$J10*Yield_Originals!AB$1)/Yield_Originals!$K10</f>
        <v>0.48013861292987381</v>
      </c>
      <c r="AC10"/>
    </row>
    <row r="11" spans="1:30" x14ac:dyDescent="0.25">
      <c r="A11" s="70" t="s">
        <v>781</v>
      </c>
      <c r="B11" s="70">
        <v>2</v>
      </c>
      <c r="C11" s="39" t="s">
        <v>217</v>
      </c>
      <c r="D11" s="39" t="s">
        <v>1363</v>
      </c>
      <c r="E11" s="100">
        <v>10</v>
      </c>
      <c r="F11" s="102">
        <v>0.22742850037206999</v>
      </c>
      <c r="G11" s="102">
        <v>0.22742850037206999</v>
      </c>
      <c r="H11" s="102">
        <v>0.24190829770173999</v>
      </c>
      <c r="I11" s="102">
        <v>0.25638809503141102</v>
      </c>
      <c r="J11" s="102">
        <v>0.23020812247051201</v>
      </c>
      <c r="K11" s="103">
        <v>1</v>
      </c>
      <c r="L11" s="104">
        <f>(Yield_Originals!$G11*Yield_Originals!L$1)/Yield_Originals!$K11</f>
        <v>0.27291420044648401</v>
      </c>
      <c r="M11" s="104">
        <f>(Yield_Originals!$G11*Yield_Originals!M$1)/Yield_Originals!$K11</f>
        <v>0.28144276921043665</v>
      </c>
      <c r="N11" s="104">
        <f>(Yield_Originals!$G11*Yield_Originals!N$1)/Yield_Originals!$K11</f>
        <v>0.28997133797438929</v>
      </c>
      <c r="O11" s="104">
        <f>(Yield_Originals!$G11*Yield_Originals!O$1)/Yield_Originals!$K11</f>
        <v>0.29849990673834192</v>
      </c>
      <c r="P11" s="105">
        <f>(Yield_Originals!$H11*Yield_Originals!P$1)/Yield_Originals!$K11</f>
        <v>0.32657620189734904</v>
      </c>
      <c r="Q11" s="105">
        <f>(Yield_Originals!$H11*Yield_Originals!Q$1)/Yield_Originals!$K11</f>
        <v>0.33564776306116428</v>
      </c>
      <c r="R11" s="105">
        <f>(Yield_Originals!$H11*Yield_Originals!R$1)/Yield_Originals!$K11</f>
        <v>0.34471932422497953</v>
      </c>
      <c r="S11" s="105">
        <f>(Yield_Originals!$H11*Yield_Originals!S$1)/Yield_Originals!$K11</f>
        <v>0.35379088538879483</v>
      </c>
      <c r="T11" s="107">
        <f>(Yield_Originals!$I11*Yield_Originals!T$1)/Yield_Originals!$K11</f>
        <v>0.38458214254711665</v>
      </c>
      <c r="U11" s="107">
        <f>(Yield_Originals!$I11*Yield_Originals!U$1)/Yield_Originals!$K11</f>
        <v>0.3941966961107945</v>
      </c>
      <c r="V11" s="107">
        <f>(Yield_Originals!$I11*Yield_Originals!V$1)/Yield_Originals!$K11</f>
        <v>0.40381124967447241</v>
      </c>
      <c r="W11" s="107">
        <f>(Yield_Originals!$I11*Yield_Originals!W$1)/Yield_Originals!$K11</f>
        <v>0.4134258032381502</v>
      </c>
      <c r="X11" s="108">
        <f>(Yield_Originals!$J11*Yield_Originals!X$1)/Yield_Originals!$K11</f>
        <v>0.37984340207634482</v>
      </c>
      <c r="Y11" s="108">
        <f>(Yield_Originals!$J11*Yield_Originals!Y$1)/Yield_Originals!$K11</f>
        <v>0.38847620666898891</v>
      </c>
      <c r="Z11" s="108">
        <f>(Yield_Originals!$J11*Yield_Originals!Z$1)/Yield_Originals!$K11</f>
        <v>0.39710901126163312</v>
      </c>
      <c r="AA11" s="108">
        <f>(Yield_Originals!$J11*Yield_Originals!AA$1)/Yield_Originals!$K11</f>
        <v>0.40574181585427727</v>
      </c>
      <c r="AB11" s="108">
        <f>(Yield_Originals!$J11*Yield_Originals!AB$1)/Yield_Originals!$K11</f>
        <v>0.41437462044692147</v>
      </c>
      <c r="AC11"/>
    </row>
    <row r="12" spans="1:30" x14ac:dyDescent="0.25">
      <c r="A12" s="70" t="s">
        <v>781</v>
      </c>
      <c r="B12" s="70">
        <v>2</v>
      </c>
      <c r="C12" s="39" t="s">
        <v>217</v>
      </c>
      <c r="D12" s="39" t="s">
        <v>1363</v>
      </c>
      <c r="E12" s="100">
        <v>17</v>
      </c>
      <c r="F12" s="102">
        <v>0.22742850037206999</v>
      </c>
      <c r="G12" s="102">
        <v>0.22742850037206999</v>
      </c>
      <c r="H12" s="102">
        <v>0.24190829770173999</v>
      </c>
      <c r="I12" s="102">
        <v>0.25638809503141102</v>
      </c>
      <c r="J12" s="102">
        <v>0.23020812247051201</v>
      </c>
      <c r="K12" s="103">
        <v>1</v>
      </c>
      <c r="L12" s="104">
        <f>(Yield_Originals!$G12*Yield_Originals!L$1)/Yield_Originals!$K12</f>
        <v>0.27291420044648401</v>
      </c>
      <c r="M12" s="104">
        <f>(Yield_Originals!$G12*Yield_Originals!M$1)/Yield_Originals!$K12</f>
        <v>0.28144276921043665</v>
      </c>
      <c r="N12" s="104">
        <f>(Yield_Originals!$G12*Yield_Originals!N$1)/Yield_Originals!$K12</f>
        <v>0.28997133797438929</v>
      </c>
      <c r="O12" s="104">
        <f>(Yield_Originals!$G12*Yield_Originals!O$1)/Yield_Originals!$K12</f>
        <v>0.29849990673834192</v>
      </c>
      <c r="P12" s="105">
        <f>(Yield_Originals!$H12*Yield_Originals!P$1)/Yield_Originals!$K12</f>
        <v>0.32657620189734904</v>
      </c>
      <c r="Q12" s="105">
        <f>(Yield_Originals!$H12*Yield_Originals!Q$1)/Yield_Originals!$K12</f>
        <v>0.33564776306116428</v>
      </c>
      <c r="R12" s="105">
        <f>(Yield_Originals!$H12*Yield_Originals!R$1)/Yield_Originals!$K12</f>
        <v>0.34471932422497953</v>
      </c>
      <c r="S12" s="105">
        <f>(Yield_Originals!$H12*Yield_Originals!S$1)/Yield_Originals!$K12</f>
        <v>0.35379088538879483</v>
      </c>
      <c r="T12" s="107">
        <f>(Yield_Originals!$I12*Yield_Originals!T$1)/Yield_Originals!$K12</f>
        <v>0.38458214254711665</v>
      </c>
      <c r="U12" s="107">
        <f>(Yield_Originals!$I12*Yield_Originals!U$1)/Yield_Originals!$K12</f>
        <v>0.3941966961107945</v>
      </c>
      <c r="V12" s="107">
        <f>(Yield_Originals!$I12*Yield_Originals!V$1)/Yield_Originals!$K12</f>
        <v>0.40381124967447241</v>
      </c>
      <c r="W12" s="107">
        <f>(Yield_Originals!$I12*Yield_Originals!W$1)/Yield_Originals!$K12</f>
        <v>0.4134258032381502</v>
      </c>
      <c r="X12" s="108">
        <f>(Yield_Originals!$J12*Yield_Originals!X$1)/Yield_Originals!$K12</f>
        <v>0.37984340207634482</v>
      </c>
      <c r="Y12" s="108">
        <f>(Yield_Originals!$J12*Yield_Originals!Y$1)/Yield_Originals!$K12</f>
        <v>0.38847620666898891</v>
      </c>
      <c r="Z12" s="108">
        <f>(Yield_Originals!$J12*Yield_Originals!Z$1)/Yield_Originals!$K12</f>
        <v>0.39710901126163312</v>
      </c>
      <c r="AA12" s="108">
        <f>(Yield_Originals!$J12*Yield_Originals!AA$1)/Yield_Originals!$K12</f>
        <v>0.40574181585427727</v>
      </c>
      <c r="AB12" s="108">
        <f>(Yield_Originals!$J12*Yield_Originals!AB$1)/Yield_Originals!$K12</f>
        <v>0.41437462044692147</v>
      </c>
      <c r="AC12"/>
    </row>
    <row r="13" spans="1:30" x14ac:dyDescent="0.25">
      <c r="A13" s="70" t="s">
        <v>767</v>
      </c>
      <c r="B13" s="70">
        <v>2</v>
      </c>
      <c r="C13" s="99" t="s">
        <v>774</v>
      </c>
      <c r="D13" s="99" t="s">
        <v>1364</v>
      </c>
      <c r="E13" s="100">
        <v>9</v>
      </c>
      <c r="F13" s="102">
        <v>0.26400256871097999</v>
      </c>
      <c r="G13" s="102">
        <v>0.26400256871097999</v>
      </c>
      <c r="H13" s="102">
        <f>+(Yield_Originals!I13+Yield_Originals!G13)/2</f>
        <v>0.27481461426681197</v>
      </c>
      <c r="I13" s="102">
        <v>0.28562665982264401</v>
      </c>
      <c r="J13" s="102">
        <v>0.26674367384992997</v>
      </c>
      <c r="K13" s="103">
        <v>1</v>
      </c>
      <c r="L13" s="104">
        <f>(Yield_Originals!$G13*Yield_Originals!L$1)/Yield_Originals!$K13</f>
        <v>0.31680308245317601</v>
      </c>
      <c r="M13" s="104">
        <f>(Yield_Originals!$G13*Yield_Originals!M$1)/Yield_Originals!$K13</f>
        <v>0.32670317877983773</v>
      </c>
      <c r="N13" s="104">
        <f>(Yield_Originals!$G13*Yield_Originals!N$1)/Yield_Originals!$K13</f>
        <v>0.33660327510649951</v>
      </c>
      <c r="O13" s="104">
        <f>(Yield_Originals!$G13*Yield_Originals!O$1)/Yield_Originals!$K13</f>
        <v>0.34650337143316129</v>
      </c>
      <c r="P13" s="105">
        <f>(Yield_Originals!$H13*Yield_Originals!P$1)/Yield_Originals!$K13</f>
        <v>0.3709997292601962</v>
      </c>
      <c r="Q13" s="105">
        <f>(Yield_Originals!$H13*Yield_Originals!Q$1)/Yield_Originals!$K13</f>
        <v>0.38130527729520164</v>
      </c>
      <c r="R13" s="105">
        <f>(Yield_Originals!$H13*Yield_Originals!R$1)/Yield_Originals!$K13</f>
        <v>0.39161082533020714</v>
      </c>
      <c r="S13" s="105">
        <f>(Yield_Originals!$H13*Yield_Originals!S$1)/Yield_Originals!$K13</f>
        <v>0.40191637336521263</v>
      </c>
      <c r="T13" s="107">
        <f>(Yield_Originals!$I13*Yield_Originals!T$1)/Yield_Originals!$K13</f>
        <v>0.42843998973396613</v>
      </c>
      <c r="U13" s="107">
        <f>(Yield_Originals!$I13*Yield_Originals!U$1)/Yield_Originals!$K13</f>
        <v>0.43915098947731518</v>
      </c>
      <c r="V13" s="107">
        <f>(Yield_Originals!$I13*Yield_Originals!V$1)/Yield_Originals!$K13</f>
        <v>0.44986198922066439</v>
      </c>
      <c r="W13" s="107">
        <f>(Yield_Originals!$I13*Yield_Originals!W$1)/Yield_Originals!$K13</f>
        <v>0.46057298896401344</v>
      </c>
      <c r="X13" s="108">
        <f>(Yield_Originals!$J13*Yield_Originals!X$1)/Yield_Originals!$K13</f>
        <v>0.44012706185238443</v>
      </c>
      <c r="Y13" s="108">
        <f>(Yield_Originals!$J13*Yield_Originals!Y$1)/Yield_Originals!$K13</f>
        <v>0.45012994962175673</v>
      </c>
      <c r="Z13" s="108">
        <f>(Yield_Originals!$J13*Yield_Originals!Z$1)/Yield_Originals!$K13</f>
        <v>0.46013283739112909</v>
      </c>
      <c r="AA13" s="108">
        <f>(Yield_Originals!$J13*Yield_Originals!AA$1)/Yield_Originals!$K13</f>
        <v>0.47013572516050139</v>
      </c>
      <c r="AB13" s="108">
        <f>(Yield_Originals!$J13*Yield_Originals!AB$1)/Yield_Originals!$K13</f>
        <v>0.48013861292987381</v>
      </c>
      <c r="AC13"/>
    </row>
    <row r="14" spans="1:30" x14ac:dyDescent="0.25">
      <c r="A14" s="70" t="s">
        <v>767</v>
      </c>
      <c r="B14" s="70">
        <v>2</v>
      </c>
      <c r="C14" s="99" t="s">
        <v>774</v>
      </c>
      <c r="D14" s="99" t="s">
        <v>1364</v>
      </c>
      <c r="E14" s="100">
        <v>16</v>
      </c>
      <c r="F14" s="102">
        <v>0.26400256871097999</v>
      </c>
      <c r="G14" s="102">
        <v>0.26400256871097999</v>
      </c>
      <c r="H14" s="102">
        <f>+(Yield_Originals!I14+Yield_Originals!G14)/2</f>
        <v>0.27481461426681197</v>
      </c>
      <c r="I14" s="102">
        <v>0.28562665982264401</v>
      </c>
      <c r="J14" s="102">
        <v>0.26674367384992997</v>
      </c>
      <c r="K14" s="103">
        <v>1</v>
      </c>
      <c r="L14" s="104">
        <f>(Yield_Originals!$G14*Yield_Originals!L$1)/Yield_Originals!$K14</f>
        <v>0.31680308245317601</v>
      </c>
      <c r="M14" s="104">
        <f>(Yield_Originals!$G14*Yield_Originals!M$1)/Yield_Originals!$K14</f>
        <v>0.32670317877983773</v>
      </c>
      <c r="N14" s="104">
        <f>(Yield_Originals!$G14*Yield_Originals!N$1)/Yield_Originals!$K14</f>
        <v>0.33660327510649951</v>
      </c>
      <c r="O14" s="104">
        <f>(Yield_Originals!$G14*Yield_Originals!O$1)/Yield_Originals!$K14</f>
        <v>0.34650337143316129</v>
      </c>
      <c r="P14" s="105">
        <f>(Yield_Originals!$H14*Yield_Originals!P$1)/Yield_Originals!$K14</f>
        <v>0.3709997292601962</v>
      </c>
      <c r="Q14" s="105">
        <f>(Yield_Originals!$H14*Yield_Originals!Q$1)/Yield_Originals!$K14</f>
        <v>0.38130527729520164</v>
      </c>
      <c r="R14" s="105">
        <f>(Yield_Originals!$H14*Yield_Originals!R$1)/Yield_Originals!$K14</f>
        <v>0.39161082533020714</v>
      </c>
      <c r="S14" s="105">
        <f>(Yield_Originals!$H14*Yield_Originals!S$1)/Yield_Originals!$K14</f>
        <v>0.40191637336521263</v>
      </c>
      <c r="T14" s="107">
        <f>(Yield_Originals!$I14*Yield_Originals!T$1)/Yield_Originals!$K14</f>
        <v>0.42843998973396613</v>
      </c>
      <c r="U14" s="107">
        <f>(Yield_Originals!$I14*Yield_Originals!U$1)/Yield_Originals!$K14</f>
        <v>0.43915098947731518</v>
      </c>
      <c r="V14" s="107">
        <f>(Yield_Originals!$I14*Yield_Originals!V$1)/Yield_Originals!$K14</f>
        <v>0.44986198922066439</v>
      </c>
      <c r="W14" s="107">
        <f>(Yield_Originals!$I14*Yield_Originals!W$1)/Yield_Originals!$K14</f>
        <v>0.46057298896401344</v>
      </c>
      <c r="X14" s="108">
        <f>(Yield_Originals!$J14*Yield_Originals!X$1)/Yield_Originals!$K14</f>
        <v>0.44012706185238443</v>
      </c>
      <c r="Y14" s="108">
        <f>(Yield_Originals!$J14*Yield_Originals!Y$1)/Yield_Originals!$K14</f>
        <v>0.45012994962175673</v>
      </c>
      <c r="Z14" s="108">
        <f>(Yield_Originals!$J14*Yield_Originals!Z$1)/Yield_Originals!$K14</f>
        <v>0.46013283739112909</v>
      </c>
      <c r="AA14" s="108">
        <f>(Yield_Originals!$J14*Yield_Originals!AA$1)/Yield_Originals!$K14</f>
        <v>0.47013572516050139</v>
      </c>
      <c r="AB14" s="108">
        <f>(Yield_Originals!$J14*Yield_Originals!AB$1)/Yield_Originals!$K14</f>
        <v>0.48013861292987381</v>
      </c>
      <c r="AC14"/>
    </row>
    <row r="15" spans="1:30" x14ac:dyDescent="0.25">
      <c r="A15" s="70" t="s">
        <v>781</v>
      </c>
      <c r="B15" s="70">
        <v>2</v>
      </c>
      <c r="C15" s="39" t="s">
        <v>774</v>
      </c>
      <c r="D15" s="39" t="s">
        <v>1364</v>
      </c>
      <c r="E15" s="100">
        <v>10</v>
      </c>
      <c r="F15" s="102">
        <v>0.22742850037206999</v>
      </c>
      <c r="G15" s="102">
        <v>0.22742850037206999</v>
      </c>
      <c r="H15" s="102">
        <v>0.24190829770173999</v>
      </c>
      <c r="I15" s="102">
        <v>0.25638809503141102</v>
      </c>
      <c r="J15" s="102">
        <v>0.23020812247051201</v>
      </c>
      <c r="K15" s="103">
        <v>1</v>
      </c>
      <c r="L15" s="104">
        <f>(Yield_Originals!$G15*Yield_Originals!L$1)/Yield_Originals!$K15</f>
        <v>0.27291420044648401</v>
      </c>
      <c r="M15" s="104">
        <f>(Yield_Originals!$G15*Yield_Originals!M$1)/Yield_Originals!$K15</f>
        <v>0.28144276921043665</v>
      </c>
      <c r="N15" s="104">
        <f>(Yield_Originals!$G15*Yield_Originals!N$1)/Yield_Originals!$K15</f>
        <v>0.28997133797438929</v>
      </c>
      <c r="O15" s="104">
        <f>(Yield_Originals!$G15*Yield_Originals!O$1)/Yield_Originals!$K15</f>
        <v>0.29849990673834192</v>
      </c>
      <c r="P15" s="105">
        <f>(Yield_Originals!$H15*Yield_Originals!P$1)/Yield_Originals!$K15</f>
        <v>0.32657620189734904</v>
      </c>
      <c r="Q15" s="105">
        <f>(Yield_Originals!$H15*Yield_Originals!Q$1)/Yield_Originals!$K15</f>
        <v>0.33564776306116428</v>
      </c>
      <c r="R15" s="105">
        <f>(Yield_Originals!$H15*Yield_Originals!R$1)/Yield_Originals!$K15</f>
        <v>0.34471932422497953</v>
      </c>
      <c r="S15" s="105">
        <f>(Yield_Originals!$H15*Yield_Originals!S$1)/Yield_Originals!$K15</f>
        <v>0.35379088538879483</v>
      </c>
      <c r="T15" s="107">
        <f>(Yield_Originals!$I15*Yield_Originals!T$1)/Yield_Originals!$K15</f>
        <v>0.38458214254711665</v>
      </c>
      <c r="U15" s="107">
        <f>(Yield_Originals!$I15*Yield_Originals!U$1)/Yield_Originals!$K15</f>
        <v>0.3941966961107945</v>
      </c>
      <c r="V15" s="107">
        <f>(Yield_Originals!$I15*Yield_Originals!V$1)/Yield_Originals!$K15</f>
        <v>0.40381124967447241</v>
      </c>
      <c r="W15" s="107">
        <f>(Yield_Originals!$I15*Yield_Originals!W$1)/Yield_Originals!$K15</f>
        <v>0.4134258032381502</v>
      </c>
      <c r="X15" s="108">
        <f>(Yield_Originals!$J15*Yield_Originals!X$1)/Yield_Originals!$K15</f>
        <v>0.37984340207634482</v>
      </c>
      <c r="Y15" s="108">
        <f>(Yield_Originals!$J15*Yield_Originals!Y$1)/Yield_Originals!$K15</f>
        <v>0.38847620666898891</v>
      </c>
      <c r="Z15" s="108">
        <f>(Yield_Originals!$J15*Yield_Originals!Z$1)/Yield_Originals!$K15</f>
        <v>0.39710901126163312</v>
      </c>
      <c r="AA15" s="108">
        <f>(Yield_Originals!$J15*Yield_Originals!AA$1)/Yield_Originals!$K15</f>
        <v>0.40574181585427727</v>
      </c>
      <c r="AB15" s="108">
        <f>(Yield_Originals!$J15*Yield_Originals!AB$1)/Yield_Originals!$K15</f>
        <v>0.41437462044692147</v>
      </c>
      <c r="AC15"/>
    </row>
    <row r="16" spans="1:30" x14ac:dyDescent="0.25">
      <c r="A16" s="70" t="s">
        <v>781</v>
      </c>
      <c r="B16" s="70">
        <v>2</v>
      </c>
      <c r="C16" s="39" t="s">
        <v>774</v>
      </c>
      <c r="D16" s="39" t="s">
        <v>1364</v>
      </c>
      <c r="E16" s="100">
        <v>17</v>
      </c>
      <c r="F16" s="102">
        <v>0.22742850037206999</v>
      </c>
      <c r="G16" s="102">
        <v>0.22742850037206999</v>
      </c>
      <c r="H16" s="102">
        <v>0.24190829770173999</v>
      </c>
      <c r="I16" s="102">
        <v>0.25638809503141102</v>
      </c>
      <c r="J16" s="102">
        <v>0.23020812247051201</v>
      </c>
      <c r="K16" s="103">
        <v>1</v>
      </c>
      <c r="L16" s="104">
        <f>(Yield_Originals!$G16*Yield_Originals!L$1)/Yield_Originals!$K16</f>
        <v>0.27291420044648401</v>
      </c>
      <c r="M16" s="104">
        <f>(Yield_Originals!$G16*Yield_Originals!M$1)/Yield_Originals!$K16</f>
        <v>0.28144276921043665</v>
      </c>
      <c r="N16" s="104">
        <f>(Yield_Originals!$G16*Yield_Originals!N$1)/Yield_Originals!$K16</f>
        <v>0.28997133797438929</v>
      </c>
      <c r="O16" s="104">
        <f>(Yield_Originals!$G16*Yield_Originals!O$1)/Yield_Originals!$K16</f>
        <v>0.29849990673834192</v>
      </c>
      <c r="P16" s="105">
        <f>(Yield_Originals!$H16*Yield_Originals!P$1)/Yield_Originals!$K16</f>
        <v>0.32657620189734904</v>
      </c>
      <c r="Q16" s="105">
        <f>(Yield_Originals!$H16*Yield_Originals!Q$1)/Yield_Originals!$K16</f>
        <v>0.33564776306116428</v>
      </c>
      <c r="R16" s="105">
        <f>(Yield_Originals!$H16*Yield_Originals!R$1)/Yield_Originals!$K16</f>
        <v>0.34471932422497953</v>
      </c>
      <c r="S16" s="105">
        <f>(Yield_Originals!$H16*Yield_Originals!S$1)/Yield_Originals!$K16</f>
        <v>0.35379088538879483</v>
      </c>
      <c r="T16" s="107">
        <f>(Yield_Originals!$I16*Yield_Originals!T$1)/Yield_Originals!$K16</f>
        <v>0.38458214254711665</v>
      </c>
      <c r="U16" s="107">
        <f>(Yield_Originals!$I16*Yield_Originals!U$1)/Yield_Originals!$K16</f>
        <v>0.3941966961107945</v>
      </c>
      <c r="V16" s="107">
        <f>(Yield_Originals!$I16*Yield_Originals!V$1)/Yield_Originals!$K16</f>
        <v>0.40381124967447241</v>
      </c>
      <c r="W16" s="107">
        <f>(Yield_Originals!$I16*Yield_Originals!W$1)/Yield_Originals!$K16</f>
        <v>0.4134258032381502</v>
      </c>
      <c r="X16" s="108">
        <f>(Yield_Originals!$J16*Yield_Originals!X$1)/Yield_Originals!$K16</f>
        <v>0.37984340207634482</v>
      </c>
      <c r="Y16" s="108">
        <f>(Yield_Originals!$J16*Yield_Originals!Y$1)/Yield_Originals!$K16</f>
        <v>0.38847620666898891</v>
      </c>
      <c r="Z16" s="108">
        <f>(Yield_Originals!$J16*Yield_Originals!Z$1)/Yield_Originals!$K16</f>
        <v>0.39710901126163312</v>
      </c>
      <c r="AA16" s="108">
        <f>(Yield_Originals!$J16*Yield_Originals!AA$1)/Yield_Originals!$K16</f>
        <v>0.40574181585427727</v>
      </c>
      <c r="AB16" s="108">
        <f>(Yield_Originals!$J16*Yield_Originals!AB$1)/Yield_Originals!$K16</f>
        <v>0.41437462044692147</v>
      </c>
      <c r="AC16"/>
    </row>
    <row r="17" spans="1:29" x14ac:dyDescent="0.25">
      <c r="A17" s="70" t="s">
        <v>781</v>
      </c>
      <c r="B17" s="70">
        <v>2</v>
      </c>
      <c r="C17" s="39" t="s">
        <v>779</v>
      </c>
      <c r="D17" s="39" t="s">
        <v>1365</v>
      </c>
      <c r="E17" s="100">
        <v>10</v>
      </c>
      <c r="F17" s="102">
        <v>0.22742850037206999</v>
      </c>
      <c r="G17" s="102">
        <v>0.22742850037206999</v>
      </c>
      <c r="H17" s="102">
        <v>0.24190829770173999</v>
      </c>
      <c r="I17" s="102">
        <v>0.25638809503141102</v>
      </c>
      <c r="J17" s="102">
        <v>0.23020812247051201</v>
      </c>
      <c r="K17" s="103">
        <v>1</v>
      </c>
      <c r="L17" s="104">
        <f>(Yield_Originals!$G17*Yield_Originals!L$1)/Yield_Originals!$K17</f>
        <v>0.27291420044648401</v>
      </c>
      <c r="M17" s="104">
        <f>(Yield_Originals!$G17*Yield_Originals!M$1)/Yield_Originals!$K17</f>
        <v>0.28144276921043665</v>
      </c>
      <c r="N17" s="104">
        <f>(Yield_Originals!$G17*Yield_Originals!N$1)/Yield_Originals!$K17</f>
        <v>0.28997133797438929</v>
      </c>
      <c r="O17" s="104">
        <f>(Yield_Originals!$G17*Yield_Originals!O$1)/Yield_Originals!$K17</f>
        <v>0.29849990673834192</v>
      </c>
      <c r="P17" s="105">
        <f>(Yield_Originals!$H17*Yield_Originals!P$1)/Yield_Originals!$K17</f>
        <v>0.32657620189734904</v>
      </c>
      <c r="Q17" s="105">
        <f>(Yield_Originals!$H17*Yield_Originals!Q$1)/Yield_Originals!$K17</f>
        <v>0.33564776306116428</v>
      </c>
      <c r="R17" s="105">
        <f>(Yield_Originals!$H17*Yield_Originals!R$1)/Yield_Originals!$K17</f>
        <v>0.34471932422497953</v>
      </c>
      <c r="S17" s="105">
        <f>(Yield_Originals!$H17*Yield_Originals!S$1)/Yield_Originals!$K17</f>
        <v>0.35379088538879483</v>
      </c>
      <c r="T17" s="107">
        <f>(Yield_Originals!$I17*Yield_Originals!T$1)/Yield_Originals!$K17</f>
        <v>0.38458214254711665</v>
      </c>
      <c r="U17" s="107">
        <f>(Yield_Originals!$I17*Yield_Originals!U$1)/Yield_Originals!$K17</f>
        <v>0.3941966961107945</v>
      </c>
      <c r="V17" s="107">
        <f>(Yield_Originals!$I17*Yield_Originals!V$1)/Yield_Originals!$K17</f>
        <v>0.40381124967447241</v>
      </c>
      <c r="W17" s="107">
        <f>(Yield_Originals!$I17*Yield_Originals!W$1)/Yield_Originals!$K17</f>
        <v>0.4134258032381502</v>
      </c>
      <c r="X17" s="108">
        <f>(Yield_Originals!$J17*Yield_Originals!X$1)/Yield_Originals!$K17</f>
        <v>0.37984340207634482</v>
      </c>
      <c r="Y17" s="108">
        <f>(Yield_Originals!$J17*Yield_Originals!Y$1)/Yield_Originals!$K17</f>
        <v>0.38847620666898891</v>
      </c>
      <c r="Z17" s="108">
        <f>(Yield_Originals!$J17*Yield_Originals!Z$1)/Yield_Originals!$K17</f>
        <v>0.39710901126163312</v>
      </c>
      <c r="AA17" s="108">
        <f>(Yield_Originals!$J17*Yield_Originals!AA$1)/Yield_Originals!$K17</f>
        <v>0.40574181585427727</v>
      </c>
      <c r="AB17" s="108">
        <f>(Yield_Originals!$J17*Yield_Originals!AB$1)/Yield_Originals!$K17</f>
        <v>0.41437462044692147</v>
      </c>
      <c r="AC17"/>
    </row>
    <row r="18" spans="1:29" s="39" customFormat="1" x14ac:dyDescent="0.25">
      <c r="A18" s="70" t="s">
        <v>781</v>
      </c>
      <c r="B18" s="70">
        <v>2</v>
      </c>
      <c r="C18" s="39" t="s">
        <v>779</v>
      </c>
      <c r="D18" s="39" t="s">
        <v>1365</v>
      </c>
      <c r="E18" s="100">
        <v>17</v>
      </c>
      <c r="F18" s="102">
        <v>0.22742850037206999</v>
      </c>
      <c r="G18" s="102">
        <v>0.22742850037206999</v>
      </c>
      <c r="H18" s="102">
        <v>0.24190829770173999</v>
      </c>
      <c r="I18" s="102">
        <v>0.25638809503141102</v>
      </c>
      <c r="J18" s="102">
        <v>0.23020812247051201</v>
      </c>
      <c r="K18" s="103">
        <v>1</v>
      </c>
      <c r="L18" s="104">
        <f>(Yield_Originals!$G18*Yield_Originals!L$1)/Yield_Originals!$K18</f>
        <v>0.27291420044648401</v>
      </c>
      <c r="M18" s="104">
        <f>(Yield_Originals!$G18*Yield_Originals!M$1)/Yield_Originals!$K18</f>
        <v>0.28144276921043665</v>
      </c>
      <c r="N18" s="104">
        <f>(Yield_Originals!$G18*Yield_Originals!N$1)/Yield_Originals!$K18</f>
        <v>0.28997133797438929</v>
      </c>
      <c r="O18" s="104">
        <f>(Yield_Originals!$G18*Yield_Originals!O$1)/Yield_Originals!$K18</f>
        <v>0.29849990673834192</v>
      </c>
      <c r="P18" s="105">
        <f>(Yield_Originals!$H18*Yield_Originals!P$1)/Yield_Originals!$K18</f>
        <v>0.32657620189734904</v>
      </c>
      <c r="Q18" s="105">
        <f>(Yield_Originals!$H18*Yield_Originals!Q$1)/Yield_Originals!$K18</f>
        <v>0.33564776306116428</v>
      </c>
      <c r="R18" s="105">
        <f>(Yield_Originals!$H18*Yield_Originals!R$1)/Yield_Originals!$K18</f>
        <v>0.34471932422497953</v>
      </c>
      <c r="S18" s="105">
        <f>(Yield_Originals!$H18*Yield_Originals!S$1)/Yield_Originals!$K18</f>
        <v>0.35379088538879483</v>
      </c>
      <c r="T18" s="107">
        <f>(Yield_Originals!$I18*Yield_Originals!T$1)/Yield_Originals!$K18</f>
        <v>0.38458214254711665</v>
      </c>
      <c r="U18" s="107">
        <f>(Yield_Originals!$I18*Yield_Originals!U$1)/Yield_Originals!$K18</f>
        <v>0.3941966961107945</v>
      </c>
      <c r="V18" s="107">
        <f>(Yield_Originals!$I18*Yield_Originals!V$1)/Yield_Originals!$K18</f>
        <v>0.40381124967447241</v>
      </c>
      <c r="W18" s="107">
        <f>(Yield_Originals!$I18*Yield_Originals!W$1)/Yield_Originals!$K18</f>
        <v>0.4134258032381502</v>
      </c>
      <c r="X18" s="108">
        <f>(Yield_Originals!$J18*Yield_Originals!X$1)/Yield_Originals!$K18</f>
        <v>0.37984340207634482</v>
      </c>
      <c r="Y18" s="108">
        <f>(Yield_Originals!$J18*Yield_Originals!Y$1)/Yield_Originals!$K18</f>
        <v>0.38847620666898891</v>
      </c>
      <c r="Z18" s="108">
        <f>(Yield_Originals!$J18*Yield_Originals!Z$1)/Yield_Originals!$K18</f>
        <v>0.39710901126163312</v>
      </c>
      <c r="AA18" s="108">
        <f>(Yield_Originals!$J18*Yield_Originals!AA$1)/Yield_Originals!$K18</f>
        <v>0.40574181585427727</v>
      </c>
      <c r="AB18" s="108">
        <f>(Yield_Originals!$J18*Yield_Originals!AB$1)/Yield_Originals!$K18</f>
        <v>0.41437462044692147</v>
      </c>
      <c r="AC18" s="67"/>
    </row>
    <row r="19" spans="1:29" x14ac:dyDescent="0.25">
      <c r="A19" s="70" t="s">
        <v>781</v>
      </c>
      <c r="B19" s="70">
        <v>2</v>
      </c>
      <c r="C19" s="39" t="s">
        <v>338</v>
      </c>
      <c r="D19" s="39" t="s">
        <v>1366</v>
      </c>
      <c r="E19" s="100">
        <v>10</v>
      </c>
      <c r="F19" s="102">
        <v>0.22742850037206999</v>
      </c>
      <c r="G19" s="102">
        <v>0.22742850037206999</v>
      </c>
      <c r="H19" s="102">
        <v>0.24190829770173999</v>
      </c>
      <c r="I19" s="102">
        <v>0.25638809503141102</v>
      </c>
      <c r="J19" s="102">
        <v>0.23020812247051201</v>
      </c>
      <c r="K19" s="103">
        <v>1</v>
      </c>
      <c r="L19" s="104">
        <f>(Yield_Originals!$G19*Yield_Originals!L$1)/Yield_Originals!$K19</f>
        <v>0.27291420044648401</v>
      </c>
      <c r="M19" s="104">
        <f>(Yield_Originals!$G19*Yield_Originals!M$1)/Yield_Originals!$K19</f>
        <v>0.28144276921043665</v>
      </c>
      <c r="N19" s="104">
        <f>(Yield_Originals!$G19*Yield_Originals!N$1)/Yield_Originals!$K19</f>
        <v>0.28997133797438929</v>
      </c>
      <c r="O19" s="104">
        <f>(Yield_Originals!$G19*Yield_Originals!O$1)/Yield_Originals!$K19</f>
        <v>0.29849990673834192</v>
      </c>
      <c r="P19" s="105">
        <f>(Yield_Originals!$H19*Yield_Originals!P$1)/Yield_Originals!$K19</f>
        <v>0.32657620189734904</v>
      </c>
      <c r="Q19" s="105">
        <f>(Yield_Originals!$H19*Yield_Originals!Q$1)/Yield_Originals!$K19</f>
        <v>0.33564776306116428</v>
      </c>
      <c r="R19" s="105">
        <f>(Yield_Originals!$H19*Yield_Originals!R$1)/Yield_Originals!$K19</f>
        <v>0.34471932422497953</v>
      </c>
      <c r="S19" s="105">
        <f>(Yield_Originals!$H19*Yield_Originals!S$1)/Yield_Originals!$K19</f>
        <v>0.35379088538879483</v>
      </c>
      <c r="T19" s="107">
        <f>(Yield_Originals!$I19*Yield_Originals!T$1)/Yield_Originals!$K19</f>
        <v>0.38458214254711665</v>
      </c>
      <c r="U19" s="107">
        <f>(Yield_Originals!$I19*Yield_Originals!U$1)/Yield_Originals!$K19</f>
        <v>0.3941966961107945</v>
      </c>
      <c r="V19" s="107">
        <f>(Yield_Originals!$I19*Yield_Originals!V$1)/Yield_Originals!$K19</f>
        <v>0.40381124967447241</v>
      </c>
      <c r="W19" s="107">
        <f>(Yield_Originals!$I19*Yield_Originals!W$1)/Yield_Originals!$K19</f>
        <v>0.4134258032381502</v>
      </c>
      <c r="X19" s="108">
        <f>(Yield_Originals!$J19*Yield_Originals!X$1)/Yield_Originals!$K19</f>
        <v>0.37984340207634482</v>
      </c>
      <c r="Y19" s="108">
        <f>(Yield_Originals!$J19*Yield_Originals!Y$1)/Yield_Originals!$K19</f>
        <v>0.38847620666898891</v>
      </c>
      <c r="Z19" s="108">
        <f>(Yield_Originals!$J19*Yield_Originals!Z$1)/Yield_Originals!$K19</f>
        <v>0.39710901126163312</v>
      </c>
      <c r="AA19" s="108">
        <f>(Yield_Originals!$J19*Yield_Originals!AA$1)/Yield_Originals!$K19</f>
        <v>0.40574181585427727</v>
      </c>
      <c r="AB19" s="108">
        <f>(Yield_Originals!$J19*Yield_Originals!AB$1)/Yield_Originals!$K19</f>
        <v>0.41437462044692147</v>
      </c>
      <c r="AC19"/>
    </row>
    <row r="20" spans="1:29" x14ac:dyDescent="0.25">
      <c r="A20" s="70" t="s">
        <v>781</v>
      </c>
      <c r="B20" s="70">
        <v>2</v>
      </c>
      <c r="C20" s="39" t="s">
        <v>338</v>
      </c>
      <c r="D20" s="39" t="s">
        <v>1366</v>
      </c>
      <c r="E20" s="100">
        <v>17</v>
      </c>
      <c r="F20" s="102">
        <v>0.22742850037206999</v>
      </c>
      <c r="G20" s="102">
        <v>0.22742850037206999</v>
      </c>
      <c r="H20" s="102">
        <v>0.24190829770173999</v>
      </c>
      <c r="I20" s="102">
        <v>0.25638809503141102</v>
      </c>
      <c r="J20" s="102">
        <v>0.23020812247051201</v>
      </c>
      <c r="K20" s="103">
        <v>1</v>
      </c>
      <c r="L20" s="104">
        <f>(Yield_Originals!$G20*Yield_Originals!L$1)/Yield_Originals!$K20</f>
        <v>0.27291420044648401</v>
      </c>
      <c r="M20" s="104">
        <f>(Yield_Originals!$G20*Yield_Originals!M$1)/Yield_Originals!$K20</f>
        <v>0.28144276921043665</v>
      </c>
      <c r="N20" s="104">
        <f>(Yield_Originals!$G20*Yield_Originals!N$1)/Yield_Originals!$K20</f>
        <v>0.28997133797438929</v>
      </c>
      <c r="O20" s="104">
        <f>(Yield_Originals!$G20*Yield_Originals!O$1)/Yield_Originals!$K20</f>
        <v>0.29849990673834192</v>
      </c>
      <c r="P20" s="105">
        <f>(Yield_Originals!$H20*Yield_Originals!P$1)/Yield_Originals!$K20</f>
        <v>0.32657620189734904</v>
      </c>
      <c r="Q20" s="105">
        <f>(Yield_Originals!$H20*Yield_Originals!Q$1)/Yield_Originals!$K20</f>
        <v>0.33564776306116428</v>
      </c>
      <c r="R20" s="105">
        <f>(Yield_Originals!$H20*Yield_Originals!R$1)/Yield_Originals!$K20</f>
        <v>0.34471932422497953</v>
      </c>
      <c r="S20" s="105">
        <f>(Yield_Originals!$H20*Yield_Originals!S$1)/Yield_Originals!$K20</f>
        <v>0.35379088538879483</v>
      </c>
      <c r="T20" s="107">
        <f>(Yield_Originals!$I20*Yield_Originals!T$1)/Yield_Originals!$K20</f>
        <v>0.38458214254711665</v>
      </c>
      <c r="U20" s="107">
        <f>(Yield_Originals!$I20*Yield_Originals!U$1)/Yield_Originals!$K20</f>
        <v>0.3941966961107945</v>
      </c>
      <c r="V20" s="107">
        <f>(Yield_Originals!$I20*Yield_Originals!V$1)/Yield_Originals!$K20</f>
        <v>0.40381124967447241</v>
      </c>
      <c r="W20" s="107">
        <f>(Yield_Originals!$I20*Yield_Originals!W$1)/Yield_Originals!$K20</f>
        <v>0.4134258032381502</v>
      </c>
      <c r="X20" s="108">
        <f>(Yield_Originals!$J20*Yield_Originals!X$1)/Yield_Originals!$K20</f>
        <v>0.37984340207634482</v>
      </c>
      <c r="Y20" s="108">
        <f>(Yield_Originals!$J20*Yield_Originals!Y$1)/Yield_Originals!$K20</f>
        <v>0.38847620666898891</v>
      </c>
      <c r="Z20" s="108">
        <f>(Yield_Originals!$J20*Yield_Originals!Z$1)/Yield_Originals!$K20</f>
        <v>0.39710901126163312</v>
      </c>
      <c r="AA20" s="108">
        <f>(Yield_Originals!$J20*Yield_Originals!AA$1)/Yield_Originals!$K20</f>
        <v>0.40574181585427727</v>
      </c>
      <c r="AB20" s="108">
        <f>(Yield_Originals!$J20*Yield_Originals!AB$1)/Yield_Originals!$K20</f>
        <v>0.41437462044692147</v>
      </c>
      <c r="AC20"/>
    </row>
    <row r="21" spans="1:29" x14ac:dyDescent="0.25">
      <c r="A21" s="70" t="s">
        <v>781</v>
      </c>
      <c r="B21" s="70">
        <v>2</v>
      </c>
      <c r="C21" s="39" t="s">
        <v>785</v>
      </c>
      <c r="D21" s="39" t="s">
        <v>1366</v>
      </c>
      <c r="E21" s="100">
        <v>10</v>
      </c>
      <c r="F21" s="102">
        <v>0.22742850037206999</v>
      </c>
      <c r="G21" s="102">
        <v>0.22742850037206999</v>
      </c>
      <c r="H21" s="102">
        <v>0.24190829770173999</v>
      </c>
      <c r="I21" s="102">
        <v>0.25638809503141102</v>
      </c>
      <c r="J21" s="102">
        <v>0.23020812247051201</v>
      </c>
      <c r="K21" s="103">
        <v>1</v>
      </c>
      <c r="L21" s="104">
        <f>(Yield_Originals!$G21*Yield_Originals!L$1)/Yield_Originals!$K21</f>
        <v>0.27291420044648401</v>
      </c>
      <c r="M21" s="104">
        <f>(Yield_Originals!$G21*Yield_Originals!M$1)/Yield_Originals!$K21</f>
        <v>0.28144276921043665</v>
      </c>
      <c r="N21" s="104">
        <f>(Yield_Originals!$G21*Yield_Originals!N$1)/Yield_Originals!$K21</f>
        <v>0.28997133797438929</v>
      </c>
      <c r="O21" s="104">
        <f>(Yield_Originals!$G21*Yield_Originals!O$1)/Yield_Originals!$K21</f>
        <v>0.29849990673834192</v>
      </c>
      <c r="P21" s="105">
        <f>(Yield_Originals!$H21*Yield_Originals!P$1)/Yield_Originals!$K21</f>
        <v>0.32657620189734904</v>
      </c>
      <c r="Q21" s="105">
        <f>(Yield_Originals!$H21*Yield_Originals!Q$1)/Yield_Originals!$K21</f>
        <v>0.33564776306116428</v>
      </c>
      <c r="R21" s="105">
        <f>(Yield_Originals!$H21*Yield_Originals!R$1)/Yield_Originals!$K21</f>
        <v>0.34471932422497953</v>
      </c>
      <c r="S21" s="105">
        <f>(Yield_Originals!$H21*Yield_Originals!S$1)/Yield_Originals!$K21</f>
        <v>0.35379088538879483</v>
      </c>
      <c r="T21" s="107">
        <f>(Yield_Originals!$I21*Yield_Originals!T$1)/Yield_Originals!$K21</f>
        <v>0.38458214254711665</v>
      </c>
      <c r="U21" s="107">
        <f>(Yield_Originals!$I21*Yield_Originals!U$1)/Yield_Originals!$K21</f>
        <v>0.3941966961107945</v>
      </c>
      <c r="V21" s="107">
        <f>(Yield_Originals!$I21*Yield_Originals!V$1)/Yield_Originals!$K21</f>
        <v>0.40381124967447241</v>
      </c>
      <c r="W21" s="107">
        <f>(Yield_Originals!$I21*Yield_Originals!W$1)/Yield_Originals!$K21</f>
        <v>0.4134258032381502</v>
      </c>
      <c r="X21" s="108">
        <f>(Yield_Originals!$J21*Yield_Originals!X$1)/Yield_Originals!$K21</f>
        <v>0.37984340207634482</v>
      </c>
      <c r="Y21" s="108">
        <f>(Yield_Originals!$J21*Yield_Originals!Y$1)/Yield_Originals!$K21</f>
        <v>0.38847620666898891</v>
      </c>
      <c r="Z21" s="108">
        <f>(Yield_Originals!$J21*Yield_Originals!Z$1)/Yield_Originals!$K21</f>
        <v>0.39710901126163312</v>
      </c>
      <c r="AA21" s="108">
        <f>(Yield_Originals!$J21*Yield_Originals!AA$1)/Yield_Originals!$K21</f>
        <v>0.40574181585427727</v>
      </c>
      <c r="AB21" s="108">
        <f>(Yield_Originals!$J21*Yield_Originals!AB$1)/Yield_Originals!$K21</f>
        <v>0.41437462044692147</v>
      </c>
      <c r="AC21"/>
    </row>
    <row r="22" spans="1:29" x14ac:dyDescent="0.25">
      <c r="A22" s="70" t="s">
        <v>781</v>
      </c>
      <c r="B22" s="70">
        <v>2</v>
      </c>
      <c r="C22" s="39" t="s">
        <v>785</v>
      </c>
      <c r="D22" s="39" t="s">
        <v>1366</v>
      </c>
      <c r="E22" s="100">
        <v>17</v>
      </c>
      <c r="F22" s="102">
        <v>0.22742850037206999</v>
      </c>
      <c r="G22" s="102">
        <v>0.22742850037206999</v>
      </c>
      <c r="H22" s="102">
        <v>0.24190829770173999</v>
      </c>
      <c r="I22" s="102">
        <v>0.25638809503141102</v>
      </c>
      <c r="J22" s="102">
        <v>0.23020812247051201</v>
      </c>
      <c r="K22" s="103">
        <v>1</v>
      </c>
      <c r="L22" s="104">
        <f>(Yield_Originals!$G22*Yield_Originals!L$1)/Yield_Originals!$K22</f>
        <v>0.27291420044648401</v>
      </c>
      <c r="M22" s="104">
        <f>(Yield_Originals!$G22*Yield_Originals!M$1)/Yield_Originals!$K22</f>
        <v>0.28144276921043665</v>
      </c>
      <c r="N22" s="104">
        <f>(Yield_Originals!$G22*Yield_Originals!N$1)/Yield_Originals!$K22</f>
        <v>0.28997133797438929</v>
      </c>
      <c r="O22" s="104">
        <f>(Yield_Originals!$G22*Yield_Originals!O$1)/Yield_Originals!$K22</f>
        <v>0.29849990673834192</v>
      </c>
      <c r="P22" s="105">
        <f>(Yield_Originals!$H22*Yield_Originals!P$1)/Yield_Originals!$K22</f>
        <v>0.32657620189734904</v>
      </c>
      <c r="Q22" s="105">
        <f>(Yield_Originals!$H22*Yield_Originals!Q$1)/Yield_Originals!$K22</f>
        <v>0.33564776306116428</v>
      </c>
      <c r="R22" s="105">
        <f>(Yield_Originals!$H22*Yield_Originals!R$1)/Yield_Originals!$K22</f>
        <v>0.34471932422497953</v>
      </c>
      <c r="S22" s="105">
        <f>(Yield_Originals!$H22*Yield_Originals!S$1)/Yield_Originals!$K22</f>
        <v>0.35379088538879483</v>
      </c>
      <c r="T22" s="107">
        <f>(Yield_Originals!$I22*Yield_Originals!T$1)/Yield_Originals!$K22</f>
        <v>0.38458214254711665</v>
      </c>
      <c r="U22" s="107">
        <f>(Yield_Originals!$I22*Yield_Originals!U$1)/Yield_Originals!$K22</f>
        <v>0.3941966961107945</v>
      </c>
      <c r="V22" s="107">
        <f>(Yield_Originals!$I22*Yield_Originals!V$1)/Yield_Originals!$K22</f>
        <v>0.40381124967447241</v>
      </c>
      <c r="W22" s="107">
        <f>(Yield_Originals!$I22*Yield_Originals!W$1)/Yield_Originals!$K22</f>
        <v>0.4134258032381502</v>
      </c>
      <c r="X22" s="108">
        <f>(Yield_Originals!$J22*Yield_Originals!X$1)/Yield_Originals!$K22</f>
        <v>0.37984340207634482</v>
      </c>
      <c r="Y22" s="108">
        <f>(Yield_Originals!$J22*Yield_Originals!Y$1)/Yield_Originals!$K22</f>
        <v>0.38847620666898891</v>
      </c>
      <c r="Z22" s="108">
        <f>(Yield_Originals!$J22*Yield_Originals!Z$1)/Yield_Originals!$K22</f>
        <v>0.39710901126163312</v>
      </c>
      <c r="AA22" s="108">
        <f>(Yield_Originals!$J22*Yield_Originals!AA$1)/Yield_Originals!$K22</f>
        <v>0.40574181585427727</v>
      </c>
      <c r="AB22" s="108">
        <f>(Yield_Originals!$J22*Yield_Originals!AB$1)/Yield_Originals!$K22</f>
        <v>0.41437462044692147</v>
      </c>
      <c r="AC22"/>
    </row>
    <row r="23" spans="1:29" x14ac:dyDescent="0.25">
      <c r="A23" s="70" t="s">
        <v>781</v>
      </c>
      <c r="B23" s="70">
        <v>2</v>
      </c>
      <c r="C23" s="39" t="s">
        <v>340</v>
      </c>
      <c r="D23" s="39" t="s">
        <v>1367</v>
      </c>
      <c r="E23" s="100">
        <v>10</v>
      </c>
      <c r="F23" s="102">
        <v>0.22742850037206999</v>
      </c>
      <c r="G23" s="102">
        <v>0.22742850037206999</v>
      </c>
      <c r="H23" s="102">
        <v>0.24190829770173999</v>
      </c>
      <c r="I23" s="102">
        <v>0.25638809503141102</v>
      </c>
      <c r="J23" s="102">
        <v>0.23020812247051201</v>
      </c>
      <c r="K23" s="103">
        <v>1</v>
      </c>
      <c r="L23" s="104">
        <f>(Yield_Originals!$G23*Yield_Originals!L$1)/Yield_Originals!$K23</f>
        <v>0.27291420044648401</v>
      </c>
      <c r="M23" s="104">
        <f>(Yield_Originals!$G23*Yield_Originals!M$1)/Yield_Originals!$K23</f>
        <v>0.28144276921043665</v>
      </c>
      <c r="N23" s="104">
        <f>(Yield_Originals!$G23*Yield_Originals!N$1)/Yield_Originals!$K23</f>
        <v>0.28997133797438929</v>
      </c>
      <c r="O23" s="104">
        <f>(Yield_Originals!$G23*Yield_Originals!O$1)/Yield_Originals!$K23</f>
        <v>0.29849990673834192</v>
      </c>
      <c r="P23" s="105">
        <f>(Yield_Originals!$H23*Yield_Originals!P$1)/Yield_Originals!$K23</f>
        <v>0.32657620189734904</v>
      </c>
      <c r="Q23" s="105">
        <f>(Yield_Originals!$H23*Yield_Originals!Q$1)/Yield_Originals!$K23</f>
        <v>0.33564776306116428</v>
      </c>
      <c r="R23" s="105">
        <f>(Yield_Originals!$H23*Yield_Originals!R$1)/Yield_Originals!$K23</f>
        <v>0.34471932422497953</v>
      </c>
      <c r="S23" s="105">
        <f>(Yield_Originals!$H23*Yield_Originals!S$1)/Yield_Originals!$K23</f>
        <v>0.35379088538879483</v>
      </c>
      <c r="T23" s="107">
        <f>(Yield_Originals!$I23*Yield_Originals!T$1)/Yield_Originals!$K23</f>
        <v>0.38458214254711665</v>
      </c>
      <c r="U23" s="107">
        <f>(Yield_Originals!$I23*Yield_Originals!U$1)/Yield_Originals!$K23</f>
        <v>0.3941966961107945</v>
      </c>
      <c r="V23" s="107">
        <f>(Yield_Originals!$I23*Yield_Originals!V$1)/Yield_Originals!$K23</f>
        <v>0.40381124967447241</v>
      </c>
      <c r="W23" s="107">
        <f>(Yield_Originals!$I23*Yield_Originals!W$1)/Yield_Originals!$K23</f>
        <v>0.4134258032381502</v>
      </c>
      <c r="X23" s="108">
        <f>(Yield_Originals!$J23*Yield_Originals!X$1)/Yield_Originals!$K23</f>
        <v>0.37984340207634482</v>
      </c>
      <c r="Y23" s="108">
        <f>(Yield_Originals!$J23*Yield_Originals!Y$1)/Yield_Originals!$K23</f>
        <v>0.38847620666898891</v>
      </c>
      <c r="Z23" s="108">
        <f>(Yield_Originals!$J23*Yield_Originals!Z$1)/Yield_Originals!$K23</f>
        <v>0.39710901126163312</v>
      </c>
      <c r="AA23" s="108">
        <f>(Yield_Originals!$J23*Yield_Originals!AA$1)/Yield_Originals!$K23</f>
        <v>0.40574181585427727</v>
      </c>
      <c r="AB23" s="108">
        <f>(Yield_Originals!$J23*Yield_Originals!AB$1)/Yield_Originals!$K23</f>
        <v>0.41437462044692147</v>
      </c>
      <c r="AC23"/>
    </row>
    <row r="24" spans="1:29" x14ac:dyDescent="0.25">
      <c r="A24" s="70" t="s">
        <v>781</v>
      </c>
      <c r="B24" s="70">
        <v>2</v>
      </c>
      <c r="C24" s="39" t="s">
        <v>340</v>
      </c>
      <c r="D24" s="39" t="s">
        <v>1367</v>
      </c>
      <c r="E24" s="100">
        <v>17</v>
      </c>
      <c r="F24" s="102">
        <v>0.22742850037206999</v>
      </c>
      <c r="G24" s="102">
        <v>0.22742850037206999</v>
      </c>
      <c r="H24" s="102">
        <v>0.24190829770173999</v>
      </c>
      <c r="I24" s="102">
        <v>0.25638809503141102</v>
      </c>
      <c r="J24" s="102">
        <v>0.23020812247051201</v>
      </c>
      <c r="K24" s="103">
        <v>1</v>
      </c>
      <c r="L24" s="104">
        <f>(Yield_Originals!$G24*Yield_Originals!L$1)/Yield_Originals!$K24</f>
        <v>0.27291420044648401</v>
      </c>
      <c r="M24" s="104">
        <f>(Yield_Originals!$G24*Yield_Originals!M$1)/Yield_Originals!$K24</f>
        <v>0.28144276921043665</v>
      </c>
      <c r="N24" s="104">
        <f>(Yield_Originals!$G24*Yield_Originals!N$1)/Yield_Originals!$K24</f>
        <v>0.28997133797438929</v>
      </c>
      <c r="O24" s="104">
        <f>(Yield_Originals!$G24*Yield_Originals!O$1)/Yield_Originals!$K24</f>
        <v>0.29849990673834192</v>
      </c>
      <c r="P24" s="105">
        <f>(Yield_Originals!$H24*Yield_Originals!P$1)/Yield_Originals!$K24</f>
        <v>0.32657620189734904</v>
      </c>
      <c r="Q24" s="105">
        <f>(Yield_Originals!$H24*Yield_Originals!Q$1)/Yield_Originals!$K24</f>
        <v>0.33564776306116428</v>
      </c>
      <c r="R24" s="105">
        <f>(Yield_Originals!$H24*Yield_Originals!R$1)/Yield_Originals!$K24</f>
        <v>0.34471932422497953</v>
      </c>
      <c r="S24" s="105">
        <f>(Yield_Originals!$H24*Yield_Originals!S$1)/Yield_Originals!$K24</f>
        <v>0.35379088538879483</v>
      </c>
      <c r="T24" s="107">
        <f>(Yield_Originals!$I24*Yield_Originals!T$1)/Yield_Originals!$K24</f>
        <v>0.38458214254711665</v>
      </c>
      <c r="U24" s="107">
        <f>(Yield_Originals!$I24*Yield_Originals!U$1)/Yield_Originals!$K24</f>
        <v>0.3941966961107945</v>
      </c>
      <c r="V24" s="107">
        <f>(Yield_Originals!$I24*Yield_Originals!V$1)/Yield_Originals!$K24</f>
        <v>0.40381124967447241</v>
      </c>
      <c r="W24" s="107">
        <f>(Yield_Originals!$I24*Yield_Originals!W$1)/Yield_Originals!$K24</f>
        <v>0.4134258032381502</v>
      </c>
      <c r="X24" s="108">
        <f>(Yield_Originals!$J24*Yield_Originals!X$1)/Yield_Originals!$K24</f>
        <v>0.37984340207634482</v>
      </c>
      <c r="Y24" s="108">
        <f>(Yield_Originals!$J24*Yield_Originals!Y$1)/Yield_Originals!$K24</f>
        <v>0.38847620666898891</v>
      </c>
      <c r="Z24" s="108">
        <f>(Yield_Originals!$J24*Yield_Originals!Z$1)/Yield_Originals!$K24</f>
        <v>0.39710901126163312</v>
      </c>
      <c r="AA24" s="108">
        <f>(Yield_Originals!$J24*Yield_Originals!AA$1)/Yield_Originals!$K24</f>
        <v>0.40574181585427727</v>
      </c>
      <c r="AB24" s="108">
        <f>(Yield_Originals!$J24*Yield_Originals!AB$1)/Yield_Originals!$K24</f>
        <v>0.41437462044692147</v>
      </c>
      <c r="AC24"/>
    </row>
    <row r="25" spans="1:29" x14ac:dyDescent="0.25">
      <c r="A25" s="70" t="s">
        <v>781</v>
      </c>
      <c r="B25" s="70">
        <v>2</v>
      </c>
      <c r="C25" s="39" t="s">
        <v>218</v>
      </c>
      <c r="D25" s="39" t="s">
        <v>1368</v>
      </c>
      <c r="E25" s="100">
        <v>10</v>
      </c>
      <c r="F25" s="102">
        <v>0.22742850037206999</v>
      </c>
      <c r="G25" s="102">
        <v>0.22742850037206999</v>
      </c>
      <c r="H25" s="102">
        <v>0.24190829770173999</v>
      </c>
      <c r="I25" s="102">
        <v>0.25638809503141102</v>
      </c>
      <c r="J25" s="102">
        <v>0.23020812247051201</v>
      </c>
      <c r="K25" s="103">
        <v>1</v>
      </c>
      <c r="L25" s="104">
        <f>(Yield_Originals!$G25*Yield_Originals!L$1)/Yield_Originals!$K25</f>
        <v>0.27291420044648401</v>
      </c>
      <c r="M25" s="104">
        <f>(Yield_Originals!$G25*Yield_Originals!M$1)/Yield_Originals!$K25</f>
        <v>0.28144276921043665</v>
      </c>
      <c r="N25" s="104">
        <f>(Yield_Originals!$G25*Yield_Originals!N$1)/Yield_Originals!$K25</f>
        <v>0.28997133797438929</v>
      </c>
      <c r="O25" s="104">
        <f>(Yield_Originals!$G25*Yield_Originals!O$1)/Yield_Originals!$K25</f>
        <v>0.29849990673834192</v>
      </c>
      <c r="P25" s="105">
        <f>(Yield_Originals!$H25*Yield_Originals!P$1)/Yield_Originals!$K25</f>
        <v>0.32657620189734904</v>
      </c>
      <c r="Q25" s="105">
        <f>(Yield_Originals!$H25*Yield_Originals!Q$1)/Yield_Originals!$K25</f>
        <v>0.33564776306116428</v>
      </c>
      <c r="R25" s="105">
        <f>(Yield_Originals!$H25*Yield_Originals!R$1)/Yield_Originals!$K25</f>
        <v>0.34471932422497953</v>
      </c>
      <c r="S25" s="105">
        <f>(Yield_Originals!$H25*Yield_Originals!S$1)/Yield_Originals!$K25</f>
        <v>0.35379088538879483</v>
      </c>
      <c r="T25" s="107">
        <f>(Yield_Originals!$I25*Yield_Originals!T$1)/Yield_Originals!$K25</f>
        <v>0.38458214254711665</v>
      </c>
      <c r="U25" s="107">
        <f>(Yield_Originals!$I25*Yield_Originals!U$1)/Yield_Originals!$K25</f>
        <v>0.3941966961107945</v>
      </c>
      <c r="V25" s="107">
        <f>(Yield_Originals!$I25*Yield_Originals!V$1)/Yield_Originals!$K25</f>
        <v>0.40381124967447241</v>
      </c>
      <c r="W25" s="107">
        <f>(Yield_Originals!$I25*Yield_Originals!W$1)/Yield_Originals!$K25</f>
        <v>0.4134258032381502</v>
      </c>
      <c r="X25" s="108">
        <f>(Yield_Originals!$J25*Yield_Originals!X$1)/Yield_Originals!$K25</f>
        <v>0.37984340207634482</v>
      </c>
      <c r="Y25" s="108">
        <f>(Yield_Originals!$J25*Yield_Originals!Y$1)/Yield_Originals!$K25</f>
        <v>0.38847620666898891</v>
      </c>
      <c r="Z25" s="108">
        <f>(Yield_Originals!$J25*Yield_Originals!Z$1)/Yield_Originals!$K25</f>
        <v>0.39710901126163312</v>
      </c>
      <c r="AA25" s="108">
        <f>(Yield_Originals!$J25*Yield_Originals!AA$1)/Yield_Originals!$K25</f>
        <v>0.40574181585427727</v>
      </c>
      <c r="AB25" s="108">
        <f>(Yield_Originals!$J25*Yield_Originals!AB$1)/Yield_Originals!$K25</f>
        <v>0.41437462044692147</v>
      </c>
      <c r="AC25"/>
    </row>
    <row r="26" spans="1:29" x14ac:dyDescent="0.25">
      <c r="A26" s="70" t="s">
        <v>781</v>
      </c>
      <c r="B26" s="70">
        <v>2</v>
      </c>
      <c r="C26" s="39" t="s">
        <v>218</v>
      </c>
      <c r="D26" s="39" t="s">
        <v>1368</v>
      </c>
      <c r="E26" s="100">
        <v>17</v>
      </c>
      <c r="F26" s="102">
        <v>0.22742850037206999</v>
      </c>
      <c r="G26" s="102">
        <v>0.22742850037206999</v>
      </c>
      <c r="H26" s="102">
        <v>0.24190829770173999</v>
      </c>
      <c r="I26" s="102">
        <v>0.25638809503141102</v>
      </c>
      <c r="J26" s="102">
        <v>0.23020812247051201</v>
      </c>
      <c r="K26" s="103">
        <v>1</v>
      </c>
      <c r="L26" s="104">
        <f>(Yield_Originals!$G26*Yield_Originals!L$1)/Yield_Originals!$K26</f>
        <v>0.27291420044648401</v>
      </c>
      <c r="M26" s="104">
        <f>(Yield_Originals!$G26*Yield_Originals!M$1)/Yield_Originals!$K26</f>
        <v>0.28144276921043665</v>
      </c>
      <c r="N26" s="104">
        <f>(Yield_Originals!$G26*Yield_Originals!N$1)/Yield_Originals!$K26</f>
        <v>0.28997133797438929</v>
      </c>
      <c r="O26" s="104">
        <f>(Yield_Originals!$G26*Yield_Originals!O$1)/Yield_Originals!$K26</f>
        <v>0.29849990673834192</v>
      </c>
      <c r="P26" s="105"/>
      <c r="Q26" s="105"/>
      <c r="R26" s="105"/>
      <c r="S26" s="105"/>
      <c r="T26" s="107"/>
      <c r="U26" s="107"/>
      <c r="V26" s="107"/>
      <c r="W26" s="107"/>
      <c r="X26" s="108"/>
      <c r="Y26" s="108"/>
      <c r="Z26" s="108"/>
      <c r="AA26" s="108"/>
      <c r="AB26" s="108"/>
      <c r="AC26"/>
    </row>
    <row r="27" spans="1:29" x14ac:dyDescent="0.25">
      <c r="A27" s="70" t="s">
        <v>781</v>
      </c>
      <c r="B27" s="70">
        <v>2</v>
      </c>
      <c r="C27" s="39" t="s">
        <v>792</v>
      </c>
      <c r="D27" s="39" t="s">
        <v>1369</v>
      </c>
      <c r="E27" s="100">
        <v>10</v>
      </c>
      <c r="F27" s="102">
        <v>0.22742850037206999</v>
      </c>
      <c r="G27" s="102">
        <v>0.22742850037206999</v>
      </c>
      <c r="H27" s="102">
        <v>0.24190829770173999</v>
      </c>
      <c r="I27" s="102">
        <v>0.25638809503141102</v>
      </c>
      <c r="J27" s="102">
        <v>0.23020812247051201</v>
      </c>
      <c r="K27" s="103">
        <v>1</v>
      </c>
      <c r="L27" s="104">
        <f>(Yield_Originals!$G27*Yield_Originals!L$1)/Yield_Originals!$K27</f>
        <v>0.27291420044648401</v>
      </c>
      <c r="M27" s="104">
        <f>(Yield_Originals!$G27*Yield_Originals!M$1)/Yield_Originals!$K27</f>
        <v>0.28144276921043665</v>
      </c>
      <c r="N27" s="104">
        <f>(Yield_Originals!$G27*Yield_Originals!N$1)/Yield_Originals!$K27</f>
        <v>0.28997133797438929</v>
      </c>
      <c r="O27" s="104">
        <f>(Yield_Originals!$G27*Yield_Originals!O$1)/Yield_Originals!$K27</f>
        <v>0.29849990673834192</v>
      </c>
      <c r="P27" s="105">
        <f>(Yield_Originals!$H27*Yield_Originals!P$1)/Yield_Originals!$K27</f>
        <v>0.32657620189734904</v>
      </c>
      <c r="Q27" s="105">
        <f>(Yield_Originals!$H27*Yield_Originals!Q$1)/Yield_Originals!$K27</f>
        <v>0.33564776306116428</v>
      </c>
      <c r="R27" s="105">
        <f>(Yield_Originals!$H27*Yield_Originals!R$1)/Yield_Originals!$K27</f>
        <v>0.34471932422497953</v>
      </c>
      <c r="S27" s="105">
        <f>(Yield_Originals!$H27*Yield_Originals!S$1)/Yield_Originals!$K27</f>
        <v>0.35379088538879483</v>
      </c>
      <c r="T27" s="107">
        <f>(Yield_Originals!$I27*Yield_Originals!T$1)/Yield_Originals!$K27</f>
        <v>0.38458214254711665</v>
      </c>
      <c r="U27" s="107">
        <f>(Yield_Originals!$I27*Yield_Originals!U$1)/Yield_Originals!$K27</f>
        <v>0.3941966961107945</v>
      </c>
      <c r="V27" s="107">
        <f>(Yield_Originals!$I27*Yield_Originals!V$1)/Yield_Originals!$K27</f>
        <v>0.40381124967447241</v>
      </c>
      <c r="W27" s="107">
        <f>(Yield_Originals!$I27*Yield_Originals!W$1)/Yield_Originals!$K27</f>
        <v>0.4134258032381502</v>
      </c>
      <c r="X27" s="108">
        <f>(Yield_Originals!$J27*Yield_Originals!X$1)/Yield_Originals!$K27</f>
        <v>0.37984340207634482</v>
      </c>
      <c r="Y27" s="108">
        <f>(Yield_Originals!$J27*Yield_Originals!Y$1)/Yield_Originals!$K27</f>
        <v>0.38847620666898891</v>
      </c>
      <c r="Z27" s="108">
        <f>(Yield_Originals!$J27*Yield_Originals!Z$1)/Yield_Originals!$K27</f>
        <v>0.39710901126163312</v>
      </c>
      <c r="AA27" s="108">
        <f>(Yield_Originals!$J27*Yield_Originals!AA$1)/Yield_Originals!$K27</f>
        <v>0.40574181585427727</v>
      </c>
      <c r="AB27" s="108">
        <f>(Yield_Originals!$J27*Yield_Originals!AB$1)/Yield_Originals!$K27</f>
        <v>0.41437462044692147</v>
      </c>
      <c r="AC27"/>
    </row>
    <row r="28" spans="1:29" x14ac:dyDescent="0.25">
      <c r="A28" s="70" t="s">
        <v>781</v>
      </c>
      <c r="B28" s="70">
        <v>2</v>
      </c>
      <c r="C28" s="39" t="s">
        <v>792</v>
      </c>
      <c r="D28" s="39" t="s">
        <v>1369</v>
      </c>
      <c r="E28" s="100">
        <v>17</v>
      </c>
      <c r="F28" s="102">
        <v>0.22742850037206999</v>
      </c>
      <c r="G28" s="102">
        <v>0.22742850037206999</v>
      </c>
      <c r="H28" s="102">
        <v>0.24190829770173999</v>
      </c>
      <c r="I28" s="102">
        <v>0.25638809503141102</v>
      </c>
      <c r="J28" s="102">
        <v>0.23020812247051201</v>
      </c>
      <c r="K28" s="103">
        <v>1</v>
      </c>
      <c r="L28" s="104">
        <f>(Yield_Originals!$G28*Yield_Originals!L$1)/Yield_Originals!$K28</f>
        <v>0.27291420044648401</v>
      </c>
      <c r="M28" s="104">
        <f>(Yield_Originals!$G28*Yield_Originals!M$1)/Yield_Originals!$K28</f>
        <v>0.28144276921043665</v>
      </c>
      <c r="N28" s="104">
        <f>(Yield_Originals!$G28*Yield_Originals!N$1)/Yield_Originals!$K28</f>
        <v>0.28997133797438929</v>
      </c>
      <c r="O28" s="104">
        <f>(Yield_Originals!$G28*Yield_Originals!O$1)/Yield_Originals!$K28</f>
        <v>0.29849990673834192</v>
      </c>
      <c r="P28" s="105"/>
      <c r="Q28" s="105"/>
      <c r="R28" s="105"/>
      <c r="S28" s="105"/>
      <c r="T28" s="107"/>
      <c r="U28" s="107"/>
      <c r="V28" s="107"/>
      <c r="W28" s="107"/>
      <c r="X28" s="108"/>
      <c r="Y28" s="108"/>
      <c r="Z28" s="108"/>
      <c r="AA28" s="108"/>
      <c r="AB28" s="108"/>
      <c r="AC28"/>
    </row>
    <row r="29" spans="1:29" x14ac:dyDescent="0.25">
      <c r="A29" s="70" t="s">
        <v>781</v>
      </c>
      <c r="B29" s="70">
        <v>2</v>
      </c>
      <c r="C29" s="39" t="s">
        <v>795</v>
      </c>
      <c r="D29" s="39" t="s">
        <v>1369</v>
      </c>
      <c r="E29" s="100">
        <v>10</v>
      </c>
      <c r="F29" s="102">
        <v>0.22742850037206999</v>
      </c>
      <c r="G29" s="102">
        <v>0.22742850037206999</v>
      </c>
      <c r="H29" s="102">
        <v>0.24190829770173999</v>
      </c>
      <c r="I29" s="102">
        <v>0.25638809503141102</v>
      </c>
      <c r="J29" s="102">
        <v>0.23020812247051201</v>
      </c>
      <c r="K29" s="103">
        <v>1</v>
      </c>
      <c r="L29" s="104">
        <f>(Yield_Originals!$G29*Yield_Originals!L$1)/Yield_Originals!$K29</f>
        <v>0.27291420044648401</v>
      </c>
      <c r="M29" s="104">
        <f>(Yield_Originals!$G29*Yield_Originals!M$1)/Yield_Originals!$K29</f>
        <v>0.28144276921043665</v>
      </c>
      <c r="N29" s="104">
        <f>(Yield_Originals!$G29*Yield_Originals!N$1)/Yield_Originals!$K29</f>
        <v>0.28997133797438929</v>
      </c>
      <c r="O29" s="104">
        <f>(Yield_Originals!$G29*Yield_Originals!O$1)/Yield_Originals!$K29</f>
        <v>0.29849990673834192</v>
      </c>
      <c r="P29" s="105">
        <f>(Yield_Originals!$H29*Yield_Originals!P$1)/Yield_Originals!$K29</f>
        <v>0.32657620189734904</v>
      </c>
      <c r="Q29" s="105">
        <f>(Yield_Originals!$H29*Yield_Originals!Q$1)/Yield_Originals!$K29</f>
        <v>0.33564776306116428</v>
      </c>
      <c r="R29" s="105">
        <f>(Yield_Originals!$H29*Yield_Originals!R$1)/Yield_Originals!$K29</f>
        <v>0.34471932422497953</v>
      </c>
      <c r="S29" s="105">
        <f>(Yield_Originals!$H29*Yield_Originals!S$1)/Yield_Originals!$K29</f>
        <v>0.35379088538879483</v>
      </c>
      <c r="T29" s="107">
        <f>(Yield_Originals!$I29*Yield_Originals!T$1)/Yield_Originals!$K29</f>
        <v>0.38458214254711665</v>
      </c>
      <c r="U29" s="107">
        <f>(Yield_Originals!$I29*Yield_Originals!U$1)/Yield_Originals!$K29</f>
        <v>0.3941966961107945</v>
      </c>
      <c r="V29" s="107">
        <f>(Yield_Originals!$I29*Yield_Originals!V$1)/Yield_Originals!$K29</f>
        <v>0.40381124967447241</v>
      </c>
      <c r="W29" s="107">
        <f>(Yield_Originals!$I29*Yield_Originals!W$1)/Yield_Originals!$K29</f>
        <v>0.4134258032381502</v>
      </c>
      <c r="X29" s="108">
        <f>(Yield_Originals!$J29*Yield_Originals!X$1)/Yield_Originals!$K29</f>
        <v>0.37984340207634482</v>
      </c>
      <c r="Y29" s="108">
        <f>(Yield_Originals!$J29*Yield_Originals!Y$1)/Yield_Originals!$K29</f>
        <v>0.38847620666898891</v>
      </c>
      <c r="Z29" s="108">
        <f>(Yield_Originals!$J29*Yield_Originals!Z$1)/Yield_Originals!$K29</f>
        <v>0.39710901126163312</v>
      </c>
      <c r="AA29" s="108">
        <f>(Yield_Originals!$J29*Yield_Originals!AA$1)/Yield_Originals!$K29</f>
        <v>0.40574181585427727</v>
      </c>
      <c r="AB29" s="108">
        <f>(Yield_Originals!$J29*Yield_Originals!AB$1)/Yield_Originals!$K29</f>
        <v>0.41437462044692147</v>
      </c>
      <c r="AC29"/>
    </row>
    <row r="30" spans="1:29" x14ac:dyDescent="0.25">
      <c r="A30" s="70" t="s">
        <v>781</v>
      </c>
      <c r="B30" s="70">
        <v>2</v>
      </c>
      <c r="C30" s="39" t="s">
        <v>795</v>
      </c>
      <c r="D30" s="39" t="s">
        <v>1369</v>
      </c>
      <c r="E30" s="100">
        <v>17</v>
      </c>
      <c r="F30" s="102">
        <v>0.22742850037206999</v>
      </c>
      <c r="G30" s="102">
        <v>0.22742850037206999</v>
      </c>
      <c r="H30" s="102">
        <v>0.24190829770173999</v>
      </c>
      <c r="I30" s="102">
        <v>0.25638809503141102</v>
      </c>
      <c r="J30" s="102">
        <v>0.23020812247051201</v>
      </c>
      <c r="K30" s="103">
        <v>1</v>
      </c>
      <c r="L30" s="104">
        <f>(Yield_Originals!$G30*Yield_Originals!L$1)/Yield_Originals!$K30</f>
        <v>0.27291420044648401</v>
      </c>
      <c r="M30" s="104">
        <f>(Yield_Originals!$G30*Yield_Originals!M$1)/Yield_Originals!$K30</f>
        <v>0.28144276921043665</v>
      </c>
      <c r="N30" s="104">
        <f>(Yield_Originals!$G30*Yield_Originals!N$1)/Yield_Originals!$K30</f>
        <v>0.28997133797438929</v>
      </c>
      <c r="O30" s="104">
        <f>(Yield_Originals!$G30*Yield_Originals!O$1)/Yield_Originals!$K30</f>
        <v>0.29849990673834192</v>
      </c>
      <c r="P30" s="105"/>
      <c r="Q30" s="105"/>
      <c r="R30" s="105"/>
      <c r="S30" s="105"/>
      <c r="T30" s="107"/>
      <c r="U30" s="107"/>
      <c r="V30" s="107"/>
      <c r="W30" s="107"/>
      <c r="X30" s="108"/>
      <c r="Y30" s="108"/>
      <c r="Z30" s="108"/>
      <c r="AA30" s="108"/>
      <c r="AB30" s="108"/>
      <c r="AC30"/>
    </row>
    <row r="31" spans="1:29" x14ac:dyDescent="0.25">
      <c r="A31" s="72" t="s">
        <v>839</v>
      </c>
      <c r="B31" s="70">
        <v>2</v>
      </c>
      <c r="C31" s="99" t="s">
        <v>344</v>
      </c>
      <c r="D31" s="99" t="s">
        <v>838</v>
      </c>
      <c r="E31" s="100">
        <v>13</v>
      </c>
      <c r="F31" s="102">
        <v>0.22742850037206999</v>
      </c>
      <c r="G31" s="102">
        <v>0.22742850037206999</v>
      </c>
      <c r="H31" s="102">
        <f>+(Yield_Originals!I31+Yield_Originals!G31)/2</f>
        <v>0.24190829770174049</v>
      </c>
      <c r="I31" s="102">
        <v>0.25638809503141102</v>
      </c>
      <c r="J31" s="102">
        <v>0.23020812247051201</v>
      </c>
      <c r="K31" s="103">
        <v>1</v>
      </c>
      <c r="L31" s="104"/>
      <c r="M31" s="104"/>
      <c r="N31" s="104"/>
      <c r="O31" s="104"/>
      <c r="P31" s="105">
        <f>(Yield_Originals!$H31*Yield_Originals!P$1)/Yield_Originals!$K31</f>
        <v>0.3265762018973497</v>
      </c>
      <c r="Q31" s="105">
        <f>(Yield_Originals!$H31*Yield_Originals!Q$1)/Yield_Originals!$K31</f>
        <v>0.33564776306116495</v>
      </c>
      <c r="R31" s="105">
        <f>(Yield_Originals!$H31*Yield_Originals!R$1)/Yield_Originals!$K31</f>
        <v>0.34471932422498025</v>
      </c>
      <c r="S31" s="105">
        <f>(Yield_Originals!$H31*Yield_Originals!S$1)/Yield_Originals!$K31</f>
        <v>0.35379088538879555</v>
      </c>
      <c r="T31" s="107">
        <f>(Yield_Originals!$I31*Yield_Originals!T$1)/Yield_Originals!$K31</f>
        <v>0.38458214254711665</v>
      </c>
      <c r="U31" s="107"/>
      <c r="V31" s="107"/>
      <c r="W31" s="107"/>
      <c r="X31" s="108"/>
      <c r="Y31" s="108"/>
      <c r="Z31" s="108"/>
      <c r="AA31" s="108"/>
      <c r="AB31" s="108"/>
      <c r="AC31"/>
    </row>
    <row r="32" spans="1:29" x14ac:dyDescent="0.25">
      <c r="A32" s="72" t="s">
        <v>839</v>
      </c>
      <c r="B32" s="70">
        <v>2</v>
      </c>
      <c r="C32" s="99" t="s">
        <v>344</v>
      </c>
      <c r="D32" s="99" t="s">
        <v>838</v>
      </c>
      <c r="E32" s="100">
        <v>20</v>
      </c>
      <c r="F32" s="102">
        <v>0.22742850037206999</v>
      </c>
      <c r="G32" s="102">
        <v>0.22742850037206999</v>
      </c>
      <c r="H32" s="102">
        <f>+(Yield_Originals!I32+Yield_Originals!G32)/2</f>
        <v>0.24190829770174049</v>
      </c>
      <c r="I32" s="102">
        <v>0.25638809503141102</v>
      </c>
      <c r="J32" s="102">
        <v>0.23020812247051201</v>
      </c>
      <c r="K32" s="103">
        <v>1</v>
      </c>
      <c r="L32" s="104"/>
      <c r="M32" s="104"/>
      <c r="N32" s="104"/>
      <c r="O32" s="104"/>
      <c r="P32" s="105">
        <f>(Yield_Originals!$H32*Yield_Originals!P$1)/Yield_Originals!$K32</f>
        <v>0.3265762018973497</v>
      </c>
      <c r="Q32" s="105">
        <f>(Yield_Originals!$H32*Yield_Originals!Q$1)/Yield_Originals!$K32</f>
        <v>0.33564776306116495</v>
      </c>
      <c r="R32" s="105">
        <f>(Yield_Originals!$H32*Yield_Originals!R$1)/Yield_Originals!$K32</f>
        <v>0.34471932422498025</v>
      </c>
      <c r="S32" s="105">
        <f>(Yield_Originals!$H32*Yield_Originals!S$1)/Yield_Originals!$K32</f>
        <v>0.35379088538879555</v>
      </c>
      <c r="T32" s="107">
        <f>(Yield_Originals!$I32*Yield_Originals!T$1)/Yield_Originals!$K32</f>
        <v>0.38458214254711665</v>
      </c>
      <c r="U32" s="107"/>
      <c r="V32" s="107"/>
      <c r="W32" s="107"/>
      <c r="X32" s="108"/>
      <c r="Y32" s="108"/>
      <c r="Z32" s="108"/>
      <c r="AA32" s="108"/>
      <c r="AB32" s="108"/>
      <c r="AC32"/>
    </row>
    <row r="33" spans="1:29" x14ac:dyDescent="0.25">
      <c r="A33" s="72" t="s">
        <v>839</v>
      </c>
      <c r="B33" s="70">
        <v>2</v>
      </c>
      <c r="C33" s="99" t="s">
        <v>219</v>
      </c>
      <c r="D33" s="99" t="s">
        <v>843</v>
      </c>
      <c r="E33" s="100">
        <v>13</v>
      </c>
      <c r="F33" s="102">
        <v>0.22742850037206999</v>
      </c>
      <c r="G33" s="102">
        <v>0.22742850037206999</v>
      </c>
      <c r="H33" s="102">
        <f>+(Yield_Originals!I33+Yield_Originals!G33)/2</f>
        <v>0.24190829770174049</v>
      </c>
      <c r="I33" s="102">
        <v>0.25638809503141102</v>
      </c>
      <c r="J33" s="102">
        <v>0.23020812247051201</v>
      </c>
      <c r="K33" s="103">
        <v>1</v>
      </c>
      <c r="L33" s="104"/>
      <c r="M33" s="104"/>
      <c r="N33" s="104"/>
      <c r="O33" s="104"/>
      <c r="P33" s="105">
        <f>(Yield_Originals!$H33*Yield_Originals!P$1)/Yield_Originals!$K33</f>
        <v>0.3265762018973497</v>
      </c>
      <c r="Q33" s="105">
        <f>(Yield_Originals!$H33*Yield_Originals!Q$1)/Yield_Originals!$K33</f>
        <v>0.33564776306116495</v>
      </c>
      <c r="R33" s="105">
        <f>(Yield_Originals!$H33*Yield_Originals!R$1)/Yield_Originals!$K33</f>
        <v>0.34471932422498025</v>
      </c>
      <c r="S33" s="105">
        <f>(Yield_Originals!$H33*Yield_Originals!S$1)/Yield_Originals!$K33</f>
        <v>0.35379088538879555</v>
      </c>
      <c r="T33" s="107">
        <f>(Yield_Originals!$I33*Yield_Originals!T$1)/Yield_Originals!$K33</f>
        <v>0.38458214254711665</v>
      </c>
      <c r="U33" s="107"/>
      <c r="V33" s="107"/>
      <c r="W33" s="107"/>
      <c r="X33" s="108"/>
      <c r="Y33" s="108"/>
      <c r="Z33" s="108"/>
      <c r="AA33" s="108"/>
      <c r="AB33" s="108"/>
      <c r="AC33"/>
    </row>
    <row r="34" spans="1:29" x14ac:dyDescent="0.25">
      <c r="A34" s="72" t="s">
        <v>839</v>
      </c>
      <c r="B34" s="70">
        <v>2</v>
      </c>
      <c r="C34" s="99" t="s">
        <v>219</v>
      </c>
      <c r="D34" s="99" t="s">
        <v>843</v>
      </c>
      <c r="E34" s="100">
        <v>20</v>
      </c>
      <c r="F34" s="102">
        <v>0.22742850037206999</v>
      </c>
      <c r="G34" s="102">
        <v>0.22742850037206999</v>
      </c>
      <c r="H34" s="102">
        <f>+(Yield_Originals!I34+Yield_Originals!G34)/2</f>
        <v>0.24190829770174049</v>
      </c>
      <c r="I34" s="102">
        <v>0.25638809503141102</v>
      </c>
      <c r="J34" s="102">
        <v>0.23020812247051201</v>
      </c>
      <c r="K34" s="103">
        <v>1</v>
      </c>
      <c r="L34" s="104"/>
      <c r="M34" s="104"/>
      <c r="N34" s="104"/>
      <c r="O34" s="104"/>
      <c r="P34" s="105">
        <f>(Yield_Originals!$H34*Yield_Originals!P$1)/Yield_Originals!$K34</f>
        <v>0.3265762018973497</v>
      </c>
      <c r="Q34" s="105">
        <f>(Yield_Originals!$H34*Yield_Originals!Q$1)/Yield_Originals!$K34</f>
        <v>0.33564776306116495</v>
      </c>
      <c r="R34" s="105">
        <f>(Yield_Originals!$H34*Yield_Originals!R$1)/Yield_Originals!$K34</f>
        <v>0.34471932422498025</v>
      </c>
      <c r="S34" s="105">
        <f>(Yield_Originals!$H34*Yield_Originals!S$1)/Yield_Originals!$K34</f>
        <v>0.35379088538879555</v>
      </c>
      <c r="T34" s="107">
        <f>(Yield_Originals!$I34*Yield_Originals!T$1)/Yield_Originals!$K34</f>
        <v>0.38458214254711665</v>
      </c>
      <c r="U34" s="107"/>
      <c r="V34" s="107"/>
      <c r="W34" s="107"/>
      <c r="X34" s="108"/>
      <c r="Y34" s="108"/>
      <c r="Z34" s="108"/>
      <c r="AA34" s="108"/>
      <c r="AB34" s="108"/>
      <c r="AC34"/>
    </row>
    <row r="35" spans="1:29" x14ac:dyDescent="0.25">
      <c r="A35" s="70" t="s">
        <v>824</v>
      </c>
      <c r="B35" s="70">
        <v>2</v>
      </c>
      <c r="C35" s="99" t="s">
        <v>346</v>
      </c>
      <c r="D35" s="99" t="s">
        <v>823</v>
      </c>
      <c r="E35" s="100">
        <v>12</v>
      </c>
      <c r="F35" s="102">
        <v>0.22742850037206999</v>
      </c>
      <c r="G35" s="102">
        <v>0.22742850037206999</v>
      </c>
      <c r="H35" s="102">
        <f>+(Yield_Originals!I35+Yield_Originals!G35)/2</f>
        <v>0.24190829770174049</v>
      </c>
      <c r="I35" s="102">
        <v>0.25638809503141102</v>
      </c>
      <c r="J35" s="102">
        <v>0.23020812247051201</v>
      </c>
      <c r="K35" s="103">
        <v>1</v>
      </c>
      <c r="L35" s="104">
        <f>(Yield_Originals!$G35*Yield_Originals!L$1)/Yield_Originals!$K35</f>
        <v>0.27291420044648401</v>
      </c>
      <c r="M35" s="104">
        <f>(Yield_Originals!$G35*Yield_Originals!M$1)/Yield_Originals!$K35</f>
        <v>0.28144276921043665</v>
      </c>
      <c r="N35" s="104">
        <f>(Yield_Originals!$G35*Yield_Originals!N$1)/Yield_Originals!$K35</f>
        <v>0.28997133797438929</v>
      </c>
      <c r="O35" s="104">
        <f>(Yield_Originals!$G35*Yield_Originals!O$1)/Yield_Originals!$K35</f>
        <v>0.29849990673834192</v>
      </c>
      <c r="P35" s="105"/>
      <c r="Q35" s="105"/>
      <c r="R35" s="105"/>
      <c r="S35" s="105"/>
      <c r="T35" s="107"/>
      <c r="U35" s="107"/>
      <c r="V35" s="107"/>
      <c r="W35" s="107"/>
      <c r="X35" s="108"/>
      <c r="Y35" s="108"/>
      <c r="Z35" s="108"/>
      <c r="AA35" s="108"/>
      <c r="AB35" s="108"/>
      <c r="AC35"/>
    </row>
    <row r="36" spans="1:29" x14ac:dyDescent="0.25">
      <c r="A36" s="70" t="s">
        <v>824</v>
      </c>
      <c r="B36" s="70">
        <v>2</v>
      </c>
      <c r="C36" s="99" t="s">
        <v>346</v>
      </c>
      <c r="D36" s="99" t="s">
        <v>823</v>
      </c>
      <c r="E36" s="100">
        <v>19</v>
      </c>
      <c r="F36" s="102">
        <v>0.22742850037206999</v>
      </c>
      <c r="G36" s="102">
        <v>0.22742850037206999</v>
      </c>
      <c r="H36" s="102">
        <f>+(Yield_Originals!I36+Yield_Originals!G36)/2</f>
        <v>0.24190829770174049</v>
      </c>
      <c r="I36" s="102">
        <v>0.25638809503141102</v>
      </c>
      <c r="J36" s="102">
        <v>0.23020812247051201</v>
      </c>
      <c r="K36" s="103">
        <v>1</v>
      </c>
      <c r="L36" s="104">
        <f>(Yield_Originals!$G36*Yield_Originals!L$1)/Yield_Originals!$K36</f>
        <v>0.27291420044648401</v>
      </c>
      <c r="M36" s="104">
        <f>(Yield_Originals!$G36*Yield_Originals!M$1)/Yield_Originals!$K36</f>
        <v>0.28144276921043665</v>
      </c>
      <c r="N36" s="104">
        <f>(Yield_Originals!$G36*Yield_Originals!N$1)/Yield_Originals!$K36</f>
        <v>0.28997133797438929</v>
      </c>
      <c r="O36" s="104">
        <f>(Yield_Originals!$G36*Yield_Originals!O$1)/Yield_Originals!$K36</f>
        <v>0.29849990673834192</v>
      </c>
      <c r="P36" s="105"/>
      <c r="Q36" s="105"/>
      <c r="R36" s="105"/>
      <c r="S36" s="105"/>
      <c r="T36" s="107"/>
      <c r="U36" s="107"/>
      <c r="V36" s="107"/>
      <c r="W36" s="107"/>
      <c r="X36" s="108"/>
      <c r="Y36" s="108"/>
      <c r="Z36" s="108"/>
      <c r="AA36" s="108"/>
      <c r="AB36" s="108"/>
      <c r="AC36"/>
    </row>
    <row r="37" spans="1:29" x14ac:dyDescent="0.25">
      <c r="A37" s="70" t="s">
        <v>824</v>
      </c>
      <c r="B37" s="70">
        <v>2</v>
      </c>
      <c r="C37" s="99" t="s">
        <v>220</v>
      </c>
      <c r="D37" s="99" t="s">
        <v>827</v>
      </c>
      <c r="E37" s="100">
        <v>12</v>
      </c>
      <c r="F37" s="102">
        <v>0.22742850037206999</v>
      </c>
      <c r="G37" s="102">
        <v>0.22742850037206999</v>
      </c>
      <c r="H37" s="102">
        <f>+(Yield_Originals!I37+Yield_Originals!G37)/2</f>
        <v>0.24190829770174049</v>
      </c>
      <c r="I37" s="102">
        <v>0.25638809503141102</v>
      </c>
      <c r="J37" s="102">
        <v>0.23020812247051201</v>
      </c>
      <c r="K37" s="103">
        <v>1</v>
      </c>
      <c r="L37" s="104">
        <f>(Yield_Originals!$G37*Yield_Originals!L$1)/Yield_Originals!$K37</f>
        <v>0.27291420044648401</v>
      </c>
      <c r="M37" s="104">
        <f>(Yield_Originals!$G37*Yield_Originals!M$1)/Yield_Originals!$K37</f>
        <v>0.28144276921043665</v>
      </c>
      <c r="N37" s="104">
        <f>(Yield_Originals!$G37*Yield_Originals!N$1)/Yield_Originals!$K37</f>
        <v>0.28997133797438929</v>
      </c>
      <c r="O37" s="104">
        <f>(Yield_Originals!$G37*Yield_Originals!O$1)/Yield_Originals!$K37</f>
        <v>0.29849990673834192</v>
      </c>
      <c r="P37" s="105"/>
      <c r="Q37" s="105"/>
      <c r="R37" s="105"/>
      <c r="S37" s="105"/>
      <c r="T37" s="107"/>
      <c r="U37" s="107"/>
      <c r="V37" s="107"/>
      <c r="W37" s="107"/>
      <c r="X37" s="108"/>
      <c r="Y37" s="108"/>
      <c r="Z37" s="108"/>
      <c r="AA37" s="108"/>
      <c r="AB37" s="108"/>
      <c r="AC37"/>
    </row>
    <row r="38" spans="1:29" x14ac:dyDescent="0.25">
      <c r="A38" s="70" t="s">
        <v>824</v>
      </c>
      <c r="B38" s="70">
        <v>2</v>
      </c>
      <c r="C38" s="99" t="s">
        <v>220</v>
      </c>
      <c r="D38" s="99" t="s">
        <v>827</v>
      </c>
      <c r="E38" s="100">
        <v>19</v>
      </c>
      <c r="F38" s="102">
        <v>0.22742850037206999</v>
      </c>
      <c r="G38" s="102">
        <v>0.22742850037206999</v>
      </c>
      <c r="H38" s="102">
        <f>+(Yield_Originals!I38+Yield_Originals!G38)/2</f>
        <v>0.24190829770174049</v>
      </c>
      <c r="I38" s="102">
        <v>0.25638809503141102</v>
      </c>
      <c r="J38" s="102">
        <v>0.23020812247051201</v>
      </c>
      <c r="K38" s="103">
        <v>1</v>
      </c>
      <c r="L38" s="104">
        <f>(Yield_Originals!$G38*Yield_Originals!L$1)/Yield_Originals!$K38</f>
        <v>0.27291420044648401</v>
      </c>
      <c r="M38" s="104">
        <f>(Yield_Originals!$G38*Yield_Originals!M$1)/Yield_Originals!$K38</f>
        <v>0.28144276921043665</v>
      </c>
      <c r="N38" s="104">
        <f>(Yield_Originals!$G38*Yield_Originals!N$1)/Yield_Originals!$K38</f>
        <v>0.28997133797438929</v>
      </c>
      <c r="O38" s="104">
        <f>(Yield_Originals!$G38*Yield_Originals!O$1)/Yield_Originals!$K38</f>
        <v>0.29849990673834192</v>
      </c>
      <c r="P38" s="105"/>
      <c r="Q38" s="105"/>
      <c r="R38" s="105"/>
      <c r="S38" s="105"/>
      <c r="T38" s="107"/>
      <c r="U38" s="107"/>
      <c r="V38" s="107"/>
      <c r="W38" s="107"/>
      <c r="X38" s="108"/>
      <c r="Y38" s="108"/>
      <c r="Z38" s="108"/>
      <c r="AA38" s="108"/>
      <c r="AB38" s="108"/>
      <c r="AC38"/>
    </row>
    <row r="39" spans="1:29" x14ac:dyDescent="0.25">
      <c r="A39" s="70" t="s">
        <v>824</v>
      </c>
      <c r="B39" s="70">
        <v>2</v>
      </c>
      <c r="C39" s="99" t="s">
        <v>221</v>
      </c>
      <c r="D39" s="99" t="s">
        <v>835</v>
      </c>
      <c r="E39" s="100">
        <v>12</v>
      </c>
      <c r="F39" s="102">
        <v>0.22742850037206999</v>
      </c>
      <c r="G39" s="102">
        <v>0.22742850037206999</v>
      </c>
      <c r="H39" s="102">
        <f>+(Yield_Originals!I39+Yield_Originals!G39)/2</f>
        <v>0.24190829770174049</v>
      </c>
      <c r="I39" s="102">
        <v>0.25638809503141102</v>
      </c>
      <c r="J39" s="102">
        <v>0.23020812247051201</v>
      </c>
      <c r="K39" s="103">
        <v>1</v>
      </c>
      <c r="L39" s="104">
        <f>(Yield_Originals!$G39*Yield_Originals!L$1)/Yield_Originals!$K39</f>
        <v>0.27291420044648401</v>
      </c>
      <c r="M39" s="104">
        <f>(Yield_Originals!$G39*Yield_Originals!M$1)/Yield_Originals!$K39</f>
        <v>0.28144276921043665</v>
      </c>
      <c r="N39" s="104">
        <f>(Yield_Originals!$G39*Yield_Originals!N$1)/Yield_Originals!$K39</f>
        <v>0.28997133797438929</v>
      </c>
      <c r="O39" s="104">
        <f>(Yield_Originals!$G39*Yield_Originals!O$1)/Yield_Originals!$K39</f>
        <v>0.29849990673834192</v>
      </c>
      <c r="P39" s="105"/>
      <c r="Q39" s="105"/>
      <c r="R39" s="105"/>
      <c r="S39" s="105"/>
      <c r="T39" s="107"/>
      <c r="U39" s="107"/>
      <c r="V39" s="107"/>
      <c r="W39" s="107"/>
      <c r="X39" s="108"/>
      <c r="Y39" s="108"/>
      <c r="Z39" s="108"/>
      <c r="AA39" s="108"/>
      <c r="AB39" s="108"/>
      <c r="AC39"/>
    </row>
    <row r="40" spans="1:29" x14ac:dyDescent="0.25">
      <c r="A40" s="70" t="s">
        <v>824</v>
      </c>
      <c r="B40" s="70">
        <v>2</v>
      </c>
      <c r="C40" s="99" t="s">
        <v>221</v>
      </c>
      <c r="D40" s="99" t="s">
        <v>835</v>
      </c>
      <c r="E40" s="100">
        <v>19</v>
      </c>
      <c r="F40" s="102">
        <v>0.22742850037206999</v>
      </c>
      <c r="G40" s="102">
        <v>0.22742850037206999</v>
      </c>
      <c r="H40" s="102">
        <f>+(Yield_Originals!I40+Yield_Originals!G40)/2</f>
        <v>0.24190829770174049</v>
      </c>
      <c r="I40" s="102">
        <v>0.25638809503141102</v>
      </c>
      <c r="J40" s="102">
        <v>0.23020812247051201</v>
      </c>
      <c r="K40" s="103">
        <v>1</v>
      </c>
      <c r="L40" s="104">
        <f>(Yield_Originals!$G40*Yield_Originals!L$1)/Yield_Originals!$K40</f>
        <v>0.27291420044648401</v>
      </c>
      <c r="M40" s="104">
        <f>(Yield_Originals!$G40*Yield_Originals!M$1)/Yield_Originals!$K40</f>
        <v>0.28144276921043665</v>
      </c>
      <c r="N40" s="104">
        <f>(Yield_Originals!$G40*Yield_Originals!N$1)/Yield_Originals!$K40</f>
        <v>0.28997133797438929</v>
      </c>
      <c r="O40" s="104">
        <f>(Yield_Originals!$G40*Yield_Originals!O$1)/Yield_Originals!$K40</f>
        <v>0.29849990673834192</v>
      </c>
      <c r="P40" s="105"/>
      <c r="Q40" s="105"/>
      <c r="R40" s="105"/>
      <c r="S40" s="105"/>
      <c r="T40" s="107"/>
      <c r="U40" s="107"/>
      <c r="V40" s="107"/>
      <c r="W40" s="107"/>
      <c r="X40" s="108"/>
      <c r="Y40" s="108"/>
      <c r="Z40" s="108"/>
      <c r="AA40" s="108"/>
      <c r="AB40" s="108"/>
      <c r="AC40"/>
    </row>
    <row r="41" spans="1:29" s="99" customFormat="1" x14ac:dyDescent="0.25">
      <c r="A41" s="70" t="s">
        <v>824</v>
      </c>
      <c r="B41" s="70">
        <v>2</v>
      </c>
      <c r="C41" s="99" t="s">
        <v>350</v>
      </c>
      <c r="D41" s="99" t="s">
        <v>830</v>
      </c>
      <c r="E41" s="100">
        <v>12</v>
      </c>
      <c r="F41" s="102">
        <v>0.22742850037206999</v>
      </c>
      <c r="G41" s="102">
        <v>0.22742850037206999</v>
      </c>
      <c r="H41" s="102">
        <f>+(Yield_Originals!I41+Yield_Originals!G41)/2</f>
        <v>0.24190829770174049</v>
      </c>
      <c r="I41" s="102">
        <v>0.25638809503141102</v>
      </c>
      <c r="J41" s="102">
        <v>0.23020812247051201</v>
      </c>
      <c r="K41" s="103">
        <v>1</v>
      </c>
      <c r="L41" s="104">
        <f>(Yield_Originals!$G41*Yield_Originals!L$1)/Yield_Originals!$K41</f>
        <v>0.27291420044648401</v>
      </c>
      <c r="M41" s="104">
        <f>(Yield_Originals!$G41*Yield_Originals!M$1)/Yield_Originals!$K41</f>
        <v>0.28144276921043665</v>
      </c>
      <c r="N41" s="104">
        <f>(Yield_Originals!$G41*Yield_Originals!N$1)/Yield_Originals!$K41</f>
        <v>0.28997133797438929</v>
      </c>
      <c r="O41" s="104">
        <f>(Yield_Originals!$G41*Yield_Originals!O$1)/Yield_Originals!$K41</f>
        <v>0.29849990673834192</v>
      </c>
      <c r="P41" s="105"/>
      <c r="Q41" s="105"/>
      <c r="R41" s="105"/>
      <c r="S41" s="105"/>
      <c r="T41" s="107"/>
      <c r="U41" s="107"/>
      <c r="V41" s="107"/>
      <c r="W41" s="107"/>
      <c r="X41" s="108"/>
      <c r="Y41" s="108"/>
      <c r="Z41" s="108"/>
      <c r="AA41" s="108"/>
      <c r="AB41" s="108"/>
      <c r="AC41" s="70"/>
    </row>
    <row r="42" spans="1:29" s="99" customFormat="1" x14ac:dyDescent="0.25">
      <c r="A42" s="70" t="s">
        <v>824</v>
      </c>
      <c r="B42" s="70">
        <v>2</v>
      </c>
      <c r="C42" s="99" t="s">
        <v>350</v>
      </c>
      <c r="D42" s="99" t="s">
        <v>830</v>
      </c>
      <c r="E42" s="100">
        <v>19</v>
      </c>
      <c r="F42" s="102">
        <v>0.22742850037206999</v>
      </c>
      <c r="G42" s="102">
        <v>0.22742850037206999</v>
      </c>
      <c r="H42" s="102">
        <f>+(Yield_Originals!I42+Yield_Originals!G42)/2</f>
        <v>0.24190829770174049</v>
      </c>
      <c r="I42" s="102">
        <v>0.25638809503141102</v>
      </c>
      <c r="J42" s="102">
        <v>0.23020812247051201</v>
      </c>
      <c r="K42" s="103">
        <v>1</v>
      </c>
      <c r="L42" s="104">
        <f>(Yield_Originals!$G42*Yield_Originals!L$1)/Yield_Originals!$K42</f>
        <v>0.27291420044648401</v>
      </c>
      <c r="M42" s="104">
        <f>(Yield_Originals!$G42*Yield_Originals!M$1)/Yield_Originals!$K42</f>
        <v>0.28144276921043665</v>
      </c>
      <c r="N42" s="104">
        <f>(Yield_Originals!$G42*Yield_Originals!N$1)/Yield_Originals!$K42</f>
        <v>0.28997133797438929</v>
      </c>
      <c r="O42" s="104">
        <f>(Yield_Originals!$G42*Yield_Originals!O$1)/Yield_Originals!$K42</f>
        <v>0.29849990673834192</v>
      </c>
      <c r="P42" s="105"/>
      <c r="Q42" s="105"/>
      <c r="R42" s="105"/>
      <c r="S42" s="105"/>
      <c r="T42" s="107"/>
      <c r="U42" s="107"/>
      <c r="V42" s="107"/>
      <c r="W42" s="107"/>
      <c r="X42" s="108"/>
      <c r="Y42" s="108"/>
      <c r="Z42" s="108"/>
      <c r="AA42" s="108"/>
      <c r="AB42" s="108"/>
      <c r="AC42" s="70"/>
    </row>
    <row r="43" spans="1:29" s="99" customFormat="1" x14ac:dyDescent="0.25">
      <c r="A43" s="70" t="s">
        <v>824</v>
      </c>
      <c r="B43" s="70">
        <v>2</v>
      </c>
      <c r="C43" s="99" t="s">
        <v>222</v>
      </c>
      <c r="D43" s="99" t="s">
        <v>833</v>
      </c>
      <c r="E43" s="100">
        <v>12</v>
      </c>
      <c r="F43" s="102">
        <v>0.22742850037206999</v>
      </c>
      <c r="G43" s="102">
        <v>0.22742850037206999</v>
      </c>
      <c r="H43" s="102">
        <f>+(Yield_Originals!I43+Yield_Originals!G43)/2</f>
        <v>0.24190829770174049</v>
      </c>
      <c r="I43" s="102">
        <v>0.25638809503141102</v>
      </c>
      <c r="J43" s="102">
        <v>0.23020812247051201</v>
      </c>
      <c r="K43" s="103">
        <v>1</v>
      </c>
      <c r="L43" s="104">
        <f>(Yield_Originals!$G43*Yield_Originals!L$1)/Yield_Originals!$K43</f>
        <v>0.27291420044648401</v>
      </c>
      <c r="M43" s="104">
        <f>(Yield_Originals!$G43*Yield_Originals!M$1)/Yield_Originals!$K43</f>
        <v>0.28144276921043665</v>
      </c>
      <c r="N43" s="104">
        <f>(Yield_Originals!$G43*Yield_Originals!N$1)/Yield_Originals!$K43</f>
        <v>0.28997133797438929</v>
      </c>
      <c r="O43" s="104">
        <f>(Yield_Originals!$G43*Yield_Originals!O$1)/Yield_Originals!$K43</f>
        <v>0.29849990673834192</v>
      </c>
      <c r="P43" s="105"/>
      <c r="Q43" s="105"/>
      <c r="R43" s="105"/>
      <c r="S43" s="105"/>
      <c r="T43" s="107"/>
      <c r="U43" s="107"/>
      <c r="V43" s="107"/>
      <c r="W43" s="107"/>
      <c r="X43" s="108"/>
      <c r="Y43" s="108"/>
      <c r="Z43" s="108"/>
      <c r="AA43" s="108"/>
      <c r="AB43" s="108"/>
      <c r="AC43" s="70"/>
    </row>
    <row r="44" spans="1:29" s="99" customFormat="1" x14ac:dyDescent="0.25">
      <c r="A44" s="70" t="s">
        <v>824</v>
      </c>
      <c r="B44" s="70">
        <v>2</v>
      </c>
      <c r="C44" s="99" t="s">
        <v>222</v>
      </c>
      <c r="D44" s="99" t="s">
        <v>833</v>
      </c>
      <c r="E44" s="100">
        <v>19</v>
      </c>
      <c r="F44" s="102">
        <v>0.22742850037206999</v>
      </c>
      <c r="G44" s="102">
        <v>0.22742850037206999</v>
      </c>
      <c r="H44" s="102">
        <f>+(Yield_Originals!I44+Yield_Originals!G44)/2</f>
        <v>0.24190829770174049</v>
      </c>
      <c r="I44" s="102">
        <v>0.25638809503141102</v>
      </c>
      <c r="J44" s="102">
        <v>0.23020812247051201</v>
      </c>
      <c r="K44" s="103">
        <v>1</v>
      </c>
      <c r="L44" s="104">
        <f>(Yield_Originals!$G44*Yield_Originals!L$1)/Yield_Originals!$K44</f>
        <v>0.27291420044648401</v>
      </c>
      <c r="M44" s="104">
        <f>(Yield_Originals!$G44*Yield_Originals!M$1)/Yield_Originals!$K44</f>
        <v>0.28144276921043665</v>
      </c>
      <c r="N44" s="104">
        <f>(Yield_Originals!$G44*Yield_Originals!N$1)/Yield_Originals!$K44</f>
        <v>0.28997133797438929</v>
      </c>
      <c r="O44" s="104">
        <f>(Yield_Originals!$G44*Yield_Originals!O$1)/Yield_Originals!$K44</f>
        <v>0.29849990673834192</v>
      </c>
      <c r="P44" s="105"/>
      <c r="Q44" s="105"/>
      <c r="R44" s="105"/>
      <c r="S44" s="105"/>
      <c r="T44" s="107"/>
      <c r="U44" s="107"/>
      <c r="V44" s="107"/>
      <c r="W44" s="107"/>
      <c r="X44" s="108"/>
      <c r="Y44" s="108"/>
      <c r="Z44" s="108"/>
      <c r="AA44" s="108"/>
      <c r="AB44" s="108"/>
      <c r="AC44" s="70"/>
    </row>
    <row r="45" spans="1:29" x14ac:dyDescent="0.25">
      <c r="A45" s="70" t="s">
        <v>781</v>
      </c>
      <c r="B45" s="70">
        <v>2</v>
      </c>
      <c r="C45" s="39" t="s">
        <v>812</v>
      </c>
      <c r="D45" s="39" t="s">
        <v>1370</v>
      </c>
      <c r="E45" s="100">
        <v>10</v>
      </c>
      <c r="F45" s="102">
        <v>0.22742850037206999</v>
      </c>
      <c r="G45" s="102">
        <v>0.22742850037206999</v>
      </c>
      <c r="H45" s="102">
        <v>0.24190829770173999</v>
      </c>
      <c r="I45" s="102">
        <v>0.25638809503141102</v>
      </c>
      <c r="J45" s="102">
        <v>0.23020812247051201</v>
      </c>
      <c r="K45" s="103">
        <v>1</v>
      </c>
      <c r="L45" s="104">
        <f>(Yield_Originals!$G45*Yield_Originals!L$1)/Yield_Originals!$K45</f>
        <v>0.27291420044648401</v>
      </c>
      <c r="M45" s="104">
        <f>(Yield_Originals!$G45*Yield_Originals!M$1)/Yield_Originals!$K45</f>
        <v>0.28144276921043665</v>
      </c>
      <c r="N45" s="104">
        <f>(Yield_Originals!$G45*Yield_Originals!N$1)/Yield_Originals!$K45</f>
        <v>0.28997133797438929</v>
      </c>
      <c r="O45" s="104">
        <f>(Yield_Originals!$G45*Yield_Originals!O$1)/Yield_Originals!$K45</f>
        <v>0.29849990673834192</v>
      </c>
      <c r="P45" s="105">
        <f>(Yield_Originals!$H45*Yield_Originals!P$1)/Yield_Originals!$K45</f>
        <v>0.32657620189734904</v>
      </c>
      <c r="Q45" s="105">
        <f>(Yield_Originals!$H45*Yield_Originals!Q$1)/Yield_Originals!$K45</f>
        <v>0.33564776306116428</v>
      </c>
      <c r="R45" s="105">
        <f>(Yield_Originals!$H45*Yield_Originals!R$1)/Yield_Originals!$K45</f>
        <v>0.34471932422497953</v>
      </c>
      <c r="S45" s="105">
        <f>(Yield_Originals!$H45*Yield_Originals!S$1)/Yield_Originals!$K45</f>
        <v>0.35379088538879483</v>
      </c>
      <c r="T45" s="107">
        <f>(Yield_Originals!$I45*Yield_Originals!T$1)/Yield_Originals!$K45</f>
        <v>0.38458214254711665</v>
      </c>
      <c r="U45" s="107">
        <f>(Yield_Originals!$I45*Yield_Originals!U$1)/Yield_Originals!$K45</f>
        <v>0.3941966961107945</v>
      </c>
      <c r="V45" s="107">
        <f>(Yield_Originals!$I45*Yield_Originals!V$1)/Yield_Originals!$K45</f>
        <v>0.40381124967447241</v>
      </c>
      <c r="W45" s="107">
        <f>(Yield_Originals!$I45*Yield_Originals!W$1)/Yield_Originals!$K45</f>
        <v>0.4134258032381502</v>
      </c>
      <c r="X45" s="108">
        <f>(Yield_Originals!$J45*Yield_Originals!X$1)/Yield_Originals!$K45</f>
        <v>0.37984340207634482</v>
      </c>
      <c r="Y45" s="108">
        <f>(Yield_Originals!$J45*Yield_Originals!Y$1)/Yield_Originals!$K45</f>
        <v>0.38847620666898891</v>
      </c>
      <c r="Z45" s="108">
        <f>(Yield_Originals!$J45*Yield_Originals!Z$1)/Yield_Originals!$K45</f>
        <v>0.39710901126163312</v>
      </c>
      <c r="AA45" s="108">
        <f>(Yield_Originals!$J45*Yield_Originals!AA$1)/Yield_Originals!$K45</f>
        <v>0.40574181585427727</v>
      </c>
      <c r="AB45" s="108">
        <f>(Yield_Originals!$J45*Yield_Originals!AB$1)/Yield_Originals!$K45</f>
        <v>0.41437462044692147</v>
      </c>
    </row>
    <row r="46" spans="1:29" x14ac:dyDescent="0.25">
      <c r="A46" s="70" t="s">
        <v>781</v>
      </c>
      <c r="B46" s="70">
        <v>2</v>
      </c>
      <c r="C46" s="39" t="s">
        <v>812</v>
      </c>
      <c r="D46" s="39" t="s">
        <v>1370</v>
      </c>
      <c r="E46" s="100">
        <v>17</v>
      </c>
      <c r="F46" s="102">
        <v>0.22742850037206999</v>
      </c>
      <c r="G46" s="102">
        <v>0.22742850037206999</v>
      </c>
      <c r="H46" s="102">
        <v>0.24190829770173999</v>
      </c>
      <c r="I46" s="102">
        <v>0.25638809503141102</v>
      </c>
      <c r="J46" s="102">
        <v>0.23020812247051201</v>
      </c>
      <c r="K46" s="103">
        <v>1</v>
      </c>
      <c r="L46" s="104">
        <f>(Yield_Originals!$G46*Yield_Originals!L$1)/Yield_Originals!$K46</f>
        <v>0.27291420044648401</v>
      </c>
      <c r="M46" s="104">
        <f>(Yield_Originals!$G46*Yield_Originals!M$1)/Yield_Originals!$K46</f>
        <v>0.28144276921043665</v>
      </c>
      <c r="N46" s="104">
        <f>(Yield_Originals!$G46*Yield_Originals!N$1)/Yield_Originals!$K46</f>
        <v>0.28997133797438929</v>
      </c>
      <c r="O46" s="104">
        <f>(Yield_Originals!$G46*Yield_Originals!O$1)/Yield_Originals!$K46</f>
        <v>0.29849990673834192</v>
      </c>
      <c r="P46" s="105">
        <f>(Yield_Originals!$H46*Yield_Originals!P$1)/Yield_Originals!$K46</f>
        <v>0.32657620189734904</v>
      </c>
      <c r="Q46" s="105">
        <f>(Yield_Originals!$H46*Yield_Originals!Q$1)/Yield_Originals!$K46</f>
        <v>0.33564776306116428</v>
      </c>
      <c r="R46" s="105">
        <f>(Yield_Originals!$H46*Yield_Originals!R$1)/Yield_Originals!$K46</f>
        <v>0.34471932422497953</v>
      </c>
      <c r="S46" s="105">
        <f>(Yield_Originals!$H46*Yield_Originals!S$1)/Yield_Originals!$K46</f>
        <v>0.35379088538879483</v>
      </c>
      <c r="T46" s="107">
        <f>(Yield_Originals!$I46*Yield_Originals!T$1)/Yield_Originals!$K46</f>
        <v>0.38458214254711665</v>
      </c>
      <c r="U46" s="107">
        <f>(Yield_Originals!$I46*Yield_Originals!U$1)/Yield_Originals!$K46</f>
        <v>0.3941966961107945</v>
      </c>
      <c r="V46" s="107">
        <f>(Yield_Originals!$I46*Yield_Originals!V$1)/Yield_Originals!$K46</f>
        <v>0.40381124967447241</v>
      </c>
      <c r="W46" s="107">
        <f>(Yield_Originals!$I46*Yield_Originals!W$1)/Yield_Originals!$K46</f>
        <v>0.4134258032381502</v>
      </c>
      <c r="X46" s="108">
        <f>(Yield_Originals!$J46*Yield_Originals!X$1)/Yield_Originals!$K46</f>
        <v>0.37984340207634482</v>
      </c>
      <c r="Y46" s="108">
        <f>(Yield_Originals!$J46*Yield_Originals!Y$1)/Yield_Originals!$K46</f>
        <v>0.38847620666898891</v>
      </c>
      <c r="Z46" s="108">
        <f>(Yield_Originals!$J46*Yield_Originals!Z$1)/Yield_Originals!$K46</f>
        <v>0.39710901126163312</v>
      </c>
      <c r="AA46" s="108">
        <f>(Yield_Originals!$J46*Yield_Originals!AA$1)/Yield_Originals!$K46</f>
        <v>0.40574181585427727</v>
      </c>
      <c r="AB46" s="108">
        <f>(Yield_Originals!$J46*Yield_Originals!AB$1)/Yield_Originals!$K46</f>
        <v>0.41437462044692147</v>
      </c>
    </row>
    <row r="47" spans="1:29" x14ac:dyDescent="0.25">
      <c r="A47" s="70" t="s">
        <v>781</v>
      </c>
      <c r="B47" s="70">
        <v>2</v>
      </c>
      <c r="C47" s="39" t="s">
        <v>121</v>
      </c>
      <c r="D47" s="39" t="s">
        <v>1371</v>
      </c>
      <c r="E47" s="100">
        <v>10</v>
      </c>
      <c r="F47" s="102">
        <v>0.22742850037206999</v>
      </c>
      <c r="G47" s="102">
        <v>0.22742850037206999</v>
      </c>
      <c r="H47" s="102">
        <v>0.24190829770173999</v>
      </c>
      <c r="I47" s="102">
        <v>0.25638809503141102</v>
      </c>
      <c r="J47" s="102">
        <v>0.23020812247051201</v>
      </c>
      <c r="K47" s="103">
        <v>1</v>
      </c>
      <c r="L47" s="104">
        <f>(Yield_Originals!$G47*Yield_Originals!L$1)/Yield_Originals!$K47</f>
        <v>0.27291420044648401</v>
      </c>
      <c r="M47" s="104">
        <f>(Yield_Originals!$G47*Yield_Originals!M$1)/Yield_Originals!$K47</f>
        <v>0.28144276921043665</v>
      </c>
      <c r="N47" s="104">
        <f>(Yield_Originals!$G47*Yield_Originals!N$1)/Yield_Originals!$K47</f>
        <v>0.28997133797438929</v>
      </c>
      <c r="O47" s="104">
        <f>(Yield_Originals!$G47*Yield_Originals!O$1)/Yield_Originals!$K47</f>
        <v>0.29849990673834192</v>
      </c>
      <c r="P47" s="105">
        <f>(Yield_Originals!$H47*Yield_Originals!P$1)/Yield_Originals!$K47</f>
        <v>0.32657620189734904</v>
      </c>
      <c r="Q47" s="105">
        <f>(Yield_Originals!$H47*Yield_Originals!Q$1)/Yield_Originals!$K47</f>
        <v>0.33564776306116428</v>
      </c>
      <c r="R47" s="105">
        <f>(Yield_Originals!$H47*Yield_Originals!R$1)/Yield_Originals!$K47</f>
        <v>0.34471932422497953</v>
      </c>
      <c r="S47" s="105">
        <f>(Yield_Originals!$H47*Yield_Originals!S$1)/Yield_Originals!$K47</f>
        <v>0.35379088538879483</v>
      </c>
      <c r="T47" s="107">
        <f>(Yield_Originals!$I47*Yield_Originals!T$1)/Yield_Originals!$K47</f>
        <v>0.38458214254711665</v>
      </c>
      <c r="U47" s="107">
        <f>(Yield_Originals!$I47*Yield_Originals!U$1)/Yield_Originals!$K47</f>
        <v>0.3941966961107945</v>
      </c>
      <c r="V47" s="107">
        <f>(Yield_Originals!$I47*Yield_Originals!V$1)/Yield_Originals!$K47</f>
        <v>0.40381124967447241</v>
      </c>
      <c r="W47" s="107">
        <f>(Yield_Originals!$I47*Yield_Originals!W$1)/Yield_Originals!$K47</f>
        <v>0.4134258032381502</v>
      </c>
      <c r="X47" s="108">
        <f>(Yield_Originals!$J47*Yield_Originals!X$1)/Yield_Originals!$K47</f>
        <v>0.37984340207634482</v>
      </c>
      <c r="Y47" s="108">
        <f>(Yield_Originals!$J47*Yield_Originals!Y$1)/Yield_Originals!$K47</f>
        <v>0.38847620666898891</v>
      </c>
      <c r="Z47" s="108">
        <f>(Yield_Originals!$J47*Yield_Originals!Z$1)/Yield_Originals!$K47</f>
        <v>0.39710901126163312</v>
      </c>
      <c r="AA47" s="108">
        <f>(Yield_Originals!$J47*Yield_Originals!AA$1)/Yield_Originals!$K47</f>
        <v>0.40574181585427727</v>
      </c>
      <c r="AB47" s="108">
        <f>(Yield_Originals!$J47*Yield_Originals!AB$1)/Yield_Originals!$K47</f>
        <v>0.41437462044692147</v>
      </c>
    </row>
    <row r="48" spans="1:29" x14ac:dyDescent="0.25">
      <c r="A48" s="70" t="s">
        <v>781</v>
      </c>
      <c r="B48" s="70">
        <v>2</v>
      </c>
      <c r="C48" s="39" t="s">
        <v>121</v>
      </c>
      <c r="D48" s="39" t="s">
        <v>1371</v>
      </c>
      <c r="E48" s="100">
        <v>17</v>
      </c>
      <c r="F48" s="102">
        <v>0.22742850037206999</v>
      </c>
      <c r="G48" s="102">
        <v>0.22742850037206999</v>
      </c>
      <c r="H48" s="102">
        <v>0.24190829770173999</v>
      </c>
      <c r="I48" s="102">
        <v>0.25638809503141102</v>
      </c>
      <c r="J48" s="102">
        <v>0.23020812247051201</v>
      </c>
      <c r="K48" s="103">
        <v>1</v>
      </c>
      <c r="L48" s="104">
        <f>(Yield_Originals!$G48*Yield_Originals!L$1)/Yield_Originals!$K48</f>
        <v>0.27291420044648401</v>
      </c>
      <c r="M48" s="104">
        <f>(Yield_Originals!$G48*Yield_Originals!M$1)/Yield_Originals!$K48</f>
        <v>0.28144276921043665</v>
      </c>
      <c r="N48" s="104">
        <f>(Yield_Originals!$G48*Yield_Originals!N$1)/Yield_Originals!$K48</f>
        <v>0.28997133797438929</v>
      </c>
      <c r="O48" s="104">
        <f>(Yield_Originals!$G48*Yield_Originals!O$1)/Yield_Originals!$K48</f>
        <v>0.29849990673834192</v>
      </c>
      <c r="P48" s="105">
        <f>(Yield_Originals!$H48*Yield_Originals!P$1)/Yield_Originals!$K48</f>
        <v>0.32657620189734904</v>
      </c>
      <c r="Q48" s="105">
        <f>(Yield_Originals!$H48*Yield_Originals!Q$1)/Yield_Originals!$K48</f>
        <v>0.33564776306116428</v>
      </c>
      <c r="R48" s="105">
        <f>(Yield_Originals!$H48*Yield_Originals!R$1)/Yield_Originals!$K48</f>
        <v>0.34471932422497953</v>
      </c>
      <c r="S48" s="105">
        <f>(Yield_Originals!$H48*Yield_Originals!S$1)/Yield_Originals!$K48</f>
        <v>0.35379088538879483</v>
      </c>
      <c r="T48" s="107">
        <f>(Yield_Originals!$I48*Yield_Originals!T$1)/Yield_Originals!$K48</f>
        <v>0.38458214254711665</v>
      </c>
      <c r="U48" s="107">
        <f>(Yield_Originals!$I48*Yield_Originals!U$1)/Yield_Originals!$K48</f>
        <v>0.3941966961107945</v>
      </c>
      <c r="V48" s="107">
        <f>(Yield_Originals!$I48*Yield_Originals!V$1)/Yield_Originals!$K48</f>
        <v>0.40381124967447241</v>
      </c>
      <c r="W48" s="107">
        <f>(Yield_Originals!$I48*Yield_Originals!W$1)/Yield_Originals!$K48</f>
        <v>0.4134258032381502</v>
      </c>
      <c r="X48" s="108">
        <f>(Yield_Originals!$J48*Yield_Originals!X$1)/Yield_Originals!$K48</f>
        <v>0.37984340207634482</v>
      </c>
      <c r="Y48" s="108">
        <f>(Yield_Originals!$J48*Yield_Originals!Y$1)/Yield_Originals!$K48</f>
        <v>0.38847620666898891</v>
      </c>
      <c r="Z48" s="108">
        <f>(Yield_Originals!$J48*Yield_Originals!Z$1)/Yield_Originals!$K48</f>
        <v>0.39710901126163312</v>
      </c>
      <c r="AA48" s="108">
        <f>(Yield_Originals!$J48*Yield_Originals!AA$1)/Yield_Originals!$K48</f>
        <v>0.40574181585427727</v>
      </c>
      <c r="AB48" s="108">
        <f>(Yield_Originals!$J48*Yield_Originals!AB$1)/Yield_Originals!$K48</f>
        <v>0.41437462044692147</v>
      </c>
    </row>
    <row r="49" spans="1:28" x14ac:dyDescent="0.25">
      <c r="A49" s="70" t="s">
        <v>781</v>
      </c>
      <c r="B49" s="70">
        <v>2</v>
      </c>
      <c r="C49" s="39" t="s">
        <v>223</v>
      </c>
      <c r="D49" s="39" t="s">
        <v>1371</v>
      </c>
      <c r="E49" s="100">
        <v>10</v>
      </c>
      <c r="F49" s="102">
        <v>0.22742850037206999</v>
      </c>
      <c r="G49" s="102">
        <v>0.22742850037206999</v>
      </c>
      <c r="H49" s="102">
        <v>0.24190829770173999</v>
      </c>
      <c r="I49" s="102">
        <v>0.25638809503141102</v>
      </c>
      <c r="J49" s="102">
        <v>0.23020812247051201</v>
      </c>
      <c r="K49" s="103">
        <v>1</v>
      </c>
      <c r="L49" s="104">
        <f>(Yield_Originals!$G49*Yield_Originals!L$1)/Yield_Originals!$K49</f>
        <v>0.27291420044648401</v>
      </c>
      <c r="M49" s="104">
        <f>(Yield_Originals!$G49*Yield_Originals!M$1)/Yield_Originals!$K49</f>
        <v>0.28144276921043665</v>
      </c>
      <c r="N49" s="104">
        <f>(Yield_Originals!$G49*Yield_Originals!N$1)/Yield_Originals!$K49</f>
        <v>0.28997133797438929</v>
      </c>
      <c r="O49" s="104">
        <f>(Yield_Originals!$G49*Yield_Originals!O$1)/Yield_Originals!$K49</f>
        <v>0.29849990673834192</v>
      </c>
      <c r="P49" s="105">
        <f>(Yield_Originals!$H49*Yield_Originals!P$1)/Yield_Originals!$K49</f>
        <v>0.32657620189734904</v>
      </c>
      <c r="Q49" s="105">
        <f>(Yield_Originals!$H49*Yield_Originals!Q$1)/Yield_Originals!$K49</f>
        <v>0.33564776306116428</v>
      </c>
      <c r="R49" s="105">
        <f>(Yield_Originals!$H49*Yield_Originals!R$1)/Yield_Originals!$K49</f>
        <v>0.34471932422497953</v>
      </c>
      <c r="S49" s="105">
        <f>(Yield_Originals!$H49*Yield_Originals!S$1)/Yield_Originals!$K49</f>
        <v>0.35379088538879483</v>
      </c>
      <c r="T49" s="107">
        <f>(Yield_Originals!$I49*Yield_Originals!T$1)/Yield_Originals!$K49</f>
        <v>0.38458214254711665</v>
      </c>
      <c r="U49" s="107">
        <f>(Yield_Originals!$I49*Yield_Originals!U$1)/Yield_Originals!$K49</f>
        <v>0.3941966961107945</v>
      </c>
      <c r="V49" s="107">
        <f>(Yield_Originals!$I49*Yield_Originals!V$1)/Yield_Originals!$K49</f>
        <v>0.40381124967447241</v>
      </c>
      <c r="W49" s="107">
        <f>(Yield_Originals!$I49*Yield_Originals!W$1)/Yield_Originals!$K49</f>
        <v>0.4134258032381502</v>
      </c>
      <c r="X49" s="108">
        <f>(Yield_Originals!$J49*Yield_Originals!X$1)/Yield_Originals!$K49</f>
        <v>0.37984340207634482</v>
      </c>
      <c r="Y49" s="108">
        <f>(Yield_Originals!$J49*Yield_Originals!Y$1)/Yield_Originals!$K49</f>
        <v>0.38847620666898891</v>
      </c>
      <c r="Z49" s="108">
        <f>(Yield_Originals!$J49*Yield_Originals!Z$1)/Yield_Originals!$K49</f>
        <v>0.39710901126163312</v>
      </c>
      <c r="AA49" s="108">
        <f>(Yield_Originals!$J49*Yield_Originals!AA$1)/Yield_Originals!$K49</f>
        <v>0.40574181585427727</v>
      </c>
      <c r="AB49" s="108">
        <f>(Yield_Originals!$J49*Yield_Originals!AB$1)/Yield_Originals!$K49</f>
        <v>0.41437462044692147</v>
      </c>
    </row>
    <row r="50" spans="1:28" x14ac:dyDescent="0.25">
      <c r="A50" s="70" t="s">
        <v>781</v>
      </c>
      <c r="B50" s="70">
        <v>2</v>
      </c>
      <c r="C50" s="39" t="s">
        <v>223</v>
      </c>
      <c r="D50" s="39" t="s">
        <v>1371</v>
      </c>
      <c r="E50" s="100">
        <v>17</v>
      </c>
      <c r="F50" s="102">
        <v>0.22742850037206999</v>
      </c>
      <c r="G50" s="102">
        <v>0.22742850037206999</v>
      </c>
      <c r="H50" s="102">
        <v>0.24190829770173999</v>
      </c>
      <c r="I50" s="102">
        <v>0.25638809503141102</v>
      </c>
      <c r="J50" s="102">
        <v>0.23020812247051201</v>
      </c>
      <c r="K50" s="103">
        <v>1</v>
      </c>
      <c r="L50" s="104">
        <f>(Yield_Originals!$G50*Yield_Originals!L$1)/Yield_Originals!$K50</f>
        <v>0.27291420044648401</v>
      </c>
      <c r="M50" s="104">
        <f>(Yield_Originals!$G50*Yield_Originals!M$1)/Yield_Originals!$K50</f>
        <v>0.28144276921043665</v>
      </c>
      <c r="N50" s="104">
        <f>(Yield_Originals!$G50*Yield_Originals!N$1)/Yield_Originals!$K50</f>
        <v>0.28997133797438929</v>
      </c>
      <c r="O50" s="104">
        <f>(Yield_Originals!$G50*Yield_Originals!O$1)/Yield_Originals!$K50</f>
        <v>0.29849990673834192</v>
      </c>
      <c r="P50" s="105">
        <f>(Yield_Originals!$H50*Yield_Originals!P$1)/Yield_Originals!$K50</f>
        <v>0.32657620189734904</v>
      </c>
      <c r="Q50" s="105">
        <f>(Yield_Originals!$H50*Yield_Originals!Q$1)/Yield_Originals!$K50</f>
        <v>0.33564776306116428</v>
      </c>
      <c r="R50" s="105">
        <f>(Yield_Originals!$H50*Yield_Originals!R$1)/Yield_Originals!$K50</f>
        <v>0.34471932422497953</v>
      </c>
      <c r="S50" s="105">
        <f>(Yield_Originals!$H50*Yield_Originals!S$1)/Yield_Originals!$K50</f>
        <v>0.35379088538879483</v>
      </c>
      <c r="T50" s="107">
        <f>(Yield_Originals!$I50*Yield_Originals!T$1)/Yield_Originals!$K50</f>
        <v>0.38458214254711665</v>
      </c>
      <c r="U50" s="107">
        <f>(Yield_Originals!$I50*Yield_Originals!U$1)/Yield_Originals!$K50</f>
        <v>0.3941966961107945</v>
      </c>
      <c r="V50" s="107">
        <f>(Yield_Originals!$I50*Yield_Originals!V$1)/Yield_Originals!$K50</f>
        <v>0.40381124967447241</v>
      </c>
      <c r="W50" s="107">
        <f>(Yield_Originals!$I50*Yield_Originals!W$1)/Yield_Originals!$K50</f>
        <v>0.4134258032381502</v>
      </c>
      <c r="X50" s="108">
        <f>(Yield_Originals!$J50*Yield_Originals!X$1)/Yield_Originals!$K50</f>
        <v>0.37984340207634482</v>
      </c>
      <c r="Y50" s="108">
        <f>(Yield_Originals!$J50*Yield_Originals!Y$1)/Yield_Originals!$K50</f>
        <v>0.38847620666898891</v>
      </c>
      <c r="Z50" s="108">
        <f>(Yield_Originals!$J50*Yield_Originals!Z$1)/Yield_Originals!$K50</f>
        <v>0.39710901126163312</v>
      </c>
      <c r="AA50" s="108">
        <f>(Yield_Originals!$J50*Yield_Originals!AA$1)/Yield_Originals!$K50</f>
        <v>0.40574181585427727</v>
      </c>
      <c r="AB50" s="108">
        <f>(Yield_Originals!$J50*Yield_Originals!AB$1)/Yield_Originals!$K50</f>
        <v>0.41437462044692147</v>
      </c>
    </row>
    <row r="51" spans="1:28" x14ac:dyDescent="0.25">
      <c r="A51" s="70" t="s">
        <v>781</v>
      </c>
      <c r="B51" s="70">
        <v>2</v>
      </c>
      <c r="C51" s="39" t="s">
        <v>819</v>
      </c>
      <c r="D51" s="39" t="s">
        <v>1372</v>
      </c>
      <c r="E51" s="100">
        <v>10</v>
      </c>
      <c r="F51" s="102">
        <v>0.22742850037206999</v>
      </c>
      <c r="G51" s="102">
        <v>0.22742850037206999</v>
      </c>
      <c r="H51" s="102">
        <v>0.24190829770173999</v>
      </c>
      <c r="I51" s="102">
        <v>0.25638809503141102</v>
      </c>
      <c r="J51" s="102">
        <v>0.23020812247051201</v>
      </c>
      <c r="K51" s="103">
        <v>1</v>
      </c>
      <c r="L51" s="104">
        <f>(Yield_Originals!$G51*Yield_Originals!L$1)/Yield_Originals!$K51</f>
        <v>0.27291420044648401</v>
      </c>
      <c r="M51" s="104">
        <f>(Yield_Originals!$G51*Yield_Originals!M$1)/Yield_Originals!$K51</f>
        <v>0.28144276921043665</v>
      </c>
      <c r="N51" s="104">
        <f>(Yield_Originals!$G51*Yield_Originals!N$1)/Yield_Originals!$K51</f>
        <v>0.28997133797438929</v>
      </c>
      <c r="O51" s="104">
        <f>(Yield_Originals!$G51*Yield_Originals!O$1)/Yield_Originals!$K51</f>
        <v>0.29849990673834192</v>
      </c>
      <c r="P51" s="105">
        <f>(Yield_Originals!$H51*Yield_Originals!P$1)/Yield_Originals!$K51</f>
        <v>0.32657620189734904</v>
      </c>
      <c r="Q51" s="105">
        <f>(Yield_Originals!$H51*Yield_Originals!Q$1)/Yield_Originals!$K51</f>
        <v>0.33564776306116428</v>
      </c>
      <c r="R51" s="105">
        <f>(Yield_Originals!$H51*Yield_Originals!R$1)/Yield_Originals!$K51</f>
        <v>0.34471932422497953</v>
      </c>
      <c r="S51" s="105">
        <f>(Yield_Originals!$H51*Yield_Originals!S$1)/Yield_Originals!$K51</f>
        <v>0.35379088538879483</v>
      </c>
      <c r="T51" s="107">
        <f>(Yield_Originals!$I51*Yield_Originals!T$1)/Yield_Originals!$K51</f>
        <v>0.38458214254711665</v>
      </c>
      <c r="U51" s="107">
        <f>(Yield_Originals!$I51*Yield_Originals!U$1)/Yield_Originals!$K51</f>
        <v>0.3941966961107945</v>
      </c>
      <c r="V51" s="107">
        <f>(Yield_Originals!$I51*Yield_Originals!V$1)/Yield_Originals!$K51</f>
        <v>0.40381124967447241</v>
      </c>
      <c r="W51" s="107">
        <f>(Yield_Originals!$I51*Yield_Originals!W$1)/Yield_Originals!$K51</f>
        <v>0.4134258032381502</v>
      </c>
      <c r="X51" s="108">
        <f>(Yield_Originals!$J51*Yield_Originals!X$1)/Yield_Originals!$K51</f>
        <v>0.37984340207634482</v>
      </c>
      <c r="Y51" s="108">
        <f>(Yield_Originals!$J51*Yield_Originals!Y$1)/Yield_Originals!$K51</f>
        <v>0.38847620666898891</v>
      </c>
      <c r="Z51" s="108">
        <f>(Yield_Originals!$J51*Yield_Originals!Z$1)/Yield_Originals!$K51</f>
        <v>0.39710901126163312</v>
      </c>
      <c r="AA51" s="108">
        <f>(Yield_Originals!$J51*Yield_Originals!AA$1)/Yield_Originals!$K51</f>
        <v>0.40574181585427727</v>
      </c>
      <c r="AB51" s="108">
        <f>(Yield_Originals!$J51*Yield_Originals!AB$1)/Yield_Originals!$K51</f>
        <v>0.41437462044692147</v>
      </c>
    </row>
    <row r="52" spans="1:28" x14ac:dyDescent="0.25">
      <c r="A52" s="70" t="s">
        <v>781</v>
      </c>
      <c r="B52" s="70">
        <v>2</v>
      </c>
      <c r="C52" s="39" t="s">
        <v>819</v>
      </c>
      <c r="D52" s="39" t="s">
        <v>1372</v>
      </c>
      <c r="E52" s="100">
        <v>17</v>
      </c>
      <c r="F52" s="102">
        <v>0.22742850037206999</v>
      </c>
      <c r="G52" s="102">
        <v>0.22742850037206999</v>
      </c>
      <c r="H52" s="102">
        <v>0.24190829770173999</v>
      </c>
      <c r="I52" s="102">
        <v>0.25638809503141102</v>
      </c>
      <c r="J52" s="102">
        <v>0.23020812247051201</v>
      </c>
      <c r="K52" s="103">
        <v>1</v>
      </c>
      <c r="L52" s="104">
        <f>(Yield_Originals!$G52*Yield_Originals!L$1)/Yield_Originals!$K52</f>
        <v>0.27291420044648401</v>
      </c>
      <c r="M52" s="104">
        <f>(Yield_Originals!$G52*Yield_Originals!M$1)/Yield_Originals!$K52</f>
        <v>0.28144276921043665</v>
      </c>
      <c r="N52" s="104">
        <f>(Yield_Originals!$G52*Yield_Originals!N$1)/Yield_Originals!$K52</f>
        <v>0.28997133797438929</v>
      </c>
      <c r="O52" s="104">
        <f>(Yield_Originals!$G52*Yield_Originals!O$1)/Yield_Originals!$K52</f>
        <v>0.29849990673834192</v>
      </c>
      <c r="P52" s="105">
        <f>(Yield_Originals!$H52*Yield_Originals!P$1)/Yield_Originals!$K52</f>
        <v>0.32657620189734904</v>
      </c>
      <c r="Q52" s="105">
        <f>(Yield_Originals!$H52*Yield_Originals!Q$1)/Yield_Originals!$K52</f>
        <v>0.33564776306116428</v>
      </c>
      <c r="R52" s="105">
        <f>(Yield_Originals!$H52*Yield_Originals!R$1)/Yield_Originals!$K52</f>
        <v>0.34471932422497953</v>
      </c>
      <c r="S52" s="105">
        <f>(Yield_Originals!$H52*Yield_Originals!S$1)/Yield_Originals!$K52</f>
        <v>0.35379088538879483</v>
      </c>
      <c r="T52" s="107">
        <f>(Yield_Originals!$I52*Yield_Originals!T$1)/Yield_Originals!$K52</f>
        <v>0.38458214254711665</v>
      </c>
      <c r="U52" s="107">
        <f>(Yield_Originals!$I52*Yield_Originals!U$1)/Yield_Originals!$K52</f>
        <v>0.3941966961107945</v>
      </c>
      <c r="V52" s="107">
        <f>(Yield_Originals!$I52*Yield_Originals!V$1)/Yield_Originals!$K52</f>
        <v>0.40381124967447241</v>
      </c>
      <c r="W52" s="107">
        <f>(Yield_Originals!$I52*Yield_Originals!W$1)/Yield_Originals!$K52</f>
        <v>0.4134258032381502</v>
      </c>
      <c r="X52" s="108">
        <f>(Yield_Originals!$J52*Yield_Originals!X$1)/Yield_Originals!$K52</f>
        <v>0.37984340207634482</v>
      </c>
      <c r="Y52" s="108">
        <f>(Yield_Originals!$J52*Yield_Originals!Y$1)/Yield_Originals!$K52</f>
        <v>0.38847620666898891</v>
      </c>
      <c r="Z52" s="108">
        <f>(Yield_Originals!$J52*Yield_Originals!Z$1)/Yield_Originals!$K52</f>
        <v>0.39710901126163312</v>
      </c>
      <c r="AA52" s="108">
        <f>(Yield_Originals!$J52*Yield_Originals!AA$1)/Yield_Originals!$K52</f>
        <v>0.40574181585427727</v>
      </c>
      <c r="AB52" s="108">
        <f>(Yield_Originals!$J52*Yield_Originals!AB$1)/Yield_Originals!$K52</f>
        <v>0.41437462044692147</v>
      </c>
    </row>
    <row r="53" spans="1:28" x14ac:dyDescent="0.25">
      <c r="A53" s="70" t="s">
        <v>781</v>
      </c>
      <c r="B53" s="70">
        <v>2</v>
      </c>
      <c r="C53" s="99" t="s">
        <v>822</v>
      </c>
      <c r="D53" s="99" t="s">
        <v>806</v>
      </c>
      <c r="E53" s="100">
        <v>10</v>
      </c>
      <c r="F53" s="102">
        <v>0.22742850037206999</v>
      </c>
      <c r="G53" s="102">
        <v>0.22742850037206999</v>
      </c>
      <c r="H53" s="102">
        <v>0.24190829770173999</v>
      </c>
      <c r="I53" s="102">
        <v>0.25638809503141102</v>
      </c>
      <c r="J53" s="102">
        <v>0.23020812247051201</v>
      </c>
      <c r="K53" s="103">
        <v>1</v>
      </c>
      <c r="L53" s="104">
        <f>(Yield_Originals!$G53*Yield_Originals!L$1)/Yield_Originals!$K53</f>
        <v>0.27291420044648401</v>
      </c>
      <c r="M53" s="104">
        <f>(Yield_Originals!$G53*Yield_Originals!M$1)/Yield_Originals!$K53</f>
        <v>0.28144276921043665</v>
      </c>
      <c r="N53" s="104">
        <f>(Yield_Originals!$G53*Yield_Originals!N$1)/Yield_Originals!$K53</f>
        <v>0.28997133797438929</v>
      </c>
      <c r="O53" s="104">
        <f>(Yield_Originals!$G53*Yield_Originals!O$1)/Yield_Originals!$K53</f>
        <v>0.29849990673834192</v>
      </c>
      <c r="P53" s="105">
        <f>(Yield_Originals!$H53*Yield_Originals!P$1)/Yield_Originals!$K53</f>
        <v>0.32657620189734904</v>
      </c>
      <c r="Q53" s="105">
        <f>(Yield_Originals!$H53*Yield_Originals!Q$1)/Yield_Originals!$K53</f>
        <v>0.33564776306116428</v>
      </c>
      <c r="R53" s="105">
        <f>(Yield_Originals!$H53*Yield_Originals!R$1)/Yield_Originals!$K53</f>
        <v>0.34471932422497953</v>
      </c>
      <c r="S53" s="105">
        <f>(Yield_Originals!$H53*Yield_Originals!S$1)/Yield_Originals!$K53</f>
        <v>0.35379088538879483</v>
      </c>
      <c r="T53" s="107">
        <f>(Yield_Originals!$I53*Yield_Originals!T$1)/Yield_Originals!$K53</f>
        <v>0.38458214254711665</v>
      </c>
      <c r="U53" s="107">
        <f>(Yield_Originals!$I53*Yield_Originals!U$1)/Yield_Originals!$K53</f>
        <v>0.3941966961107945</v>
      </c>
      <c r="V53" s="107">
        <f>(Yield_Originals!$I53*Yield_Originals!V$1)/Yield_Originals!$K53</f>
        <v>0.40381124967447241</v>
      </c>
      <c r="W53" s="107">
        <f>(Yield_Originals!$I53*Yield_Originals!W$1)/Yield_Originals!$K53</f>
        <v>0.4134258032381502</v>
      </c>
      <c r="X53" s="108">
        <f>(Yield_Originals!$J53*Yield_Originals!X$1)/Yield_Originals!$K53</f>
        <v>0.37984340207634482</v>
      </c>
      <c r="Y53" s="108">
        <f>(Yield_Originals!$J53*Yield_Originals!Y$1)/Yield_Originals!$K53</f>
        <v>0.38847620666898891</v>
      </c>
      <c r="Z53" s="108">
        <f>(Yield_Originals!$J53*Yield_Originals!Z$1)/Yield_Originals!$K53</f>
        <v>0.39710901126163312</v>
      </c>
      <c r="AA53" s="108">
        <f>(Yield_Originals!$J53*Yield_Originals!AA$1)/Yield_Originals!$K53</f>
        <v>0.40574181585427727</v>
      </c>
      <c r="AB53" s="108">
        <f>(Yield_Originals!$J53*Yield_Originals!AB$1)/Yield_Originals!$K53</f>
        <v>0.41437462044692147</v>
      </c>
    </row>
    <row r="54" spans="1:28" x14ac:dyDescent="0.25">
      <c r="A54" s="70" t="s">
        <v>781</v>
      </c>
      <c r="B54" s="70">
        <v>2</v>
      </c>
      <c r="C54" s="39" t="s">
        <v>822</v>
      </c>
      <c r="D54" s="39" t="s">
        <v>806</v>
      </c>
      <c r="E54" s="100">
        <v>17</v>
      </c>
      <c r="F54" s="102">
        <v>0.22742850037206999</v>
      </c>
      <c r="G54" s="102">
        <v>0.22742850037206999</v>
      </c>
      <c r="H54" s="102">
        <v>0.24190829770173999</v>
      </c>
      <c r="I54" s="102">
        <v>0.25638809503141102</v>
      </c>
      <c r="J54" s="102">
        <v>0.23020812247051201</v>
      </c>
      <c r="K54" s="103">
        <v>1</v>
      </c>
      <c r="L54" s="104">
        <f>(Yield_Originals!$G54*Yield_Originals!L$1)/Yield_Originals!$K54</f>
        <v>0.27291420044648401</v>
      </c>
      <c r="M54" s="104">
        <f>(Yield_Originals!$G54*Yield_Originals!M$1)/Yield_Originals!$K54</f>
        <v>0.28144276921043665</v>
      </c>
      <c r="N54" s="104">
        <f>(Yield_Originals!$G54*Yield_Originals!N$1)/Yield_Originals!$K54</f>
        <v>0.28997133797438929</v>
      </c>
      <c r="O54" s="104">
        <f>(Yield_Originals!$G54*Yield_Originals!O$1)/Yield_Originals!$K54</f>
        <v>0.29849990673834192</v>
      </c>
      <c r="P54" s="105">
        <f>(Yield_Originals!$H54*Yield_Originals!P$1)/Yield_Originals!$K54</f>
        <v>0.32657620189734904</v>
      </c>
      <c r="Q54" s="105">
        <f>(Yield_Originals!$H54*Yield_Originals!Q$1)/Yield_Originals!$K54</f>
        <v>0.33564776306116428</v>
      </c>
      <c r="R54" s="105">
        <f>(Yield_Originals!$H54*Yield_Originals!R$1)/Yield_Originals!$K54</f>
        <v>0.34471932422497953</v>
      </c>
      <c r="S54" s="105">
        <f>(Yield_Originals!$H54*Yield_Originals!S$1)/Yield_Originals!$K54</f>
        <v>0.35379088538879483</v>
      </c>
      <c r="T54" s="107">
        <f>(Yield_Originals!$I54*Yield_Originals!T$1)/Yield_Originals!$K54</f>
        <v>0.38458214254711665</v>
      </c>
      <c r="U54" s="107">
        <f>(Yield_Originals!$I54*Yield_Originals!U$1)/Yield_Originals!$K54</f>
        <v>0.3941966961107945</v>
      </c>
      <c r="V54" s="107">
        <f>(Yield_Originals!$I54*Yield_Originals!V$1)/Yield_Originals!$K54</f>
        <v>0.40381124967447241</v>
      </c>
      <c r="W54" s="107">
        <f>(Yield_Originals!$I54*Yield_Originals!W$1)/Yield_Originals!$K54</f>
        <v>0.4134258032381502</v>
      </c>
      <c r="X54" s="108">
        <f>(Yield_Originals!$J54*Yield_Originals!X$1)/Yield_Originals!$K54</f>
        <v>0.37984340207634482</v>
      </c>
      <c r="Y54" s="108">
        <f>(Yield_Originals!$J54*Yield_Originals!Y$1)/Yield_Originals!$K54</f>
        <v>0.38847620666898891</v>
      </c>
      <c r="Z54" s="108">
        <f>(Yield_Originals!$J54*Yield_Originals!Z$1)/Yield_Originals!$K54</f>
        <v>0.39710901126163312</v>
      </c>
      <c r="AA54" s="108">
        <f>(Yield_Originals!$J54*Yield_Originals!AA$1)/Yield_Originals!$K54</f>
        <v>0.40574181585427727</v>
      </c>
      <c r="AB54" s="108">
        <f>(Yield_Originals!$J54*Yield_Originals!AB$1)/Yield_Originals!$K54</f>
        <v>0.41437462044692147</v>
      </c>
    </row>
    <row r="55" spans="1:28" x14ac:dyDescent="0.25">
      <c r="A55" s="70" t="s">
        <v>781</v>
      </c>
      <c r="B55" s="70">
        <v>2</v>
      </c>
      <c r="C55" s="39" t="s">
        <v>826</v>
      </c>
      <c r="D55" s="39" t="s">
        <v>1373</v>
      </c>
      <c r="E55" s="100">
        <v>10</v>
      </c>
      <c r="F55" s="102">
        <v>0.22742850037206999</v>
      </c>
      <c r="G55" s="102">
        <v>0.22742850037206999</v>
      </c>
      <c r="H55" s="102">
        <v>0.24190829770173999</v>
      </c>
      <c r="I55" s="102">
        <v>0.25638809503141102</v>
      </c>
      <c r="J55" s="102">
        <v>0.23020812247051201</v>
      </c>
      <c r="K55" s="103">
        <v>1</v>
      </c>
      <c r="L55" s="104">
        <f>(Yield_Originals!$G55*Yield_Originals!L$1)/Yield_Originals!$K55</f>
        <v>0.27291420044648401</v>
      </c>
      <c r="M55" s="104">
        <f>(Yield_Originals!$G55*Yield_Originals!M$1)/Yield_Originals!$K55</f>
        <v>0.28144276921043665</v>
      </c>
      <c r="N55" s="104">
        <f>(Yield_Originals!$G55*Yield_Originals!N$1)/Yield_Originals!$K55</f>
        <v>0.28997133797438929</v>
      </c>
      <c r="O55" s="104">
        <f>(Yield_Originals!$G55*Yield_Originals!O$1)/Yield_Originals!$K55</f>
        <v>0.29849990673834192</v>
      </c>
      <c r="P55" s="105">
        <f>(Yield_Originals!$H55*Yield_Originals!P$1)/Yield_Originals!$K55</f>
        <v>0.32657620189734904</v>
      </c>
      <c r="Q55" s="105">
        <f>(Yield_Originals!$H55*Yield_Originals!Q$1)/Yield_Originals!$K55</f>
        <v>0.33564776306116428</v>
      </c>
      <c r="R55" s="105">
        <f>(Yield_Originals!$H55*Yield_Originals!R$1)/Yield_Originals!$K55</f>
        <v>0.34471932422497953</v>
      </c>
      <c r="S55" s="105">
        <f>(Yield_Originals!$H55*Yield_Originals!S$1)/Yield_Originals!$K55</f>
        <v>0.35379088538879483</v>
      </c>
      <c r="T55" s="107">
        <f>(Yield_Originals!$I55*Yield_Originals!T$1)/Yield_Originals!$K55</f>
        <v>0.38458214254711665</v>
      </c>
      <c r="U55" s="107">
        <f>(Yield_Originals!$I55*Yield_Originals!U$1)/Yield_Originals!$K55</f>
        <v>0.3941966961107945</v>
      </c>
      <c r="V55" s="107">
        <f>(Yield_Originals!$I55*Yield_Originals!V$1)/Yield_Originals!$K55</f>
        <v>0.40381124967447241</v>
      </c>
      <c r="W55" s="107">
        <f>(Yield_Originals!$I55*Yield_Originals!W$1)/Yield_Originals!$K55</f>
        <v>0.4134258032381502</v>
      </c>
      <c r="X55" s="108">
        <f>(Yield_Originals!$J55*Yield_Originals!X$1)/Yield_Originals!$K55</f>
        <v>0.37984340207634482</v>
      </c>
      <c r="Y55" s="108">
        <f>(Yield_Originals!$J55*Yield_Originals!Y$1)/Yield_Originals!$K55</f>
        <v>0.38847620666898891</v>
      </c>
      <c r="Z55" s="108">
        <f>(Yield_Originals!$J55*Yield_Originals!Z$1)/Yield_Originals!$K55</f>
        <v>0.39710901126163312</v>
      </c>
      <c r="AA55" s="108">
        <f>(Yield_Originals!$J55*Yield_Originals!AA$1)/Yield_Originals!$K55</f>
        <v>0.40574181585427727</v>
      </c>
      <c r="AB55" s="108">
        <f>(Yield_Originals!$J55*Yield_Originals!AB$1)/Yield_Originals!$K55</f>
        <v>0.41437462044692147</v>
      </c>
    </row>
    <row r="56" spans="1:28" x14ac:dyDescent="0.25">
      <c r="A56" s="70" t="s">
        <v>781</v>
      </c>
      <c r="B56" s="70">
        <v>2</v>
      </c>
      <c r="C56" s="39" t="s">
        <v>826</v>
      </c>
      <c r="D56" s="39" t="s">
        <v>1373</v>
      </c>
      <c r="E56" s="100">
        <v>17</v>
      </c>
      <c r="F56" s="102">
        <v>0.22742850037206999</v>
      </c>
      <c r="G56" s="102">
        <v>0.22742850037206999</v>
      </c>
      <c r="H56" s="102">
        <v>0.24190829770173999</v>
      </c>
      <c r="I56" s="102">
        <v>0.25638809503141102</v>
      </c>
      <c r="J56" s="102">
        <v>0.23020812247051201</v>
      </c>
      <c r="K56" s="103">
        <v>1</v>
      </c>
      <c r="L56" s="104">
        <f>(Yield_Originals!$G56*Yield_Originals!L$1)/Yield_Originals!$K56</f>
        <v>0.27291420044648401</v>
      </c>
      <c r="M56" s="104">
        <f>(Yield_Originals!$G56*Yield_Originals!M$1)/Yield_Originals!$K56</f>
        <v>0.28144276921043665</v>
      </c>
      <c r="N56" s="104">
        <f>(Yield_Originals!$G56*Yield_Originals!N$1)/Yield_Originals!$K56</f>
        <v>0.28997133797438929</v>
      </c>
      <c r="O56" s="104">
        <f>(Yield_Originals!$G56*Yield_Originals!O$1)/Yield_Originals!$K56</f>
        <v>0.29849990673834192</v>
      </c>
      <c r="P56" s="105">
        <f>(Yield_Originals!$H56*Yield_Originals!P$1)/Yield_Originals!$K56</f>
        <v>0.32657620189734904</v>
      </c>
      <c r="Q56" s="105">
        <f>(Yield_Originals!$H56*Yield_Originals!Q$1)/Yield_Originals!$K56</f>
        <v>0.33564776306116428</v>
      </c>
      <c r="R56" s="105">
        <f>(Yield_Originals!$H56*Yield_Originals!R$1)/Yield_Originals!$K56</f>
        <v>0.34471932422497953</v>
      </c>
      <c r="S56" s="105">
        <f>(Yield_Originals!$H56*Yield_Originals!S$1)/Yield_Originals!$K56</f>
        <v>0.35379088538879483</v>
      </c>
      <c r="T56" s="107">
        <f>(Yield_Originals!$I56*Yield_Originals!T$1)/Yield_Originals!$K56</f>
        <v>0.38458214254711665</v>
      </c>
      <c r="U56" s="107">
        <f>(Yield_Originals!$I56*Yield_Originals!U$1)/Yield_Originals!$K56</f>
        <v>0.3941966961107945</v>
      </c>
      <c r="V56" s="107">
        <f>(Yield_Originals!$I56*Yield_Originals!V$1)/Yield_Originals!$K56</f>
        <v>0.40381124967447241</v>
      </c>
      <c r="W56" s="107">
        <f>(Yield_Originals!$I56*Yield_Originals!W$1)/Yield_Originals!$K56</f>
        <v>0.4134258032381502</v>
      </c>
      <c r="X56" s="108">
        <f>(Yield_Originals!$J56*Yield_Originals!X$1)/Yield_Originals!$K56</f>
        <v>0.37984340207634482</v>
      </c>
      <c r="Y56" s="108">
        <f>(Yield_Originals!$J56*Yield_Originals!Y$1)/Yield_Originals!$K56</f>
        <v>0.38847620666898891</v>
      </c>
      <c r="Z56" s="108">
        <f>(Yield_Originals!$J56*Yield_Originals!Z$1)/Yield_Originals!$K56</f>
        <v>0.39710901126163312</v>
      </c>
      <c r="AA56" s="108">
        <f>(Yield_Originals!$J56*Yield_Originals!AA$1)/Yield_Originals!$K56</f>
        <v>0.40574181585427727</v>
      </c>
      <c r="AB56" s="108">
        <f>(Yield_Originals!$J56*Yield_Originals!AB$1)/Yield_Originals!$K56</f>
        <v>0.41437462044692147</v>
      </c>
    </row>
    <row r="57" spans="1:28" x14ac:dyDescent="0.25">
      <c r="A57" s="72" t="s">
        <v>839</v>
      </c>
      <c r="B57" s="70">
        <v>2</v>
      </c>
      <c r="C57" s="99" t="s">
        <v>829</v>
      </c>
      <c r="D57" s="99" t="s">
        <v>845</v>
      </c>
      <c r="E57" s="100">
        <v>13</v>
      </c>
      <c r="F57" s="102">
        <v>0.22742850037206999</v>
      </c>
      <c r="G57" s="102">
        <v>0.22742850037206999</v>
      </c>
      <c r="H57" s="102">
        <f>+(Yield_Originals!I57+Yield_Originals!G57)/2</f>
        <v>0.24190829770174049</v>
      </c>
      <c r="I57" s="102">
        <v>0.25638809503141102</v>
      </c>
      <c r="J57" s="102">
        <v>0.23020812247051201</v>
      </c>
      <c r="K57" s="103">
        <v>1</v>
      </c>
      <c r="L57" s="104">
        <f>(Yield_Originals!$G57*Yield_Originals!L$1)/Yield_Originals!$K57</f>
        <v>0.27291420044648401</v>
      </c>
      <c r="M57" s="104">
        <f>(Yield_Originals!$G57*Yield_Originals!M$1)/Yield_Originals!$K57</f>
        <v>0.28144276921043665</v>
      </c>
      <c r="N57" s="104">
        <f>(Yield_Originals!$G57*Yield_Originals!N$1)/Yield_Originals!$K57</f>
        <v>0.28997133797438929</v>
      </c>
      <c r="O57" s="104">
        <f>(Yield_Originals!$G57*Yield_Originals!O$1)/Yield_Originals!$K57</f>
        <v>0.29849990673834192</v>
      </c>
      <c r="P57" s="105"/>
      <c r="Q57" s="105"/>
      <c r="R57" s="105"/>
      <c r="S57" s="105"/>
      <c r="T57" s="107"/>
      <c r="U57" s="107"/>
      <c r="V57" s="107"/>
      <c r="W57" s="107"/>
      <c r="X57" s="108"/>
      <c r="Y57" s="108"/>
      <c r="Z57" s="108"/>
      <c r="AA57" s="108"/>
      <c r="AB57" s="108"/>
    </row>
    <row r="58" spans="1:28" x14ac:dyDescent="0.25">
      <c r="A58" s="72" t="s">
        <v>839</v>
      </c>
      <c r="B58" s="70">
        <v>2</v>
      </c>
      <c r="C58" s="99" t="s">
        <v>829</v>
      </c>
      <c r="D58" s="99" t="s">
        <v>845</v>
      </c>
      <c r="E58" s="100">
        <v>20</v>
      </c>
      <c r="F58" s="102">
        <v>0.22742850037206999</v>
      </c>
      <c r="G58" s="102">
        <v>0.22742850037206999</v>
      </c>
      <c r="H58" s="102">
        <f>+(Yield_Originals!I58+Yield_Originals!G58)/2</f>
        <v>0.24190829770174049</v>
      </c>
      <c r="I58" s="102">
        <v>0.25638809503141102</v>
      </c>
      <c r="J58" s="102">
        <v>0.23020812247051201</v>
      </c>
      <c r="K58" s="103">
        <v>1</v>
      </c>
      <c r="L58" s="104">
        <f>(Yield_Originals!$G58*Yield_Originals!L$1)/Yield_Originals!$K58</f>
        <v>0.27291420044648401</v>
      </c>
      <c r="M58" s="104">
        <f>(Yield_Originals!$G58*Yield_Originals!M$1)/Yield_Originals!$K58</f>
        <v>0.28144276921043665</v>
      </c>
      <c r="N58" s="104">
        <f>(Yield_Originals!$G58*Yield_Originals!N$1)/Yield_Originals!$K58</f>
        <v>0.28997133797438929</v>
      </c>
      <c r="O58" s="104">
        <f>(Yield_Originals!$G58*Yield_Originals!O$1)/Yield_Originals!$K58</f>
        <v>0.29849990673834192</v>
      </c>
      <c r="P58" s="105"/>
      <c r="Q58" s="105"/>
      <c r="R58" s="105"/>
      <c r="S58" s="105"/>
      <c r="T58" s="107"/>
      <c r="U58" s="107"/>
      <c r="V58" s="107"/>
      <c r="W58" s="107"/>
      <c r="X58" s="108"/>
      <c r="Y58" s="108"/>
      <c r="Z58" s="108"/>
      <c r="AA58" s="108"/>
      <c r="AB58" s="108"/>
    </row>
    <row r="59" spans="1:28" x14ac:dyDescent="0.25">
      <c r="A59" s="72" t="s">
        <v>856</v>
      </c>
      <c r="B59" s="70">
        <v>2</v>
      </c>
      <c r="C59" s="99" t="s">
        <v>832</v>
      </c>
      <c r="D59" s="99" t="s">
        <v>859</v>
      </c>
      <c r="E59" s="100">
        <v>15</v>
      </c>
      <c r="F59" s="102">
        <v>0.22742850037206999</v>
      </c>
      <c r="G59" s="102">
        <v>0.22742850037206999</v>
      </c>
      <c r="H59" s="102">
        <f>+(Yield_Originals!I59+Yield_Originals!G59)/2</f>
        <v>0.24190829770174049</v>
      </c>
      <c r="I59" s="102">
        <v>0.25638809503141102</v>
      </c>
      <c r="J59" s="102">
        <v>0.23020812247051201</v>
      </c>
      <c r="K59" s="103">
        <v>1</v>
      </c>
      <c r="L59" s="104">
        <f>(Yield_Originals!$G59*Yield_Originals!L$1)/Yield_Originals!$K59</f>
        <v>0.27291420044648401</v>
      </c>
      <c r="M59" s="104">
        <f>(Yield_Originals!$G59*Yield_Originals!M$1)/Yield_Originals!$K59</f>
        <v>0.28144276921043665</v>
      </c>
      <c r="N59" s="104">
        <f>(Yield_Originals!$G59*Yield_Originals!N$1)/Yield_Originals!$K59</f>
        <v>0.28997133797438929</v>
      </c>
      <c r="O59" s="104">
        <f>(Yield_Originals!$G59*Yield_Originals!O$1)/Yield_Originals!$K59</f>
        <v>0.29849990673834192</v>
      </c>
      <c r="P59" s="105">
        <f>(Yield_Originals!$H59*Yield_Originals!P$1)/Yield_Originals!$K59</f>
        <v>0.3265762018973497</v>
      </c>
      <c r="Q59" s="105">
        <f>(Yield_Originals!$H59*Yield_Originals!Q$1)/Yield_Originals!$K59</f>
        <v>0.33564776306116495</v>
      </c>
      <c r="R59" s="105">
        <f>(Yield_Originals!$H59*Yield_Originals!R$1)/Yield_Originals!$K59</f>
        <v>0.34471932422498025</v>
      </c>
      <c r="S59" s="105">
        <f>(Yield_Originals!$H59*Yield_Originals!S$1)/Yield_Originals!$K59</f>
        <v>0.35379088538879555</v>
      </c>
      <c r="T59" s="107">
        <f>(Yield_Originals!$I59*Yield_Originals!T$1)/Yield_Originals!$K59</f>
        <v>0.38458214254711665</v>
      </c>
      <c r="U59" s="107">
        <f>(Yield_Originals!$I59*Yield_Originals!U$1)/Yield_Originals!$K59</f>
        <v>0.3941966961107945</v>
      </c>
      <c r="V59" s="107">
        <f>(Yield_Originals!$I59*Yield_Originals!V$1)/Yield_Originals!$K59</f>
        <v>0.40381124967447241</v>
      </c>
      <c r="W59" s="107">
        <f>(Yield_Originals!$I59*Yield_Originals!W$1)/Yield_Originals!$K59</f>
        <v>0.4134258032381502</v>
      </c>
      <c r="X59" s="108">
        <f>(Yield_Originals!$J59*Yield_Originals!X$1)/Yield_Originals!$K59</f>
        <v>0.37984340207634482</v>
      </c>
      <c r="Y59" s="108">
        <f>(Yield_Originals!$J59*Yield_Originals!Y$1)/Yield_Originals!$K59</f>
        <v>0.38847620666898891</v>
      </c>
      <c r="Z59" s="108">
        <f>(Yield_Originals!$J59*Yield_Originals!Z$1)/Yield_Originals!$K59</f>
        <v>0.39710901126163312</v>
      </c>
      <c r="AA59" s="108">
        <f>(Yield_Originals!$J59*Yield_Originals!AA$1)/Yield_Originals!$K59</f>
        <v>0.40574181585427727</v>
      </c>
      <c r="AB59" s="108">
        <f>(Yield_Originals!$J59*Yield_Originals!AB$1)/Yield_Originals!$K59</f>
        <v>0.41437462044692147</v>
      </c>
    </row>
    <row r="60" spans="1:28" x14ac:dyDescent="0.25">
      <c r="A60" s="72" t="s">
        <v>856</v>
      </c>
      <c r="B60" s="70">
        <v>2</v>
      </c>
      <c r="C60" s="99" t="s">
        <v>832</v>
      </c>
      <c r="D60" s="99" t="s">
        <v>859</v>
      </c>
      <c r="E60" s="100">
        <v>22</v>
      </c>
      <c r="F60" s="102">
        <v>0.22742850037206999</v>
      </c>
      <c r="G60" s="102">
        <v>0.22742850037206999</v>
      </c>
      <c r="H60" s="102">
        <f>+(Yield_Originals!I60+Yield_Originals!G60)/2</f>
        <v>0.24190829770174049</v>
      </c>
      <c r="I60" s="102">
        <v>0.25638809503141102</v>
      </c>
      <c r="J60" s="102">
        <v>0.23020812247051201</v>
      </c>
      <c r="K60" s="103">
        <v>1</v>
      </c>
      <c r="L60" s="104">
        <f>(Yield_Originals!$G60*Yield_Originals!L$1)/Yield_Originals!$K60</f>
        <v>0.27291420044648401</v>
      </c>
      <c r="M60" s="104">
        <f>(Yield_Originals!$G60*Yield_Originals!M$1)/Yield_Originals!$K60</f>
        <v>0.28144276921043665</v>
      </c>
      <c r="N60" s="104">
        <f>(Yield_Originals!$G60*Yield_Originals!N$1)/Yield_Originals!$K60</f>
        <v>0.28997133797438929</v>
      </c>
      <c r="O60" s="104">
        <f>(Yield_Originals!$G60*Yield_Originals!O$1)/Yield_Originals!$K60</f>
        <v>0.29849990673834192</v>
      </c>
      <c r="P60" s="105">
        <f>(Yield_Originals!$H60*Yield_Originals!P$1)/Yield_Originals!$K60</f>
        <v>0.3265762018973497</v>
      </c>
      <c r="Q60" s="105">
        <f>(Yield_Originals!$H60*Yield_Originals!Q$1)/Yield_Originals!$K60</f>
        <v>0.33564776306116495</v>
      </c>
      <c r="R60" s="105">
        <f>(Yield_Originals!$H60*Yield_Originals!R$1)/Yield_Originals!$K60</f>
        <v>0.34471932422498025</v>
      </c>
      <c r="S60" s="105">
        <f>(Yield_Originals!$H60*Yield_Originals!S$1)/Yield_Originals!$K60</f>
        <v>0.35379088538879555</v>
      </c>
      <c r="T60" s="107">
        <f>(Yield_Originals!$I60*Yield_Originals!T$1)/Yield_Originals!$K60</f>
        <v>0.38458214254711665</v>
      </c>
      <c r="U60" s="107">
        <f>(Yield_Originals!$I60*Yield_Originals!U$1)/Yield_Originals!$K60</f>
        <v>0.3941966961107945</v>
      </c>
      <c r="V60" s="107">
        <f>(Yield_Originals!$I60*Yield_Originals!V$1)/Yield_Originals!$K60</f>
        <v>0.40381124967447241</v>
      </c>
      <c r="W60" s="107">
        <f>(Yield_Originals!$I60*Yield_Originals!W$1)/Yield_Originals!$K60</f>
        <v>0.4134258032381502</v>
      </c>
      <c r="X60" s="108">
        <f>(Yield_Originals!$J60*Yield_Originals!X$1)/Yield_Originals!$K60</f>
        <v>0.37984340207634482</v>
      </c>
      <c r="Y60" s="108">
        <f>(Yield_Originals!$J60*Yield_Originals!Y$1)/Yield_Originals!$K60</f>
        <v>0.38847620666898891</v>
      </c>
      <c r="Z60" s="108">
        <f>(Yield_Originals!$J60*Yield_Originals!Z$1)/Yield_Originals!$K60</f>
        <v>0.39710901126163312</v>
      </c>
      <c r="AA60" s="108">
        <f>(Yield_Originals!$J60*Yield_Originals!AA$1)/Yield_Originals!$K60</f>
        <v>0.40574181585427727</v>
      </c>
      <c r="AB60" s="108">
        <f>(Yield_Originals!$J60*Yield_Originals!AB$1)/Yield_Originals!$K60</f>
        <v>0.41437462044692147</v>
      </c>
    </row>
    <row r="61" spans="1:28" x14ac:dyDescent="0.25">
      <c r="A61" s="70" t="s">
        <v>781</v>
      </c>
      <c r="B61" s="70">
        <v>2</v>
      </c>
      <c r="C61" s="39" t="s">
        <v>224</v>
      </c>
      <c r="D61" s="39" t="s">
        <v>1374</v>
      </c>
      <c r="E61" s="100">
        <v>10</v>
      </c>
      <c r="F61" s="102">
        <v>0.22742850037206999</v>
      </c>
      <c r="G61" s="102">
        <v>0.22742850037206999</v>
      </c>
      <c r="H61" s="102">
        <v>0.24190829770173999</v>
      </c>
      <c r="I61" s="102">
        <v>0.25638809503141102</v>
      </c>
      <c r="J61" s="102">
        <v>0.23020812247051201</v>
      </c>
      <c r="K61" s="103">
        <v>1</v>
      </c>
      <c r="L61" s="104">
        <f>(Yield_Originals!$G61*Yield_Originals!L$1)/Yield_Originals!$K61</f>
        <v>0.27291420044648401</v>
      </c>
      <c r="M61" s="104">
        <f>(Yield_Originals!$G61*Yield_Originals!M$1)/Yield_Originals!$K61</f>
        <v>0.28144276921043665</v>
      </c>
      <c r="N61" s="104">
        <f>(Yield_Originals!$G61*Yield_Originals!N$1)/Yield_Originals!$K61</f>
        <v>0.28997133797438929</v>
      </c>
      <c r="O61" s="104">
        <f>(Yield_Originals!$G61*Yield_Originals!O$1)/Yield_Originals!$K61</f>
        <v>0.29849990673834192</v>
      </c>
      <c r="P61" s="105">
        <f>(Yield_Originals!$H61*Yield_Originals!P$1)/Yield_Originals!$K61</f>
        <v>0.32657620189734904</v>
      </c>
      <c r="Q61" s="105">
        <f>(Yield_Originals!$H61*Yield_Originals!Q$1)/Yield_Originals!$K61</f>
        <v>0.33564776306116428</v>
      </c>
      <c r="R61" s="105">
        <f>(Yield_Originals!$H61*Yield_Originals!R$1)/Yield_Originals!$K61</f>
        <v>0.34471932422497953</v>
      </c>
      <c r="S61" s="105">
        <f>(Yield_Originals!$H61*Yield_Originals!S$1)/Yield_Originals!$K61</f>
        <v>0.35379088538879483</v>
      </c>
      <c r="T61" s="107">
        <f>(Yield_Originals!$I61*Yield_Originals!T$1)/Yield_Originals!$K61</f>
        <v>0.38458214254711665</v>
      </c>
      <c r="U61" s="107">
        <f>(Yield_Originals!$I61*Yield_Originals!U$1)/Yield_Originals!$K61</f>
        <v>0.3941966961107945</v>
      </c>
      <c r="V61" s="107">
        <f>(Yield_Originals!$I61*Yield_Originals!V$1)/Yield_Originals!$K61</f>
        <v>0.40381124967447241</v>
      </c>
      <c r="W61" s="107">
        <f>(Yield_Originals!$I61*Yield_Originals!W$1)/Yield_Originals!$K61</f>
        <v>0.4134258032381502</v>
      </c>
      <c r="X61" s="108">
        <f>(Yield_Originals!$J61*Yield_Originals!X$1)/Yield_Originals!$K61</f>
        <v>0.37984340207634482</v>
      </c>
      <c r="Y61" s="108">
        <f>(Yield_Originals!$J61*Yield_Originals!Y$1)/Yield_Originals!$K61</f>
        <v>0.38847620666898891</v>
      </c>
      <c r="Z61" s="108">
        <f>(Yield_Originals!$J61*Yield_Originals!Z$1)/Yield_Originals!$K61</f>
        <v>0.39710901126163312</v>
      </c>
      <c r="AA61" s="108">
        <f>(Yield_Originals!$J61*Yield_Originals!AA$1)/Yield_Originals!$K61</f>
        <v>0.40574181585427727</v>
      </c>
      <c r="AB61" s="108">
        <f>(Yield_Originals!$J61*Yield_Originals!AB$1)/Yield_Originals!$K61</f>
        <v>0.41437462044692147</v>
      </c>
    </row>
    <row r="62" spans="1:28" x14ac:dyDescent="0.25">
      <c r="A62" s="70" t="s">
        <v>781</v>
      </c>
      <c r="B62" s="70">
        <v>2</v>
      </c>
      <c r="C62" s="39" t="s">
        <v>224</v>
      </c>
      <c r="D62" s="39" t="s">
        <v>1374</v>
      </c>
      <c r="E62" s="100">
        <v>17</v>
      </c>
      <c r="F62" s="102">
        <v>0.22742850037206999</v>
      </c>
      <c r="G62" s="102">
        <v>0.22742850037206999</v>
      </c>
      <c r="H62" s="102">
        <v>0.24190829770173999</v>
      </c>
      <c r="I62" s="102">
        <v>0.25638809503141102</v>
      </c>
      <c r="J62" s="102">
        <v>0.23020812247051201</v>
      </c>
      <c r="K62" s="103">
        <v>1</v>
      </c>
      <c r="L62" s="104">
        <f>(Yield_Originals!$G62*Yield_Originals!L$1)/Yield_Originals!$K62</f>
        <v>0.27291420044648401</v>
      </c>
      <c r="M62" s="104">
        <f>(Yield_Originals!$G62*Yield_Originals!M$1)/Yield_Originals!$K62</f>
        <v>0.28144276921043665</v>
      </c>
      <c r="N62" s="104">
        <f>(Yield_Originals!$G62*Yield_Originals!N$1)/Yield_Originals!$K62</f>
        <v>0.28997133797438929</v>
      </c>
      <c r="O62" s="104">
        <f>(Yield_Originals!$G62*Yield_Originals!O$1)/Yield_Originals!$K62</f>
        <v>0.29849990673834192</v>
      </c>
      <c r="P62" s="105">
        <f>(Yield_Originals!$H62*Yield_Originals!P$1)/Yield_Originals!$K62</f>
        <v>0.32657620189734904</v>
      </c>
      <c r="Q62" s="105">
        <f>(Yield_Originals!$H62*Yield_Originals!Q$1)/Yield_Originals!$K62</f>
        <v>0.33564776306116428</v>
      </c>
      <c r="R62" s="105">
        <f>(Yield_Originals!$H62*Yield_Originals!R$1)/Yield_Originals!$K62</f>
        <v>0.34471932422497953</v>
      </c>
      <c r="S62" s="105">
        <f>(Yield_Originals!$H62*Yield_Originals!S$1)/Yield_Originals!$K62</f>
        <v>0.35379088538879483</v>
      </c>
      <c r="T62" s="107">
        <f>(Yield_Originals!$I62*Yield_Originals!T$1)/Yield_Originals!$K62</f>
        <v>0.38458214254711665</v>
      </c>
      <c r="U62" s="107">
        <f>(Yield_Originals!$I62*Yield_Originals!U$1)/Yield_Originals!$K62</f>
        <v>0.3941966961107945</v>
      </c>
      <c r="V62" s="107">
        <f>(Yield_Originals!$I62*Yield_Originals!V$1)/Yield_Originals!$K62</f>
        <v>0.40381124967447241</v>
      </c>
      <c r="W62" s="107">
        <f>(Yield_Originals!$I62*Yield_Originals!W$1)/Yield_Originals!$K62</f>
        <v>0.4134258032381502</v>
      </c>
      <c r="X62" s="108">
        <f>(Yield_Originals!$J62*Yield_Originals!X$1)/Yield_Originals!$K62</f>
        <v>0.37984340207634482</v>
      </c>
      <c r="Y62" s="108">
        <f>(Yield_Originals!$J62*Yield_Originals!Y$1)/Yield_Originals!$K62</f>
        <v>0.38847620666898891</v>
      </c>
      <c r="Z62" s="108">
        <f>(Yield_Originals!$J62*Yield_Originals!Z$1)/Yield_Originals!$K62</f>
        <v>0.39710901126163312</v>
      </c>
      <c r="AA62" s="108">
        <f>(Yield_Originals!$J62*Yield_Originals!AA$1)/Yield_Originals!$K62</f>
        <v>0.40574181585427727</v>
      </c>
      <c r="AB62" s="108">
        <f>(Yield_Originals!$J62*Yield_Originals!AB$1)/Yield_Originals!$K62</f>
        <v>0.41437462044692147</v>
      </c>
    </row>
    <row r="63" spans="1:28" x14ac:dyDescent="0.25">
      <c r="A63" s="72" t="s">
        <v>849</v>
      </c>
      <c r="B63" s="70">
        <v>2</v>
      </c>
      <c r="C63" s="99" t="s">
        <v>224</v>
      </c>
      <c r="D63" s="99" t="s">
        <v>848</v>
      </c>
      <c r="E63" s="100">
        <v>14</v>
      </c>
      <c r="F63" s="102">
        <f>+Yield_Originals!F67*0.9</f>
        <v>0.204685650334863</v>
      </c>
      <c r="G63" s="102">
        <f>+Yield_Originals!G67*0.9</f>
        <v>0.204685650334863</v>
      </c>
      <c r="H63" s="102">
        <f>+Yield_Originals!H67*0.9</f>
        <v>0.21771746793156646</v>
      </c>
      <c r="I63" s="102">
        <f>+Yield_Originals!I67*0.9</f>
        <v>0.23074928552826993</v>
      </c>
      <c r="J63" s="102">
        <f>+Yield_Originals!J67*0.9</f>
        <v>0.20718731022346082</v>
      </c>
      <c r="K63" s="103">
        <v>1</v>
      </c>
      <c r="L63" s="104">
        <f>(Yield_Originals!$G63*Yield_Originals!L$1)/Yield_Originals!$K63</f>
        <v>0.24562278040183563</v>
      </c>
      <c r="M63" s="104">
        <f>(Yield_Originals!$G63*Yield_Originals!M$1)/Yield_Originals!$K63</f>
        <v>0.25329849228939294</v>
      </c>
      <c r="N63" s="104">
        <f>(Yield_Originals!$G63*Yield_Originals!N$1)/Yield_Originals!$K63</f>
        <v>0.26097420417695033</v>
      </c>
      <c r="O63" s="104">
        <f>(Yield_Originals!$G63*Yield_Originals!O$1)/Yield_Originals!$K63</f>
        <v>0.26864991606450772</v>
      </c>
      <c r="P63" s="105">
        <f>(Yield_Originals!$H63*Yield_Originals!P$1)/Yield_Originals!$K63</f>
        <v>0.29391858170761476</v>
      </c>
      <c r="Q63" s="105">
        <f>(Yield_Originals!$H63*Yield_Originals!Q$1)/Yield_Originals!$K63</f>
        <v>0.30208298675504852</v>
      </c>
      <c r="R63" s="105">
        <f>(Yield_Originals!$H63*Yield_Originals!R$1)/Yield_Originals!$K63</f>
        <v>0.31024739180248229</v>
      </c>
      <c r="S63" s="105">
        <f>(Yield_Originals!$H63*Yield_Originals!S$1)/Yield_Originals!$K63</f>
        <v>0.31841179684991605</v>
      </c>
      <c r="T63" s="107">
        <f>(Yield_Originals!$I63*Yield_Originals!T$1)/Yield_Originals!$K63</f>
        <v>0.34612392829240501</v>
      </c>
      <c r="U63" s="107">
        <f>(Yield_Originals!$I63*Yield_Originals!U$1)/Yield_Originals!$K63</f>
        <v>0.35477702649971504</v>
      </c>
      <c r="V63" s="107">
        <f>(Yield_Originals!$I63*Yield_Originals!V$1)/Yield_Originals!$K63</f>
        <v>0.36343012470702518</v>
      </c>
      <c r="W63" s="107">
        <f>(Yield_Originals!$I63*Yield_Originals!W$1)/Yield_Originals!$K63</f>
        <v>0.37208322291433521</v>
      </c>
      <c r="X63" s="108">
        <f>(Yield_Originals!$J63*Yield_Originals!X$1)/Yield_Originals!$K63</f>
        <v>0.34185906186871035</v>
      </c>
      <c r="Y63" s="108">
        <f>(Yield_Originals!$J63*Yield_Originals!Y$1)/Yield_Originals!$K63</f>
        <v>0.34962858600209001</v>
      </c>
      <c r="Z63" s="108">
        <f>(Yield_Originals!$J63*Yield_Originals!Z$1)/Yield_Originals!$K63</f>
        <v>0.35739811013546985</v>
      </c>
      <c r="AA63" s="108">
        <f>(Yield_Originals!$J63*Yield_Originals!AA$1)/Yield_Originals!$K63</f>
        <v>0.36516763426884957</v>
      </c>
      <c r="AB63" s="108">
        <f>(Yield_Originals!$J63*Yield_Originals!AB$1)/Yield_Originals!$K63</f>
        <v>0.37293715840222935</v>
      </c>
    </row>
    <row r="64" spans="1:28" x14ac:dyDescent="0.25">
      <c r="A64" s="72" t="s">
        <v>849</v>
      </c>
      <c r="B64" s="70">
        <v>2</v>
      </c>
      <c r="C64" s="99" t="s">
        <v>224</v>
      </c>
      <c r="D64" s="99" t="s">
        <v>848</v>
      </c>
      <c r="E64" s="100">
        <v>21</v>
      </c>
      <c r="F64" s="102">
        <f>+Yield_Originals!F68*0.9</f>
        <v>0.204685650334863</v>
      </c>
      <c r="G64" s="102">
        <f>+Yield_Originals!G68*0.9</f>
        <v>0.204685650334863</v>
      </c>
      <c r="H64" s="102">
        <f>+Yield_Originals!H68*0.9</f>
        <v>0.21771746793156646</v>
      </c>
      <c r="I64" s="102">
        <f>+Yield_Originals!I68*0.9</f>
        <v>0.23074928552826993</v>
      </c>
      <c r="J64" s="102">
        <f>+Yield_Originals!J68*0.9</f>
        <v>0.20718731022346082</v>
      </c>
      <c r="K64" s="103">
        <v>1</v>
      </c>
      <c r="L64" s="104">
        <f>(Yield_Originals!$G64*Yield_Originals!L$1)/Yield_Originals!$K64</f>
        <v>0.24562278040183563</v>
      </c>
      <c r="M64" s="104">
        <f>(Yield_Originals!$G64*Yield_Originals!M$1)/Yield_Originals!$K64</f>
        <v>0.25329849228939294</v>
      </c>
      <c r="N64" s="104">
        <f>(Yield_Originals!$G64*Yield_Originals!N$1)/Yield_Originals!$K64</f>
        <v>0.26097420417695033</v>
      </c>
      <c r="O64" s="104">
        <f>(Yield_Originals!$G64*Yield_Originals!O$1)/Yield_Originals!$K64</f>
        <v>0.26864991606450772</v>
      </c>
      <c r="P64" s="105">
        <f>(Yield_Originals!$H64*Yield_Originals!P$1)/Yield_Originals!$K64</f>
        <v>0.29391858170761476</v>
      </c>
      <c r="Q64" s="105">
        <f>(Yield_Originals!$H64*Yield_Originals!Q$1)/Yield_Originals!$K64</f>
        <v>0.30208298675504852</v>
      </c>
      <c r="R64" s="105">
        <f>(Yield_Originals!$H64*Yield_Originals!R$1)/Yield_Originals!$K64</f>
        <v>0.31024739180248229</v>
      </c>
      <c r="S64" s="105">
        <f>(Yield_Originals!$H64*Yield_Originals!S$1)/Yield_Originals!$K64</f>
        <v>0.31841179684991605</v>
      </c>
      <c r="T64" s="107">
        <f>(Yield_Originals!$I64*Yield_Originals!T$1)/Yield_Originals!$K64</f>
        <v>0.34612392829240501</v>
      </c>
      <c r="U64" s="107">
        <f>(Yield_Originals!$I64*Yield_Originals!U$1)/Yield_Originals!$K64</f>
        <v>0.35477702649971504</v>
      </c>
      <c r="V64" s="107">
        <f>(Yield_Originals!$I64*Yield_Originals!V$1)/Yield_Originals!$K64</f>
        <v>0.36343012470702518</v>
      </c>
      <c r="W64" s="107">
        <f>(Yield_Originals!$I64*Yield_Originals!W$1)/Yield_Originals!$K64</f>
        <v>0.37208322291433521</v>
      </c>
      <c r="X64" s="108">
        <f>(Yield_Originals!$J64*Yield_Originals!X$1)/Yield_Originals!$K64</f>
        <v>0.34185906186871035</v>
      </c>
      <c r="Y64" s="108">
        <f>(Yield_Originals!$J64*Yield_Originals!Y$1)/Yield_Originals!$K64</f>
        <v>0.34962858600209001</v>
      </c>
      <c r="Z64" s="108">
        <f>(Yield_Originals!$J64*Yield_Originals!Z$1)/Yield_Originals!$K64</f>
        <v>0.35739811013546985</v>
      </c>
      <c r="AA64" s="108">
        <f>(Yield_Originals!$J64*Yield_Originals!AA$1)/Yield_Originals!$K64</f>
        <v>0.36516763426884957</v>
      </c>
      <c r="AB64" s="108">
        <f>(Yield_Originals!$J64*Yield_Originals!AB$1)/Yield_Originals!$K64</f>
        <v>0.37293715840222935</v>
      </c>
    </row>
    <row r="65" spans="1:28" x14ac:dyDescent="0.25">
      <c r="A65" s="72" t="s">
        <v>849</v>
      </c>
      <c r="B65" s="70">
        <v>2</v>
      </c>
      <c r="C65" s="99" t="s">
        <v>837</v>
      </c>
      <c r="D65" s="99" t="s">
        <v>852</v>
      </c>
      <c r="E65" s="100">
        <v>14</v>
      </c>
      <c r="F65" s="102">
        <f>+Yield_Originals!F69*0.9</f>
        <v>0.204685650334863</v>
      </c>
      <c r="G65" s="102">
        <f>+Yield_Originals!G69*0.9</f>
        <v>0.204685650334863</v>
      </c>
      <c r="H65" s="102">
        <f>+Yield_Originals!H69*0.9</f>
        <v>0.21771746793156599</v>
      </c>
      <c r="I65" s="102">
        <f>+Yield_Originals!I69*0.9</f>
        <v>0.23074928552826993</v>
      </c>
      <c r="J65" s="102">
        <f>+Yield_Originals!J69*0.9</f>
        <v>0.20718731022346082</v>
      </c>
      <c r="K65" s="103">
        <v>1</v>
      </c>
      <c r="L65" s="104">
        <f>(Yield_Originals!$G65*Yield_Originals!L$1)/Yield_Originals!$K65</f>
        <v>0.24562278040183563</v>
      </c>
      <c r="M65" s="104">
        <f>(Yield_Originals!$G65*Yield_Originals!M$1)/Yield_Originals!$K65</f>
        <v>0.25329849228939294</v>
      </c>
      <c r="N65" s="104">
        <f>(Yield_Originals!$G65*Yield_Originals!N$1)/Yield_Originals!$K65</f>
        <v>0.26097420417695033</v>
      </c>
      <c r="O65" s="104">
        <f>(Yield_Originals!$G65*Yield_Originals!O$1)/Yield_Originals!$K65</f>
        <v>0.26864991606450772</v>
      </c>
      <c r="P65" s="105">
        <f>(Yield_Originals!$H65*Yield_Originals!P$1)/Yield_Originals!$K65</f>
        <v>0.29391858170761409</v>
      </c>
      <c r="Q65" s="105">
        <f>(Yield_Originals!$H65*Yield_Originals!Q$1)/Yield_Originals!$K65</f>
        <v>0.30208298675504786</v>
      </c>
      <c r="R65" s="105">
        <f>(Yield_Originals!$H65*Yield_Originals!R$1)/Yield_Originals!$K65</f>
        <v>0.31024739180248156</v>
      </c>
      <c r="S65" s="105">
        <f>(Yield_Originals!$H65*Yield_Originals!S$1)/Yield_Originals!$K65</f>
        <v>0.31841179684991533</v>
      </c>
      <c r="T65" s="107">
        <f>(Yield_Originals!$I65*Yield_Originals!T$1)/Yield_Originals!$K65</f>
        <v>0.34612392829240501</v>
      </c>
      <c r="U65" s="107">
        <f>(Yield_Originals!$I65*Yield_Originals!U$1)/Yield_Originals!$K65</f>
        <v>0.35477702649971504</v>
      </c>
      <c r="V65" s="107">
        <f>(Yield_Originals!$I65*Yield_Originals!V$1)/Yield_Originals!$K65</f>
        <v>0.36343012470702518</v>
      </c>
      <c r="W65" s="107">
        <f>(Yield_Originals!$I65*Yield_Originals!W$1)/Yield_Originals!$K65</f>
        <v>0.37208322291433521</v>
      </c>
      <c r="X65" s="108">
        <f>(Yield_Originals!$J65*Yield_Originals!X$1)/Yield_Originals!$K65</f>
        <v>0.34185906186871035</v>
      </c>
      <c r="Y65" s="108">
        <f>(Yield_Originals!$J65*Yield_Originals!Y$1)/Yield_Originals!$K65</f>
        <v>0.34962858600209001</v>
      </c>
      <c r="Z65" s="108">
        <f>(Yield_Originals!$J65*Yield_Originals!Z$1)/Yield_Originals!$K65</f>
        <v>0.35739811013546985</v>
      </c>
      <c r="AA65" s="108">
        <f>(Yield_Originals!$J65*Yield_Originals!AA$1)/Yield_Originals!$K65</f>
        <v>0.36516763426884957</v>
      </c>
      <c r="AB65" s="108">
        <f>(Yield_Originals!$J65*Yield_Originals!AB$1)/Yield_Originals!$K65</f>
        <v>0.37293715840222935</v>
      </c>
    </row>
    <row r="66" spans="1:28" x14ac:dyDescent="0.25">
      <c r="A66" s="72" t="s">
        <v>849</v>
      </c>
      <c r="B66" s="70">
        <v>2</v>
      </c>
      <c r="C66" s="99" t="s">
        <v>837</v>
      </c>
      <c r="D66" s="99" t="s">
        <v>852</v>
      </c>
      <c r="E66" s="100">
        <v>21</v>
      </c>
      <c r="F66" s="102">
        <f>+Yield_Originals!F70*0.9</f>
        <v>0.204685650334863</v>
      </c>
      <c r="G66" s="102">
        <f>+Yield_Originals!G70*0.9</f>
        <v>0.204685650334863</v>
      </c>
      <c r="H66" s="102">
        <f>+Yield_Originals!H70*0.9</f>
        <v>0.21771746793156599</v>
      </c>
      <c r="I66" s="102">
        <f>+Yield_Originals!I70*0.9</f>
        <v>0.23074928552826993</v>
      </c>
      <c r="J66" s="102">
        <f>+Yield_Originals!J70*0.9</f>
        <v>0.20718731022346082</v>
      </c>
      <c r="K66" s="103">
        <v>1</v>
      </c>
      <c r="L66" s="104">
        <f>(Yield_Originals!$G66*Yield_Originals!L$1)/Yield_Originals!$K66</f>
        <v>0.24562278040183563</v>
      </c>
      <c r="M66" s="104">
        <f>(Yield_Originals!$G66*Yield_Originals!M$1)/Yield_Originals!$K66</f>
        <v>0.25329849228939294</v>
      </c>
      <c r="N66" s="104">
        <f>(Yield_Originals!$G66*Yield_Originals!N$1)/Yield_Originals!$K66</f>
        <v>0.26097420417695033</v>
      </c>
      <c r="O66" s="104">
        <f>(Yield_Originals!$G66*Yield_Originals!O$1)/Yield_Originals!$K66</f>
        <v>0.26864991606450772</v>
      </c>
      <c r="P66" s="105">
        <f>(Yield_Originals!$H66*Yield_Originals!P$1)/Yield_Originals!$K66</f>
        <v>0.29391858170761409</v>
      </c>
      <c r="Q66" s="105">
        <f>(Yield_Originals!$H66*Yield_Originals!Q$1)/Yield_Originals!$K66</f>
        <v>0.30208298675504786</v>
      </c>
      <c r="R66" s="105">
        <f>(Yield_Originals!$H66*Yield_Originals!R$1)/Yield_Originals!$K66</f>
        <v>0.31024739180248156</v>
      </c>
      <c r="S66" s="105">
        <f>(Yield_Originals!$H66*Yield_Originals!S$1)/Yield_Originals!$K66</f>
        <v>0.31841179684991533</v>
      </c>
      <c r="T66" s="107">
        <f>(Yield_Originals!$I66*Yield_Originals!T$1)/Yield_Originals!$K66</f>
        <v>0.34612392829240501</v>
      </c>
      <c r="U66" s="107">
        <f>(Yield_Originals!$I66*Yield_Originals!U$1)/Yield_Originals!$K66</f>
        <v>0.35477702649971504</v>
      </c>
      <c r="V66" s="107">
        <f>(Yield_Originals!$I66*Yield_Originals!V$1)/Yield_Originals!$K66</f>
        <v>0.36343012470702518</v>
      </c>
      <c r="W66" s="107">
        <f>(Yield_Originals!$I66*Yield_Originals!W$1)/Yield_Originals!$K66</f>
        <v>0.37208322291433521</v>
      </c>
      <c r="X66" s="108">
        <f>(Yield_Originals!$J66*Yield_Originals!X$1)/Yield_Originals!$K66</f>
        <v>0.34185906186871035</v>
      </c>
      <c r="Y66" s="108">
        <f>(Yield_Originals!$J66*Yield_Originals!Y$1)/Yield_Originals!$K66</f>
        <v>0.34962858600209001</v>
      </c>
      <c r="Z66" s="108">
        <f>(Yield_Originals!$J66*Yield_Originals!Z$1)/Yield_Originals!$K66</f>
        <v>0.35739811013546985</v>
      </c>
      <c r="AA66" s="108">
        <f>(Yield_Originals!$J66*Yield_Originals!AA$1)/Yield_Originals!$K66</f>
        <v>0.36516763426884957</v>
      </c>
      <c r="AB66" s="108">
        <f>(Yield_Originals!$J66*Yield_Originals!AB$1)/Yield_Originals!$K66</f>
        <v>0.37293715840222935</v>
      </c>
    </row>
    <row r="67" spans="1:28" x14ac:dyDescent="0.25">
      <c r="A67" s="72" t="s">
        <v>856</v>
      </c>
      <c r="B67" s="70">
        <v>2</v>
      </c>
      <c r="C67" s="99" t="s">
        <v>842</v>
      </c>
      <c r="D67" s="99" t="s">
        <v>855</v>
      </c>
      <c r="E67" s="100">
        <v>15</v>
      </c>
      <c r="F67" s="102">
        <v>0.22742850037206999</v>
      </c>
      <c r="G67" s="102">
        <v>0.22742850037206999</v>
      </c>
      <c r="H67" s="102">
        <f>+(Yield_Originals!I67+Yield_Originals!G67)/2</f>
        <v>0.24190829770174049</v>
      </c>
      <c r="I67" s="102">
        <v>0.25638809503141102</v>
      </c>
      <c r="J67" s="102">
        <v>0.23020812247051201</v>
      </c>
      <c r="K67" s="103">
        <v>1</v>
      </c>
      <c r="L67" s="104">
        <f>(Yield_Originals!$G67*Yield_Originals!L$1)/Yield_Originals!$K67</f>
        <v>0.27291420044648401</v>
      </c>
      <c r="M67" s="104">
        <f>(Yield_Originals!$G67*Yield_Originals!M$1)/Yield_Originals!$K67</f>
        <v>0.28144276921043665</v>
      </c>
      <c r="N67" s="104">
        <f>(Yield_Originals!$G67*Yield_Originals!N$1)/Yield_Originals!$K67</f>
        <v>0.28997133797438929</v>
      </c>
      <c r="O67" s="104">
        <f>(Yield_Originals!$G67*Yield_Originals!O$1)/Yield_Originals!$K67</f>
        <v>0.29849990673834192</v>
      </c>
      <c r="P67" s="105">
        <f>(Yield_Originals!$H67*Yield_Originals!P$1)/Yield_Originals!$K67</f>
        <v>0.3265762018973497</v>
      </c>
      <c r="Q67" s="105">
        <f>(Yield_Originals!$H67*Yield_Originals!Q$1)/Yield_Originals!$K67</f>
        <v>0.33564776306116495</v>
      </c>
      <c r="R67" s="105">
        <f>(Yield_Originals!$H67*Yield_Originals!R$1)/Yield_Originals!$K67</f>
        <v>0.34471932422498025</v>
      </c>
      <c r="S67" s="105">
        <f>(Yield_Originals!$H67*Yield_Originals!S$1)/Yield_Originals!$K67</f>
        <v>0.35379088538879555</v>
      </c>
      <c r="T67" s="107">
        <f>(Yield_Originals!$I67*Yield_Originals!T$1)/Yield_Originals!$K67</f>
        <v>0.38458214254711665</v>
      </c>
      <c r="U67" s="107">
        <f>(Yield_Originals!$I67*Yield_Originals!U$1)/Yield_Originals!$K67</f>
        <v>0.3941966961107945</v>
      </c>
      <c r="V67" s="107">
        <f>(Yield_Originals!$I67*Yield_Originals!V$1)/Yield_Originals!$K67</f>
        <v>0.40381124967447241</v>
      </c>
      <c r="W67" s="107">
        <f>(Yield_Originals!$I67*Yield_Originals!W$1)/Yield_Originals!$K67</f>
        <v>0.4134258032381502</v>
      </c>
      <c r="X67" s="108">
        <f>(Yield_Originals!$J67*Yield_Originals!X$1)/Yield_Originals!$K67</f>
        <v>0.37984340207634482</v>
      </c>
      <c r="Y67" s="108">
        <f>(Yield_Originals!$J67*Yield_Originals!Y$1)/Yield_Originals!$K67</f>
        <v>0.38847620666898891</v>
      </c>
      <c r="Z67" s="108">
        <f>(Yield_Originals!$J67*Yield_Originals!Z$1)/Yield_Originals!$K67</f>
        <v>0.39710901126163312</v>
      </c>
      <c r="AA67" s="108">
        <f>(Yield_Originals!$J67*Yield_Originals!AA$1)/Yield_Originals!$K67</f>
        <v>0.40574181585427727</v>
      </c>
      <c r="AB67" s="108">
        <f>(Yield_Originals!$J67*Yield_Originals!AB$1)/Yield_Originals!$K67</f>
        <v>0.41437462044692147</v>
      </c>
    </row>
    <row r="68" spans="1:28" x14ac:dyDescent="0.25">
      <c r="A68" s="72" t="s">
        <v>856</v>
      </c>
      <c r="B68" s="70">
        <v>2</v>
      </c>
      <c r="C68" s="99" t="s">
        <v>842</v>
      </c>
      <c r="D68" s="99" t="s">
        <v>855</v>
      </c>
      <c r="E68" s="100">
        <v>22</v>
      </c>
      <c r="F68" s="102">
        <v>0.22742850037206999</v>
      </c>
      <c r="G68" s="102">
        <v>0.22742850037206999</v>
      </c>
      <c r="H68" s="102">
        <f>+(Yield_Originals!I68+Yield_Originals!G68)/2</f>
        <v>0.24190829770174049</v>
      </c>
      <c r="I68" s="102">
        <v>0.25638809503141102</v>
      </c>
      <c r="J68" s="102">
        <v>0.23020812247051201</v>
      </c>
      <c r="K68" s="103">
        <v>1</v>
      </c>
      <c r="L68" s="104">
        <f>(Yield_Originals!$G68*Yield_Originals!L$1)/Yield_Originals!$K68</f>
        <v>0.27291420044648401</v>
      </c>
      <c r="M68" s="104">
        <f>(Yield_Originals!$G68*Yield_Originals!M$1)/Yield_Originals!$K68</f>
        <v>0.28144276921043665</v>
      </c>
      <c r="N68" s="104">
        <f>(Yield_Originals!$G68*Yield_Originals!N$1)/Yield_Originals!$K68</f>
        <v>0.28997133797438929</v>
      </c>
      <c r="O68" s="104">
        <f>(Yield_Originals!$G68*Yield_Originals!O$1)/Yield_Originals!$K68</f>
        <v>0.29849990673834192</v>
      </c>
      <c r="P68" s="105">
        <f>(Yield_Originals!$H68*Yield_Originals!P$1)/Yield_Originals!$K68</f>
        <v>0.3265762018973497</v>
      </c>
      <c r="Q68" s="105">
        <f>(Yield_Originals!$H68*Yield_Originals!Q$1)/Yield_Originals!$K68</f>
        <v>0.33564776306116495</v>
      </c>
      <c r="R68" s="105">
        <f>(Yield_Originals!$H68*Yield_Originals!R$1)/Yield_Originals!$K68</f>
        <v>0.34471932422498025</v>
      </c>
      <c r="S68" s="105">
        <f>(Yield_Originals!$H68*Yield_Originals!S$1)/Yield_Originals!$K68</f>
        <v>0.35379088538879555</v>
      </c>
      <c r="T68" s="107">
        <f>(Yield_Originals!$I68*Yield_Originals!T$1)/Yield_Originals!$K68</f>
        <v>0.38458214254711665</v>
      </c>
      <c r="U68" s="107">
        <f>(Yield_Originals!$I68*Yield_Originals!U$1)/Yield_Originals!$K68</f>
        <v>0.3941966961107945</v>
      </c>
      <c r="V68" s="107">
        <f>(Yield_Originals!$I68*Yield_Originals!V$1)/Yield_Originals!$K68</f>
        <v>0.40381124967447241</v>
      </c>
      <c r="W68" s="107">
        <f>(Yield_Originals!$I68*Yield_Originals!W$1)/Yield_Originals!$K68</f>
        <v>0.4134258032381502</v>
      </c>
      <c r="X68" s="108">
        <f>(Yield_Originals!$J68*Yield_Originals!X$1)/Yield_Originals!$K68</f>
        <v>0.37984340207634482</v>
      </c>
      <c r="Y68" s="108">
        <f>(Yield_Originals!$J68*Yield_Originals!Y$1)/Yield_Originals!$K68</f>
        <v>0.38847620666898891</v>
      </c>
      <c r="Z68" s="108">
        <f>(Yield_Originals!$J68*Yield_Originals!Z$1)/Yield_Originals!$K68</f>
        <v>0.39710901126163312</v>
      </c>
      <c r="AA68" s="108">
        <f>(Yield_Originals!$J68*Yield_Originals!AA$1)/Yield_Originals!$K68</f>
        <v>0.40574181585427727</v>
      </c>
      <c r="AB68" s="108">
        <f>(Yield_Originals!$J68*Yield_Originals!AB$1)/Yield_Originals!$K68</f>
        <v>0.41437462044692147</v>
      </c>
    </row>
    <row r="69" spans="1:28" x14ac:dyDescent="0.25">
      <c r="A69" s="70" t="s">
        <v>781</v>
      </c>
      <c r="B69" s="70">
        <v>2</v>
      </c>
      <c r="C69" s="39" t="s">
        <v>122</v>
      </c>
      <c r="D69" s="39" t="s">
        <v>1371</v>
      </c>
      <c r="E69" s="100">
        <v>10</v>
      </c>
      <c r="F69" s="102">
        <v>0.22742850037206999</v>
      </c>
      <c r="G69" s="102">
        <v>0.22742850037206999</v>
      </c>
      <c r="H69" s="102">
        <v>0.24190829770173999</v>
      </c>
      <c r="I69" s="102">
        <v>0.25638809503141102</v>
      </c>
      <c r="J69" s="102">
        <v>0.23020812247051201</v>
      </c>
      <c r="K69" s="103">
        <v>1</v>
      </c>
      <c r="L69" s="104">
        <f>(Yield_Originals!$G69*Yield_Originals!L$1)/Yield_Originals!$K69</f>
        <v>0.27291420044648401</v>
      </c>
      <c r="M69" s="104">
        <f>(Yield_Originals!$G69*Yield_Originals!M$1)/Yield_Originals!$K69</f>
        <v>0.28144276921043665</v>
      </c>
      <c r="N69" s="104">
        <f>(Yield_Originals!$G69*Yield_Originals!N$1)/Yield_Originals!$K69</f>
        <v>0.28997133797438929</v>
      </c>
      <c r="O69" s="104">
        <f>(Yield_Originals!$G69*Yield_Originals!O$1)/Yield_Originals!$K69</f>
        <v>0.29849990673834192</v>
      </c>
      <c r="P69" s="105">
        <f>(Yield_Originals!$H69*Yield_Originals!P$1)/Yield_Originals!$K69</f>
        <v>0.32657620189734904</v>
      </c>
      <c r="Q69" s="105">
        <f>(Yield_Originals!$H69*Yield_Originals!Q$1)/Yield_Originals!$K69</f>
        <v>0.33564776306116428</v>
      </c>
      <c r="R69" s="105">
        <f>(Yield_Originals!$H69*Yield_Originals!R$1)/Yield_Originals!$K69</f>
        <v>0.34471932422497953</v>
      </c>
      <c r="S69" s="105">
        <f>(Yield_Originals!$H69*Yield_Originals!S$1)/Yield_Originals!$K69</f>
        <v>0.35379088538879483</v>
      </c>
      <c r="T69" s="107">
        <f>(Yield_Originals!$I69*Yield_Originals!T$1)/Yield_Originals!$K69</f>
        <v>0.38458214254711665</v>
      </c>
      <c r="U69" s="107">
        <f>(Yield_Originals!$I69*Yield_Originals!U$1)/Yield_Originals!$K69</f>
        <v>0.3941966961107945</v>
      </c>
      <c r="V69" s="107">
        <f>(Yield_Originals!$I69*Yield_Originals!V$1)/Yield_Originals!$K69</f>
        <v>0.40381124967447241</v>
      </c>
      <c r="W69" s="107">
        <f>(Yield_Originals!$I69*Yield_Originals!W$1)/Yield_Originals!$K69</f>
        <v>0.4134258032381502</v>
      </c>
      <c r="X69" s="108">
        <f>(Yield_Originals!$J69*Yield_Originals!X$1)/Yield_Originals!$K69</f>
        <v>0.37984340207634482</v>
      </c>
      <c r="Y69" s="108">
        <f>(Yield_Originals!$J69*Yield_Originals!Y$1)/Yield_Originals!$K69</f>
        <v>0.38847620666898891</v>
      </c>
      <c r="Z69" s="108">
        <f>(Yield_Originals!$J69*Yield_Originals!Z$1)/Yield_Originals!$K69</f>
        <v>0.39710901126163312</v>
      </c>
      <c r="AA69" s="108">
        <f>(Yield_Originals!$J69*Yield_Originals!AA$1)/Yield_Originals!$K69</f>
        <v>0.40574181585427727</v>
      </c>
      <c r="AB69" s="108">
        <f>(Yield_Originals!$J69*Yield_Originals!AB$1)/Yield_Originals!$K69</f>
        <v>0.41437462044692147</v>
      </c>
    </row>
    <row r="70" spans="1:28" x14ac:dyDescent="0.25">
      <c r="A70" s="70" t="s">
        <v>781</v>
      </c>
      <c r="B70" s="70">
        <v>2</v>
      </c>
      <c r="C70" s="39" t="s">
        <v>122</v>
      </c>
      <c r="D70" s="39" t="s">
        <v>1371</v>
      </c>
      <c r="E70" s="100">
        <v>17</v>
      </c>
      <c r="F70" s="102">
        <v>0.22742850037206999</v>
      </c>
      <c r="G70" s="102">
        <v>0.22742850037206999</v>
      </c>
      <c r="H70" s="102">
        <v>0.24190829770173999</v>
      </c>
      <c r="I70" s="102">
        <v>0.25638809503141102</v>
      </c>
      <c r="J70" s="102">
        <v>0.23020812247051201</v>
      </c>
      <c r="K70" s="103">
        <v>1</v>
      </c>
      <c r="L70" s="104">
        <f>(Yield_Originals!$G70*Yield_Originals!L$1)/Yield_Originals!$K70</f>
        <v>0.27291420044648401</v>
      </c>
      <c r="M70" s="104">
        <f>(Yield_Originals!$G70*Yield_Originals!M$1)/Yield_Originals!$K70</f>
        <v>0.28144276921043665</v>
      </c>
      <c r="N70" s="104">
        <f>(Yield_Originals!$G70*Yield_Originals!N$1)/Yield_Originals!$K70</f>
        <v>0.28997133797438929</v>
      </c>
      <c r="O70" s="104">
        <f>(Yield_Originals!$G70*Yield_Originals!O$1)/Yield_Originals!$K70</f>
        <v>0.29849990673834192</v>
      </c>
      <c r="P70" s="105">
        <f>(Yield_Originals!$H70*Yield_Originals!P$1)/Yield_Originals!$K70</f>
        <v>0.32657620189734904</v>
      </c>
      <c r="Q70" s="105">
        <f>(Yield_Originals!$H70*Yield_Originals!Q$1)/Yield_Originals!$K70</f>
        <v>0.33564776306116428</v>
      </c>
      <c r="R70" s="105">
        <f>(Yield_Originals!$H70*Yield_Originals!R$1)/Yield_Originals!$K70</f>
        <v>0.34471932422497953</v>
      </c>
      <c r="S70" s="105">
        <f>(Yield_Originals!$H70*Yield_Originals!S$1)/Yield_Originals!$K70</f>
        <v>0.35379088538879483</v>
      </c>
      <c r="T70" s="107">
        <f>(Yield_Originals!$I70*Yield_Originals!T$1)/Yield_Originals!$K70</f>
        <v>0.38458214254711665</v>
      </c>
      <c r="U70" s="107">
        <f>(Yield_Originals!$I70*Yield_Originals!U$1)/Yield_Originals!$K70</f>
        <v>0.3941966961107945</v>
      </c>
      <c r="V70" s="107">
        <f>(Yield_Originals!$I70*Yield_Originals!V$1)/Yield_Originals!$K70</f>
        <v>0.40381124967447241</v>
      </c>
      <c r="W70" s="107">
        <f>(Yield_Originals!$I70*Yield_Originals!W$1)/Yield_Originals!$K70</f>
        <v>0.4134258032381502</v>
      </c>
      <c r="X70" s="108">
        <f>(Yield_Originals!$J70*Yield_Originals!X$1)/Yield_Originals!$K70</f>
        <v>0.37984340207634482</v>
      </c>
      <c r="Y70" s="108">
        <f>(Yield_Originals!$J70*Yield_Originals!Y$1)/Yield_Originals!$K70</f>
        <v>0.38847620666898891</v>
      </c>
      <c r="Z70" s="108">
        <f>(Yield_Originals!$J70*Yield_Originals!Z$1)/Yield_Originals!$K70</f>
        <v>0.39710901126163312</v>
      </c>
      <c r="AA70" s="108">
        <f>(Yield_Originals!$J70*Yield_Originals!AA$1)/Yield_Originals!$K70</f>
        <v>0.40574181585427727</v>
      </c>
      <c r="AB70" s="108">
        <f>(Yield_Originals!$J70*Yield_Originals!AB$1)/Yield_Originals!$K70</f>
        <v>0.41437462044692147</v>
      </c>
    </row>
    <row r="71" spans="1:28" x14ac:dyDescent="0.25">
      <c r="A71" s="70" t="s">
        <v>781</v>
      </c>
      <c r="B71" s="70">
        <v>2</v>
      </c>
      <c r="C71" s="39" t="s">
        <v>847</v>
      </c>
      <c r="D71" s="39" t="s">
        <v>1371</v>
      </c>
      <c r="E71" s="100">
        <v>10</v>
      </c>
      <c r="F71" s="102">
        <v>0.22742850037206999</v>
      </c>
      <c r="G71" s="102">
        <v>0.22742850037206999</v>
      </c>
      <c r="H71" s="102">
        <v>0.24190829770173999</v>
      </c>
      <c r="I71" s="102">
        <v>0.25638809503141102</v>
      </c>
      <c r="J71" s="102">
        <v>0.23020812247051201</v>
      </c>
      <c r="K71" s="103">
        <v>1</v>
      </c>
      <c r="L71" s="104">
        <f>(Yield_Originals!$G71*Yield_Originals!L$1)/Yield_Originals!$K71</f>
        <v>0.27291420044648401</v>
      </c>
      <c r="M71" s="104">
        <f>(Yield_Originals!$G71*Yield_Originals!M$1)/Yield_Originals!$K71</f>
        <v>0.28144276921043665</v>
      </c>
      <c r="N71" s="104">
        <f>(Yield_Originals!$G71*Yield_Originals!N$1)/Yield_Originals!$K71</f>
        <v>0.28997133797438929</v>
      </c>
      <c r="O71" s="104">
        <f>(Yield_Originals!$G71*Yield_Originals!O$1)/Yield_Originals!$K71</f>
        <v>0.29849990673834192</v>
      </c>
      <c r="P71" s="105">
        <f>(Yield_Originals!$H71*Yield_Originals!P$1)/Yield_Originals!$K71</f>
        <v>0.32657620189734904</v>
      </c>
      <c r="Q71" s="105">
        <f>(Yield_Originals!$H71*Yield_Originals!Q$1)/Yield_Originals!$K71</f>
        <v>0.33564776306116428</v>
      </c>
      <c r="R71" s="105">
        <f>(Yield_Originals!$H71*Yield_Originals!R$1)/Yield_Originals!$K71</f>
        <v>0.34471932422497953</v>
      </c>
      <c r="S71" s="105">
        <f>(Yield_Originals!$H71*Yield_Originals!S$1)/Yield_Originals!$K71</f>
        <v>0.35379088538879483</v>
      </c>
      <c r="T71" s="107">
        <f>(Yield_Originals!$I71*Yield_Originals!T$1)/Yield_Originals!$K71</f>
        <v>0.38458214254711665</v>
      </c>
      <c r="U71" s="107">
        <f>(Yield_Originals!$I71*Yield_Originals!U$1)/Yield_Originals!$K71</f>
        <v>0.3941966961107945</v>
      </c>
      <c r="V71" s="107">
        <f>(Yield_Originals!$I71*Yield_Originals!V$1)/Yield_Originals!$K71</f>
        <v>0.40381124967447241</v>
      </c>
      <c r="W71" s="107">
        <f>(Yield_Originals!$I71*Yield_Originals!W$1)/Yield_Originals!$K71</f>
        <v>0.4134258032381502</v>
      </c>
      <c r="X71" s="108">
        <f>(Yield_Originals!$J71*Yield_Originals!X$1)/Yield_Originals!$K71</f>
        <v>0.37984340207634482</v>
      </c>
      <c r="Y71" s="108">
        <f>(Yield_Originals!$J71*Yield_Originals!Y$1)/Yield_Originals!$K71</f>
        <v>0.38847620666898891</v>
      </c>
      <c r="Z71" s="108">
        <f>(Yield_Originals!$J71*Yield_Originals!Z$1)/Yield_Originals!$K71</f>
        <v>0.39710901126163312</v>
      </c>
      <c r="AA71" s="108">
        <f>(Yield_Originals!$J71*Yield_Originals!AA$1)/Yield_Originals!$K71</f>
        <v>0.40574181585427727</v>
      </c>
      <c r="AB71" s="108">
        <f>(Yield_Originals!$J71*Yield_Originals!AB$1)/Yield_Originals!$K71</f>
        <v>0.41437462044692147</v>
      </c>
    </row>
    <row r="72" spans="1:28" x14ac:dyDescent="0.25">
      <c r="A72" s="70" t="s">
        <v>781</v>
      </c>
      <c r="B72" s="70">
        <v>2</v>
      </c>
      <c r="C72" s="39" t="s">
        <v>847</v>
      </c>
      <c r="D72" s="39" t="s">
        <v>1371</v>
      </c>
      <c r="E72" s="100">
        <v>17</v>
      </c>
      <c r="F72" s="102">
        <v>0.22742850037206999</v>
      </c>
      <c r="G72" s="102">
        <v>0.22742850037206999</v>
      </c>
      <c r="H72" s="102">
        <v>0.24190829770173999</v>
      </c>
      <c r="I72" s="102">
        <v>0.25638809503141102</v>
      </c>
      <c r="J72" s="102">
        <v>0.23020812247051201</v>
      </c>
      <c r="K72" s="103">
        <v>1</v>
      </c>
      <c r="L72" s="104">
        <f>(Yield_Originals!$G72*Yield_Originals!L$1)/Yield_Originals!$K72</f>
        <v>0.27291420044648401</v>
      </c>
      <c r="M72" s="104">
        <f>(Yield_Originals!$G72*Yield_Originals!M$1)/Yield_Originals!$K72</f>
        <v>0.28144276921043665</v>
      </c>
      <c r="N72" s="104">
        <f>(Yield_Originals!$G72*Yield_Originals!N$1)/Yield_Originals!$K72</f>
        <v>0.28997133797438929</v>
      </c>
      <c r="O72" s="104">
        <f>(Yield_Originals!$G72*Yield_Originals!O$1)/Yield_Originals!$K72</f>
        <v>0.29849990673834192</v>
      </c>
      <c r="P72" s="105">
        <f>(Yield_Originals!$H72*Yield_Originals!P$1)/Yield_Originals!$K72</f>
        <v>0.32657620189734904</v>
      </c>
      <c r="Q72" s="105">
        <f>(Yield_Originals!$H72*Yield_Originals!Q$1)/Yield_Originals!$K72</f>
        <v>0.33564776306116428</v>
      </c>
      <c r="R72" s="105">
        <f>(Yield_Originals!$H72*Yield_Originals!R$1)/Yield_Originals!$K72</f>
        <v>0.34471932422497953</v>
      </c>
      <c r="S72" s="105">
        <f>(Yield_Originals!$H72*Yield_Originals!S$1)/Yield_Originals!$K72</f>
        <v>0.35379088538879483</v>
      </c>
      <c r="T72" s="107">
        <f>(Yield_Originals!$I72*Yield_Originals!T$1)/Yield_Originals!$K72</f>
        <v>0.38458214254711665</v>
      </c>
      <c r="U72" s="107">
        <f>(Yield_Originals!$I72*Yield_Originals!U$1)/Yield_Originals!$K72</f>
        <v>0.3941966961107945</v>
      </c>
      <c r="V72" s="107">
        <f>(Yield_Originals!$I72*Yield_Originals!V$1)/Yield_Originals!$K72</f>
        <v>0.40381124967447241</v>
      </c>
      <c r="W72" s="107">
        <f>(Yield_Originals!$I72*Yield_Originals!W$1)/Yield_Originals!$K72</f>
        <v>0.4134258032381502</v>
      </c>
      <c r="X72" s="108">
        <f>(Yield_Originals!$J72*Yield_Originals!X$1)/Yield_Originals!$K72</f>
        <v>0.37984340207634482</v>
      </c>
      <c r="Y72" s="108">
        <f>(Yield_Originals!$J72*Yield_Originals!Y$1)/Yield_Originals!$K72</f>
        <v>0.38847620666898891</v>
      </c>
      <c r="Z72" s="108">
        <f>(Yield_Originals!$J72*Yield_Originals!Z$1)/Yield_Originals!$K72</f>
        <v>0.39710901126163312</v>
      </c>
      <c r="AA72" s="108">
        <f>(Yield_Originals!$J72*Yield_Originals!AA$1)/Yield_Originals!$K72</f>
        <v>0.40574181585427727</v>
      </c>
      <c r="AB72" s="108">
        <f>(Yield_Originals!$J72*Yield_Originals!AB$1)/Yield_Originals!$K72</f>
        <v>0.41437462044692147</v>
      </c>
    </row>
    <row r="73" spans="1:28" x14ac:dyDescent="0.25">
      <c r="A73" s="70" t="s">
        <v>781</v>
      </c>
      <c r="B73" s="70">
        <v>2</v>
      </c>
      <c r="C73" s="39" t="s">
        <v>851</v>
      </c>
      <c r="D73" s="39" t="s">
        <v>1371</v>
      </c>
      <c r="E73" s="100">
        <v>10</v>
      </c>
      <c r="F73" s="102">
        <v>0.22742850037206999</v>
      </c>
      <c r="G73" s="102">
        <v>0.22742850037206999</v>
      </c>
      <c r="H73" s="102">
        <v>0.24190829770173999</v>
      </c>
      <c r="I73" s="102">
        <v>0.25638809503141102</v>
      </c>
      <c r="J73" s="102">
        <v>0.23020812247051201</v>
      </c>
      <c r="K73" s="103">
        <v>1</v>
      </c>
      <c r="L73" s="104">
        <f>(Yield_Originals!$G73*Yield_Originals!L$1)/Yield_Originals!$K73</f>
        <v>0.27291420044648401</v>
      </c>
      <c r="M73" s="104">
        <f>(Yield_Originals!$G73*Yield_Originals!M$1)/Yield_Originals!$K73</f>
        <v>0.28144276921043665</v>
      </c>
      <c r="N73" s="104">
        <f>(Yield_Originals!$G73*Yield_Originals!N$1)/Yield_Originals!$K73</f>
        <v>0.28997133797438929</v>
      </c>
      <c r="O73" s="104">
        <f>(Yield_Originals!$G73*Yield_Originals!O$1)/Yield_Originals!$K73</f>
        <v>0.29849990673834192</v>
      </c>
      <c r="P73" s="105">
        <f>(Yield_Originals!$H73*Yield_Originals!P$1)/Yield_Originals!$K73</f>
        <v>0.32657620189734904</v>
      </c>
      <c r="Q73" s="105">
        <f>(Yield_Originals!$H73*Yield_Originals!Q$1)/Yield_Originals!$K73</f>
        <v>0.33564776306116428</v>
      </c>
      <c r="R73" s="105">
        <f>(Yield_Originals!$H73*Yield_Originals!R$1)/Yield_Originals!$K73</f>
        <v>0.34471932422497953</v>
      </c>
      <c r="S73" s="105">
        <f>(Yield_Originals!$H73*Yield_Originals!S$1)/Yield_Originals!$K73</f>
        <v>0.35379088538879483</v>
      </c>
      <c r="T73" s="107">
        <f>(Yield_Originals!$I73*Yield_Originals!T$1)/Yield_Originals!$K73</f>
        <v>0.38458214254711665</v>
      </c>
      <c r="U73" s="107">
        <f>(Yield_Originals!$I73*Yield_Originals!U$1)/Yield_Originals!$K73</f>
        <v>0.3941966961107945</v>
      </c>
      <c r="V73" s="107">
        <f>(Yield_Originals!$I73*Yield_Originals!V$1)/Yield_Originals!$K73</f>
        <v>0.40381124967447241</v>
      </c>
      <c r="W73" s="107">
        <f>(Yield_Originals!$I73*Yield_Originals!W$1)/Yield_Originals!$K73</f>
        <v>0.4134258032381502</v>
      </c>
      <c r="X73" s="108">
        <f>(Yield_Originals!$J73*Yield_Originals!X$1)/Yield_Originals!$K73</f>
        <v>0.37984340207634482</v>
      </c>
      <c r="Y73" s="108">
        <f>(Yield_Originals!$J73*Yield_Originals!Y$1)/Yield_Originals!$K73</f>
        <v>0.38847620666898891</v>
      </c>
      <c r="Z73" s="108">
        <f>(Yield_Originals!$J73*Yield_Originals!Z$1)/Yield_Originals!$K73</f>
        <v>0.39710901126163312</v>
      </c>
      <c r="AA73" s="108">
        <f>(Yield_Originals!$J73*Yield_Originals!AA$1)/Yield_Originals!$K73</f>
        <v>0.40574181585427727</v>
      </c>
      <c r="AB73" s="108">
        <f>(Yield_Originals!$J73*Yield_Originals!AB$1)/Yield_Originals!$K73</f>
        <v>0.41437462044692147</v>
      </c>
    </row>
    <row r="74" spans="1:28" x14ac:dyDescent="0.25">
      <c r="A74" s="70" t="s">
        <v>781</v>
      </c>
      <c r="B74" s="70">
        <v>2</v>
      </c>
      <c r="C74" s="39" t="s">
        <v>851</v>
      </c>
      <c r="D74" s="39" t="s">
        <v>1371</v>
      </c>
      <c r="E74" s="100">
        <v>17</v>
      </c>
      <c r="F74" s="102">
        <v>0.22742850037206999</v>
      </c>
      <c r="G74" s="102">
        <v>0.22742850037206999</v>
      </c>
      <c r="H74" s="102">
        <v>0.24190829770173999</v>
      </c>
      <c r="I74" s="102">
        <v>0.25638809503141102</v>
      </c>
      <c r="J74" s="102">
        <v>0.23020812247051201</v>
      </c>
      <c r="K74" s="103">
        <v>1</v>
      </c>
      <c r="L74" s="104">
        <f>(Yield_Originals!$G74*Yield_Originals!L$1)/Yield_Originals!$K74</f>
        <v>0.27291420044648401</v>
      </c>
      <c r="M74" s="104">
        <f>(Yield_Originals!$G74*Yield_Originals!M$1)/Yield_Originals!$K74</f>
        <v>0.28144276921043665</v>
      </c>
      <c r="N74" s="104">
        <f>(Yield_Originals!$G74*Yield_Originals!N$1)/Yield_Originals!$K74</f>
        <v>0.28997133797438929</v>
      </c>
      <c r="O74" s="104">
        <f>(Yield_Originals!$G74*Yield_Originals!O$1)/Yield_Originals!$K74</f>
        <v>0.29849990673834192</v>
      </c>
      <c r="P74" s="105">
        <f>(Yield_Originals!$H74*Yield_Originals!P$1)/Yield_Originals!$K74</f>
        <v>0.32657620189734904</v>
      </c>
      <c r="Q74" s="105">
        <f>(Yield_Originals!$H74*Yield_Originals!Q$1)/Yield_Originals!$K74</f>
        <v>0.33564776306116428</v>
      </c>
      <c r="R74" s="105">
        <f>(Yield_Originals!$H74*Yield_Originals!R$1)/Yield_Originals!$K74</f>
        <v>0.34471932422497953</v>
      </c>
      <c r="S74" s="105">
        <f>(Yield_Originals!$H74*Yield_Originals!S$1)/Yield_Originals!$K74</f>
        <v>0.35379088538879483</v>
      </c>
      <c r="T74" s="107">
        <f>(Yield_Originals!$I74*Yield_Originals!T$1)/Yield_Originals!$K74</f>
        <v>0.38458214254711665</v>
      </c>
      <c r="U74" s="107">
        <f>(Yield_Originals!$I74*Yield_Originals!U$1)/Yield_Originals!$K74</f>
        <v>0.3941966961107945</v>
      </c>
      <c r="V74" s="107">
        <f>(Yield_Originals!$I74*Yield_Originals!V$1)/Yield_Originals!$K74</f>
        <v>0.40381124967447241</v>
      </c>
      <c r="W74" s="107">
        <f>(Yield_Originals!$I74*Yield_Originals!W$1)/Yield_Originals!$K74</f>
        <v>0.4134258032381502</v>
      </c>
      <c r="X74" s="108">
        <f>(Yield_Originals!$J74*Yield_Originals!X$1)/Yield_Originals!$K74</f>
        <v>0.37984340207634482</v>
      </c>
      <c r="Y74" s="108">
        <f>(Yield_Originals!$J74*Yield_Originals!Y$1)/Yield_Originals!$K74</f>
        <v>0.38847620666898891</v>
      </c>
      <c r="Z74" s="108">
        <f>(Yield_Originals!$J74*Yield_Originals!Z$1)/Yield_Originals!$K74</f>
        <v>0.39710901126163312</v>
      </c>
      <c r="AA74" s="108">
        <f>(Yield_Originals!$J74*Yield_Originals!AA$1)/Yield_Originals!$K74</f>
        <v>0.40574181585427727</v>
      </c>
      <c r="AB74" s="108">
        <f>(Yield_Originals!$J74*Yield_Originals!AB$1)/Yield_Originals!$K74</f>
        <v>0.41437462044692147</v>
      </c>
    </row>
    <row r="75" spans="1:28" x14ac:dyDescent="0.25">
      <c r="A75" s="70" t="s">
        <v>781</v>
      </c>
      <c r="B75" s="70">
        <v>2</v>
      </c>
      <c r="C75" s="39" t="s">
        <v>854</v>
      </c>
      <c r="D75" s="39" t="s">
        <v>1371</v>
      </c>
      <c r="E75" s="100">
        <v>10</v>
      </c>
      <c r="F75" s="102">
        <v>0.22742850037206999</v>
      </c>
      <c r="G75" s="102">
        <v>0.22742850037206999</v>
      </c>
      <c r="H75" s="102">
        <v>0.24190829770173999</v>
      </c>
      <c r="I75" s="102">
        <v>0.25638809503141102</v>
      </c>
      <c r="J75" s="102">
        <v>0.23020812247051201</v>
      </c>
      <c r="K75" s="103">
        <v>1</v>
      </c>
      <c r="L75" s="104">
        <f>(Yield_Originals!$G75*Yield_Originals!L$1)/Yield_Originals!$K75</f>
        <v>0.27291420044648401</v>
      </c>
      <c r="M75" s="104">
        <f>(Yield_Originals!$G75*Yield_Originals!M$1)/Yield_Originals!$K75</f>
        <v>0.28144276921043665</v>
      </c>
      <c r="N75" s="104">
        <f>(Yield_Originals!$G75*Yield_Originals!N$1)/Yield_Originals!$K75</f>
        <v>0.28997133797438929</v>
      </c>
      <c r="O75" s="104">
        <f>(Yield_Originals!$G75*Yield_Originals!O$1)/Yield_Originals!$K75</f>
        <v>0.29849990673834192</v>
      </c>
      <c r="P75" s="105">
        <f>(Yield_Originals!$H75*Yield_Originals!P$1)/Yield_Originals!$K75</f>
        <v>0.32657620189734904</v>
      </c>
      <c r="Q75" s="105">
        <f>(Yield_Originals!$H75*Yield_Originals!Q$1)/Yield_Originals!$K75</f>
        <v>0.33564776306116428</v>
      </c>
      <c r="R75" s="105">
        <f>(Yield_Originals!$H75*Yield_Originals!R$1)/Yield_Originals!$K75</f>
        <v>0.34471932422497953</v>
      </c>
      <c r="S75" s="105">
        <f>(Yield_Originals!$H75*Yield_Originals!S$1)/Yield_Originals!$K75</f>
        <v>0.35379088538879483</v>
      </c>
      <c r="T75" s="107">
        <f>(Yield_Originals!$I75*Yield_Originals!T$1)/Yield_Originals!$K75</f>
        <v>0.38458214254711665</v>
      </c>
      <c r="U75" s="107">
        <f>(Yield_Originals!$I75*Yield_Originals!U$1)/Yield_Originals!$K75</f>
        <v>0.3941966961107945</v>
      </c>
      <c r="V75" s="107">
        <f>(Yield_Originals!$I75*Yield_Originals!V$1)/Yield_Originals!$K75</f>
        <v>0.40381124967447241</v>
      </c>
      <c r="W75" s="107">
        <f>(Yield_Originals!$I75*Yield_Originals!W$1)/Yield_Originals!$K75</f>
        <v>0.4134258032381502</v>
      </c>
      <c r="X75" s="108">
        <f>(Yield_Originals!$J75*Yield_Originals!X$1)/Yield_Originals!$K75</f>
        <v>0.37984340207634482</v>
      </c>
      <c r="Y75" s="108">
        <f>(Yield_Originals!$J75*Yield_Originals!Y$1)/Yield_Originals!$K75</f>
        <v>0.38847620666898891</v>
      </c>
      <c r="Z75" s="108">
        <f>(Yield_Originals!$J75*Yield_Originals!Z$1)/Yield_Originals!$K75</f>
        <v>0.39710901126163312</v>
      </c>
      <c r="AA75" s="108">
        <f>(Yield_Originals!$J75*Yield_Originals!AA$1)/Yield_Originals!$K75</f>
        <v>0.40574181585427727</v>
      </c>
      <c r="AB75" s="108">
        <f>(Yield_Originals!$J75*Yield_Originals!AB$1)/Yield_Originals!$K75</f>
        <v>0.41437462044692147</v>
      </c>
    </row>
    <row r="76" spans="1:28" x14ac:dyDescent="0.25">
      <c r="A76" s="70" t="s">
        <v>781</v>
      </c>
      <c r="B76" s="70">
        <v>2</v>
      </c>
      <c r="C76" s="39" t="s">
        <v>854</v>
      </c>
      <c r="D76" s="39" t="s">
        <v>1371</v>
      </c>
      <c r="E76" s="100">
        <v>17</v>
      </c>
      <c r="F76" s="102">
        <v>0.22742850037206999</v>
      </c>
      <c r="G76" s="102">
        <v>0.22742850037206999</v>
      </c>
      <c r="H76" s="102">
        <v>0.24190829770173999</v>
      </c>
      <c r="I76" s="102">
        <v>0.25638809503141102</v>
      </c>
      <c r="J76" s="102">
        <v>0.23020812247051201</v>
      </c>
      <c r="K76" s="103">
        <v>1</v>
      </c>
      <c r="L76" s="104">
        <f>(Yield_Originals!$G76*Yield_Originals!L$1)/Yield_Originals!$K76</f>
        <v>0.27291420044648401</v>
      </c>
      <c r="M76" s="104">
        <f>(Yield_Originals!$G76*Yield_Originals!M$1)/Yield_Originals!$K76</f>
        <v>0.28144276921043665</v>
      </c>
      <c r="N76" s="104">
        <f>(Yield_Originals!$G76*Yield_Originals!N$1)/Yield_Originals!$K76</f>
        <v>0.28997133797438929</v>
      </c>
      <c r="O76" s="104">
        <f>(Yield_Originals!$G76*Yield_Originals!O$1)/Yield_Originals!$K76</f>
        <v>0.29849990673834192</v>
      </c>
      <c r="P76" s="105">
        <f>(Yield_Originals!$H76*Yield_Originals!P$1)/Yield_Originals!$K76</f>
        <v>0.32657620189734904</v>
      </c>
      <c r="Q76" s="105">
        <f>(Yield_Originals!$H76*Yield_Originals!Q$1)/Yield_Originals!$K76</f>
        <v>0.33564776306116428</v>
      </c>
      <c r="R76" s="105">
        <f>(Yield_Originals!$H76*Yield_Originals!R$1)/Yield_Originals!$K76</f>
        <v>0.34471932422497953</v>
      </c>
      <c r="S76" s="105">
        <f>(Yield_Originals!$H76*Yield_Originals!S$1)/Yield_Originals!$K76</f>
        <v>0.35379088538879483</v>
      </c>
      <c r="T76" s="107">
        <f>(Yield_Originals!$I76*Yield_Originals!T$1)/Yield_Originals!$K76</f>
        <v>0.38458214254711665</v>
      </c>
      <c r="U76" s="107">
        <f>(Yield_Originals!$I76*Yield_Originals!U$1)/Yield_Originals!$K76</f>
        <v>0.3941966961107945</v>
      </c>
      <c r="V76" s="107">
        <f>(Yield_Originals!$I76*Yield_Originals!V$1)/Yield_Originals!$K76</f>
        <v>0.40381124967447241</v>
      </c>
      <c r="W76" s="107">
        <f>(Yield_Originals!$I76*Yield_Originals!W$1)/Yield_Originals!$K76</f>
        <v>0.4134258032381502</v>
      </c>
      <c r="X76" s="108">
        <f>(Yield_Originals!$J76*Yield_Originals!X$1)/Yield_Originals!$K76</f>
        <v>0.37984340207634482</v>
      </c>
      <c r="Y76" s="108">
        <f>(Yield_Originals!$J76*Yield_Originals!Y$1)/Yield_Originals!$K76</f>
        <v>0.38847620666898891</v>
      </c>
      <c r="Z76" s="108">
        <f>(Yield_Originals!$J76*Yield_Originals!Z$1)/Yield_Originals!$K76</f>
        <v>0.39710901126163312</v>
      </c>
      <c r="AA76" s="108">
        <f>(Yield_Originals!$J76*Yield_Originals!AA$1)/Yield_Originals!$K76</f>
        <v>0.40574181585427727</v>
      </c>
      <c r="AB76" s="108">
        <f>(Yield_Originals!$J76*Yield_Originals!AB$1)/Yield_Originals!$K76</f>
        <v>0.41437462044692147</v>
      </c>
    </row>
    <row r="77" spans="1:28" x14ac:dyDescent="0.25">
      <c r="A77" s="70" t="s">
        <v>781</v>
      </c>
      <c r="B77" s="70">
        <v>2</v>
      </c>
      <c r="C77" s="39" t="s">
        <v>858</v>
      </c>
      <c r="D77" s="39" t="s">
        <v>1375</v>
      </c>
      <c r="E77" s="100">
        <v>10</v>
      </c>
      <c r="F77" s="102">
        <v>0.22742850037206999</v>
      </c>
      <c r="G77" s="102">
        <v>0.22742850037206999</v>
      </c>
      <c r="H77" s="102">
        <v>0.24190829770173999</v>
      </c>
      <c r="I77" s="102">
        <v>0.25638809503141102</v>
      </c>
      <c r="J77" s="102">
        <v>0.23020812247051201</v>
      </c>
      <c r="K77" s="103">
        <v>1</v>
      </c>
      <c r="L77" s="104">
        <f>(Yield_Originals!$G77*Yield_Originals!L$1)/Yield_Originals!$K77</f>
        <v>0.27291420044648401</v>
      </c>
      <c r="M77" s="104">
        <f>(Yield_Originals!$G77*Yield_Originals!M$1)/Yield_Originals!$K77</f>
        <v>0.28144276921043665</v>
      </c>
      <c r="N77" s="104">
        <f>(Yield_Originals!$G77*Yield_Originals!N$1)/Yield_Originals!$K77</f>
        <v>0.28997133797438929</v>
      </c>
      <c r="O77" s="104">
        <f>(Yield_Originals!$G77*Yield_Originals!O$1)/Yield_Originals!$K77</f>
        <v>0.29849990673834192</v>
      </c>
      <c r="P77" s="105">
        <f>(Yield_Originals!$H77*Yield_Originals!P$1)/Yield_Originals!$K77</f>
        <v>0.32657620189734904</v>
      </c>
      <c r="Q77" s="105">
        <f>(Yield_Originals!$H77*Yield_Originals!Q$1)/Yield_Originals!$K77</f>
        <v>0.33564776306116428</v>
      </c>
      <c r="R77" s="105">
        <f>(Yield_Originals!$H77*Yield_Originals!R$1)/Yield_Originals!$K77</f>
        <v>0.34471932422497953</v>
      </c>
      <c r="S77" s="105">
        <f>(Yield_Originals!$H77*Yield_Originals!S$1)/Yield_Originals!$K77</f>
        <v>0.35379088538879483</v>
      </c>
      <c r="T77" s="107">
        <f>(Yield_Originals!$I77*Yield_Originals!T$1)/Yield_Originals!$K77</f>
        <v>0.38458214254711665</v>
      </c>
      <c r="U77" s="107">
        <f>(Yield_Originals!$I77*Yield_Originals!U$1)/Yield_Originals!$K77</f>
        <v>0.3941966961107945</v>
      </c>
      <c r="V77" s="107">
        <f>(Yield_Originals!$I77*Yield_Originals!V$1)/Yield_Originals!$K77</f>
        <v>0.40381124967447241</v>
      </c>
      <c r="W77" s="107">
        <f>(Yield_Originals!$I77*Yield_Originals!W$1)/Yield_Originals!$K77</f>
        <v>0.4134258032381502</v>
      </c>
      <c r="X77" s="108">
        <f>(Yield_Originals!$J77*Yield_Originals!X$1)/Yield_Originals!$K77</f>
        <v>0.37984340207634482</v>
      </c>
      <c r="Y77" s="108">
        <f>(Yield_Originals!$J77*Yield_Originals!Y$1)/Yield_Originals!$K77</f>
        <v>0.38847620666898891</v>
      </c>
      <c r="Z77" s="108">
        <f>(Yield_Originals!$J77*Yield_Originals!Z$1)/Yield_Originals!$K77</f>
        <v>0.39710901126163312</v>
      </c>
      <c r="AA77" s="108">
        <f>(Yield_Originals!$J77*Yield_Originals!AA$1)/Yield_Originals!$K77</f>
        <v>0.40574181585427727</v>
      </c>
      <c r="AB77" s="108">
        <f>(Yield_Originals!$J77*Yield_Originals!AB$1)/Yield_Originals!$K77</f>
        <v>0.41437462044692147</v>
      </c>
    </row>
    <row r="78" spans="1:28" x14ac:dyDescent="0.25">
      <c r="A78" s="70" t="s">
        <v>781</v>
      </c>
      <c r="B78" s="70">
        <v>2</v>
      </c>
      <c r="C78" s="39" t="s">
        <v>858</v>
      </c>
      <c r="D78" s="39" t="s">
        <v>1375</v>
      </c>
      <c r="E78" s="100">
        <v>17</v>
      </c>
      <c r="F78" s="102">
        <v>0.22742850037206999</v>
      </c>
      <c r="G78" s="102">
        <v>0.22742850037206999</v>
      </c>
      <c r="H78" s="102">
        <v>0.24190829770173999</v>
      </c>
      <c r="I78" s="102">
        <v>0.25638809503141102</v>
      </c>
      <c r="J78" s="102">
        <v>0.23020812247051201</v>
      </c>
      <c r="K78" s="103">
        <v>1</v>
      </c>
      <c r="L78" s="104">
        <f>(Yield_Originals!$G78*Yield_Originals!L$1)/Yield_Originals!$K78</f>
        <v>0.27291420044648401</v>
      </c>
      <c r="M78" s="104">
        <f>(Yield_Originals!$G78*Yield_Originals!M$1)/Yield_Originals!$K78</f>
        <v>0.28144276921043665</v>
      </c>
      <c r="N78" s="104">
        <f>(Yield_Originals!$G78*Yield_Originals!N$1)/Yield_Originals!$K78</f>
        <v>0.28997133797438929</v>
      </c>
      <c r="O78" s="104">
        <f>(Yield_Originals!$G78*Yield_Originals!O$1)/Yield_Originals!$K78</f>
        <v>0.29849990673834192</v>
      </c>
      <c r="P78" s="105">
        <f>(Yield_Originals!$H78*Yield_Originals!P$1)/Yield_Originals!$K78</f>
        <v>0.32657620189734904</v>
      </c>
      <c r="Q78" s="105">
        <f>(Yield_Originals!$H78*Yield_Originals!Q$1)/Yield_Originals!$K78</f>
        <v>0.33564776306116428</v>
      </c>
      <c r="R78" s="105">
        <f>(Yield_Originals!$H78*Yield_Originals!R$1)/Yield_Originals!$K78</f>
        <v>0.34471932422497953</v>
      </c>
      <c r="S78" s="105">
        <f>(Yield_Originals!$H78*Yield_Originals!S$1)/Yield_Originals!$K78</f>
        <v>0.35379088538879483</v>
      </c>
      <c r="T78" s="107">
        <f>(Yield_Originals!$I78*Yield_Originals!T$1)/Yield_Originals!$K78</f>
        <v>0.38458214254711665</v>
      </c>
      <c r="U78" s="107">
        <f>(Yield_Originals!$I78*Yield_Originals!U$1)/Yield_Originals!$K78</f>
        <v>0.3941966961107945</v>
      </c>
      <c r="V78" s="107">
        <f>(Yield_Originals!$I78*Yield_Originals!V$1)/Yield_Originals!$K78</f>
        <v>0.40381124967447241</v>
      </c>
      <c r="W78" s="107">
        <f>(Yield_Originals!$I78*Yield_Originals!W$1)/Yield_Originals!$K78</f>
        <v>0.4134258032381502</v>
      </c>
      <c r="X78" s="108">
        <f>(Yield_Originals!$J78*Yield_Originals!X$1)/Yield_Originals!$K78</f>
        <v>0.37984340207634482</v>
      </c>
      <c r="Y78" s="108">
        <f>(Yield_Originals!$J78*Yield_Originals!Y$1)/Yield_Originals!$K78</f>
        <v>0.38847620666898891</v>
      </c>
      <c r="Z78" s="108">
        <f>(Yield_Originals!$J78*Yield_Originals!Z$1)/Yield_Originals!$K78</f>
        <v>0.39710901126163312</v>
      </c>
      <c r="AA78" s="108">
        <f>(Yield_Originals!$J78*Yield_Originals!AA$1)/Yield_Originals!$K78</f>
        <v>0.40574181585427727</v>
      </c>
      <c r="AB78" s="108">
        <f>(Yield_Originals!$J78*Yield_Originals!AB$1)/Yield_Originals!$K78</f>
        <v>0.41437462044692147</v>
      </c>
    </row>
    <row r="79" spans="1:28" x14ac:dyDescent="0.25">
      <c r="A79" s="109" t="s">
        <v>990</v>
      </c>
      <c r="B79" s="70">
        <v>3</v>
      </c>
      <c r="C79" s="57" t="s">
        <v>225</v>
      </c>
      <c r="D79" s="57" t="s">
        <v>989</v>
      </c>
      <c r="E79" s="100">
        <v>29</v>
      </c>
      <c r="F79" s="102">
        <v>0.28181818181818202</v>
      </c>
      <c r="G79" s="102">
        <v>0.28181818181818202</v>
      </c>
      <c r="H79" s="102">
        <f>+(Yield_Originals!I79+Yield_Originals!G79)/2</f>
        <v>0.27485678337858155</v>
      </c>
      <c r="I79" s="102">
        <v>0.26789538493898102</v>
      </c>
      <c r="J79" s="102">
        <v>0.28389965765684899</v>
      </c>
      <c r="K79" s="103">
        <v>1</v>
      </c>
      <c r="L79" s="104"/>
      <c r="M79" s="104"/>
      <c r="N79" s="104"/>
      <c r="O79" s="104"/>
      <c r="P79" s="105"/>
      <c r="Q79" s="105">
        <f>(Yield_Originals!$H79*Yield_Originals!Q$1)/Yield_Originals!$K79</f>
        <v>0.38136378693778195</v>
      </c>
      <c r="R79" s="105">
        <f>(Yield_Originals!$H79*Yield_Originals!R$1)/Yield_Originals!$K79</f>
        <v>0.39167091631447876</v>
      </c>
      <c r="S79" s="105">
        <f>(Yield_Originals!$H79*Yield_Originals!S$1)/Yield_Originals!$K79</f>
        <v>0.40197804569117562</v>
      </c>
      <c r="T79" s="107">
        <f>(Yield_Originals!$I79*Yield_Originals!T$1)/Yield_Originals!$K79</f>
        <v>0.40184307740847164</v>
      </c>
      <c r="U79" s="107">
        <f>(Yield_Originals!$I79*Yield_Originals!U$1)/Yield_Originals!$K79</f>
        <v>0.41188915434368334</v>
      </c>
      <c r="V79" s="107">
        <f>(Yield_Originals!$I79*Yield_Originals!V$1)/Yield_Originals!$K79</f>
        <v>0.42193523127889515</v>
      </c>
      <c r="W79" s="107">
        <f>(Yield_Originals!$I79*Yield_Originals!W$1)/Yield_Originals!$K79</f>
        <v>0.43198130821410685</v>
      </c>
      <c r="X79" s="108">
        <f>(Yield_Originals!$J79*Yield_Originals!X$1)/Yield_Originals!$K79</f>
        <v>0.46843443513380079</v>
      </c>
      <c r="Y79" s="108">
        <f>(Yield_Originals!$J79*Yield_Originals!Y$1)/Yield_Originals!$K79</f>
        <v>0.47908067229593254</v>
      </c>
      <c r="Z79" s="108">
        <f>(Yield_Originals!$J79*Yield_Originals!Z$1)/Yield_Originals!$K79</f>
        <v>0.48972690945806441</v>
      </c>
      <c r="AA79" s="108">
        <f>(Yield_Originals!$J79*Yield_Originals!AA$1)/Yield_Originals!$K79</f>
        <v>0.50037314662019616</v>
      </c>
      <c r="AB79" s="108">
        <f>(Yield_Originals!$J79*Yield_Originals!AB$1)/Yield_Originals!$K79</f>
        <v>0.51101938378232803</v>
      </c>
    </row>
    <row r="80" spans="1:28" x14ac:dyDescent="0.25">
      <c r="A80" s="109" t="s">
        <v>990</v>
      </c>
      <c r="B80" s="70">
        <v>3</v>
      </c>
      <c r="C80" s="57" t="s">
        <v>864</v>
      </c>
      <c r="D80" s="57" t="s">
        <v>994</v>
      </c>
      <c r="E80" s="100">
        <v>29</v>
      </c>
      <c r="F80" s="102">
        <v>0.28181818181818202</v>
      </c>
      <c r="G80" s="102">
        <v>0.28181818181818202</v>
      </c>
      <c r="H80" s="102">
        <f>+(Yield_Originals!I80+Yield_Originals!G80)/2</f>
        <v>0.27485678337858155</v>
      </c>
      <c r="I80" s="102">
        <v>0.26789538493898102</v>
      </c>
      <c r="J80" s="102">
        <v>0.28389965765684899</v>
      </c>
      <c r="K80" s="103">
        <v>1</v>
      </c>
      <c r="L80" s="104"/>
      <c r="M80" s="104"/>
      <c r="N80" s="104"/>
      <c r="O80" s="104"/>
      <c r="P80" s="105"/>
      <c r="Q80" s="105">
        <f>(Yield_Originals!$H80*Yield_Originals!Q$1)/Yield_Originals!$K80</f>
        <v>0.38136378693778195</v>
      </c>
      <c r="R80" s="105">
        <f>(Yield_Originals!$H80*Yield_Originals!R$1)/Yield_Originals!$K80</f>
        <v>0.39167091631447876</v>
      </c>
      <c r="S80" s="105">
        <f>(Yield_Originals!$H80*Yield_Originals!S$1)/Yield_Originals!$K80</f>
        <v>0.40197804569117562</v>
      </c>
      <c r="T80" s="107">
        <f>(Yield_Originals!$I80*Yield_Originals!T$1)/Yield_Originals!$K80</f>
        <v>0.40184307740847164</v>
      </c>
      <c r="U80" s="107">
        <f>(Yield_Originals!$I80*Yield_Originals!U$1)/Yield_Originals!$K80</f>
        <v>0.41188915434368334</v>
      </c>
      <c r="V80" s="107">
        <f>(Yield_Originals!$I80*Yield_Originals!V$1)/Yield_Originals!$K80</f>
        <v>0.42193523127889515</v>
      </c>
      <c r="W80" s="107">
        <f>(Yield_Originals!$I80*Yield_Originals!W$1)/Yield_Originals!$K80</f>
        <v>0.43198130821410685</v>
      </c>
      <c r="X80" s="108">
        <f>(Yield_Originals!$J80*Yield_Originals!X$1)/Yield_Originals!$K80</f>
        <v>0.46843443513380079</v>
      </c>
      <c r="Y80" s="108">
        <f>(Yield_Originals!$J80*Yield_Originals!Y$1)/Yield_Originals!$K80</f>
        <v>0.47908067229593254</v>
      </c>
      <c r="Z80" s="108">
        <f>(Yield_Originals!$J80*Yield_Originals!Z$1)/Yield_Originals!$K80</f>
        <v>0.48972690945806441</v>
      </c>
      <c r="AA80" s="108">
        <f>(Yield_Originals!$J80*Yield_Originals!AA$1)/Yield_Originals!$K80</f>
        <v>0.50037314662019616</v>
      </c>
      <c r="AB80" s="108">
        <f>(Yield_Originals!$J80*Yield_Originals!AB$1)/Yield_Originals!$K80</f>
        <v>0.51101938378232803</v>
      </c>
    </row>
    <row r="81" spans="1:28" x14ac:dyDescent="0.25">
      <c r="A81" s="109" t="s">
        <v>990</v>
      </c>
      <c r="B81" s="70">
        <v>3</v>
      </c>
      <c r="C81" s="57" t="s">
        <v>867</v>
      </c>
      <c r="D81" s="57" t="s">
        <v>992</v>
      </c>
      <c r="E81" s="100">
        <v>29</v>
      </c>
      <c r="F81" s="102">
        <v>0.28181818181818202</v>
      </c>
      <c r="G81" s="102">
        <v>0.28181818181818202</v>
      </c>
      <c r="H81" s="102">
        <f>+(Yield_Originals!I81+Yield_Originals!G81)/2</f>
        <v>0.27485678337858155</v>
      </c>
      <c r="I81" s="102">
        <v>0.26789538493898102</v>
      </c>
      <c r="J81" s="102">
        <v>0.28389965765684899</v>
      </c>
      <c r="K81" s="103">
        <v>1</v>
      </c>
      <c r="L81" s="104">
        <f>(Yield_Originals!$G81*Yield_Originals!L$1)/Yield_Originals!$K81</f>
        <v>0.33818181818181847</v>
      </c>
      <c r="M81" s="104">
        <f>(Yield_Originals!$G81*Yield_Originals!M$1)/Yield_Originals!$K81</f>
        <v>0.34875000000000028</v>
      </c>
      <c r="N81" s="104">
        <f>(Yield_Originals!$G81*Yield_Originals!N$1)/Yield_Originals!$K81</f>
        <v>0.35931818181818209</v>
      </c>
      <c r="O81" s="104">
        <f>(Yield_Originals!$G81*Yield_Originals!O$1)/Yield_Originals!$K81</f>
        <v>0.36988636363636396</v>
      </c>
      <c r="P81" s="105"/>
      <c r="Q81" s="105"/>
      <c r="R81" s="105"/>
      <c r="S81" s="105"/>
      <c r="T81" s="107"/>
      <c r="U81" s="107"/>
      <c r="V81" s="107"/>
      <c r="W81" s="107"/>
      <c r="X81" s="108"/>
      <c r="Y81" s="108"/>
      <c r="Z81" s="108"/>
      <c r="AA81" s="108"/>
      <c r="AB81" s="108"/>
    </row>
    <row r="82" spans="1:28" x14ac:dyDescent="0.25">
      <c r="A82" s="109" t="s">
        <v>990</v>
      </c>
      <c r="B82" s="70">
        <v>3</v>
      </c>
      <c r="C82" s="57" t="s">
        <v>870</v>
      </c>
      <c r="D82" s="57" t="s">
        <v>996</v>
      </c>
      <c r="E82" s="100">
        <v>29</v>
      </c>
      <c r="F82" s="102">
        <v>0.28181818181818202</v>
      </c>
      <c r="G82" s="102">
        <v>0.28181818181818202</v>
      </c>
      <c r="H82" s="102">
        <f>+(Yield_Originals!I82+Yield_Originals!G82)/2</f>
        <v>0.27485678337858155</v>
      </c>
      <c r="I82" s="102">
        <v>0.26789538493898102</v>
      </c>
      <c r="J82" s="102">
        <v>0.28389965765684899</v>
      </c>
      <c r="K82" s="103">
        <v>1</v>
      </c>
      <c r="L82" s="104"/>
      <c r="M82" s="104"/>
      <c r="N82" s="104"/>
      <c r="O82" s="104"/>
      <c r="P82" s="105"/>
      <c r="Q82" s="105"/>
      <c r="R82" s="105"/>
      <c r="S82" s="105"/>
      <c r="T82" s="107"/>
      <c r="U82" s="107"/>
      <c r="V82" s="107">
        <f>(Yield_Originals!$I82*Yield_Originals!V$1)/Yield_Originals!$K82</f>
        <v>0.42193523127889515</v>
      </c>
      <c r="W82" s="107">
        <f>(Yield_Originals!$I82*Yield_Originals!W$1)/Yield_Originals!$K82</f>
        <v>0.43198130821410685</v>
      </c>
      <c r="X82" s="108">
        <f>(Yield_Originals!$J82*Yield_Originals!X$1)/Yield_Originals!$K82</f>
        <v>0.46843443513380079</v>
      </c>
      <c r="Y82" s="108">
        <f>(Yield_Originals!$J82*Yield_Originals!Y$1)/Yield_Originals!$K82</f>
        <v>0.47908067229593254</v>
      </c>
      <c r="Z82" s="108"/>
      <c r="AA82" s="108"/>
      <c r="AB82" s="108"/>
    </row>
    <row r="83" spans="1:28" x14ac:dyDescent="0.25">
      <c r="A83" s="72" t="s">
        <v>970</v>
      </c>
      <c r="B83" s="70">
        <v>2</v>
      </c>
      <c r="C83" s="57" t="s">
        <v>226</v>
      </c>
      <c r="D83" s="57" t="s">
        <v>976</v>
      </c>
      <c r="E83" s="100">
        <v>16</v>
      </c>
      <c r="F83" s="102">
        <v>4.7920198716335002E-2</v>
      </c>
      <c r="G83" s="102">
        <v>4.7920198716335002E-2</v>
      </c>
      <c r="H83" s="102">
        <f>+(Yield_Originals!I83+Yield_Originals!G83)/2</f>
        <v>4.9787821804547702E-2</v>
      </c>
      <c r="I83" s="102">
        <v>5.1655444892760402E-2</v>
      </c>
      <c r="J83" s="102">
        <v>4.8331516136121903E-2</v>
      </c>
      <c r="K83" s="103">
        <v>1</v>
      </c>
      <c r="L83" s="104"/>
      <c r="M83" s="104"/>
      <c r="N83" s="104"/>
      <c r="O83" s="104"/>
      <c r="P83" s="105"/>
      <c r="Q83" s="105">
        <f>(Yield_Originals!$H83*Yield_Originals!Q$1)/Yield_Originals!$K83</f>
        <v>6.908060275380995E-2</v>
      </c>
      <c r="R83" s="105">
        <f>(Yield_Originals!$H83*Yield_Originals!R$1)/Yield_Originals!$K83</f>
        <v>7.0947646071480491E-2</v>
      </c>
      <c r="S83" s="105">
        <f>(Yield_Originals!$H83*Yield_Originals!S$1)/Yield_Originals!$K83</f>
        <v>7.2814689389151033E-2</v>
      </c>
      <c r="T83" s="107">
        <f>(Yield_Originals!$I83*Yield_Originals!T$1)/Yield_Originals!$K83</f>
        <v>7.7483167339140624E-2</v>
      </c>
      <c r="U83" s="107">
        <f>(Yield_Originals!$I83*Yield_Originals!U$1)/Yield_Originals!$K83</f>
        <v>7.9420246522619128E-2</v>
      </c>
      <c r="V83" s="107">
        <f>(Yield_Originals!$I83*Yield_Originals!V$1)/Yield_Originals!$K83</f>
        <v>8.1357325706097647E-2</v>
      </c>
      <c r="W83" s="107">
        <f>(Yield_Originals!$I83*Yield_Originals!W$1)/Yield_Originals!$K83</f>
        <v>8.3294404889576137E-2</v>
      </c>
      <c r="X83" s="108">
        <f>(Yield_Originals!$J83*Yield_Originals!X$1)/Yield_Originals!$K83</f>
        <v>7.9747001624601133E-2</v>
      </c>
      <c r="Y83" s="108">
        <f>(Yield_Originals!$J83*Yield_Originals!Y$1)/Yield_Originals!$K83</f>
        <v>8.1559433479705692E-2</v>
      </c>
      <c r="Z83" s="108">
        <f>(Yield_Originals!$J83*Yield_Originals!Z$1)/Yield_Originals!$K83</f>
        <v>8.3371865334810266E-2</v>
      </c>
      <c r="AA83" s="108"/>
      <c r="AB83" s="108"/>
    </row>
    <row r="84" spans="1:28" x14ac:dyDescent="0.25">
      <c r="A84" s="72" t="s">
        <v>970</v>
      </c>
      <c r="B84" s="70">
        <v>2</v>
      </c>
      <c r="C84" s="57" t="s">
        <v>226</v>
      </c>
      <c r="D84" s="57" t="s">
        <v>976</v>
      </c>
      <c r="E84" s="100">
        <v>17</v>
      </c>
      <c r="F84" s="102">
        <v>4.7920198716335002E-2</v>
      </c>
      <c r="G84" s="102">
        <v>4.7920198716335002E-2</v>
      </c>
      <c r="H84" s="102">
        <f>+(Yield_Originals!I84+Yield_Originals!G84)/2</f>
        <v>4.9787821804547702E-2</v>
      </c>
      <c r="I84" s="102">
        <v>5.1655444892760402E-2</v>
      </c>
      <c r="J84" s="102">
        <v>4.8331516136121903E-2</v>
      </c>
      <c r="K84" s="103">
        <v>1</v>
      </c>
      <c r="L84" s="104"/>
      <c r="M84" s="104"/>
      <c r="N84" s="104"/>
      <c r="O84" s="104"/>
      <c r="P84" s="105"/>
      <c r="Q84" s="105">
        <f>(Yield_Originals!$H84*Yield_Originals!Q$1)/Yield_Originals!$K84</f>
        <v>6.908060275380995E-2</v>
      </c>
      <c r="R84" s="105">
        <f>(Yield_Originals!$H84*Yield_Originals!R$1)/Yield_Originals!$K84</f>
        <v>7.0947646071480491E-2</v>
      </c>
      <c r="S84" s="105">
        <f>(Yield_Originals!$H84*Yield_Originals!S$1)/Yield_Originals!$K84</f>
        <v>7.2814689389151033E-2</v>
      </c>
      <c r="T84" s="107">
        <f>(Yield_Originals!$I84*Yield_Originals!T$1)/Yield_Originals!$K84</f>
        <v>7.7483167339140624E-2</v>
      </c>
      <c r="U84" s="107">
        <f>(Yield_Originals!$I84*Yield_Originals!U$1)/Yield_Originals!$K84</f>
        <v>7.9420246522619128E-2</v>
      </c>
      <c r="V84" s="107">
        <f>(Yield_Originals!$I84*Yield_Originals!V$1)/Yield_Originals!$K84</f>
        <v>8.1357325706097647E-2</v>
      </c>
      <c r="W84" s="107">
        <f>(Yield_Originals!$I84*Yield_Originals!W$1)/Yield_Originals!$K84</f>
        <v>8.3294404889576137E-2</v>
      </c>
      <c r="X84" s="108">
        <f>(Yield_Originals!$J84*Yield_Originals!X$1)/Yield_Originals!$K84</f>
        <v>7.9747001624601133E-2</v>
      </c>
      <c r="Y84" s="108">
        <f>(Yield_Originals!$J84*Yield_Originals!Y$1)/Yield_Originals!$K84</f>
        <v>8.1559433479705692E-2</v>
      </c>
      <c r="Z84" s="108">
        <f>(Yield_Originals!$J84*Yield_Originals!Z$1)/Yield_Originals!$K84</f>
        <v>8.3371865334810266E-2</v>
      </c>
      <c r="AA84" s="108"/>
      <c r="AB84" s="108"/>
    </row>
    <row r="85" spans="1:28" x14ac:dyDescent="0.25">
      <c r="A85" s="72" t="s">
        <v>970</v>
      </c>
      <c r="B85" s="70">
        <v>2</v>
      </c>
      <c r="C85" s="57" t="s">
        <v>226</v>
      </c>
      <c r="D85" s="57" t="s">
        <v>976</v>
      </c>
      <c r="E85" s="100">
        <v>18</v>
      </c>
      <c r="F85" s="102">
        <v>4.7920198716335002E-2</v>
      </c>
      <c r="G85" s="102">
        <v>4.7920198716335002E-2</v>
      </c>
      <c r="H85" s="102">
        <f>+(Yield_Originals!I85+Yield_Originals!G85)/2</f>
        <v>4.9787821804547702E-2</v>
      </c>
      <c r="I85" s="102">
        <v>5.1655444892760402E-2</v>
      </c>
      <c r="J85" s="102">
        <v>4.8331516136121903E-2</v>
      </c>
      <c r="K85" s="103">
        <v>1</v>
      </c>
      <c r="L85" s="104"/>
      <c r="M85" s="104"/>
      <c r="N85" s="104"/>
      <c r="O85" s="104"/>
      <c r="P85" s="105"/>
      <c r="Q85" s="105">
        <f>(Yield_Originals!$H85*Yield_Originals!Q$1)/Yield_Originals!$K85</f>
        <v>6.908060275380995E-2</v>
      </c>
      <c r="R85" s="105">
        <f>(Yield_Originals!$H85*Yield_Originals!R$1)/Yield_Originals!$K85</f>
        <v>7.0947646071480491E-2</v>
      </c>
      <c r="S85" s="105">
        <f>(Yield_Originals!$H85*Yield_Originals!S$1)/Yield_Originals!$K85</f>
        <v>7.2814689389151033E-2</v>
      </c>
      <c r="T85" s="107">
        <f>(Yield_Originals!$I85*Yield_Originals!T$1)/Yield_Originals!$K85</f>
        <v>7.7483167339140624E-2</v>
      </c>
      <c r="U85" s="107">
        <f>(Yield_Originals!$I85*Yield_Originals!U$1)/Yield_Originals!$K85</f>
        <v>7.9420246522619128E-2</v>
      </c>
      <c r="V85" s="107">
        <f>(Yield_Originals!$I85*Yield_Originals!V$1)/Yield_Originals!$K85</f>
        <v>8.1357325706097647E-2</v>
      </c>
      <c r="W85" s="107">
        <f>(Yield_Originals!$I85*Yield_Originals!W$1)/Yield_Originals!$K85</f>
        <v>8.3294404889576137E-2</v>
      </c>
      <c r="X85" s="108">
        <f>(Yield_Originals!$J85*Yield_Originals!X$1)/Yield_Originals!$K85</f>
        <v>7.9747001624601133E-2</v>
      </c>
      <c r="Y85" s="108">
        <f>(Yield_Originals!$J85*Yield_Originals!Y$1)/Yield_Originals!$K85</f>
        <v>8.1559433479705692E-2</v>
      </c>
      <c r="Z85" s="108">
        <f>(Yield_Originals!$J85*Yield_Originals!Z$1)/Yield_Originals!$K85</f>
        <v>8.3371865334810266E-2</v>
      </c>
      <c r="AA85" s="108"/>
      <c r="AB85" s="108"/>
    </row>
    <row r="86" spans="1:28" x14ac:dyDescent="0.25">
      <c r="A86" s="72" t="s">
        <v>970</v>
      </c>
      <c r="B86" s="70">
        <v>2</v>
      </c>
      <c r="C86" s="57" t="s">
        <v>226</v>
      </c>
      <c r="D86" s="57" t="s">
        <v>976</v>
      </c>
      <c r="E86" s="100">
        <v>19</v>
      </c>
      <c r="F86" s="102">
        <v>4.7920198716335002E-2</v>
      </c>
      <c r="G86" s="102">
        <v>4.7920198716335002E-2</v>
      </c>
      <c r="H86" s="102">
        <f>+(Yield_Originals!I86+Yield_Originals!G86)/2</f>
        <v>4.9787821804547702E-2</v>
      </c>
      <c r="I86" s="102">
        <v>5.1655444892760402E-2</v>
      </c>
      <c r="J86" s="102">
        <v>4.8331516136121903E-2</v>
      </c>
      <c r="K86" s="103">
        <v>1</v>
      </c>
      <c r="L86" s="104"/>
      <c r="M86" s="104"/>
      <c r="N86" s="104"/>
      <c r="O86" s="104"/>
      <c r="P86" s="105"/>
      <c r="Q86" s="105">
        <f>(Yield_Originals!$H86*Yield_Originals!Q$1)/Yield_Originals!$K86</f>
        <v>6.908060275380995E-2</v>
      </c>
      <c r="R86" s="105">
        <f>(Yield_Originals!$H86*Yield_Originals!R$1)/Yield_Originals!$K86</f>
        <v>7.0947646071480491E-2</v>
      </c>
      <c r="S86" s="105">
        <f>(Yield_Originals!$H86*Yield_Originals!S$1)/Yield_Originals!$K86</f>
        <v>7.2814689389151033E-2</v>
      </c>
      <c r="T86" s="107">
        <f>(Yield_Originals!$I86*Yield_Originals!T$1)/Yield_Originals!$K86</f>
        <v>7.7483167339140624E-2</v>
      </c>
      <c r="U86" s="107">
        <f>(Yield_Originals!$I86*Yield_Originals!U$1)/Yield_Originals!$K86</f>
        <v>7.9420246522619128E-2</v>
      </c>
      <c r="V86" s="107">
        <f>(Yield_Originals!$I86*Yield_Originals!V$1)/Yield_Originals!$K86</f>
        <v>8.1357325706097647E-2</v>
      </c>
      <c r="W86" s="107">
        <f>(Yield_Originals!$I86*Yield_Originals!W$1)/Yield_Originals!$K86</f>
        <v>8.3294404889576137E-2</v>
      </c>
      <c r="X86" s="108">
        <f>(Yield_Originals!$J86*Yield_Originals!X$1)/Yield_Originals!$K86</f>
        <v>7.9747001624601133E-2</v>
      </c>
      <c r="Y86" s="108">
        <f>(Yield_Originals!$J86*Yield_Originals!Y$1)/Yield_Originals!$K86</f>
        <v>8.1559433479705692E-2</v>
      </c>
      <c r="Z86" s="108">
        <f>(Yield_Originals!$J86*Yield_Originals!Z$1)/Yield_Originals!$K86</f>
        <v>8.3371865334810266E-2</v>
      </c>
      <c r="AA86" s="108"/>
      <c r="AB86" s="108"/>
    </row>
    <row r="87" spans="1:28" x14ac:dyDescent="0.25">
      <c r="A87" s="72" t="s">
        <v>970</v>
      </c>
      <c r="B87" s="70">
        <v>2</v>
      </c>
      <c r="C87" s="57" t="s">
        <v>226</v>
      </c>
      <c r="D87" s="57" t="s">
        <v>976</v>
      </c>
      <c r="E87" s="100">
        <v>20</v>
      </c>
      <c r="F87" s="102">
        <v>4.7920198716335002E-2</v>
      </c>
      <c r="G87" s="102">
        <v>4.7920198716335002E-2</v>
      </c>
      <c r="H87" s="102">
        <f>+(Yield_Originals!I87+Yield_Originals!G87)/2</f>
        <v>4.9787821804547702E-2</v>
      </c>
      <c r="I87" s="102">
        <v>5.1655444892760402E-2</v>
      </c>
      <c r="J87" s="102">
        <v>4.8331516136121903E-2</v>
      </c>
      <c r="K87" s="103">
        <v>1</v>
      </c>
      <c r="L87" s="104"/>
      <c r="M87" s="104"/>
      <c r="N87" s="104"/>
      <c r="O87" s="104"/>
      <c r="P87" s="105"/>
      <c r="Q87" s="105">
        <f>(Yield_Originals!$H87*Yield_Originals!Q$1)/Yield_Originals!$K87</f>
        <v>6.908060275380995E-2</v>
      </c>
      <c r="R87" s="105">
        <f>(Yield_Originals!$H87*Yield_Originals!R$1)/Yield_Originals!$K87</f>
        <v>7.0947646071480491E-2</v>
      </c>
      <c r="S87" s="105">
        <f>(Yield_Originals!$H87*Yield_Originals!S$1)/Yield_Originals!$K87</f>
        <v>7.2814689389151033E-2</v>
      </c>
      <c r="T87" s="107">
        <f>(Yield_Originals!$I87*Yield_Originals!T$1)/Yield_Originals!$K87</f>
        <v>7.7483167339140624E-2</v>
      </c>
      <c r="U87" s="107">
        <f>(Yield_Originals!$I87*Yield_Originals!U$1)/Yield_Originals!$K87</f>
        <v>7.9420246522619128E-2</v>
      </c>
      <c r="V87" s="107">
        <f>(Yield_Originals!$I87*Yield_Originals!V$1)/Yield_Originals!$K87</f>
        <v>8.1357325706097647E-2</v>
      </c>
      <c r="W87" s="107">
        <f>(Yield_Originals!$I87*Yield_Originals!W$1)/Yield_Originals!$K87</f>
        <v>8.3294404889576137E-2</v>
      </c>
      <c r="X87" s="108">
        <f>(Yield_Originals!$J87*Yield_Originals!X$1)/Yield_Originals!$K87</f>
        <v>7.9747001624601133E-2</v>
      </c>
      <c r="Y87" s="108">
        <f>(Yield_Originals!$J87*Yield_Originals!Y$1)/Yield_Originals!$K87</f>
        <v>8.1559433479705692E-2</v>
      </c>
      <c r="Z87" s="108">
        <f>(Yield_Originals!$J87*Yield_Originals!Z$1)/Yield_Originals!$K87</f>
        <v>8.3371865334810266E-2</v>
      </c>
      <c r="AA87" s="108"/>
      <c r="AB87" s="108"/>
    </row>
    <row r="88" spans="1:28" x14ac:dyDescent="0.25">
      <c r="A88" s="72" t="s">
        <v>970</v>
      </c>
      <c r="B88" s="70">
        <v>2</v>
      </c>
      <c r="C88" s="57" t="s">
        <v>226</v>
      </c>
      <c r="D88" s="57" t="s">
        <v>976</v>
      </c>
      <c r="E88" s="100">
        <v>21</v>
      </c>
      <c r="F88" s="102">
        <v>4.7920198716335002E-2</v>
      </c>
      <c r="G88" s="102">
        <v>4.7920198716335002E-2</v>
      </c>
      <c r="H88" s="102">
        <f>+(Yield_Originals!I88+Yield_Originals!G88)/2</f>
        <v>4.9787821804547702E-2</v>
      </c>
      <c r="I88" s="102">
        <v>5.1655444892760402E-2</v>
      </c>
      <c r="J88" s="102">
        <v>4.8331516136121903E-2</v>
      </c>
      <c r="K88" s="103">
        <v>1</v>
      </c>
      <c r="L88" s="104"/>
      <c r="M88" s="104"/>
      <c r="N88" s="104"/>
      <c r="O88" s="104"/>
      <c r="P88" s="105"/>
      <c r="Q88" s="105">
        <f>(Yield_Originals!$H88*Yield_Originals!Q$1)/Yield_Originals!$K88</f>
        <v>6.908060275380995E-2</v>
      </c>
      <c r="R88" s="105">
        <f>(Yield_Originals!$H88*Yield_Originals!R$1)/Yield_Originals!$K88</f>
        <v>7.0947646071480491E-2</v>
      </c>
      <c r="S88" s="105">
        <f>(Yield_Originals!$H88*Yield_Originals!S$1)/Yield_Originals!$K88</f>
        <v>7.2814689389151033E-2</v>
      </c>
      <c r="T88" s="107">
        <f>(Yield_Originals!$I88*Yield_Originals!T$1)/Yield_Originals!$K88</f>
        <v>7.7483167339140624E-2</v>
      </c>
      <c r="U88" s="107">
        <f>(Yield_Originals!$I88*Yield_Originals!U$1)/Yield_Originals!$K88</f>
        <v>7.9420246522619128E-2</v>
      </c>
      <c r="V88" s="107">
        <f>(Yield_Originals!$I88*Yield_Originals!V$1)/Yield_Originals!$K88</f>
        <v>8.1357325706097647E-2</v>
      </c>
      <c r="W88" s="107">
        <f>(Yield_Originals!$I88*Yield_Originals!W$1)/Yield_Originals!$K88</f>
        <v>8.3294404889576137E-2</v>
      </c>
      <c r="X88" s="108">
        <f>(Yield_Originals!$J88*Yield_Originals!X$1)/Yield_Originals!$K88</f>
        <v>7.9747001624601133E-2</v>
      </c>
      <c r="Y88" s="108">
        <f>(Yield_Originals!$J88*Yield_Originals!Y$1)/Yield_Originals!$K88</f>
        <v>8.1559433479705692E-2</v>
      </c>
      <c r="Z88" s="108">
        <f>(Yield_Originals!$J88*Yield_Originals!Z$1)/Yield_Originals!$K88</f>
        <v>8.3371865334810266E-2</v>
      </c>
      <c r="AA88" s="108"/>
      <c r="AB88" s="108"/>
    </row>
    <row r="89" spans="1:28" x14ac:dyDescent="0.25">
      <c r="A89" s="72" t="s">
        <v>970</v>
      </c>
      <c r="B89" s="70">
        <v>2</v>
      </c>
      <c r="C89" s="57" t="s">
        <v>875</v>
      </c>
      <c r="D89" s="57" t="s">
        <v>973</v>
      </c>
      <c r="E89" s="100">
        <v>16</v>
      </c>
      <c r="F89" s="102">
        <v>4.7920198716335002E-2</v>
      </c>
      <c r="G89" s="102">
        <v>4.7920198716335002E-2</v>
      </c>
      <c r="H89" s="102">
        <f>+(Yield_Originals!I89+Yield_Originals!G89)/2</f>
        <v>4.9787821804547702E-2</v>
      </c>
      <c r="I89" s="102">
        <v>5.1655444892760402E-2</v>
      </c>
      <c r="J89" s="102">
        <v>4.8331516136121903E-2</v>
      </c>
      <c r="K89" s="103">
        <v>1</v>
      </c>
      <c r="L89" s="104">
        <f>(Yield_Originals!$G89*Yield_Originals!L$1)/Yield_Originals!$K89</f>
        <v>5.7504238459602008E-2</v>
      </c>
      <c r="M89" s="104">
        <f>(Yield_Originals!$G89*Yield_Originals!M$1)/Yield_Originals!$K89</f>
        <v>5.9301245911464566E-2</v>
      </c>
      <c r="N89" s="104">
        <f>(Yield_Originals!$G89*Yield_Originals!N$1)/Yield_Originals!$K89</f>
        <v>6.1098253363327137E-2</v>
      </c>
      <c r="O89" s="104">
        <f>(Yield_Originals!$G89*Yield_Originals!O$1)/Yield_Originals!$K89</f>
        <v>6.2895260815189702E-2</v>
      </c>
      <c r="P89" s="105">
        <f>(Yield_Originals!$H89*Yield_Originals!P$1)/Yield_Originals!$K89</f>
        <v>6.7213559436139408E-2</v>
      </c>
      <c r="Q89" s="105">
        <f>(Yield_Originals!$H89*Yield_Originals!Q$1)/Yield_Originals!$K89</f>
        <v>6.908060275380995E-2</v>
      </c>
      <c r="R89" s="105">
        <f>(Yield_Originals!$H89*Yield_Originals!R$1)/Yield_Originals!$K89</f>
        <v>7.0947646071480491E-2</v>
      </c>
      <c r="S89" s="105">
        <f>(Yield_Originals!$H89*Yield_Originals!S$1)/Yield_Originals!$K89</f>
        <v>7.2814689389151033E-2</v>
      </c>
      <c r="T89" s="107">
        <f>(Yield_Originals!$I89*Yield_Originals!T$1)/Yield_Originals!$K89</f>
        <v>7.7483167339140624E-2</v>
      </c>
      <c r="U89" s="107">
        <f>(Yield_Originals!$I89*Yield_Originals!U$1)/Yield_Originals!$K89</f>
        <v>7.9420246522619128E-2</v>
      </c>
      <c r="V89" s="107">
        <f>(Yield_Originals!$I89*Yield_Originals!V$1)/Yield_Originals!$K89</f>
        <v>8.1357325706097647E-2</v>
      </c>
      <c r="W89" s="107">
        <f>(Yield_Originals!$I89*Yield_Originals!W$1)/Yield_Originals!$K89</f>
        <v>8.3294404889576137E-2</v>
      </c>
      <c r="X89" s="108">
        <f>(Yield_Originals!$J89*Yield_Originals!X$1)/Yield_Originals!$K89</f>
        <v>7.9747001624601133E-2</v>
      </c>
      <c r="Y89" s="108">
        <f>(Yield_Originals!$J89*Yield_Originals!Y$1)/Yield_Originals!$K89</f>
        <v>8.1559433479705692E-2</v>
      </c>
      <c r="Z89" s="108">
        <f>(Yield_Originals!$J89*Yield_Originals!Z$1)/Yield_Originals!$K89</f>
        <v>8.3371865334810266E-2</v>
      </c>
      <c r="AA89" s="108">
        <f>(Yield_Originals!$J89*Yield_Originals!AA$1)/Yield_Originals!$K89</f>
        <v>8.5184297189914826E-2</v>
      </c>
      <c r="AB89" s="108">
        <f>(Yield_Originals!$J89*Yield_Originals!AB$1)/Yield_Originals!$K89</f>
        <v>8.69967290450194E-2</v>
      </c>
    </row>
    <row r="90" spans="1:28" x14ac:dyDescent="0.25">
      <c r="A90" s="72" t="s">
        <v>970</v>
      </c>
      <c r="B90" s="70">
        <v>2</v>
      </c>
      <c r="C90" s="57" t="s">
        <v>875</v>
      </c>
      <c r="D90" s="57" t="s">
        <v>973</v>
      </c>
      <c r="E90" s="100">
        <v>17</v>
      </c>
      <c r="F90" s="102">
        <v>4.7920198716335002E-2</v>
      </c>
      <c r="G90" s="102">
        <v>4.7920198716335002E-2</v>
      </c>
      <c r="H90" s="102">
        <f>+(Yield_Originals!I90+Yield_Originals!G90)/2</f>
        <v>4.9787821804547702E-2</v>
      </c>
      <c r="I90" s="102">
        <v>5.1655444892760402E-2</v>
      </c>
      <c r="J90" s="102">
        <v>4.8331516136121903E-2</v>
      </c>
      <c r="K90" s="103">
        <v>1</v>
      </c>
      <c r="L90" s="104">
        <f>(Yield_Originals!$G90*Yield_Originals!L$1)/Yield_Originals!$K90</f>
        <v>5.7504238459602008E-2</v>
      </c>
      <c r="M90" s="104">
        <f>(Yield_Originals!$G90*Yield_Originals!M$1)/Yield_Originals!$K90</f>
        <v>5.9301245911464566E-2</v>
      </c>
      <c r="N90" s="104">
        <f>(Yield_Originals!$G90*Yield_Originals!N$1)/Yield_Originals!$K90</f>
        <v>6.1098253363327137E-2</v>
      </c>
      <c r="O90" s="104">
        <f>(Yield_Originals!$G90*Yield_Originals!O$1)/Yield_Originals!$K90</f>
        <v>6.2895260815189702E-2</v>
      </c>
      <c r="P90" s="105">
        <f>(Yield_Originals!$H90*Yield_Originals!P$1)/Yield_Originals!$K90</f>
        <v>6.7213559436139408E-2</v>
      </c>
      <c r="Q90" s="105">
        <f>(Yield_Originals!$H90*Yield_Originals!Q$1)/Yield_Originals!$K90</f>
        <v>6.908060275380995E-2</v>
      </c>
      <c r="R90" s="105">
        <f>(Yield_Originals!$H90*Yield_Originals!R$1)/Yield_Originals!$K90</f>
        <v>7.0947646071480491E-2</v>
      </c>
      <c r="S90" s="105">
        <f>(Yield_Originals!$H90*Yield_Originals!S$1)/Yield_Originals!$K90</f>
        <v>7.2814689389151033E-2</v>
      </c>
      <c r="T90" s="107">
        <f>(Yield_Originals!$I90*Yield_Originals!T$1)/Yield_Originals!$K90</f>
        <v>7.7483167339140624E-2</v>
      </c>
      <c r="U90" s="107">
        <f>(Yield_Originals!$I90*Yield_Originals!U$1)/Yield_Originals!$K90</f>
        <v>7.9420246522619128E-2</v>
      </c>
      <c r="V90" s="107">
        <f>(Yield_Originals!$I90*Yield_Originals!V$1)/Yield_Originals!$K90</f>
        <v>8.1357325706097647E-2</v>
      </c>
      <c r="W90" s="107">
        <f>(Yield_Originals!$I90*Yield_Originals!W$1)/Yield_Originals!$K90</f>
        <v>8.3294404889576137E-2</v>
      </c>
      <c r="X90" s="108">
        <f>(Yield_Originals!$J90*Yield_Originals!X$1)/Yield_Originals!$K90</f>
        <v>7.9747001624601133E-2</v>
      </c>
      <c r="Y90" s="108">
        <f>(Yield_Originals!$J90*Yield_Originals!Y$1)/Yield_Originals!$K90</f>
        <v>8.1559433479705692E-2</v>
      </c>
      <c r="Z90" s="108">
        <f>(Yield_Originals!$J90*Yield_Originals!Z$1)/Yield_Originals!$K90</f>
        <v>8.3371865334810266E-2</v>
      </c>
      <c r="AA90" s="108">
        <f>(Yield_Originals!$J90*Yield_Originals!AA$1)/Yield_Originals!$K90</f>
        <v>8.5184297189914826E-2</v>
      </c>
      <c r="AB90" s="108">
        <f>(Yield_Originals!$J90*Yield_Originals!AB$1)/Yield_Originals!$K90</f>
        <v>8.69967290450194E-2</v>
      </c>
    </row>
    <row r="91" spans="1:28" x14ac:dyDescent="0.25">
      <c r="A91" s="72" t="s">
        <v>970</v>
      </c>
      <c r="B91" s="70">
        <v>2</v>
      </c>
      <c r="C91" s="57" t="s">
        <v>875</v>
      </c>
      <c r="D91" s="57" t="s">
        <v>973</v>
      </c>
      <c r="E91" s="100">
        <v>18</v>
      </c>
      <c r="F91" s="102">
        <v>4.7920198716335002E-2</v>
      </c>
      <c r="G91" s="102">
        <v>4.7920198716335002E-2</v>
      </c>
      <c r="H91" s="102">
        <f>+(Yield_Originals!I91+Yield_Originals!G91)/2</f>
        <v>4.9787821804547702E-2</v>
      </c>
      <c r="I91" s="102">
        <v>5.1655444892760402E-2</v>
      </c>
      <c r="J91" s="102">
        <v>4.8331516136121903E-2</v>
      </c>
      <c r="K91" s="103">
        <v>1</v>
      </c>
      <c r="L91" s="104">
        <f>(Yield_Originals!$G91*Yield_Originals!L$1)/Yield_Originals!$K91</f>
        <v>5.7504238459602008E-2</v>
      </c>
      <c r="M91" s="104">
        <f>(Yield_Originals!$G91*Yield_Originals!M$1)/Yield_Originals!$K91</f>
        <v>5.9301245911464566E-2</v>
      </c>
      <c r="N91" s="104">
        <f>(Yield_Originals!$G91*Yield_Originals!N$1)/Yield_Originals!$K91</f>
        <v>6.1098253363327137E-2</v>
      </c>
      <c r="O91" s="104">
        <f>(Yield_Originals!$G91*Yield_Originals!O$1)/Yield_Originals!$K91</f>
        <v>6.2895260815189702E-2</v>
      </c>
      <c r="P91" s="105">
        <f>(Yield_Originals!$H91*Yield_Originals!P$1)/Yield_Originals!$K91</f>
        <v>6.7213559436139408E-2</v>
      </c>
      <c r="Q91" s="105">
        <f>(Yield_Originals!$H91*Yield_Originals!Q$1)/Yield_Originals!$K91</f>
        <v>6.908060275380995E-2</v>
      </c>
      <c r="R91" s="105">
        <f>(Yield_Originals!$H91*Yield_Originals!R$1)/Yield_Originals!$K91</f>
        <v>7.0947646071480491E-2</v>
      </c>
      <c r="S91" s="105">
        <f>(Yield_Originals!$H91*Yield_Originals!S$1)/Yield_Originals!$K91</f>
        <v>7.2814689389151033E-2</v>
      </c>
      <c r="T91" s="107">
        <f>(Yield_Originals!$I91*Yield_Originals!T$1)/Yield_Originals!$K91</f>
        <v>7.7483167339140624E-2</v>
      </c>
      <c r="U91" s="107">
        <f>(Yield_Originals!$I91*Yield_Originals!U$1)/Yield_Originals!$K91</f>
        <v>7.9420246522619128E-2</v>
      </c>
      <c r="V91" s="107">
        <f>(Yield_Originals!$I91*Yield_Originals!V$1)/Yield_Originals!$K91</f>
        <v>8.1357325706097647E-2</v>
      </c>
      <c r="W91" s="107">
        <f>(Yield_Originals!$I91*Yield_Originals!W$1)/Yield_Originals!$K91</f>
        <v>8.3294404889576137E-2</v>
      </c>
      <c r="X91" s="108">
        <f>(Yield_Originals!$J91*Yield_Originals!X$1)/Yield_Originals!$K91</f>
        <v>7.9747001624601133E-2</v>
      </c>
      <c r="Y91" s="108">
        <f>(Yield_Originals!$J91*Yield_Originals!Y$1)/Yield_Originals!$K91</f>
        <v>8.1559433479705692E-2</v>
      </c>
      <c r="Z91" s="108">
        <f>(Yield_Originals!$J91*Yield_Originals!Z$1)/Yield_Originals!$K91</f>
        <v>8.3371865334810266E-2</v>
      </c>
      <c r="AA91" s="108">
        <f>(Yield_Originals!$J91*Yield_Originals!AA$1)/Yield_Originals!$K91</f>
        <v>8.5184297189914826E-2</v>
      </c>
      <c r="AB91" s="108">
        <f>(Yield_Originals!$J91*Yield_Originals!AB$1)/Yield_Originals!$K91</f>
        <v>8.69967290450194E-2</v>
      </c>
    </row>
    <row r="92" spans="1:28" x14ac:dyDescent="0.25">
      <c r="A92" s="72" t="s">
        <v>970</v>
      </c>
      <c r="B92" s="70">
        <v>2</v>
      </c>
      <c r="C92" s="57" t="s">
        <v>875</v>
      </c>
      <c r="D92" s="57" t="s">
        <v>973</v>
      </c>
      <c r="E92" s="100">
        <v>19</v>
      </c>
      <c r="F92" s="102">
        <v>4.7920198716335002E-2</v>
      </c>
      <c r="G92" s="102">
        <v>4.7920198716335002E-2</v>
      </c>
      <c r="H92" s="102">
        <f>+(Yield_Originals!I92+Yield_Originals!G92)/2</f>
        <v>4.9787821804547702E-2</v>
      </c>
      <c r="I92" s="102">
        <v>5.1655444892760402E-2</v>
      </c>
      <c r="J92" s="102">
        <v>4.8331516136121903E-2</v>
      </c>
      <c r="K92" s="103">
        <v>1</v>
      </c>
      <c r="L92" s="104">
        <f>(Yield_Originals!$G92*Yield_Originals!L$1)/Yield_Originals!$K92</f>
        <v>5.7504238459602008E-2</v>
      </c>
      <c r="M92" s="104">
        <f>(Yield_Originals!$G92*Yield_Originals!M$1)/Yield_Originals!$K92</f>
        <v>5.9301245911464566E-2</v>
      </c>
      <c r="N92" s="104">
        <f>(Yield_Originals!$G92*Yield_Originals!N$1)/Yield_Originals!$K92</f>
        <v>6.1098253363327137E-2</v>
      </c>
      <c r="O92" s="104">
        <f>(Yield_Originals!$G92*Yield_Originals!O$1)/Yield_Originals!$K92</f>
        <v>6.2895260815189702E-2</v>
      </c>
      <c r="P92" s="105">
        <f>(Yield_Originals!$H92*Yield_Originals!P$1)/Yield_Originals!$K92</f>
        <v>6.7213559436139408E-2</v>
      </c>
      <c r="Q92" s="105">
        <f>(Yield_Originals!$H92*Yield_Originals!Q$1)/Yield_Originals!$K92</f>
        <v>6.908060275380995E-2</v>
      </c>
      <c r="R92" s="105">
        <f>(Yield_Originals!$H92*Yield_Originals!R$1)/Yield_Originals!$K92</f>
        <v>7.0947646071480491E-2</v>
      </c>
      <c r="S92" s="105">
        <f>(Yield_Originals!$H92*Yield_Originals!S$1)/Yield_Originals!$K92</f>
        <v>7.2814689389151033E-2</v>
      </c>
      <c r="T92" s="107">
        <f>(Yield_Originals!$I92*Yield_Originals!T$1)/Yield_Originals!$K92</f>
        <v>7.7483167339140624E-2</v>
      </c>
      <c r="U92" s="107">
        <f>(Yield_Originals!$I92*Yield_Originals!U$1)/Yield_Originals!$K92</f>
        <v>7.9420246522619128E-2</v>
      </c>
      <c r="V92" s="107">
        <f>(Yield_Originals!$I92*Yield_Originals!V$1)/Yield_Originals!$K92</f>
        <v>8.1357325706097647E-2</v>
      </c>
      <c r="W92" s="107">
        <f>(Yield_Originals!$I92*Yield_Originals!W$1)/Yield_Originals!$K92</f>
        <v>8.3294404889576137E-2</v>
      </c>
      <c r="X92" s="108">
        <f>(Yield_Originals!$J92*Yield_Originals!X$1)/Yield_Originals!$K92</f>
        <v>7.9747001624601133E-2</v>
      </c>
      <c r="Y92" s="108">
        <f>(Yield_Originals!$J92*Yield_Originals!Y$1)/Yield_Originals!$K92</f>
        <v>8.1559433479705692E-2</v>
      </c>
      <c r="Z92" s="108">
        <f>(Yield_Originals!$J92*Yield_Originals!Z$1)/Yield_Originals!$K92</f>
        <v>8.3371865334810266E-2</v>
      </c>
      <c r="AA92" s="108">
        <f>(Yield_Originals!$J92*Yield_Originals!AA$1)/Yield_Originals!$K92</f>
        <v>8.5184297189914826E-2</v>
      </c>
      <c r="AB92" s="108">
        <f>(Yield_Originals!$J92*Yield_Originals!AB$1)/Yield_Originals!$K92</f>
        <v>8.69967290450194E-2</v>
      </c>
    </row>
    <row r="93" spans="1:28" x14ac:dyDescent="0.25">
      <c r="A93" s="72" t="s">
        <v>970</v>
      </c>
      <c r="B93" s="70">
        <v>2</v>
      </c>
      <c r="C93" s="57" t="s">
        <v>875</v>
      </c>
      <c r="D93" s="57" t="s">
        <v>973</v>
      </c>
      <c r="E93" s="100">
        <v>20</v>
      </c>
      <c r="F93" s="102">
        <v>4.7920198716335002E-2</v>
      </c>
      <c r="G93" s="102">
        <v>4.7920198716335002E-2</v>
      </c>
      <c r="H93" s="102">
        <f>+(Yield_Originals!I93+Yield_Originals!G93)/2</f>
        <v>4.9787821804547702E-2</v>
      </c>
      <c r="I93" s="102">
        <v>5.1655444892760402E-2</v>
      </c>
      <c r="J93" s="102">
        <v>4.8331516136121903E-2</v>
      </c>
      <c r="K93" s="103">
        <v>1</v>
      </c>
      <c r="L93" s="104">
        <f>(Yield_Originals!$G93*Yield_Originals!L$1)/Yield_Originals!$K93</f>
        <v>5.7504238459602008E-2</v>
      </c>
      <c r="M93" s="104">
        <f>(Yield_Originals!$G93*Yield_Originals!M$1)/Yield_Originals!$K93</f>
        <v>5.9301245911464566E-2</v>
      </c>
      <c r="N93" s="104">
        <f>(Yield_Originals!$G93*Yield_Originals!N$1)/Yield_Originals!$K93</f>
        <v>6.1098253363327137E-2</v>
      </c>
      <c r="O93" s="104">
        <f>(Yield_Originals!$G93*Yield_Originals!O$1)/Yield_Originals!$K93</f>
        <v>6.2895260815189702E-2</v>
      </c>
      <c r="P93" s="105">
        <f>(Yield_Originals!$H93*Yield_Originals!P$1)/Yield_Originals!$K93</f>
        <v>6.7213559436139408E-2</v>
      </c>
      <c r="Q93" s="105">
        <f>(Yield_Originals!$H93*Yield_Originals!Q$1)/Yield_Originals!$K93</f>
        <v>6.908060275380995E-2</v>
      </c>
      <c r="R93" s="105">
        <f>(Yield_Originals!$H93*Yield_Originals!R$1)/Yield_Originals!$K93</f>
        <v>7.0947646071480491E-2</v>
      </c>
      <c r="S93" s="105">
        <f>(Yield_Originals!$H93*Yield_Originals!S$1)/Yield_Originals!$K93</f>
        <v>7.2814689389151033E-2</v>
      </c>
      <c r="T93" s="107">
        <f>(Yield_Originals!$I93*Yield_Originals!T$1)/Yield_Originals!$K93</f>
        <v>7.7483167339140624E-2</v>
      </c>
      <c r="U93" s="107">
        <f>(Yield_Originals!$I93*Yield_Originals!U$1)/Yield_Originals!$K93</f>
        <v>7.9420246522619128E-2</v>
      </c>
      <c r="V93" s="107">
        <f>(Yield_Originals!$I93*Yield_Originals!V$1)/Yield_Originals!$K93</f>
        <v>8.1357325706097647E-2</v>
      </c>
      <c r="W93" s="107">
        <f>(Yield_Originals!$I93*Yield_Originals!W$1)/Yield_Originals!$K93</f>
        <v>8.3294404889576137E-2</v>
      </c>
      <c r="X93" s="108">
        <f>(Yield_Originals!$J93*Yield_Originals!X$1)/Yield_Originals!$K93</f>
        <v>7.9747001624601133E-2</v>
      </c>
      <c r="Y93" s="108">
        <f>(Yield_Originals!$J93*Yield_Originals!Y$1)/Yield_Originals!$K93</f>
        <v>8.1559433479705692E-2</v>
      </c>
      <c r="Z93" s="108">
        <f>(Yield_Originals!$J93*Yield_Originals!Z$1)/Yield_Originals!$K93</f>
        <v>8.3371865334810266E-2</v>
      </c>
      <c r="AA93" s="108">
        <f>(Yield_Originals!$J93*Yield_Originals!AA$1)/Yield_Originals!$K93</f>
        <v>8.5184297189914826E-2</v>
      </c>
      <c r="AB93" s="108">
        <f>(Yield_Originals!$J93*Yield_Originals!AB$1)/Yield_Originals!$K93</f>
        <v>8.69967290450194E-2</v>
      </c>
    </row>
    <row r="94" spans="1:28" x14ac:dyDescent="0.25">
      <c r="A94" s="72" t="s">
        <v>970</v>
      </c>
      <c r="B94" s="70">
        <v>2</v>
      </c>
      <c r="C94" s="57" t="s">
        <v>875</v>
      </c>
      <c r="D94" s="57" t="s">
        <v>973</v>
      </c>
      <c r="E94" s="100">
        <v>21</v>
      </c>
      <c r="F94" s="102">
        <v>4.7920198716335002E-2</v>
      </c>
      <c r="G94" s="102">
        <v>4.7920198716335002E-2</v>
      </c>
      <c r="H94" s="102">
        <f>+(Yield_Originals!I94+Yield_Originals!G94)/2</f>
        <v>4.9787821804547702E-2</v>
      </c>
      <c r="I94" s="102">
        <v>5.1655444892760402E-2</v>
      </c>
      <c r="J94" s="102">
        <v>4.8331516136121903E-2</v>
      </c>
      <c r="K94" s="103">
        <v>1</v>
      </c>
      <c r="L94" s="104">
        <f>(Yield_Originals!$G94*Yield_Originals!L$1)/Yield_Originals!$K94</f>
        <v>5.7504238459602008E-2</v>
      </c>
      <c r="M94" s="104">
        <f>(Yield_Originals!$G94*Yield_Originals!M$1)/Yield_Originals!$K94</f>
        <v>5.9301245911464566E-2</v>
      </c>
      <c r="N94" s="104">
        <f>(Yield_Originals!$G94*Yield_Originals!N$1)/Yield_Originals!$K94</f>
        <v>6.1098253363327137E-2</v>
      </c>
      <c r="O94" s="104">
        <f>(Yield_Originals!$G94*Yield_Originals!O$1)/Yield_Originals!$K94</f>
        <v>6.2895260815189702E-2</v>
      </c>
      <c r="P94" s="105">
        <f>(Yield_Originals!$H94*Yield_Originals!P$1)/Yield_Originals!$K94</f>
        <v>6.7213559436139408E-2</v>
      </c>
      <c r="Q94" s="105">
        <f>(Yield_Originals!$H94*Yield_Originals!Q$1)/Yield_Originals!$K94</f>
        <v>6.908060275380995E-2</v>
      </c>
      <c r="R94" s="105">
        <f>(Yield_Originals!$H94*Yield_Originals!R$1)/Yield_Originals!$K94</f>
        <v>7.0947646071480491E-2</v>
      </c>
      <c r="S94" s="105">
        <f>(Yield_Originals!$H94*Yield_Originals!S$1)/Yield_Originals!$K94</f>
        <v>7.2814689389151033E-2</v>
      </c>
      <c r="T94" s="107">
        <f>(Yield_Originals!$I94*Yield_Originals!T$1)/Yield_Originals!$K94</f>
        <v>7.7483167339140624E-2</v>
      </c>
      <c r="U94" s="107">
        <f>(Yield_Originals!$I94*Yield_Originals!U$1)/Yield_Originals!$K94</f>
        <v>7.9420246522619128E-2</v>
      </c>
      <c r="V94" s="107">
        <f>(Yield_Originals!$I94*Yield_Originals!V$1)/Yield_Originals!$K94</f>
        <v>8.1357325706097647E-2</v>
      </c>
      <c r="W94" s="107">
        <f>(Yield_Originals!$I94*Yield_Originals!W$1)/Yield_Originals!$K94</f>
        <v>8.3294404889576137E-2</v>
      </c>
      <c r="X94" s="108">
        <f>(Yield_Originals!$J94*Yield_Originals!X$1)/Yield_Originals!$K94</f>
        <v>7.9747001624601133E-2</v>
      </c>
      <c r="Y94" s="108">
        <f>(Yield_Originals!$J94*Yield_Originals!Y$1)/Yield_Originals!$K94</f>
        <v>8.1559433479705692E-2</v>
      </c>
      <c r="Z94" s="108">
        <f>(Yield_Originals!$J94*Yield_Originals!Z$1)/Yield_Originals!$K94</f>
        <v>8.3371865334810266E-2</v>
      </c>
      <c r="AA94" s="108">
        <f>(Yield_Originals!$J94*Yield_Originals!AA$1)/Yield_Originals!$K94</f>
        <v>8.5184297189914826E-2</v>
      </c>
      <c r="AB94" s="108">
        <f>(Yield_Originals!$J94*Yield_Originals!AB$1)/Yield_Originals!$K94</f>
        <v>8.69967290450194E-2</v>
      </c>
    </row>
    <row r="95" spans="1:28" x14ac:dyDescent="0.25">
      <c r="A95" s="72" t="s">
        <v>970</v>
      </c>
      <c r="B95" s="70">
        <v>2</v>
      </c>
      <c r="C95" s="57" t="s">
        <v>878</v>
      </c>
      <c r="D95" s="57" t="s">
        <v>978</v>
      </c>
      <c r="E95" s="100">
        <v>16</v>
      </c>
      <c r="F95" s="102">
        <v>4.7920198716335002E-2</v>
      </c>
      <c r="G95" s="102">
        <v>4.7920198716335002E-2</v>
      </c>
      <c r="H95" s="102">
        <f>+(Yield_Originals!I95+Yield_Originals!G95)/2</f>
        <v>4.9787821804547702E-2</v>
      </c>
      <c r="I95" s="102">
        <v>5.1655444892760402E-2</v>
      </c>
      <c r="J95" s="102">
        <v>4.8331516136121903E-2</v>
      </c>
      <c r="K95" s="103">
        <v>1</v>
      </c>
      <c r="L95" s="104">
        <f>(Yield_Originals!$G95*Yield_Originals!L$1)/Yield_Originals!$K95</f>
        <v>5.7504238459602008E-2</v>
      </c>
      <c r="M95" s="104">
        <f>(Yield_Originals!$G95*Yield_Originals!M$1)/Yield_Originals!$K95</f>
        <v>5.9301245911464566E-2</v>
      </c>
      <c r="N95" s="104">
        <f>(Yield_Originals!$G95*Yield_Originals!N$1)/Yield_Originals!$K95</f>
        <v>6.1098253363327137E-2</v>
      </c>
      <c r="O95" s="104">
        <f>(Yield_Originals!$G95*Yield_Originals!O$1)/Yield_Originals!$K95</f>
        <v>6.2895260815189702E-2</v>
      </c>
      <c r="P95" s="105">
        <f>(Yield_Originals!$H95*Yield_Originals!P$1)/Yield_Originals!$K95</f>
        <v>6.7213559436139408E-2</v>
      </c>
      <c r="Q95" s="105">
        <f>(Yield_Originals!$H95*Yield_Originals!Q$1)/Yield_Originals!$K95</f>
        <v>6.908060275380995E-2</v>
      </c>
      <c r="R95" s="105">
        <f>(Yield_Originals!$H95*Yield_Originals!R$1)/Yield_Originals!$K95</f>
        <v>7.0947646071480491E-2</v>
      </c>
      <c r="S95" s="105"/>
      <c r="T95" s="107"/>
      <c r="U95" s="107"/>
      <c r="V95" s="107"/>
      <c r="W95" s="107"/>
      <c r="X95" s="108"/>
      <c r="Y95" s="108"/>
      <c r="Z95" s="108"/>
      <c r="AA95" s="108"/>
      <c r="AB95" s="108"/>
    </row>
    <row r="96" spans="1:28" x14ac:dyDescent="0.25">
      <c r="A96" s="72" t="s">
        <v>970</v>
      </c>
      <c r="B96" s="70">
        <v>2</v>
      </c>
      <c r="C96" s="57" t="s">
        <v>878</v>
      </c>
      <c r="D96" s="57" t="s">
        <v>978</v>
      </c>
      <c r="E96" s="100">
        <v>17</v>
      </c>
      <c r="F96" s="102">
        <v>4.7920198716335002E-2</v>
      </c>
      <c r="G96" s="102">
        <v>4.7920198716335002E-2</v>
      </c>
      <c r="H96" s="102">
        <f>+(Yield_Originals!I96+Yield_Originals!G96)/2</f>
        <v>4.9787821804547702E-2</v>
      </c>
      <c r="I96" s="102">
        <v>5.1655444892760402E-2</v>
      </c>
      <c r="J96" s="102">
        <v>4.8331516136121903E-2</v>
      </c>
      <c r="K96" s="103">
        <v>1</v>
      </c>
      <c r="L96" s="104">
        <f>(Yield_Originals!$G96*Yield_Originals!L$1)/Yield_Originals!$K96</f>
        <v>5.7504238459602008E-2</v>
      </c>
      <c r="M96" s="104">
        <f>(Yield_Originals!$G96*Yield_Originals!M$1)/Yield_Originals!$K96</f>
        <v>5.9301245911464566E-2</v>
      </c>
      <c r="N96" s="104">
        <f>(Yield_Originals!$G96*Yield_Originals!N$1)/Yield_Originals!$K96</f>
        <v>6.1098253363327137E-2</v>
      </c>
      <c r="O96" s="104">
        <f>(Yield_Originals!$G96*Yield_Originals!O$1)/Yield_Originals!$K96</f>
        <v>6.2895260815189702E-2</v>
      </c>
      <c r="P96" s="105">
        <f>(Yield_Originals!$H96*Yield_Originals!P$1)/Yield_Originals!$K96</f>
        <v>6.7213559436139408E-2</v>
      </c>
      <c r="Q96" s="105">
        <f>(Yield_Originals!$H96*Yield_Originals!Q$1)/Yield_Originals!$K96</f>
        <v>6.908060275380995E-2</v>
      </c>
      <c r="R96" s="105">
        <f>(Yield_Originals!$H96*Yield_Originals!R$1)/Yield_Originals!$K96</f>
        <v>7.0947646071480491E-2</v>
      </c>
      <c r="S96" s="105"/>
      <c r="T96" s="107"/>
      <c r="U96" s="107"/>
      <c r="V96" s="107"/>
      <c r="W96" s="107"/>
      <c r="X96" s="108"/>
      <c r="Y96" s="108"/>
      <c r="Z96" s="108"/>
      <c r="AA96" s="108"/>
      <c r="AB96" s="108"/>
    </row>
    <row r="97" spans="1:28" x14ac:dyDescent="0.25">
      <c r="A97" s="72" t="s">
        <v>970</v>
      </c>
      <c r="B97" s="70">
        <v>2</v>
      </c>
      <c r="C97" s="57" t="s">
        <v>878</v>
      </c>
      <c r="D97" s="57" t="s">
        <v>978</v>
      </c>
      <c r="E97" s="100">
        <v>18</v>
      </c>
      <c r="F97" s="102">
        <v>4.7920198716335002E-2</v>
      </c>
      <c r="G97" s="102">
        <v>4.7920198716335002E-2</v>
      </c>
      <c r="H97" s="102">
        <f>+(Yield_Originals!I97+Yield_Originals!G97)/2</f>
        <v>4.9787821804547702E-2</v>
      </c>
      <c r="I97" s="102">
        <v>5.1655444892760402E-2</v>
      </c>
      <c r="J97" s="102">
        <v>4.8331516136121903E-2</v>
      </c>
      <c r="K97" s="103">
        <v>1</v>
      </c>
      <c r="L97" s="104">
        <f>(Yield_Originals!$G97*Yield_Originals!L$1)/Yield_Originals!$K97</f>
        <v>5.7504238459602008E-2</v>
      </c>
      <c r="M97" s="104">
        <f>(Yield_Originals!$G97*Yield_Originals!M$1)/Yield_Originals!$K97</f>
        <v>5.9301245911464566E-2</v>
      </c>
      <c r="N97" s="104">
        <f>(Yield_Originals!$G97*Yield_Originals!N$1)/Yield_Originals!$K97</f>
        <v>6.1098253363327137E-2</v>
      </c>
      <c r="O97" s="104">
        <f>(Yield_Originals!$G97*Yield_Originals!O$1)/Yield_Originals!$K97</f>
        <v>6.2895260815189702E-2</v>
      </c>
      <c r="P97" s="105">
        <f>(Yield_Originals!$H97*Yield_Originals!P$1)/Yield_Originals!$K97</f>
        <v>6.7213559436139408E-2</v>
      </c>
      <c r="Q97" s="105">
        <f>(Yield_Originals!$H97*Yield_Originals!Q$1)/Yield_Originals!$K97</f>
        <v>6.908060275380995E-2</v>
      </c>
      <c r="R97" s="105">
        <f>(Yield_Originals!$H97*Yield_Originals!R$1)/Yield_Originals!$K97</f>
        <v>7.0947646071480491E-2</v>
      </c>
      <c r="S97" s="105"/>
      <c r="T97" s="107"/>
      <c r="U97" s="107"/>
      <c r="V97" s="107"/>
      <c r="W97" s="107"/>
      <c r="X97" s="108"/>
      <c r="Y97" s="108"/>
      <c r="Z97" s="108"/>
      <c r="AA97" s="108"/>
      <c r="AB97" s="108"/>
    </row>
    <row r="98" spans="1:28" x14ac:dyDescent="0.25">
      <c r="A98" s="72" t="s">
        <v>970</v>
      </c>
      <c r="B98" s="70">
        <v>2</v>
      </c>
      <c r="C98" s="57" t="s">
        <v>878</v>
      </c>
      <c r="D98" s="57" t="s">
        <v>978</v>
      </c>
      <c r="E98" s="100">
        <v>19</v>
      </c>
      <c r="F98" s="102">
        <v>4.7920198716335002E-2</v>
      </c>
      <c r="G98" s="102">
        <v>4.7920198716335002E-2</v>
      </c>
      <c r="H98" s="102">
        <f>+(Yield_Originals!I98+Yield_Originals!G98)/2</f>
        <v>4.9787821804547702E-2</v>
      </c>
      <c r="I98" s="102">
        <v>5.1655444892760402E-2</v>
      </c>
      <c r="J98" s="102">
        <v>4.8331516136121903E-2</v>
      </c>
      <c r="K98" s="103">
        <v>1</v>
      </c>
      <c r="L98" s="104">
        <f>(Yield_Originals!$G98*Yield_Originals!L$1)/Yield_Originals!$K98</f>
        <v>5.7504238459602008E-2</v>
      </c>
      <c r="M98" s="104">
        <f>(Yield_Originals!$G98*Yield_Originals!M$1)/Yield_Originals!$K98</f>
        <v>5.9301245911464566E-2</v>
      </c>
      <c r="N98" s="104">
        <f>(Yield_Originals!$G98*Yield_Originals!N$1)/Yield_Originals!$K98</f>
        <v>6.1098253363327137E-2</v>
      </c>
      <c r="O98" s="104">
        <f>(Yield_Originals!$G98*Yield_Originals!O$1)/Yield_Originals!$K98</f>
        <v>6.2895260815189702E-2</v>
      </c>
      <c r="P98" s="105">
        <f>(Yield_Originals!$H98*Yield_Originals!P$1)/Yield_Originals!$K98</f>
        <v>6.7213559436139408E-2</v>
      </c>
      <c r="Q98" s="105">
        <f>(Yield_Originals!$H98*Yield_Originals!Q$1)/Yield_Originals!$K98</f>
        <v>6.908060275380995E-2</v>
      </c>
      <c r="R98" s="105">
        <f>(Yield_Originals!$H98*Yield_Originals!R$1)/Yield_Originals!$K98</f>
        <v>7.0947646071480491E-2</v>
      </c>
      <c r="S98" s="105"/>
      <c r="T98" s="107"/>
      <c r="U98" s="107"/>
      <c r="V98" s="107"/>
      <c r="W98" s="107"/>
      <c r="X98" s="108"/>
      <c r="Y98" s="108"/>
      <c r="Z98" s="108"/>
      <c r="AA98" s="108"/>
      <c r="AB98" s="108"/>
    </row>
    <row r="99" spans="1:28" x14ac:dyDescent="0.25">
      <c r="A99" s="72" t="s">
        <v>970</v>
      </c>
      <c r="B99" s="70">
        <v>2</v>
      </c>
      <c r="C99" s="57" t="s">
        <v>878</v>
      </c>
      <c r="D99" s="57" t="s">
        <v>978</v>
      </c>
      <c r="E99" s="100">
        <v>20</v>
      </c>
      <c r="F99" s="102">
        <v>4.7920198716335002E-2</v>
      </c>
      <c r="G99" s="102">
        <v>4.7920198716335002E-2</v>
      </c>
      <c r="H99" s="102">
        <f>+(Yield_Originals!I99+Yield_Originals!G99)/2</f>
        <v>4.9787821804547702E-2</v>
      </c>
      <c r="I99" s="102">
        <v>5.1655444892760402E-2</v>
      </c>
      <c r="J99" s="102">
        <v>4.8331516136121903E-2</v>
      </c>
      <c r="K99" s="103">
        <v>1</v>
      </c>
      <c r="L99" s="104">
        <f>(Yield_Originals!$G99*Yield_Originals!L$1)/Yield_Originals!$K99</f>
        <v>5.7504238459602008E-2</v>
      </c>
      <c r="M99" s="104">
        <f>(Yield_Originals!$G99*Yield_Originals!M$1)/Yield_Originals!$K99</f>
        <v>5.9301245911464566E-2</v>
      </c>
      <c r="N99" s="104">
        <f>(Yield_Originals!$G99*Yield_Originals!N$1)/Yield_Originals!$K99</f>
        <v>6.1098253363327137E-2</v>
      </c>
      <c r="O99" s="104">
        <f>(Yield_Originals!$G99*Yield_Originals!O$1)/Yield_Originals!$K99</f>
        <v>6.2895260815189702E-2</v>
      </c>
      <c r="P99" s="105">
        <f>(Yield_Originals!$H99*Yield_Originals!P$1)/Yield_Originals!$K99</f>
        <v>6.7213559436139408E-2</v>
      </c>
      <c r="Q99" s="105">
        <f>(Yield_Originals!$H99*Yield_Originals!Q$1)/Yield_Originals!$K99</f>
        <v>6.908060275380995E-2</v>
      </c>
      <c r="R99" s="105">
        <f>(Yield_Originals!$H99*Yield_Originals!R$1)/Yield_Originals!$K99</f>
        <v>7.0947646071480491E-2</v>
      </c>
      <c r="S99" s="105"/>
      <c r="T99" s="107"/>
      <c r="U99" s="107"/>
      <c r="V99" s="107"/>
      <c r="W99" s="107"/>
      <c r="X99" s="108"/>
      <c r="Y99" s="108"/>
      <c r="Z99" s="108"/>
      <c r="AA99" s="108"/>
      <c r="AB99" s="108"/>
    </row>
    <row r="100" spans="1:28" x14ac:dyDescent="0.25">
      <c r="A100" s="72" t="s">
        <v>970</v>
      </c>
      <c r="B100" s="70">
        <v>2</v>
      </c>
      <c r="C100" s="57" t="s">
        <v>878</v>
      </c>
      <c r="D100" s="57" t="s">
        <v>978</v>
      </c>
      <c r="E100" s="100">
        <v>21</v>
      </c>
      <c r="F100" s="102">
        <v>4.7920198716335002E-2</v>
      </c>
      <c r="G100" s="102">
        <v>4.7920198716335002E-2</v>
      </c>
      <c r="H100" s="102">
        <f>+(Yield_Originals!I100+Yield_Originals!G100)/2</f>
        <v>4.9787821804547702E-2</v>
      </c>
      <c r="I100" s="102">
        <v>5.1655444892760402E-2</v>
      </c>
      <c r="J100" s="102">
        <v>4.8331516136121903E-2</v>
      </c>
      <c r="K100" s="103">
        <v>1</v>
      </c>
      <c r="L100" s="104">
        <f>(Yield_Originals!$G100*Yield_Originals!L$1)/Yield_Originals!$K100</f>
        <v>5.7504238459602008E-2</v>
      </c>
      <c r="M100" s="104">
        <f>(Yield_Originals!$G100*Yield_Originals!M$1)/Yield_Originals!$K100</f>
        <v>5.9301245911464566E-2</v>
      </c>
      <c r="N100" s="104">
        <f>(Yield_Originals!$G100*Yield_Originals!N$1)/Yield_Originals!$K100</f>
        <v>6.1098253363327137E-2</v>
      </c>
      <c r="O100" s="104">
        <f>(Yield_Originals!$G100*Yield_Originals!O$1)/Yield_Originals!$K100</f>
        <v>6.2895260815189702E-2</v>
      </c>
      <c r="P100" s="105">
        <f>(Yield_Originals!$H100*Yield_Originals!P$1)/Yield_Originals!$K100</f>
        <v>6.7213559436139408E-2</v>
      </c>
      <c r="Q100" s="105">
        <f>(Yield_Originals!$H100*Yield_Originals!Q$1)/Yield_Originals!$K100</f>
        <v>6.908060275380995E-2</v>
      </c>
      <c r="R100" s="105">
        <f>(Yield_Originals!$H100*Yield_Originals!R$1)/Yield_Originals!$K100</f>
        <v>7.0947646071480491E-2</v>
      </c>
      <c r="S100" s="105"/>
      <c r="T100" s="107"/>
      <c r="U100" s="107"/>
      <c r="V100" s="107"/>
      <c r="W100" s="107"/>
      <c r="X100" s="108"/>
      <c r="Y100" s="108"/>
      <c r="Z100" s="108"/>
      <c r="AA100" s="108"/>
      <c r="AB100" s="108"/>
    </row>
    <row r="101" spans="1:28" x14ac:dyDescent="0.25">
      <c r="A101" s="72" t="s">
        <v>970</v>
      </c>
      <c r="B101" s="70">
        <v>2</v>
      </c>
      <c r="C101" s="57" t="s">
        <v>881</v>
      </c>
      <c r="D101" s="57" t="s">
        <v>980</v>
      </c>
      <c r="E101" s="100">
        <v>16</v>
      </c>
      <c r="F101" s="102">
        <v>4.7920198716335002E-2</v>
      </c>
      <c r="G101" s="102">
        <v>4.7920198716335002E-2</v>
      </c>
      <c r="H101" s="102">
        <f>+(Yield_Originals!I101+Yield_Originals!G101)/2</f>
        <v>4.9787821804547702E-2</v>
      </c>
      <c r="I101" s="102">
        <v>5.1655444892760402E-2</v>
      </c>
      <c r="J101" s="102">
        <v>4.8331516136121903E-2</v>
      </c>
      <c r="K101" s="103">
        <v>1</v>
      </c>
      <c r="L101" s="104"/>
      <c r="M101" s="104"/>
      <c r="N101" s="104"/>
      <c r="O101" s="104"/>
      <c r="P101" s="105"/>
      <c r="Q101" s="105">
        <f>(Yield_Originals!$H101*Yield_Originals!Q$1)/Yield_Originals!$K101</f>
        <v>6.908060275380995E-2</v>
      </c>
      <c r="R101" s="105">
        <f>(Yield_Originals!$H101*Yield_Originals!R$1)/Yield_Originals!$K101</f>
        <v>7.0947646071480491E-2</v>
      </c>
      <c r="S101" s="105">
        <f>(Yield_Originals!$H101*Yield_Originals!S$1)/Yield_Originals!$K101</f>
        <v>7.2814689389151033E-2</v>
      </c>
      <c r="T101" s="107">
        <f>(Yield_Originals!$I101*Yield_Originals!T$1)/Yield_Originals!$K101</f>
        <v>7.7483167339140624E-2</v>
      </c>
      <c r="U101" s="107">
        <f>(Yield_Originals!$I101*Yield_Originals!U$1)/Yield_Originals!$K101</f>
        <v>7.9420246522619128E-2</v>
      </c>
      <c r="V101" s="107">
        <f>(Yield_Originals!$I101*Yield_Originals!V$1)/Yield_Originals!$K101</f>
        <v>8.1357325706097647E-2</v>
      </c>
      <c r="W101" s="107">
        <f>(Yield_Originals!$I101*Yield_Originals!W$1)/Yield_Originals!$K101</f>
        <v>8.3294404889576137E-2</v>
      </c>
      <c r="X101" s="108">
        <f>(Yield_Originals!$J101*Yield_Originals!X$1)/Yield_Originals!$K101</f>
        <v>7.9747001624601133E-2</v>
      </c>
      <c r="Y101" s="108">
        <f>(Yield_Originals!$J101*Yield_Originals!Y$1)/Yield_Originals!$K101</f>
        <v>8.1559433479705692E-2</v>
      </c>
      <c r="Z101" s="108">
        <f>(Yield_Originals!$J101*Yield_Originals!Z$1)/Yield_Originals!$K101</f>
        <v>8.3371865334810266E-2</v>
      </c>
      <c r="AA101" s="108">
        <f>(Yield_Originals!$J101*Yield_Originals!AA$1)/Yield_Originals!$K101</f>
        <v>8.5184297189914826E-2</v>
      </c>
      <c r="AB101" s="108">
        <f>(Yield_Originals!$J101*Yield_Originals!AB$1)/Yield_Originals!$K101</f>
        <v>8.69967290450194E-2</v>
      </c>
    </row>
    <row r="102" spans="1:28" x14ac:dyDescent="0.25">
      <c r="A102" s="72" t="s">
        <v>970</v>
      </c>
      <c r="B102" s="70">
        <v>2</v>
      </c>
      <c r="C102" s="57" t="s">
        <v>881</v>
      </c>
      <c r="D102" s="57" t="s">
        <v>980</v>
      </c>
      <c r="E102" s="100">
        <v>17</v>
      </c>
      <c r="F102" s="102">
        <v>4.7920198716335002E-2</v>
      </c>
      <c r="G102" s="102">
        <v>4.7920198716335002E-2</v>
      </c>
      <c r="H102" s="102">
        <f>+(Yield_Originals!I102+Yield_Originals!G102)/2</f>
        <v>4.9787821804547702E-2</v>
      </c>
      <c r="I102" s="102">
        <v>5.1655444892760402E-2</v>
      </c>
      <c r="J102" s="102">
        <v>4.8331516136121903E-2</v>
      </c>
      <c r="K102" s="103">
        <v>1</v>
      </c>
      <c r="L102" s="104"/>
      <c r="M102" s="104"/>
      <c r="N102" s="104"/>
      <c r="O102" s="104"/>
      <c r="P102" s="105"/>
      <c r="Q102" s="105">
        <f>(Yield_Originals!$H102*Yield_Originals!Q$1)/Yield_Originals!$K102</f>
        <v>6.908060275380995E-2</v>
      </c>
      <c r="R102" s="105">
        <f>(Yield_Originals!$H102*Yield_Originals!R$1)/Yield_Originals!$K102</f>
        <v>7.0947646071480491E-2</v>
      </c>
      <c r="S102" s="105">
        <f>(Yield_Originals!$H102*Yield_Originals!S$1)/Yield_Originals!$K102</f>
        <v>7.2814689389151033E-2</v>
      </c>
      <c r="T102" s="107">
        <f>(Yield_Originals!$I102*Yield_Originals!T$1)/Yield_Originals!$K102</f>
        <v>7.7483167339140624E-2</v>
      </c>
      <c r="U102" s="107">
        <f>(Yield_Originals!$I102*Yield_Originals!U$1)/Yield_Originals!$K102</f>
        <v>7.9420246522619128E-2</v>
      </c>
      <c r="V102" s="107">
        <f>(Yield_Originals!$I102*Yield_Originals!V$1)/Yield_Originals!$K102</f>
        <v>8.1357325706097647E-2</v>
      </c>
      <c r="W102" s="107">
        <f>(Yield_Originals!$I102*Yield_Originals!W$1)/Yield_Originals!$K102</f>
        <v>8.3294404889576137E-2</v>
      </c>
      <c r="X102" s="108">
        <f>(Yield_Originals!$J102*Yield_Originals!X$1)/Yield_Originals!$K102</f>
        <v>7.9747001624601133E-2</v>
      </c>
      <c r="Y102" s="108">
        <f>(Yield_Originals!$J102*Yield_Originals!Y$1)/Yield_Originals!$K102</f>
        <v>8.1559433479705692E-2</v>
      </c>
      <c r="Z102" s="108">
        <f>(Yield_Originals!$J102*Yield_Originals!Z$1)/Yield_Originals!$K102</f>
        <v>8.3371865334810266E-2</v>
      </c>
      <c r="AA102" s="108">
        <f>(Yield_Originals!$J102*Yield_Originals!AA$1)/Yield_Originals!$K102</f>
        <v>8.5184297189914826E-2</v>
      </c>
      <c r="AB102" s="108">
        <f>(Yield_Originals!$J102*Yield_Originals!AB$1)/Yield_Originals!$K102</f>
        <v>8.69967290450194E-2</v>
      </c>
    </row>
    <row r="103" spans="1:28" x14ac:dyDescent="0.25">
      <c r="A103" s="72" t="s">
        <v>970</v>
      </c>
      <c r="B103" s="70">
        <v>2</v>
      </c>
      <c r="C103" s="57" t="s">
        <v>881</v>
      </c>
      <c r="D103" s="57" t="s">
        <v>980</v>
      </c>
      <c r="E103" s="100">
        <v>18</v>
      </c>
      <c r="F103" s="102">
        <v>4.7920198716335002E-2</v>
      </c>
      <c r="G103" s="102">
        <v>4.7920198716335002E-2</v>
      </c>
      <c r="H103" s="102">
        <f>+(Yield_Originals!I103+Yield_Originals!G103)/2</f>
        <v>4.9787821804547702E-2</v>
      </c>
      <c r="I103" s="102">
        <v>5.1655444892760402E-2</v>
      </c>
      <c r="J103" s="102">
        <v>4.8331516136121903E-2</v>
      </c>
      <c r="K103" s="103">
        <v>1</v>
      </c>
      <c r="L103" s="104"/>
      <c r="M103" s="104"/>
      <c r="N103" s="104"/>
      <c r="O103" s="104"/>
      <c r="P103" s="105"/>
      <c r="Q103" s="105">
        <f>(Yield_Originals!$H103*Yield_Originals!Q$1)/Yield_Originals!$K103</f>
        <v>6.908060275380995E-2</v>
      </c>
      <c r="R103" s="105">
        <f>(Yield_Originals!$H103*Yield_Originals!R$1)/Yield_Originals!$K103</f>
        <v>7.0947646071480491E-2</v>
      </c>
      <c r="S103" s="105">
        <f>(Yield_Originals!$H103*Yield_Originals!S$1)/Yield_Originals!$K103</f>
        <v>7.2814689389151033E-2</v>
      </c>
      <c r="T103" s="107">
        <f>(Yield_Originals!$I103*Yield_Originals!T$1)/Yield_Originals!$K103</f>
        <v>7.7483167339140624E-2</v>
      </c>
      <c r="U103" s="107">
        <f>(Yield_Originals!$I103*Yield_Originals!U$1)/Yield_Originals!$K103</f>
        <v>7.9420246522619128E-2</v>
      </c>
      <c r="V103" s="107">
        <f>(Yield_Originals!$I103*Yield_Originals!V$1)/Yield_Originals!$K103</f>
        <v>8.1357325706097647E-2</v>
      </c>
      <c r="W103" s="107">
        <f>(Yield_Originals!$I103*Yield_Originals!W$1)/Yield_Originals!$K103</f>
        <v>8.3294404889576137E-2</v>
      </c>
      <c r="X103" s="108">
        <f>(Yield_Originals!$J103*Yield_Originals!X$1)/Yield_Originals!$K103</f>
        <v>7.9747001624601133E-2</v>
      </c>
      <c r="Y103" s="108">
        <f>(Yield_Originals!$J103*Yield_Originals!Y$1)/Yield_Originals!$K103</f>
        <v>8.1559433479705692E-2</v>
      </c>
      <c r="Z103" s="108">
        <f>(Yield_Originals!$J103*Yield_Originals!Z$1)/Yield_Originals!$K103</f>
        <v>8.3371865334810266E-2</v>
      </c>
      <c r="AA103" s="108">
        <f>(Yield_Originals!$J103*Yield_Originals!AA$1)/Yield_Originals!$K103</f>
        <v>8.5184297189914826E-2</v>
      </c>
      <c r="AB103" s="108">
        <f>(Yield_Originals!$J103*Yield_Originals!AB$1)/Yield_Originals!$K103</f>
        <v>8.69967290450194E-2</v>
      </c>
    </row>
    <row r="104" spans="1:28" x14ac:dyDescent="0.25">
      <c r="A104" s="72" t="s">
        <v>970</v>
      </c>
      <c r="B104" s="70">
        <v>2</v>
      </c>
      <c r="C104" s="57" t="s">
        <v>881</v>
      </c>
      <c r="D104" s="57" t="s">
        <v>980</v>
      </c>
      <c r="E104" s="100">
        <v>19</v>
      </c>
      <c r="F104" s="102">
        <v>4.7920198716335002E-2</v>
      </c>
      <c r="G104" s="102">
        <v>4.7920198716335002E-2</v>
      </c>
      <c r="H104" s="102">
        <f>+(Yield_Originals!I104+Yield_Originals!G104)/2</f>
        <v>4.9787821804547702E-2</v>
      </c>
      <c r="I104" s="102">
        <v>5.1655444892760402E-2</v>
      </c>
      <c r="J104" s="102">
        <v>4.8331516136121903E-2</v>
      </c>
      <c r="K104" s="103">
        <v>1</v>
      </c>
      <c r="L104" s="104"/>
      <c r="M104" s="104"/>
      <c r="N104" s="104"/>
      <c r="O104" s="104"/>
      <c r="P104" s="105"/>
      <c r="Q104" s="105">
        <f>(Yield_Originals!$H104*Yield_Originals!Q$1)/Yield_Originals!$K104</f>
        <v>6.908060275380995E-2</v>
      </c>
      <c r="R104" s="105">
        <f>(Yield_Originals!$H104*Yield_Originals!R$1)/Yield_Originals!$K104</f>
        <v>7.0947646071480491E-2</v>
      </c>
      <c r="S104" s="105">
        <f>(Yield_Originals!$H104*Yield_Originals!S$1)/Yield_Originals!$K104</f>
        <v>7.2814689389151033E-2</v>
      </c>
      <c r="T104" s="107">
        <f>(Yield_Originals!$I104*Yield_Originals!T$1)/Yield_Originals!$K104</f>
        <v>7.7483167339140624E-2</v>
      </c>
      <c r="U104" s="107">
        <f>(Yield_Originals!$I104*Yield_Originals!U$1)/Yield_Originals!$K104</f>
        <v>7.9420246522619128E-2</v>
      </c>
      <c r="V104" s="107">
        <f>(Yield_Originals!$I104*Yield_Originals!V$1)/Yield_Originals!$K104</f>
        <v>8.1357325706097647E-2</v>
      </c>
      <c r="W104" s="107">
        <f>(Yield_Originals!$I104*Yield_Originals!W$1)/Yield_Originals!$K104</f>
        <v>8.3294404889576137E-2</v>
      </c>
      <c r="X104" s="108">
        <f>(Yield_Originals!$J104*Yield_Originals!X$1)/Yield_Originals!$K104</f>
        <v>7.9747001624601133E-2</v>
      </c>
      <c r="Y104" s="108">
        <f>(Yield_Originals!$J104*Yield_Originals!Y$1)/Yield_Originals!$K104</f>
        <v>8.1559433479705692E-2</v>
      </c>
      <c r="Z104" s="108">
        <f>(Yield_Originals!$J104*Yield_Originals!Z$1)/Yield_Originals!$K104</f>
        <v>8.3371865334810266E-2</v>
      </c>
      <c r="AA104" s="108">
        <f>(Yield_Originals!$J104*Yield_Originals!AA$1)/Yield_Originals!$K104</f>
        <v>8.5184297189914826E-2</v>
      </c>
      <c r="AB104" s="108">
        <f>(Yield_Originals!$J104*Yield_Originals!AB$1)/Yield_Originals!$K104</f>
        <v>8.69967290450194E-2</v>
      </c>
    </row>
    <row r="105" spans="1:28" x14ac:dyDescent="0.25">
      <c r="A105" s="72" t="s">
        <v>970</v>
      </c>
      <c r="B105" s="70">
        <v>2</v>
      </c>
      <c r="C105" s="57" t="s">
        <v>881</v>
      </c>
      <c r="D105" s="57" t="s">
        <v>980</v>
      </c>
      <c r="E105" s="100">
        <v>20</v>
      </c>
      <c r="F105" s="102">
        <v>4.7920198716335002E-2</v>
      </c>
      <c r="G105" s="102">
        <v>4.7920198716335002E-2</v>
      </c>
      <c r="H105" s="102">
        <f>+(Yield_Originals!I105+Yield_Originals!G105)/2</f>
        <v>4.9787821804547702E-2</v>
      </c>
      <c r="I105" s="102">
        <v>5.1655444892760402E-2</v>
      </c>
      <c r="J105" s="102">
        <v>4.8331516136121903E-2</v>
      </c>
      <c r="K105" s="103">
        <v>1</v>
      </c>
      <c r="L105" s="104"/>
      <c r="M105" s="104"/>
      <c r="N105" s="104"/>
      <c r="O105" s="104"/>
      <c r="P105" s="105"/>
      <c r="Q105" s="105">
        <f>(Yield_Originals!$H105*Yield_Originals!Q$1)/Yield_Originals!$K105</f>
        <v>6.908060275380995E-2</v>
      </c>
      <c r="R105" s="105">
        <f>(Yield_Originals!$H105*Yield_Originals!R$1)/Yield_Originals!$K105</f>
        <v>7.0947646071480491E-2</v>
      </c>
      <c r="S105" s="105">
        <f>(Yield_Originals!$H105*Yield_Originals!S$1)/Yield_Originals!$K105</f>
        <v>7.2814689389151033E-2</v>
      </c>
      <c r="T105" s="107">
        <f>(Yield_Originals!$I105*Yield_Originals!T$1)/Yield_Originals!$K105</f>
        <v>7.7483167339140624E-2</v>
      </c>
      <c r="U105" s="107">
        <f>(Yield_Originals!$I105*Yield_Originals!U$1)/Yield_Originals!$K105</f>
        <v>7.9420246522619128E-2</v>
      </c>
      <c r="V105" s="107">
        <f>(Yield_Originals!$I105*Yield_Originals!V$1)/Yield_Originals!$K105</f>
        <v>8.1357325706097647E-2</v>
      </c>
      <c r="W105" s="107">
        <f>(Yield_Originals!$I105*Yield_Originals!W$1)/Yield_Originals!$K105</f>
        <v>8.3294404889576137E-2</v>
      </c>
      <c r="X105" s="108">
        <f>(Yield_Originals!$J105*Yield_Originals!X$1)/Yield_Originals!$K105</f>
        <v>7.9747001624601133E-2</v>
      </c>
      <c r="Y105" s="108">
        <f>(Yield_Originals!$J105*Yield_Originals!Y$1)/Yield_Originals!$K105</f>
        <v>8.1559433479705692E-2</v>
      </c>
      <c r="Z105" s="108">
        <f>(Yield_Originals!$J105*Yield_Originals!Z$1)/Yield_Originals!$K105</f>
        <v>8.3371865334810266E-2</v>
      </c>
      <c r="AA105" s="108">
        <f>(Yield_Originals!$J105*Yield_Originals!AA$1)/Yield_Originals!$K105</f>
        <v>8.5184297189914826E-2</v>
      </c>
      <c r="AB105" s="108">
        <f>(Yield_Originals!$J105*Yield_Originals!AB$1)/Yield_Originals!$K105</f>
        <v>8.69967290450194E-2</v>
      </c>
    </row>
    <row r="106" spans="1:28" x14ac:dyDescent="0.25">
      <c r="A106" s="72" t="s">
        <v>970</v>
      </c>
      <c r="B106" s="70">
        <v>2</v>
      </c>
      <c r="C106" s="57" t="s">
        <v>881</v>
      </c>
      <c r="D106" s="57" t="s">
        <v>980</v>
      </c>
      <c r="E106" s="100">
        <v>21</v>
      </c>
      <c r="F106" s="102">
        <v>4.7920198716335002E-2</v>
      </c>
      <c r="G106" s="102">
        <v>4.7920198716335002E-2</v>
      </c>
      <c r="H106" s="102">
        <f>+(Yield_Originals!I106+Yield_Originals!G106)/2</f>
        <v>4.9787821804547702E-2</v>
      </c>
      <c r="I106" s="102">
        <v>5.1655444892760402E-2</v>
      </c>
      <c r="J106" s="102">
        <v>4.8331516136121903E-2</v>
      </c>
      <c r="K106" s="103">
        <v>1</v>
      </c>
      <c r="L106" s="104"/>
      <c r="M106" s="104"/>
      <c r="N106" s="104"/>
      <c r="O106" s="104"/>
      <c r="P106" s="105"/>
      <c r="Q106" s="105">
        <f>(Yield_Originals!$H106*Yield_Originals!Q$1)/Yield_Originals!$K106</f>
        <v>6.908060275380995E-2</v>
      </c>
      <c r="R106" s="105">
        <f>(Yield_Originals!$H106*Yield_Originals!R$1)/Yield_Originals!$K106</f>
        <v>7.0947646071480491E-2</v>
      </c>
      <c r="S106" s="105">
        <f>(Yield_Originals!$H106*Yield_Originals!S$1)/Yield_Originals!$K106</f>
        <v>7.2814689389151033E-2</v>
      </c>
      <c r="T106" s="107">
        <f>(Yield_Originals!$I106*Yield_Originals!T$1)/Yield_Originals!$K106</f>
        <v>7.7483167339140624E-2</v>
      </c>
      <c r="U106" s="107">
        <f>(Yield_Originals!$I106*Yield_Originals!U$1)/Yield_Originals!$K106</f>
        <v>7.9420246522619128E-2</v>
      </c>
      <c r="V106" s="107">
        <f>(Yield_Originals!$I106*Yield_Originals!V$1)/Yield_Originals!$K106</f>
        <v>8.1357325706097647E-2</v>
      </c>
      <c r="W106" s="107">
        <f>(Yield_Originals!$I106*Yield_Originals!W$1)/Yield_Originals!$K106</f>
        <v>8.3294404889576137E-2</v>
      </c>
      <c r="X106" s="108">
        <f>(Yield_Originals!$J106*Yield_Originals!X$1)/Yield_Originals!$K106</f>
        <v>7.9747001624601133E-2</v>
      </c>
      <c r="Y106" s="108">
        <f>(Yield_Originals!$J106*Yield_Originals!Y$1)/Yield_Originals!$K106</f>
        <v>8.1559433479705692E-2</v>
      </c>
      <c r="Z106" s="108">
        <f>(Yield_Originals!$J106*Yield_Originals!Z$1)/Yield_Originals!$K106</f>
        <v>8.3371865334810266E-2</v>
      </c>
      <c r="AA106" s="108">
        <f>(Yield_Originals!$J106*Yield_Originals!AA$1)/Yield_Originals!$K106</f>
        <v>8.5184297189914826E-2</v>
      </c>
      <c r="AB106" s="108">
        <f>(Yield_Originals!$J106*Yield_Originals!AB$1)/Yield_Originals!$K106</f>
        <v>8.69967290450194E-2</v>
      </c>
    </row>
    <row r="107" spans="1:28" x14ac:dyDescent="0.25">
      <c r="A107" s="72" t="s">
        <v>955</v>
      </c>
      <c r="B107" s="70">
        <v>2</v>
      </c>
      <c r="C107" s="99" t="s">
        <v>123</v>
      </c>
      <c r="D107" s="99" t="s">
        <v>958</v>
      </c>
      <c r="E107" s="100">
        <v>9</v>
      </c>
      <c r="F107" s="102">
        <v>4.7066607756444598E-2</v>
      </c>
      <c r="G107" s="102">
        <v>4.7066607756444598E-2</v>
      </c>
      <c r="H107" s="102">
        <f>+(Yield_Originals!I107+Yield_Originals!G107)/2</f>
        <v>4.9911003367085247E-2</v>
      </c>
      <c r="I107" s="102">
        <v>5.2755398977725902E-2</v>
      </c>
      <c r="J107" s="102">
        <v>5.0160063342711399E-2</v>
      </c>
      <c r="K107" s="103">
        <v>1</v>
      </c>
      <c r="L107" s="104">
        <f>(Yield_Originals!$G107*Yield_Originals!L$1)/Yield_Originals!$K107</f>
        <v>5.6479929307733524E-2</v>
      </c>
      <c r="M107" s="104">
        <f>(Yield_Originals!$G107*Yield_Originals!M$1)/Yield_Originals!$K107</f>
        <v>5.8244927098600192E-2</v>
      </c>
      <c r="N107" s="104">
        <f>(Yield_Originals!$G107*Yield_Originals!N$1)/Yield_Originals!$K107</f>
        <v>6.0009924889466867E-2</v>
      </c>
      <c r="O107" s="104">
        <f>(Yield_Originals!$G107*Yield_Originals!O$1)/Yield_Originals!$K107</f>
        <v>6.1774922680333542E-2</v>
      </c>
      <c r="P107" s="105">
        <f>(Yield_Originals!$H107*Yield_Originals!P$1)/Yield_Originals!$K107</f>
        <v>6.7379854545565082E-2</v>
      </c>
      <c r="Q107" s="105">
        <f>(Yield_Originals!$H107*Yield_Originals!Q$1)/Yield_Originals!$K107</f>
        <v>6.9251517171830784E-2</v>
      </c>
      <c r="R107" s="105">
        <f>(Yield_Originals!$H107*Yield_Originals!R$1)/Yield_Originals!$K107</f>
        <v>7.1123179798096486E-2</v>
      </c>
      <c r="S107" s="105">
        <f>(Yield_Originals!$H107*Yield_Originals!S$1)/Yield_Originals!$K107</f>
        <v>7.2994842424362189E-2</v>
      </c>
      <c r="T107" s="107">
        <f>(Yield_Originals!$I107*Yield_Originals!T$1)/Yield_Originals!$K107</f>
        <v>7.9133098466588878E-2</v>
      </c>
      <c r="U107" s="107">
        <f>(Yield_Originals!$I107*Yield_Originals!U$1)/Yield_Originals!$K107</f>
        <v>8.1111425928253586E-2</v>
      </c>
      <c r="V107" s="107">
        <f>(Yield_Originals!$I107*Yield_Originals!V$1)/Yield_Originals!$K107</f>
        <v>8.3089753389918308E-2</v>
      </c>
      <c r="W107" s="107">
        <f>(Yield_Originals!$I107*Yield_Originals!W$1)/Yield_Originals!$K107</f>
        <v>8.5068080851583003E-2</v>
      </c>
      <c r="X107" s="108">
        <f>(Yield_Originals!$J107*Yield_Originals!X$1)/Yield_Originals!$K107</f>
        <v>8.2764104515473808E-2</v>
      </c>
      <c r="Y107" s="108">
        <f>(Yield_Originals!$J107*Yield_Originals!Y$1)/Yield_Originals!$K107</f>
        <v>8.4645106890825467E-2</v>
      </c>
      <c r="Z107" s="108">
        <f>(Yield_Originals!$J107*Yield_Originals!Z$1)/Yield_Originals!$K107</f>
        <v>8.652610926617714E-2</v>
      </c>
      <c r="AA107" s="108">
        <f>(Yield_Originals!$J107*Yield_Originals!AA$1)/Yield_Originals!$K107</f>
        <v>8.8407111641528799E-2</v>
      </c>
      <c r="AB107" s="108">
        <f>(Yield_Originals!$J107*Yield_Originals!AB$1)/Yield_Originals!$K107</f>
        <v>9.0288114016880486E-2</v>
      </c>
    </row>
    <row r="108" spans="1:28" x14ac:dyDescent="0.25">
      <c r="A108" s="72" t="s">
        <v>955</v>
      </c>
      <c r="B108" s="70">
        <v>2</v>
      </c>
      <c r="C108" s="99" t="s">
        <v>123</v>
      </c>
      <c r="D108" s="99" t="s">
        <v>958</v>
      </c>
      <c r="E108" s="100">
        <v>10</v>
      </c>
      <c r="F108" s="102">
        <v>4.7066607756444598E-2</v>
      </c>
      <c r="G108" s="102">
        <v>4.7066607756444598E-2</v>
      </c>
      <c r="H108" s="102">
        <f>+(Yield_Originals!I108+Yield_Originals!G108)/2</f>
        <v>4.9911003367085247E-2</v>
      </c>
      <c r="I108" s="102">
        <v>5.2755398977725902E-2</v>
      </c>
      <c r="J108" s="102">
        <v>5.0160063342711399E-2</v>
      </c>
      <c r="K108" s="103">
        <v>1</v>
      </c>
      <c r="L108" s="104">
        <f>(Yield_Originals!$G108*Yield_Originals!L$1)/Yield_Originals!$K108</f>
        <v>5.6479929307733524E-2</v>
      </c>
      <c r="M108" s="104">
        <f>(Yield_Originals!$G108*Yield_Originals!M$1)/Yield_Originals!$K108</f>
        <v>5.8244927098600192E-2</v>
      </c>
      <c r="N108" s="104">
        <f>(Yield_Originals!$G108*Yield_Originals!N$1)/Yield_Originals!$K108</f>
        <v>6.0009924889466867E-2</v>
      </c>
      <c r="O108" s="104">
        <f>(Yield_Originals!$G108*Yield_Originals!O$1)/Yield_Originals!$K108</f>
        <v>6.1774922680333542E-2</v>
      </c>
      <c r="P108" s="105">
        <f>(Yield_Originals!$H108*Yield_Originals!P$1)/Yield_Originals!$K108</f>
        <v>6.7379854545565082E-2</v>
      </c>
      <c r="Q108" s="105">
        <f>(Yield_Originals!$H108*Yield_Originals!Q$1)/Yield_Originals!$K108</f>
        <v>6.9251517171830784E-2</v>
      </c>
      <c r="R108" s="105">
        <f>(Yield_Originals!$H108*Yield_Originals!R$1)/Yield_Originals!$K108</f>
        <v>7.1123179798096486E-2</v>
      </c>
      <c r="S108" s="105">
        <f>(Yield_Originals!$H108*Yield_Originals!S$1)/Yield_Originals!$K108</f>
        <v>7.2994842424362189E-2</v>
      </c>
      <c r="T108" s="107">
        <f>(Yield_Originals!$I108*Yield_Originals!T$1)/Yield_Originals!$K108</f>
        <v>7.9133098466588878E-2</v>
      </c>
      <c r="U108" s="107">
        <f>(Yield_Originals!$I108*Yield_Originals!U$1)/Yield_Originals!$K108</f>
        <v>8.1111425928253586E-2</v>
      </c>
      <c r="V108" s="107">
        <f>(Yield_Originals!$I108*Yield_Originals!V$1)/Yield_Originals!$K108</f>
        <v>8.3089753389918308E-2</v>
      </c>
      <c r="W108" s="107">
        <f>(Yield_Originals!$I108*Yield_Originals!W$1)/Yield_Originals!$K108</f>
        <v>8.5068080851583003E-2</v>
      </c>
      <c r="X108" s="108">
        <f>(Yield_Originals!$J108*Yield_Originals!X$1)/Yield_Originals!$K108</f>
        <v>8.2764104515473808E-2</v>
      </c>
      <c r="Y108" s="108">
        <f>(Yield_Originals!$J108*Yield_Originals!Y$1)/Yield_Originals!$K108</f>
        <v>8.4645106890825467E-2</v>
      </c>
      <c r="Z108" s="108">
        <f>(Yield_Originals!$J108*Yield_Originals!Z$1)/Yield_Originals!$K108</f>
        <v>8.652610926617714E-2</v>
      </c>
      <c r="AA108" s="108">
        <f>(Yield_Originals!$J108*Yield_Originals!AA$1)/Yield_Originals!$K108</f>
        <v>8.8407111641528799E-2</v>
      </c>
      <c r="AB108" s="108">
        <f>(Yield_Originals!$J108*Yield_Originals!AB$1)/Yield_Originals!$K108</f>
        <v>9.0288114016880486E-2</v>
      </c>
    </row>
    <row r="109" spans="1:28" x14ac:dyDescent="0.25">
      <c r="A109" s="72" t="s">
        <v>955</v>
      </c>
      <c r="B109" s="70">
        <v>2</v>
      </c>
      <c r="C109" s="99" t="s">
        <v>123</v>
      </c>
      <c r="D109" s="99" t="s">
        <v>958</v>
      </c>
      <c r="E109" s="100">
        <v>11</v>
      </c>
      <c r="F109" s="102">
        <v>4.7066607756444598E-2</v>
      </c>
      <c r="G109" s="102">
        <v>4.7066607756444598E-2</v>
      </c>
      <c r="H109" s="102">
        <f>+(Yield_Originals!I109+Yield_Originals!G109)/2</f>
        <v>4.9911003367085247E-2</v>
      </c>
      <c r="I109" s="102">
        <v>5.2755398977725902E-2</v>
      </c>
      <c r="J109" s="102">
        <v>5.0160063342711399E-2</v>
      </c>
      <c r="K109" s="103">
        <v>1</v>
      </c>
      <c r="L109" s="104">
        <f>(Yield_Originals!$G109*Yield_Originals!L$1)/Yield_Originals!$K109</f>
        <v>5.6479929307733524E-2</v>
      </c>
      <c r="M109" s="104">
        <f>(Yield_Originals!$G109*Yield_Originals!M$1)/Yield_Originals!$K109</f>
        <v>5.8244927098600192E-2</v>
      </c>
      <c r="N109" s="104">
        <f>(Yield_Originals!$G109*Yield_Originals!N$1)/Yield_Originals!$K109</f>
        <v>6.0009924889466867E-2</v>
      </c>
      <c r="O109" s="104">
        <f>(Yield_Originals!$G109*Yield_Originals!O$1)/Yield_Originals!$K109</f>
        <v>6.1774922680333542E-2</v>
      </c>
      <c r="P109" s="105">
        <f>(Yield_Originals!$H109*Yield_Originals!P$1)/Yield_Originals!$K109</f>
        <v>6.7379854545565082E-2</v>
      </c>
      <c r="Q109" s="105">
        <f>(Yield_Originals!$H109*Yield_Originals!Q$1)/Yield_Originals!$K109</f>
        <v>6.9251517171830784E-2</v>
      </c>
      <c r="R109" s="105">
        <f>(Yield_Originals!$H109*Yield_Originals!R$1)/Yield_Originals!$K109</f>
        <v>7.1123179798096486E-2</v>
      </c>
      <c r="S109" s="105">
        <f>(Yield_Originals!$H109*Yield_Originals!S$1)/Yield_Originals!$K109</f>
        <v>7.2994842424362189E-2</v>
      </c>
      <c r="T109" s="107">
        <f>(Yield_Originals!$I109*Yield_Originals!T$1)/Yield_Originals!$K109</f>
        <v>7.9133098466588878E-2</v>
      </c>
      <c r="U109" s="107">
        <f>(Yield_Originals!$I109*Yield_Originals!U$1)/Yield_Originals!$K109</f>
        <v>8.1111425928253586E-2</v>
      </c>
      <c r="V109" s="107">
        <f>(Yield_Originals!$I109*Yield_Originals!V$1)/Yield_Originals!$K109</f>
        <v>8.3089753389918308E-2</v>
      </c>
      <c r="W109" s="107">
        <f>(Yield_Originals!$I109*Yield_Originals!W$1)/Yield_Originals!$K109</f>
        <v>8.5068080851583003E-2</v>
      </c>
      <c r="X109" s="108">
        <f>(Yield_Originals!$J109*Yield_Originals!X$1)/Yield_Originals!$K109</f>
        <v>8.2764104515473808E-2</v>
      </c>
      <c r="Y109" s="108">
        <f>(Yield_Originals!$J109*Yield_Originals!Y$1)/Yield_Originals!$K109</f>
        <v>8.4645106890825467E-2</v>
      </c>
      <c r="Z109" s="108">
        <f>(Yield_Originals!$J109*Yield_Originals!Z$1)/Yield_Originals!$K109</f>
        <v>8.652610926617714E-2</v>
      </c>
      <c r="AA109" s="108">
        <f>(Yield_Originals!$J109*Yield_Originals!AA$1)/Yield_Originals!$K109</f>
        <v>8.8407111641528799E-2</v>
      </c>
      <c r="AB109" s="108">
        <f>(Yield_Originals!$J109*Yield_Originals!AB$1)/Yield_Originals!$K109</f>
        <v>9.0288114016880486E-2</v>
      </c>
    </row>
    <row r="110" spans="1:28" x14ac:dyDescent="0.25">
      <c r="A110" s="72" t="s">
        <v>955</v>
      </c>
      <c r="B110" s="70">
        <v>2</v>
      </c>
      <c r="C110" s="99" t="s">
        <v>123</v>
      </c>
      <c r="D110" s="99" t="s">
        <v>958</v>
      </c>
      <c r="E110" s="100">
        <v>12</v>
      </c>
      <c r="F110" s="102">
        <v>4.7066607756444598E-2</v>
      </c>
      <c r="G110" s="102">
        <v>4.7066607756444598E-2</v>
      </c>
      <c r="H110" s="102">
        <f>+(Yield_Originals!I110+Yield_Originals!G110)/2</f>
        <v>4.9911003367085247E-2</v>
      </c>
      <c r="I110" s="102">
        <v>5.2755398977725902E-2</v>
      </c>
      <c r="J110" s="102">
        <v>5.0160063342711399E-2</v>
      </c>
      <c r="K110" s="103">
        <v>1</v>
      </c>
      <c r="L110" s="104">
        <f>(Yield_Originals!$G110*Yield_Originals!L$1)/Yield_Originals!$K110</f>
        <v>5.6479929307733524E-2</v>
      </c>
      <c r="M110" s="104">
        <f>(Yield_Originals!$G110*Yield_Originals!M$1)/Yield_Originals!$K110</f>
        <v>5.8244927098600192E-2</v>
      </c>
      <c r="N110" s="104">
        <f>(Yield_Originals!$G110*Yield_Originals!N$1)/Yield_Originals!$K110</f>
        <v>6.0009924889466867E-2</v>
      </c>
      <c r="O110" s="104">
        <f>(Yield_Originals!$G110*Yield_Originals!O$1)/Yield_Originals!$K110</f>
        <v>6.1774922680333542E-2</v>
      </c>
      <c r="P110" s="105">
        <f>(Yield_Originals!$H110*Yield_Originals!P$1)/Yield_Originals!$K110</f>
        <v>6.7379854545565082E-2</v>
      </c>
      <c r="Q110" s="105">
        <f>(Yield_Originals!$H110*Yield_Originals!Q$1)/Yield_Originals!$K110</f>
        <v>6.9251517171830784E-2</v>
      </c>
      <c r="R110" s="105">
        <f>(Yield_Originals!$H110*Yield_Originals!R$1)/Yield_Originals!$K110</f>
        <v>7.1123179798096486E-2</v>
      </c>
      <c r="S110" s="105">
        <f>(Yield_Originals!$H110*Yield_Originals!S$1)/Yield_Originals!$K110</f>
        <v>7.2994842424362189E-2</v>
      </c>
      <c r="T110" s="107">
        <f>(Yield_Originals!$I110*Yield_Originals!T$1)/Yield_Originals!$K110</f>
        <v>7.9133098466588878E-2</v>
      </c>
      <c r="U110" s="107">
        <f>(Yield_Originals!$I110*Yield_Originals!U$1)/Yield_Originals!$K110</f>
        <v>8.1111425928253586E-2</v>
      </c>
      <c r="V110" s="107">
        <f>(Yield_Originals!$I110*Yield_Originals!V$1)/Yield_Originals!$K110</f>
        <v>8.3089753389918308E-2</v>
      </c>
      <c r="W110" s="107">
        <f>(Yield_Originals!$I110*Yield_Originals!W$1)/Yield_Originals!$K110</f>
        <v>8.5068080851583003E-2</v>
      </c>
      <c r="X110" s="108">
        <f>(Yield_Originals!$J110*Yield_Originals!X$1)/Yield_Originals!$K110</f>
        <v>8.2764104515473808E-2</v>
      </c>
      <c r="Y110" s="108">
        <f>(Yield_Originals!$J110*Yield_Originals!Y$1)/Yield_Originals!$K110</f>
        <v>8.4645106890825467E-2</v>
      </c>
      <c r="Z110" s="108">
        <f>(Yield_Originals!$J110*Yield_Originals!Z$1)/Yield_Originals!$K110</f>
        <v>8.652610926617714E-2</v>
      </c>
      <c r="AA110" s="108">
        <f>(Yield_Originals!$J110*Yield_Originals!AA$1)/Yield_Originals!$K110</f>
        <v>8.8407111641528799E-2</v>
      </c>
      <c r="AB110" s="108">
        <f>(Yield_Originals!$J110*Yield_Originals!AB$1)/Yield_Originals!$K110</f>
        <v>9.0288114016880486E-2</v>
      </c>
    </row>
    <row r="111" spans="1:28" x14ac:dyDescent="0.25">
      <c r="A111" s="72" t="s">
        <v>955</v>
      </c>
      <c r="B111" s="70">
        <v>2</v>
      </c>
      <c r="C111" s="99" t="s">
        <v>123</v>
      </c>
      <c r="D111" s="99" t="s">
        <v>958</v>
      </c>
      <c r="E111" s="100">
        <v>13</v>
      </c>
      <c r="F111" s="102">
        <v>4.7066607756444598E-2</v>
      </c>
      <c r="G111" s="102">
        <v>4.7066607756444598E-2</v>
      </c>
      <c r="H111" s="102">
        <f>+(Yield_Originals!I111+Yield_Originals!G111)/2</f>
        <v>4.9911003367085247E-2</v>
      </c>
      <c r="I111" s="102">
        <v>5.2755398977725902E-2</v>
      </c>
      <c r="J111" s="102">
        <v>5.0160063342711399E-2</v>
      </c>
      <c r="K111" s="103">
        <v>1</v>
      </c>
      <c r="L111" s="104">
        <f>(Yield_Originals!$G111*Yield_Originals!L$1)/Yield_Originals!$K111</f>
        <v>5.6479929307733524E-2</v>
      </c>
      <c r="M111" s="104">
        <f>(Yield_Originals!$G111*Yield_Originals!M$1)/Yield_Originals!$K111</f>
        <v>5.8244927098600192E-2</v>
      </c>
      <c r="N111" s="104">
        <f>(Yield_Originals!$G111*Yield_Originals!N$1)/Yield_Originals!$K111</f>
        <v>6.0009924889466867E-2</v>
      </c>
      <c r="O111" s="104">
        <f>(Yield_Originals!$G111*Yield_Originals!O$1)/Yield_Originals!$K111</f>
        <v>6.1774922680333542E-2</v>
      </c>
      <c r="P111" s="105">
        <f>(Yield_Originals!$H111*Yield_Originals!P$1)/Yield_Originals!$K111</f>
        <v>6.7379854545565082E-2</v>
      </c>
      <c r="Q111" s="105">
        <f>(Yield_Originals!$H111*Yield_Originals!Q$1)/Yield_Originals!$K111</f>
        <v>6.9251517171830784E-2</v>
      </c>
      <c r="R111" s="105">
        <f>(Yield_Originals!$H111*Yield_Originals!R$1)/Yield_Originals!$K111</f>
        <v>7.1123179798096486E-2</v>
      </c>
      <c r="S111" s="105">
        <f>(Yield_Originals!$H111*Yield_Originals!S$1)/Yield_Originals!$K111</f>
        <v>7.2994842424362189E-2</v>
      </c>
      <c r="T111" s="107">
        <f>(Yield_Originals!$I111*Yield_Originals!T$1)/Yield_Originals!$K111</f>
        <v>7.9133098466588878E-2</v>
      </c>
      <c r="U111" s="107">
        <f>(Yield_Originals!$I111*Yield_Originals!U$1)/Yield_Originals!$K111</f>
        <v>8.1111425928253586E-2</v>
      </c>
      <c r="V111" s="107">
        <f>(Yield_Originals!$I111*Yield_Originals!V$1)/Yield_Originals!$K111</f>
        <v>8.3089753389918308E-2</v>
      </c>
      <c r="W111" s="107">
        <f>(Yield_Originals!$I111*Yield_Originals!W$1)/Yield_Originals!$K111</f>
        <v>8.5068080851583003E-2</v>
      </c>
      <c r="X111" s="108">
        <f>(Yield_Originals!$J111*Yield_Originals!X$1)/Yield_Originals!$K111</f>
        <v>8.2764104515473808E-2</v>
      </c>
      <c r="Y111" s="108">
        <f>(Yield_Originals!$J111*Yield_Originals!Y$1)/Yield_Originals!$K111</f>
        <v>8.4645106890825467E-2</v>
      </c>
      <c r="Z111" s="108">
        <f>(Yield_Originals!$J111*Yield_Originals!Z$1)/Yield_Originals!$K111</f>
        <v>8.652610926617714E-2</v>
      </c>
      <c r="AA111" s="108">
        <f>(Yield_Originals!$J111*Yield_Originals!AA$1)/Yield_Originals!$K111</f>
        <v>8.8407111641528799E-2</v>
      </c>
      <c r="AB111" s="108">
        <f>(Yield_Originals!$J111*Yield_Originals!AB$1)/Yield_Originals!$K111</f>
        <v>9.0288114016880486E-2</v>
      </c>
    </row>
    <row r="112" spans="1:28" x14ac:dyDescent="0.25">
      <c r="A112" s="72" t="s">
        <v>955</v>
      </c>
      <c r="B112" s="70">
        <v>2</v>
      </c>
      <c r="C112" s="99" t="s">
        <v>123</v>
      </c>
      <c r="D112" s="99" t="s">
        <v>958</v>
      </c>
      <c r="E112" s="100">
        <v>14</v>
      </c>
      <c r="F112" s="102">
        <v>4.7066607756444598E-2</v>
      </c>
      <c r="G112" s="102">
        <v>4.7066607756444598E-2</v>
      </c>
      <c r="H112" s="102">
        <f>+(Yield_Originals!I112+Yield_Originals!G112)/2</f>
        <v>4.9911003367085247E-2</v>
      </c>
      <c r="I112" s="102">
        <v>5.2755398977725902E-2</v>
      </c>
      <c r="J112" s="102">
        <v>5.0160063342711399E-2</v>
      </c>
      <c r="K112" s="103">
        <v>1</v>
      </c>
      <c r="L112" s="104">
        <f>(Yield_Originals!$G112*Yield_Originals!L$1)/Yield_Originals!$K112</f>
        <v>5.6479929307733524E-2</v>
      </c>
      <c r="M112" s="104">
        <f>(Yield_Originals!$G112*Yield_Originals!M$1)/Yield_Originals!$K112</f>
        <v>5.8244927098600192E-2</v>
      </c>
      <c r="N112" s="104">
        <f>(Yield_Originals!$G112*Yield_Originals!N$1)/Yield_Originals!$K112</f>
        <v>6.0009924889466867E-2</v>
      </c>
      <c r="O112" s="104">
        <f>(Yield_Originals!$G112*Yield_Originals!O$1)/Yield_Originals!$K112</f>
        <v>6.1774922680333542E-2</v>
      </c>
      <c r="P112" s="105">
        <f>(Yield_Originals!$H112*Yield_Originals!P$1)/Yield_Originals!$K112</f>
        <v>6.7379854545565082E-2</v>
      </c>
      <c r="Q112" s="105">
        <f>(Yield_Originals!$H112*Yield_Originals!Q$1)/Yield_Originals!$K112</f>
        <v>6.9251517171830784E-2</v>
      </c>
      <c r="R112" s="105">
        <f>(Yield_Originals!$H112*Yield_Originals!R$1)/Yield_Originals!$K112</f>
        <v>7.1123179798096486E-2</v>
      </c>
      <c r="S112" s="105">
        <f>(Yield_Originals!$H112*Yield_Originals!S$1)/Yield_Originals!$K112</f>
        <v>7.2994842424362189E-2</v>
      </c>
      <c r="T112" s="107">
        <f>(Yield_Originals!$I112*Yield_Originals!T$1)/Yield_Originals!$K112</f>
        <v>7.9133098466588878E-2</v>
      </c>
      <c r="U112" s="107">
        <f>(Yield_Originals!$I112*Yield_Originals!U$1)/Yield_Originals!$K112</f>
        <v>8.1111425928253586E-2</v>
      </c>
      <c r="V112" s="107">
        <f>(Yield_Originals!$I112*Yield_Originals!V$1)/Yield_Originals!$K112</f>
        <v>8.3089753389918308E-2</v>
      </c>
      <c r="W112" s="107">
        <f>(Yield_Originals!$I112*Yield_Originals!W$1)/Yield_Originals!$K112</f>
        <v>8.5068080851583003E-2</v>
      </c>
      <c r="X112" s="108">
        <f>(Yield_Originals!$J112*Yield_Originals!X$1)/Yield_Originals!$K112</f>
        <v>8.2764104515473808E-2</v>
      </c>
      <c r="Y112" s="108">
        <f>(Yield_Originals!$J112*Yield_Originals!Y$1)/Yield_Originals!$K112</f>
        <v>8.4645106890825467E-2</v>
      </c>
      <c r="Z112" s="108">
        <f>(Yield_Originals!$J112*Yield_Originals!Z$1)/Yield_Originals!$K112</f>
        <v>8.652610926617714E-2</v>
      </c>
      <c r="AA112" s="108">
        <f>(Yield_Originals!$J112*Yield_Originals!AA$1)/Yield_Originals!$K112</f>
        <v>8.8407111641528799E-2</v>
      </c>
      <c r="AB112" s="108">
        <f>(Yield_Originals!$J112*Yield_Originals!AB$1)/Yield_Originals!$K112</f>
        <v>9.0288114016880486E-2</v>
      </c>
    </row>
    <row r="113" spans="1:28" x14ac:dyDescent="0.25">
      <c r="A113" s="72" t="s">
        <v>955</v>
      </c>
      <c r="B113" s="70">
        <v>2</v>
      </c>
      <c r="C113" s="99" t="s">
        <v>123</v>
      </c>
      <c r="D113" s="99" t="s">
        <v>958</v>
      </c>
      <c r="E113" s="100">
        <v>15</v>
      </c>
      <c r="F113" s="102">
        <v>4.7066607756444598E-2</v>
      </c>
      <c r="G113" s="102">
        <v>4.7066607756444598E-2</v>
      </c>
      <c r="H113" s="102">
        <f>+(Yield_Originals!I113+Yield_Originals!G113)/2</f>
        <v>4.9911003367085247E-2</v>
      </c>
      <c r="I113" s="102">
        <v>5.2755398977725902E-2</v>
      </c>
      <c r="J113" s="102">
        <v>5.0160063342711399E-2</v>
      </c>
      <c r="K113" s="103">
        <v>1</v>
      </c>
      <c r="L113" s="104">
        <f>(Yield_Originals!$G113*Yield_Originals!L$1)/Yield_Originals!$K113</f>
        <v>5.6479929307733524E-2</v>
      </c>
      <c r="M113" s="104">
        <f>(Yield_Originals!$G113*Yield_Originals!M$1)/Yield_Originals!$K113</f>
        <v>5.8244927098600192E-2</v>
      </c>
      <c r="N113" s="104">
        <f>(Yield_Originals!$G113*Yield_Originals!N$1)/Yield_Originals!$K113</f>
        <v>6.0009924889466867E-2</v>
      </c>
      <c r="O113" s="104">
        <f>(Yield_Originals!$G113*Yield_Originals!O$1)/Yield_Originals!$K113</f>
        <v>6.1774922680333542E-2</v>
      </c>
      <c r="P113" s="105">
        <f>(Yield_Originals!$H113*Yield_Originals!P$1)/Yield_Originals!$K113</f>
        <v>6.7379854545565082E-2</v>
      </c>
      <c r="Q113" s="105">
        <f>(Yield_Originals!$H113*Yield_Originals!Q$1)/Yield_Originals!$K113</f>
        <v>6.9251517171830784E-2</v>
      </c>
      <c r="R113" s="105">
        <f>(Yield_Originals!$H113*Yield_Originals!R$1)/Yield_Originals!$K113</f>
        <v>7.1123179798096486E-2</v>
      </c>
      <c r="S113" s="105">
        <f>(Yield_Originals!$H113*Yield_Originals!S$1)/Yield_Originals!$K113</f>
        <v>7.2994842424362189E-2</v>
      </c>
      <c r="T113" s="107">
        <f>(Yield_Originals!$I113*Yield_Originals!T$1)/Yield_Originals!$K113</f>
        <v>7.9133098466588878E-2</v>
      </c>
      <c r="U113" s="107">
        <f>(Yield_Originals!$I113*Yield_Originals!U$1)/Yield_Originals!$K113</f>
        <v>8.1111425928253586E-2</v>
      </c>
      <c r="V113" s="107">
        <f>(Yield_Originals!$I113*Yield_Originals!V$1)/Yield_Originals!$K113</f>
        <v>8.3089753389918308E-2</v>
      </c>
      <c r="W113" s="107">
        <f>(Yield_Originals!$I113*Yield_Originals!W$1)/Yield_Originals!$K113</f>
        <v>8.5068080851583003E-2</v>
      </c>
      <c r="X113" s="108">
        <f>(Yield_Originals!$J113*Yield_Originals!X$1)/Yield_Originals!$K113</f>
        <v>8.2764104515473808E-2</v>
      </c>
      <c r="Y113" s="108">
        <f>(Yield_Originals!$J113*Yield_Originals!Y$1)/Yield_Originals!$K113</f>
        <v>8.4645106890825467E-2</v>
      </c>
      <c r="Z113" s="108">
        <f>(Yield_Originals!$J113*Yield_Originals!Z$1)/Yield_Originals!$K113</f>
        <v>8.652610926617714E-2</v>
      </c>
      <c r="AA113" s="108">
        <f>(Yield_Originals!$J113*Yield_Originals!AA$1)/Yield_Originals!$K113</f>
        <v>8.8407111641528799E-2</v>
      </c>
      <c r="AB113" s="108">
        <f>(Yield_Originals!$J113*Yield_Originals!AB$1)/Yield_Originals!$K113</f>
        <v>9.0288114016880486E-2</v>
      </c>
    </row>
    <row r="114" spans="1:28" x14ac:dyDescent="0.25">
      <c r="A114" s="72" t="s">
        <v>955</v>
      </c>
      <c r="B114" s="70">
        <v>2</v>
      </c>
      <c r="C114" s="99" t="s">
        <v>227</v>
      </c>
      <c r="D114" s="99" t="s">
        <v>961</v>
      </c>
      <c r="E114" s="100">
        <v>9</v>
      </c>
      <c r="F114" s="102">
        <v>4.7066607756444598E-2</v>
      </c>
      <c r="G114" s="102">
        <v>4.7066607756444598E-2</v>
      </c>
      <c r="H114" s="102">
        <f>+(Yield_Originals!I114+Yield_Originals!G114)/2</f>
        <v>4.9911003367085247E-2</v>
      </c>
      <c r="I114" s="102">
        <v>5.2755398977725902E-2</v>
      </c>
      <c r="J114" s="102">
        <v>5.0160063342711399E-2</v>
      </c>
      <c r="K114" s="103">
        <v>1</v>
      </c>
      <c r="L114" s="104">
        <f>(Yield_Originals!$G114*Yield_Originals!L$1)/Yield_Originals!$K114</f>
        <v>5.6479929307733524E-2</v>
      </c>
      <c r="M114" s="104">
        <f>(Yield_Originals!$G114*Yield_Originals!M$1)/Yield_Originals!$K114</f>
        <v>5.8244927098600192E-2</v>
      </c>
      <c r="N114" s="104">
        <f>(Yield_Originals!$G114*Yield_Originals!N$1)/Yield_Originals!$K114</f>
        <v>6.0009924889466867E-2</v>
      </c>
      <c r="O114" s="104">
        <f>(Yield_Originals!$G114*Yield_Originals!O$1)/Yield_Originals!$K114</f>
        <v>6.1774922680333542E-2</v>
      </c>
      <c r="P114" s="105">
        <f>(Yield_Originals!$H114*Yield_Originals!P$1)/Yield_Originals!$K114</f>
        <v>6.7379854545565082E-2</v>
      </c>
      <c r="Q114" s="105">
        <f>(Yield_Originals!$H114*Yield_Originals!Q$1)/Yield_Originals!$K114</f>
        <v>6.9251517171830784E-2</v>
      </c>
      <c r="R114" s="105">
        <f>(Yield_Originals!$H114*Yield_Originals!R$1)/Yield_Originals!$K114</f>
        <v>7.1123179798096486E-2</v>
      </c>
      <c r="S114" s="105">
        <f>(Yield_Originals!$H114*Yield_Originals!S$1)/Yield_Originals!$K114</f>
        <v>7.2994842424362189E-2</v>
      </c>
      <c r="T114" s="107">
        <f>(Yield_Originals!$I114*Yield_Originals!T$1)/Yield_Originals!$K114</f>
        <v>7.9133098466588878E-2</v>
      </c>
      <c r="U114" s="107">
        <f>(Yield_Originals!$I114*Yield_Originals!U$1)/Yield_Originals!$K114</f>
        <v>8.1111425928253586E-2</v>
      </c>
      <c r="V114" s="107">
        <f>(Yield_Originals!$I114*Yield_Originals!V$1)/Yield_Originals!$K114</f>
        <v>8.3089753389918308E-2</v>
      </c>
      <c r="W114" s="107">
        <f>(Yield_Originals!$I114*Yield_Originals!W$1)/Yield_Originals!$K114</f>
        <v>8.5068080851583003E-2</v>
      </c>
      <c r="X114" s="108">
        <f>(Yield_Originals!$J114*Yield_Originals!X$1)/Yield_Originals!$K114</f>
        <v>8.2764104515473808E-2</v>
      </c>
      <c r="Y114" s="108">
        <f>(Yield_Originals!$J114*Yield_Originals!Y$1)/Yield_Originals!$K114</f>
        <v>8.4645106890825467E-2</v>
      </c>
      <c r="Z114" s="108">
        <f>(Yield_Originals!$J114*Yield_Originals!Z$1)/Yield_Originals!$K114</f>
        <v>8.652610926617714E-2</v>
      </c>
      <c r="AA114" s="108">
        <f>(Yield_Originals!$J114*Yield_Originals!AA$1)/Yield_Originals!$K114</f>
        <v>8.8407111641528799E-2</v>
      </c>
      <c r="AB114" s="108">
        <f>(Yield_Originals!$J114*Yield_Originals!AB$1)/Yield_Originals!$K114</f>
        <v>9.0288114016880486E-2</v>
      </c>
    </row>
    <row r="115" spans="1:28" x14ac:dyDescent="0.25">
      <c r="A115" s="72" t="s">
        <v>955</v>
      </c>
      <c r="B115" s="70">
        <v>2</v>
      </c>
      <c r="C115" s="99" t="s">
        <v>227</v>
      </c>
      <c r="D115" s="99" t="s">
        <v>961</v>
      </c>
      <c r="E115" s="100">
        <v>10</v>
      </c>
      <c r="F115" s="102">
        <v>4.7066607756444598E-2</v>
      </c>
      <c r="G115" s="102">
        <v>4.7066607756444598E-2</v>
      </c>
      <c r="H115" s="102">
        <f>+(Yield_Originals!I115+Yield_Originals!G115)/2</f>
        <v>4.9911003367085247E-2</v>
      </c>
      <c r="I115" s="102">
        <v>5.2755398977725902E-2</v>
      </c>
      <c r="J115" s="102">
        <v>5.0160063342711399E-2</v>
      </c>
      <c r="K115" s="103">
        <v>1</v>
      </c>
      <c r="L115" s="104">
        <f>(Yield_Originals!$G115*Yield_Originals!L$1)/Yield_Originals!$K115</f>
        <v>5.6479929307733524E-2</v>
      </c>
      <c r="M115" s="104">
        <f>(Yield_Originals!$G115*Yield_Originals!M$1)/Yield_Originals!$K115</f>
        <v>5.8244927098600192E-2</v>
      </c>
      <c r="N115" s="104">
        <f>(Yield_Originals!$G115*Yield_Originals!N$1)/Yield_Originals!$K115</f>
        <v>6.0009924889466867E-2</v>
      </c>
      <c r="O115" s="104">
        <f>(Yield_Originals!$G115*Yield_Originals!O$1)/Yield_Originals!$K115</f>
        <v>6.1774922680333542E-2</v>
      </c>
      <c r="P115" s="105">
        <f>(Yield_Originals!$H115*Yield_Originals!P$1)/Yield_Originals!$K115</f>
        <v>6.7379854545565082E-2</v>
      </c>
      <c r="Q115" s="105">
        <f>(Yield_Originals!$H115*Yield_Originals!Q$1)/Yield_Originals!$K115</f>
        <v>6.9251517171830784E-2</v>
      </c>
      <c r="R115" s="105">
        <f>(Yield_Originals!$H115*Yield_Originals!R$1)/Yield_Originals!$K115</f>
        <v>7.1123179798096486E-2</v>
      </c>
      <c r="S115" s="105">
        <f>(Yield_Originals!$H115*Yield_Originals!S$1)/Yield_Originals!$K115</f>
        <v>7.2994842424362189E-2</v>
      </c>
      <c r="T115" s="107">
        <f>(Yield_Originals!$I115*Yield_Originals!T$1)/Yield_Originals!$K115</f>
        <v>7.9133098466588878E-2</v>
      </c>
      <c r="U115" s="107">
        <f>(Yield_Originals!$I115*Yield_Originals!U$1)/Yield_Originals!$K115</f>
        <v>8.1111425928253586E-2</v>
      </c>
      <c r="V115" s="107">
        <f>(Yield_Originals!$I115*Yield_Originals!V$1)/Yield_Originals!$K115</f>
        <v>8.3089753389918308E-2</v>
      </c>
      <c r="W115" s="107">
        <f>(Yield_Originals!$I115*Yield_Originals!W$1)/Yield_Originals!$K115</f>
        <v>8.5068080851583003E-2</v>
      </c>
      <c r="X115" s="108">
        <f>(Yield_Originals!$J115*Yield_Originals!X$1)/Yield_Originals!$K115</f>
        <v>8.2764104515473808E-2</v>
      </c>
      <c r="Y115" s="108">
        <f>(Yield_Originals!$J115*Yield_Originals!Y$1)/Yield_Originals!$K115</f>
        <v>8.4645106890825467E-2</v>
      </c>
      <c r="Z115" s="108">
        <f>(Yield_Originals!$J115*Yield_Originals!Z$1)/Yield_Originals!$K115</f>
        <v>8.652610926617714E-2</v>
      </c>
      <c r="AA115" s="108">
        <f>(Yield_Originals!$J115*Yield_Originals!AA$1)/Yield_Originals!$K115</f>
        <v>8.8407111641528799E-2</v>
      </c>
      <c r="AB115" s="108">
        <f>(Yield_Originals!$J115*Yield_Originals!AB$1)/Yield_Originals!$K115</f>
        <v>9.0288114016880486E-2</v>
      </c>
    </row>
    <row r="116" spans="1:28" x14ac:dyDescent="0.25">
      <c r="A116" s="72" t="s">
        <v>955</v>
      </c>
      <c r="B116" s="70">
        <v>2</v>
      </c>
      <c r="C116" s="99" t="s">
        <v>227</v>
      </c>
      <c r="D116" s="99" t="s">
        <v>961</v>
      </c>
      <c r="E116" s="100">
        <v>11</v>
      </c>
      <c r="F116" s="102">
        <v>4.7066607756444598E-2</v>
      </c>
      <c r="G116" s="102">
        <v>4.7066607756444598E-2</v>
      </c>
      <c r="H116" s="102">
        <f>+(Yield_Originals!I116+Yield_Originals!G116)/2</f>
        <v>4.9911003367085247E-2</v>
      </c>
      <c r="I116" s="102">
        <v>5.2755398977725902E-2</v>
      </c>
      <c r="J116" s="102">
        <v>5.0160063342711399E-2</v>
      </c>
      <c r="K116" s="103">
        <v>1</v>
      </c>
      <c r="L116" s="104">
        <f>(Yield_Originals!$G116*Yield_Originals!L$1)/Yield_Originals!$K116</f>
        <v>5.6479929307733524E-2</v>
      </c>
      <c r="M116" s="104">
        <f>(Yield_Originals!$G116*Yield_Originals!M$1)/Yield_Originals!$K116</f>
        <v>5.8244927098600192E-2</v>
      </c>
      <c r="N116" s="104">
        <f>(Yield_Originals!$G116*Yield_Originals!N$1)/Yield_Originals!$K116</f>
        <v>6.0009924889466867E-2</v>
      </c>
      <c r="O116" s="104">
        <f>(Yield_Originals!$G116*Yield_Originals!O$1)/Yield_Originals!$K116</f>
        <v>6.1774922680333542E-2</v>
      </c>
      <c r="P116" s="105">
        <f>(Yield_Originals!$H116*Yield_Originals!P$1)/Yield_Originals!$K116</f>
        <v>6.7379854545565082E-2</v>
      </c>
      <c r="Q116" s="105">
        <f>(Yield_Originals!$H116*Yield_Originals!Q$1)/Yield_Originals!$K116</f>
        <v>6.9251517171830784E-2</v>
      </c>
      <c r="R116" s="105">
        <f>(Yield_Originals!$H116*Yield_Originals!R$1)/Yield_Originals!$K116</f>
        <v>7.1123179798096486E-2</v>
      </c>
      <c r="S116" s="105">
        <f>(Yield_Originals!$H116*Yield_Originals!S$1)/Yield_Originals!$K116</f>
        <v>7.2994842424362189E-2</v>
      </c>
      <c r="T116" s="107">
        <f>(Yield_Originals!$I116*Yield_Originals!T$1)/Yield_Originals!$K116</f>
        <v>7.9133098466588878E-2</v>
      </c>
      <c r="U116" s="107">
        <f>(Yield_Originals!$I116*Yield_Originals!U$1)/Yield_Originals!$K116</f>
        <v>8.1111425928253586E-2</v>
      </c>
      <c r="V116" s="107">
        <f>(Yield_Originals!$I116*Yield_Originals!V$1)/Yield_Originals!$K116</f>
        <v>8.3089753389918308E-2</v>
      </c>
      <c r="W116" s="107">
        <f>(Yield_Originals!$I116*Yield_Originals!W$1)/Yield_Originals!$K116</f>
        <v>8.5068080851583003E-2</v>
      </c>
      <c r="X116" s="108">
        <f>(Yield_Originals!$J116*Yield_Originals!X$1)/Yield_Originals!$K116</f>
        <v>8.2764104515473808E-2</v>
      </c>
      <c r="Y116" s="108">
        <f>(Yield_Originals!$J116*Yield_Originals!Y$1)/Yield_Originals!$K116</f>
        <v>8.4645106890825467E-2</v>
      </c>
      <c r="Z116" s="108">
        <f>(Yield_Originals!$J116*Yield_Originals!Z$1)/Yield_Originals!$K116</f>
        <v>8.652610926617714E-2</v>
      </c>
      <c r="AA116" s="108">
        <f>(Yield_Originals!$J116*Yield_Originals!AA$1)/Yield_Originals!$K116</f>
        <v>8.8407111641528799E-2</v>
      </c>
      <c r="AB116" s="108">
        <f>(Yield_Originals!$J116*Yield_Originals!AB$1)/Yield_Originals!$K116</f>
        <v>9.0288114016880486E-2</v>
      </c>
    </row>
    <row r="117" spans="1:28" x14ac:dyDescent="0.25">
      <c r="A117" s="72" t="s">
        <v>955</v>
      </c>
      <c r="B117" s="70">
        <v>2</v>
      </c>
      <c r="C117" s="99" t="s">
        <v>227</v>
      </c>
      <c r="D117" s="99" t="s">
        <v>961</v>
      </c>
      <c r="E117" s="100">
        <v>12</v>
      </c>
      <c r="F117" s="102">
        <v>4.7066607756444598E-2</v>
      </c>
      <c r="G117" s="102">
        <v>4.7066607756444598E-2</v>
      </c>
      <c r="H117" s="102">
        <f>+(Yield_Originals!I117+Yield_Originals!G117)/2</f>
        <v>4.9911003367085247E-2</v>
      </c>
      <c r="I117" s="102">
        <v>5.2755398977725902E-2</v>
      </c>
      <c r="J117" s="102">
        <v>5.0160063342711399E-2</v>
      </c>
      <c r="K117" s="103">
        <v>1</v>
      </c>
      <c r="L117" s="104">
        <f>(Yield_Originals!$G117*Yield_Originals!L$1)/Yield_Originals!$K117</f>
        <v>5.6479929307733524E-2</v>
      </c>
      <c r="M117" s="104">
        <f>(Yield_Originals!$G117*Yield_Originals!M$1)/Yield_Originals!$K117</f>
        <v>5.8244927098600192E-2</v>
      </c>
      <c r="N117" s="104">
        <f>(Yield_Originals!$G117*Yield_Originals!N$1)/Yield_Originals!$K117</f>
        <v>6.0009924889466867E-2</v>
      </c>
      <c r="O117" s="104">
        <f>(Yield_Originals!$G117*Yield_Originals!O$1)/Yield_Originals!$K117</f>
        <v>6.1774922680333542E-2</v>
      </c>
      <c r="P117" s="105">
        <f>(Yield_Originals!$H117*Yield_Originals!P$1)/Yield_Originals!$K117</f>
        <v>6.7379854545565082E-2</v>
      </c>
      <c r="Q117" s="105">
        <f>(Yield_Originals!$H117*Yield_Originals!Q$1)/Yield_Originals!$K117</f>
        <v>6.9251517171830784E-2</v>
      </c>
      <c r="R117" s="105">
        <f>(Yield_Originals!$H117*Yield_Originals!R$1)/Yield_Originals!$K117</f>
        <v>7.1123179798096486E-2</v>
      </c>
      <c r="S117" s="105">
        <f>(Yield_Originals!$H117*Yield_Originals!S$1)/Yield_Originals!$K117</f>
        <v>7.2994842424362189E-2</v>
      </c>
      <c r="T117" s="107">
        <f>(Yield_Originals!$I117*Yield_Originals!T$1)/Yield_Originals!$K117</f>
        <v>7.9133098466588878E-2</v>
      </c>
      <c r="U117" s="107">
        <f>(Yield_Originals!$I117*Yield_Originals!U$1)/Yield_Originals!$K117</f>
        <v>8.1111425928253586E-2</v>
      </c>
      <c r="V117" s="107">
        <f>(Yield_Originals!$I117*Yield_Originals!V$1)/Yield_Originals!$K117</f>
        <v>8.3089753389918308E-2</v>
      </c>
      <c r="W117" s="107">
        <f>(Yield_Originals!$I117*Yield_Originals!W$1)/Yield_Originals!$K117</f>
        <v>8.5068080851583003E-2</v>
      </c>
      <c r="X117" s="108">
        <f>(Yield_Originals!$J117*Yield_Originals!X$1)/Yield_Originals!$K117</f>
        <v>8.2764104515473808E-2</v>
      </c>
      <c r="Y117" s="108">
        <f>(Yield_Originals!$J117*Yield_Originals!Y$1)/Yield_Originals!$K117</f>
        <v>8.4645106890825467E-2</v>
      </c>
      <c r="Z117" s="108">
        <f>(Yield_Originals!$J117*Yield_Originals!Z$1)/Yield_Originals!$K117</f>
        <v>8.652610926617714E-2</v>
      </c>
      <c r="AA117" s="108">
        <f>(Yield_Originals!$J117*Yield_Originals!AA$1)/Yield_Originals!$K117</f>
        <v>8.8407111641528799E-2</v>
      </c>
      <c r="AB117" s="108">
        <f>(Yield_Originals!$J117*Yield_Originals!AB$1)/Yield_Originals!$K117</f>
        <v>9.0288114016880486E-2</v>
      </c>
    </row>
    <row r="118" spans="1:28" x14ac:dyDescent="0.25">
      <c r="A118" s="72" t="s">
        <v>955</v>
      </c>
      <c r="B118" s="70">
        <v>2</v>
      </c>
      <c r="C118" s="99" t="s">
        <v>227</v>
      </c>
      <c r="D118" s="99" t="s">
        <v>961</v>
      </c>
      <c r="E118" s="100">
        <v>13</v>
      </c>
      <c r="F118" s="102">
        <v>4.7066607756444598E-2</v>
      </c>
      <c r="G118" s="102">
        <v>4.7066607756444598E-2</v>
      </c>
      <c r="H118" s="102">
        <f>+(Yield_Originals!I118+Yield_Originals!G118)/2</f>
        <v>4.9911003367085247E-2</v>
      </c>
      <c r="I118" s="102">
        <v>5.2755398977725902E-2</v>
      </c>
      <c r="J118" s="102">
        <v>5.0160063342711399E-2</v>
      </c>
      <c r="K118" s="103">
        <v>1</v>
      </c>
      <c r="L118" s="104">
        <f>(Yield_Originals!$G118*Yield_Originals!L$1)/Yield_Originals!$K118</f>
        <v>5.6479929307733524E-2</v>
      </c>
      <c r="M118" s="104">
        <f>(Yield_Originals!$G118*Yield_Originals!M$1)/Yield_Originals!$K118</f>
        <v>5.8244927098600192E-2</v>
      </c>
      <c r="N118" s="104">
        <f>(Yield_Originals!$G118*Yield_Originals!N$1)/Yield_Originals!$K118</f>
        <v>6.0009924889466867E-2</v>
      </c>
      <c r="O118" s="104">
        <f>(Yield_Originals!$G118*Yield_Originals!O$1)/Yield_Originals!$K118</f>
        <v>6.1774922680333542E-2</v>
      </c>
      <c r="P118" s="105">
        <f>(Yield_Originals!$H118*Yield_Originals!P$1)/Yield_Originals!$K118</f>
        <v>6.7379854545565082E-2</v>
      </c>
      <c r="Q118" s="105">
        <f>(Yield_Originals!$H118*Yield_Originals!Q$1)/Yield_Originals!$K118</f>
        <v>6.9251517171830784E-2</v>
      </c>
      <c r="R118" s="105">
        <f>(Yield_Originals!$H118*Yield_Originals!R$1)/Yield_Originals!$K118</f>
        <v>7.1123179798096486E-2</v>
      </c>
      <c r="S118" s="105">
        <f>(Yield_Originals!$H118*Yield_Originals!S$1)/Yield_Originals!$K118</f>
        <v>7.2994842424362189E-2</v>
      </c>
      <c r="T118" s="107">
        <f>(Yield_Originals!$I118*Yield_Originals!T$1)/Yield_Originals!$K118</f>
        <v>7.9133098466588878E-2</v>
      </c>
      <c r="U118" s="107">
        <f>(Yield_Originals!$I118*Yield_Originals!U$1)/Yield_Originals!$K118</f>
        <v>8.1111425928253586E-2</v>
      </c>
      <c r="V118" s="107">
        <f>(Yield_Originals!$I118*Yield_Originals!V$1)/Yield_Originals!$K118</f>
        <v>8.3089753389918308E-2</v>
      </c>
      <c r="W118" s="107">
        <f>(Yield_Originals!$I118*Yield_Originals!W$1)/Yield_Originals!$K118</f>
        <v>8.5068080851583003E-2</v>
      </c>
      <c r="X118" s="108">
        <f>(Yield_Originals!$J118*Yield_Originals!X$1)/Yield_Originals!$K118</f>
        <v>8.2764104515473808E-2</v>
      </c>
      <c r="Y118" s="108">
        <f>(Yield_Originals!$J118*Yield_Originals!Y$1)/Yield_Originals!$K118</f>
        <v>8.4645106890825467E-2</v>
      </c>
      <c r="Z118" s="108">
        <f>(Yield_Originals!$J118*Yield_Originals!Z$1)/Yield_Originals!$K118</f>
        <v>8.652610926617714E-2</v>
      </c>
      <c r="AA118" s="108">
        <f>(Yield_Originals!$J118*Yield_Originals!AA$1)/Yield_Originals!$K118</f>
        <v>8.8407111641528799E-2</v>
      </c>
      <c r="AB118" s="108">
        <f>(Yield_Originals!$J118*Yield_Originals!AB$1)/Yield_Originals!$K118</f>
        <v>9.0288114016880486E-2</v>
      </c>
    </row>
    <row r="119" spans="1:28" x14ac:dyDescent="0.25">
      <c r="A119" s="72" t="s">
        <v>955</v>
      </c>
      <c r="B119" s="70">
        <v>2</v>
      </c>
      <c r="C119" s="99" t="s">
        <v>227</v>
      </c>
      <c r="D119" s="99" t="s">
        <v>961</v>
      </c>
      <c r="E119" s="100">
        <v>14</v>
      </c>
      <c r="F119" s="102">
        <v>4.7066607756444598E-2</v>
      </c>
      <c r="G119" s="102">
        <v>4.7066607756444598E-2</v>
      </c>
      <c r="H119" s="102">
        <f>+(Yield_Originals!I119+Yield_Originals!G119)/2</f>
        <v>4.9911003367085247E-2</v>
      </c>
      <c r="I119" s="102">
        <v>5.2755398977725902E-2</v>
      </c>
      <c r="J119" s="102">
        <v>5.0160063342711399E-2</v>
      </c>
      <c r="K119" s="103">
        <v>1</v>
      </c>
      <c r="L119" s="104">
        <f>(Yield_Originals!$G119*Yield_Originals!L$1)/Yield_Originals!$K119</f>
        <v>5.6479929307733524E-2</v>
      </c>
      <c r="M119" s="104">
        <f>(Yield_Originals!$G119*Yield_Originals!M$1)/Yield_Originals!$K119</f>
        <v>5.8244927098600192E-2</v>
      </c>
      <c r="N119" s="104">
        <f>(Yield_Originals!$G119*Yield_Originals!N$1)/Yield_Originals!$K119</f>
        <v>6.0009924889466867E-2</v>
      </c>
      <c r="O119" s="104">
        <f>(Yield_Originals!$G119*Yield_Originals!O$1)/Yield_Originals!$K119</f>
        <v>6.1774922680333542E-2</v>
      </c>
      <c r="P119" s="105">
        <f>(Yield_Originals!$H119*Yield_Originals!P$1)/Yield_Originals!$K119</f>
        <v>6.7379854545565082E-2</v>
      </c>
      <c r="Q119" s="105">
        <f>(Yield_Originals!$H119*Yield_Originals!Q$1)/Yield_Originals!$K119</f>
        <v>6.9251517171830784E-2</v>
      </c>
      <c r="R119" s="105">
        <f>(Yield_Originals!$H119*Yield_Originals!R$1)/Yield_Originals!$K119</f>
        <v>7.1123179798096486E-2</v>
      </c>
      <c r="S119" s="105">
        <f>(Yield_Originals!$H119*Yield_Originals!S$1)/Yield_Originals!$K119</f>
        <v>7.2994842424362189E-2</v>
      </c>
      <c r="T119" s="107">
        <f>(Yield_Originals!$I119*Yield_Originals!T$1)/Yield_Originals!$K119</f>
        <v>7.9133098466588878E-2</v>
      </c>
      <c r="U119" s="107">
        <f>(Yield_Originals!$I119*Yield_Originals!U$1)/Yield_Originals!$K119</f>
        <v>8.1111425928253586E-2</v>
      </c>
      <c r="V119" s="107">
        <f>(Yield_Originals!$I119*Yield_Originals!V$1)/Yield_Originals!$K119</f>
        <v>8.3089753389918308E-2</v>
      </c>
      <c r="W119" s="107">
        <f>(Yield_Originals!$I119*Yield_Originals!W$1)/Yield_Originals!$K119</f>
        <v>8.5068080851583003E-2</v>
      </c>
      <c r="X119" s="108">
        <f>(Yield_Originals!$J119*Yield_Originals!X$1)/Yield_Originals!$K119</f>
        <v>8.2764104515473808E-2</v>
      </c>
      <c r="Y119" s="108">
        <f>(Yield_Originals!$J119*Yield_Originals!Y$1)/Yield_Originals!$K119</f>
        <v>8.4645106890825467E-2</v>
      </c>
      <c r="Z119" s="108">
        <f>(Yield_Originals!$J119*Yield_Originals!Z$1)/Yield_Originals!$K119</f>
        <v>8.652610926617714E-2</v>
      </c>
      <c r="AA119" s="108">
        <f>(Yield_Originals!$J119*Yield_Originals!AA$1)/Yield_Originals!$K119</f>
        <v>8.8407111641528799E-2</v>
      </c>
      <c r="AB119" s="108">
        <f>(Yield_Originals!$J119*Yield_Originals!AB$1)/Yield_Originals!$K119</f>
        <v>9.0288114016880486E-2</v>
      </c>
    </row>
    <row r="120" spans="1:28" x14ac:dyDescent="0.25">
      <c r="A120" s="72" t="s">
        <v>955</v>
      </c>
      <c r="B120" s="70">
        <v>2</v>
      </c>
      <c r="C120" s="99" t="s">
        <v>227</v>
      </c>
      <c r="D120" s="99" t="s">
        <v>961</v>
      </c>
      <c r="E120" s="100">
        <v>15</v>
      </c>
      <c r="F120" s="102">
        <v>4.7066607756444598E-2</v>
      </c>
      <c r="G120" s="102">
        <v>4.7066607756444598E-2</v>
      </c>
      <c r="H120" s="102">
        <f>+(Yield_Originals!I120+Yield_Originals!G120)/2</f>
        <v>4.9911003367085247E-2</v>
      </c>
      <c r="I120" s="102">
        <v>5.2755398977725902E-2</v>
      </c>
      <c r="J120" s="102">
        <v>5.0160063342711399E-2</v>
      </c>
      <c r="K120" s="103">
        <v>1</v>
      </c>
      <c r="L120" s="104">
        <f>(Yield_Originals!$G120*Yield_Originals!L$1)/Yield_Originals!$K120</f>
        <v>5.6479929307733524E-2</v>
      </c>
      <c r="M120" s="104">
        <f>(Yield_Originals!$G120*Yield_Originals!M$1)/Yield_Originals!$K120</f>
        <v>5.8244927098600192E-2</v>
      </c>
      <c r="N120" s="104">
        <f>(Yield_Originals!$G120*Yield_Originals!N$1)/Yield_Originals!$K120</f>
        <v>6.0009924889466867E-2</v>
      </c>
      <c r="O120" s="104">
        <f>(Yield_Originals!$G120*Yield_Originals!O$1)/Yield_Originals!$K120</f>
        <v>6.1774922680333542E-2</v>
      </c>
      <c r="P120" s="105">
        <f>(Yield_Originals!$H120*Yield_Originals!P$1)/Yield_Originals!$K120</f>
        <v>6.7379854545565082E-2</v>
      </c>
      <c r="Q120" s="105">
        <f>(Yield_Originals!$H120*Yield_Originals!Q$1)/Yield_Originals!$K120</f>
        <v>6.9251517171830784E-2</v>
      </c>
      <c r="R120" s="105">
        <f>(Yield_Originals!$H120*Yield_Originals!R$1)/Yield_Originals!$K120</f>
        <v>7.1123179798096486E-2</v>
      </c>
      <c r="S120" s="105">
        <f>(Yield_Originals!$H120*Yield_Originals!S$1)/Yield_Originals!$K120</f>
        <v>7.2994842424362189E-2</v>
      </c>
      <c r="T120" s="107">
        <f>(Yield_Originals!$I120*Yield_Originals!T$1)/Yield_Originals!$K120</f>
        <v>7.9133098466588878E-2</v>
      </c>
      <c r="U120" s="107">
        <f>(Yield_Originals!$I120*Yield_Originals!U$1)/Yield_Originals!$K120</f>
        <v>8.1111425928253586E-2</v>
      </c>
      <c r="V120" s="107">
        <f>(Yield_Originals!$I120*Yield_Originals!V$1)/Yield_Originals!$K120</f>
        <v>8.3089753389918308E-2</v>
      </c>
      <c r="W120" s="107">
        <f>(Yield_Originals!$I120*Yield_Originals!W$1)/Yield_Originals!$K120</f>
        <v>8.5068080851583003E-2</v>
      </c>
      <c r="X120" s="108">
        <f>(Yield_Originals!$J120*Yield_Originals!X$1)/Yield_Originals!$K120</f>
        <v>8.2764104515473808E-2</v>
      </c>
      <c r="Y120" s="108">
        <f>(Yield_Originals!$J120*Yield_Originals!Y$1)/Yield_Originals!$K120</f>
        <v>8.4645106890825467E-2</v>
      </c>
      <c r="Z120" s="108">
        <f>(Yield_Originals!$J120*Yield_Originals!Z$1)/Yield_Originals!$K120</f>
        <v>8.652610926617714E-2</v>
      </c>
      <c r="AA120" s="108">
        <f>(Yield_Originals!$J120*Yield_Originals!AA$1)/Yield_Originals!$K120</f>
        <v>8.8407111641528799E-2</v>
      </c>
      <c r="AB120" s="108">
        <f>(Yield_Originals!$J120*Yield_Originals!AB$1)/Yield_Originals!$K120</f>
        <v>9.0288114016880486E-2</v>
      </c>
    </row>
    <row r="121" spans="1:28" x14ac:dyDescent="0.25">
      <c r="A121" s="72" t="s">
        <v>955</v>
      </c>
      <c r="B121" s="70">
        <v>2</v>
      </c>
      <c r="C121" s="99" t="s">
        <v>888</v>
      </c>
      <c r="D121" s="99" t="s">
        <v>954</v>
      </c>
      <c r="E121" s="100">
        <v>9</v>
      </c>
      <c r="F121" s="102">
        <v>4.7066607756444598E-2</v>
      </c>
      <c r="G121" s="102">
        <v>4.7066607756444598E-2</v>
      </c>
      <c r="H121" s="102">
        <f>+(Yield_Originals!I121+Yield_Originals!G121)/2</f>
        <v>4.9911003367085247E-2</v>
      </c>
      <c r="I121" s="102">
        <v>5.2755398977725902E-2</v>
      </c>
      <c r="J121" s="102">
        <v>5.0160063342711399E-2</v>
      </c>
      <c r="K121" s="103">
        <v>1</v>
      </c>
      <c r="L121" s="104">
        <f>(Yield_Originals!$G121*Yield_Originals!L$1)/Yield_Originals!$K121</f>
        <v>5.6479929307733524E-2</v>
      </c>
      <c r="M121" s="104">
        <f>(Yield_Originals!$G121*Yield_Originals!M$1)/Yield_Originals!$K121</f>
        <v>5.8244927098600192E-2</v>
      </c>
      <c r="N121" s="104">
        <f>(Yield_Originals!$G121*Yield_Originals!N$1)/Yield_Originals!$K121</f>
        <v>6.0009924889466867E-2</v>
      </c>
      <c r="O121" s="104">
        <f>(Yield_Originals!$G121*Yield_Originals!O$1)/Yield_Originals!$K121</f>
        <v>6.1774922680333542E-2</v>
      </c>
      <c r="P121" s="105">
        <f>(Yield_Originals!$H121*Yield_Originals!P$1)/Yield_Originals!$K121</f>
        <v>6.7379854545565082E-2</v>
      </c>
      <c r="Q121" s="105">
        <f>(Yield_Originals!$H121*Yield_Originals!Q$1)/Yield_Originals!$K121</f>
        <v>6.9251517171830784E-2</v>
      </c>
      <c r="R121" s="105">
        <f>(Yield_Originals!$H121*Yield_Originals!R$1)/Yield_Originals!$K121</f>
        <v>7.1123179798096486E-2</v>
      </c>
      <c r="S121" s="105">
        <f>(Yield_Originals!$H121*Yield_Originals!S$1)/Yield_Originals!$K121</f>
        <v>7.2994842424362189E-2</v>
      </c>
      <c r="T121" s="107">
        <f>(Yield_Originals!$I121*Yield_Originals!T$1)/Yield_Originals!$K121</f>
        <v>7.9133098466588878E-2</v>
      </c>
      <c r="U121" s="107">
        <f>(Yield_Originals!$I121*Yield_Originals!U$1)/Yield_Originals!$K121</f>
        <v>8.1111425928253586E-2</v>
      </c>
      <c r="V121" s="107">
        <f>(Yield_Originals!$I121*Yield_Originals!V$1)/Yield_Originals!$K121</f>
        <v>8.3089753389918308E-2</v>
      </c>
      <c r="W121" s="107">
        <f>(Yield_Originals!$I121*Yield_Originals!W$1)/Yield_Originals!$K121</f>
        <v>8.5068080851583003E-2</v>
      </c>
      <c r="X121" s="108">
        <f>(Yield_Originals!$J121*Yield_Originals!X$1)/Yield_Originals!$K121</f>
        <v>8.2764104515473808E-2</v>
      </c>
      <c r="Y121" s="108">
        <f>(Yield_Originals!$J121*Yield_Originals!Y$1)/Yield_Originals!$K121</f>
        <v>8.4645106890825467E-2</v>
      </c>
      <c r="Z121" s="108">
        <f>(Yield_Originals!$J121*Yield_Originals!Z$1)/Yield_Originals!$K121</f>
        <v>8.652610926617714E-2</v>
      </c>
      <c r="AA121" s="108">
        <f>(Yield_Originals!$J121*Yield_Originals!AA$1)/Yield_Originals!$K121</f>
        <v>8.8407111641528799E-2</v>
      </c>
      <c r="AB121" s="108">
        <f>(Yield_Originals!$J121*Yield_Originals!AB$1)/Yield_Originals!$K121</f>
        <v>9.0288114016880486E-2</v>
      </c>
    </row>
    <row r="122" spans="1:28" x14ac:dyDescent="0.25">
      <c r="A122" s="72" t="s">
        <v>955</v>
      </c>
      <c r="B122" s="70">
        <v>2</v>
      </c>
      <c r="C122" s="99" t="s">
        <v>888</v>
      </c>
      <c r="D122" s="99" t="s">
        <v>954</v>
      </c>
      <c r="E122" s="100">
        <v>10</v>
      </c>
      <c r="F122" s="102">
        <v>4.7066607756444598E-2</v>
      </c>
      <c r="G122" s="102">
        <v>4.7066607756444598E-2</v>
      </c>
      <c r="H122" s="102">
        <f>+(Yield_Originals!I122+Yield_Originals!G122)/2</f>
        <v>4.9911003367085247E-2</v>
      </c>
      <c r="I122" s="102">
        <v>5.2755398977725902E-2</v>
      </c>
      <c r="J122" s="102">
        <v>5.0160063342711399E-2</v>
      </c>
      <c r="K122" s="103">
        <v>1</v>
      </c>
      <c r="L122" s="104">
        <f>(Yield_Originals!$G122*Yield_Originals!L$1)/Yield_Originals!$K122</f>
        <v>5.6479929307733524E-2</v>
      </c>
      <c r="M122" s="104">
        <f>(Yield_Originals!$G122*Yield_Originals!M$1)/Yield_Originals!$K122</f>
        <v>5.8244927098600192E-2</v>
      </c>
      <c r="N122" s="104">
        <f>(Yield_Originals!$G122*Yield_Originals!N$1)/Yield_Originals!$K122</f>
        <v>6.0009924889466867E-2</v>
      </c>
      <c r="O122" s="104">
        <f>(Yield_Originals!$G122*Yield_Originals!O$1)/Yield_Originals!$K122</f>
        <v>6.1774922680333542E-2</v>
      </c>
      <c r="P122" s="105">
        <f>(Yield_Originals!$H122*Yield_Originals!P$1)/Yield_Originals!$K122</f>
        <v>6.7379854545565082E-2</v>
      </c>
      <c r="Q122" s="105">
        <f>(Yield_Originals!$H122*Yield_Originals!Q$1)/Yield_Originals!$K122</f>
        <v>6.9251517171830784E-2</v>
      </c>
      <c r="R122" s="105">
        <f>(Yield_Originals!$H122*Yield_Originals!R$1)/Yield_Originals!$K122</f>
        <v>7.1123179798096486E-2</v>
      </c>
      <c r="S122" s="105">
        <f>(Yield_Originals!$H122*Yield_Originals!S$1)/Yield_Originals!$K122</f>
        <v>7.2994842424362189E-2</v>
      </c>
      <c r="T122" s="107">
        <f>(Yield_Originals!$I122*Yield_Originals!T$1)/Yield_Originals!$K122</f>
        <v>7.9133098466588878E-2</v>
      </c>
      <c r="U122" s="107">
        <f>(Yield_Originals!$I122*Yield_Originals!U$1)/Yield_Originals!$K122</f>
        <v>8.1111425928253586E-2</v>
      </c>
      <c r="V122" s="107">
        <f>(Yield_Originals!$I122*Yield_Originals!V$1)/Yield_Originals!$K122</f>
        <v>8.3089753389918308E-2</v>
      </c>
      <c r="W122" s="107">
        <f>(Yield_Originals!$I122*Yield_Originals!W$1)/Yield_Originals!$K122</f>
        <v>8.5068080851583003E-2</v>
      </c>
      <c r="X122" s="108">
        <f>(Yield_Originals!$J122*Yield_Originals!X$1)/Yield_Originals!$K122</f>
        <v>8.2764104515473808E-2</v>
      </c>
      <c r="Y122" s="108">
        <f>(Yield_Originals!$J122*Yield_Originals!Y$1)/Yield_Originals!$K122</f>
        <v>8.4645106890825467E-2</v>
      </c>
      <c r="Z122" s="108">
        <f>(Yield_Originals!$J122*Yield_Originals!Z$1)/Yield_Originals!$K122</f>
        <v>8.652610926617714E-2</v>
      </c>
      <c r="AA122" s="108">
        <f>(Yield_Originals!$J122*Yield_Originals!AA$1)/Yield_Originals!$K122</f>
        <v>8.8407111641528799E-2</v>
      </c>
      <c r="AB122" s="108">
        <f>(Yield_Originals!$J122*Yield_Originals!AB$1)/Yield_Originals!$K122</f>
        <v>9.0288114016880486E-2</v>
      </c>
    </row>
    <row r="123" spans="1:28" x14ac:dyDescent="0.25">
      <c r="A123" s="72" t="s">
        <v>955</v>
      </c>
      <c r="B123" s="70">
        <v>2</v>
      </c>
      <c r="C123" s="99" t="s">
        <v>888</v>
      </c>
      <c r="D123" s="99" t="s">
        <v>954</v>
      </c>
      <c r="E123" s="100">
        <v>11</v>
      </c>
      <c r="F123" s="102">
        <v>4.7066607756444598E-2</v>
      </c>
      <c r="G123" s="102">
        <v>4.7066607756444598E-2</v>
      </c>
      <c r="H123" s="102">
        <f>+(Yield_Originals!I123+Yield_Originals!G123)/2</f>
        <v>4.9911003367085247E-2</v>
      </c>
      <c r="I123" s="102">
        <v>5.2755398977725902E-2</v>
      </c>
      <c r="J123" s="102">
        <v>5.0160063342711399E-2</v>
      </c>
      <c r="K123" s="103">
        <v>1</v>
      </c>
      <c r="L123" s="104">
        <f>(Yield_Originals!$G123*Yield_Originals!L$1)/Yield_Originals!$K123</f>
        <v>5.6479929307733524E-2</v>
      </c>
      <c r="M123" s="104">
        <f>(Yield_Originals!$G123*Yield_Originals!M$1)/Yield_Originals!$K123</f>
        <v>5.8244927098600192E-2</v>
      </c>
      <c r="N123" s="104">
        <f>(Yield_Originals!$G123*Yield_Originals!N$1)/Yield_Originals!$K123</f>
        <v>6.0009924889466867E-2</v>
      </c>
      <c r="O123" s="104">
        <f>(Yield_Originals!$G123*Yield_Originals!O$1)/Yield_Originals!$K123</f>
        <v>6.1774922680333542E-2</v>
      </c>
      <c r="P123" s="105">
        <f>(Yield_Originals!$H123*Yield_Originals!P$1)/Yield_Originals!$K123</f>
        <v>6.7379854545565082E-2</v>
      </c>
      <c r="Q123" s="105">
        <f>(Yield_Originals!$H123*Yield_Originals!Q$1)/Yield_Originals!$K123</f>
        <v>6.9251517171830784E-2</v>
      </c>
      <c r="R123" s="105">
        <f>(Yield_Originals!$H123*Yield_Originals!R$1)/Yield_Originals!$K123</f>
        <v>7.1123179798096486E-2</v>
      </c>
      <c r="S123" s="105">
        <f>(Yield_Originals!$H123*Yield_Originals!S$1)/Yield_Originals!$K123</f>
        <v>7.2994842424362189E-2</v>
      </c>
      <c r="T123" s="107">
        <f>(Yield_Originals!$I123*Yield_Originals!T$1)/Yield_Originals!$K123</f>
        <v>7.9133098466588878E-2</v>
      </c>
      <c r="U123" s="107">
        <f>(Yield_Originals!$I123*Yield_Originals!U$1)/Yield_Originals!$K123</f>
        <v>8.1111425928253586E-2</v>
      </c>
      <c r="V123" s="107">
        <f>(Yield_Originals!$I123*Yield_Originals!V$1)/Yield_Originals!$K123</f>
        <v>8.3089753389918308E-2</v>
      </c>
      <c r="W123" s="107">
        <f>(Yield_Originals!$I123*Yield_Originals!W$1)/Yield_Originals!$K123</f>
        <v>8.5068080851583003E-2</v>
      </c>
      <c r="X123" s="108">
        <f>(Yield_Originals!$J123*Yield_Originals!X$1)/Yield_Originals!$K123</f>
        <v>8.2764104515473808E-2</v>
      </c>
      <c r="Y123" s="108">
        <f>(Yield_Originals!$J123*Yield_Originals!Y$1)/Yield_Originals!$K123</f>
        <v>8.4645106890825467E-2</v>
      </c>
      <c r="Z123" s="108">
        <f>(Yield_Originals!$J123*Yield_Originals!Z$1)/Yield_Originals!$K123</f>
        <v>8.652610926617714E-2</v>
      </c>
      <c r="AA123" s="108">
        <f>(Yield_Originals!$J123*Yield_Originals!AA$1)/Yield_Originals!$K123</f>
        <v>8.8407111641528799E-2</v>
      </c>
      <c r="AB123" s="108">
        <f>(Yield_Originals!$J123*Yield_Originals!AB$1)/Yield_Originals!$K123</f>
        <v>9.0288114016880486E-2</v>
      </c>
    </row>
    <row r="124" spans="1:28" x14ac:dyDescent="0.25">
      <c r="A124" s="72" t="s">
        <v>955</v>
      </c>
      <c r="B124" s="70">
        <v>2</v>
      </c>
      <c r="C124" s="99" t="s">
        <v>888</v>
      </c>
      <c r="D124" s="99" t="s">
        <v>954</v>
      </c>
      <c r="E124" s="100">
        <v>12</v>
      </c>
      <c r="F124" s="102">
        <v>4.7066607756444598E-2</v>
      </c>
      <c r="G124" s="102">
        <v>4.7066607756444598E-2</v>
      </c>
      <c r="H124" s="102">
        <f>+(Yield_Originals!I124+Yield_Originals!G124)/2</f>
        <v>4.9911003367085247E-2</v>
      </c>
      <c r="I124" s="102">
        <v>5.2755398977725902E-2</v>
      </c>
      <c r="J124" s="102">
        <v>5.0160063342711399E-2</v>
      </c>
      <c r="K124" s="103">
        <v>1</v>
      </c>
      <c r="L124" s="104">
        <f>(Yield_Originals!$G124*Yield_Originals!L$1)/Yield_Originals!$K124</f>
        <v>5.6479929307733524E-2</v>
      </c>
      <c r="M124" s="104">
        <f>(Yield_Originals!$G124*Yield_Originals!M$1)/Yield_Originals!$K124</f>
        <v>5.8244927098600192E-2</v>
      </c>
      <c r="N124" s="104">
        <f>(Yield_Originals!$G124*Yield_Originals!N$1)/Yield_Originals!$K124</f>
        <v>6.0009924889466867E-2</v>
      </c>
      <c r="O124" s="104">
        <f>(Yield_Originals!$G124*Yield_Originals!O$1)/Yield_Originals!$K124</f>
        <v>6.1774922680333542E-2</v>
      </c>
      <c r="P124" s="105">
        <f>(Yield_Originals!$H124*Yield_Originals!P$1)/Yield_Originals!$K124</f>
        <v>6.7379854545565082E-2</v>
      </c>
      <c r="Q124" s="105">
        <f>(Yield_Originals!$H124*Yield_Originals!Q$1)/Yield_Originals!$K124</f>
        <v>6.9251517171830784E-2</v>
      </c>
      <c r="R124" s="105">
        <f>(Yield_Originals!$H124*Yield_Originals!R$1)/Yield_Originals!$K124</f>
        <v>7.1123179798096486E-2</v>
      </c>
      <c r="S124" s="105">
        <f>(Yield_Originals!$H124*Yield_Originals!S$1)/Yield_Originals!$K124</f>
        <v>7.2994842424362189E-2</v>
      </c>
      <c r="T124" s="107">
        <f>(Yield_Originals!$I124*Yield_Originals!T$1)/Yield_Originals!$K124</f>
        <v>7.9133098466588878E-2</v>
      </c>
      <c r="U124" s="107">
        <f>(Yield_Originals!$I124*Yield_Originals!U$1)/Yield_Originals!$K124</f>
        <v>8.1111425928253586E-2</v>
      </c>
      <c r="V124" s="107">
        <f>(Yield_Originals!$I124*Yield_Originals!V$1)/Yield_Originals!$K124</f>
        <v>8.3089753389918308E-2</v>
      </c>
      <c r="W124" s="107">
        <f>(Yield_Originals!$I124*Yield_Originals!W$1)/Yield_Originals!$K124</f>
        <v>8.5068080851583003E-2</v>
      </c>
      <c r="X124" s="108">
        <f>(Yield_Originals!$J124*Yield_Originals!X$1)/Yield_Originals!$K124</f>
        <v>8.2764104515473808E-2</v>
      </c>
      <c r="Y124" s="108">
        <f>(Yield_Originals!$J124*Yield_Originals!Y$1)/Yield_Originals!$K124</f>
        <v>8.4645106890825467E-2</v>
      </c>
      <c r="Z124" s="108">
        <f>(Yield_Originals!$J124*Yield_Originals!Z$1)/Yield_Originals!$K124</f>
        <v>8.652610926617714E-2</v>
      </c>
      <c r="AA124" s="108">
        <f>(Yield_Originals!$J124*Yield_Originals!AA$1)/Yield_Originals!$K124</f>
        <v>8.8407111641528799E-2</v>
      </c>
      <c r="AB124" s="108">
        <f>(Yield_Originals!$J124*Yield_Originals!AB$1)/Yield_Originals!$K124</f>
        <v>9.0288114016880486E-2</v>
      </c>
    </row>
    <row r="125" spans="1:28" x14ac:dyDescent="0.25">
      <c r="A125" s="72" t="s">
        <v>955</v>
      </c>
      <c r="B125" s="70">
        <v>2</v>
      </c>
      <c r="C125" s="99" t="s">
        <v>888</v>
      </c>
      <c r="D125" s="99" t="s">
        <v>954</v>
      </c>
      <c r="E125" s="100">
        <v>13</v>
      </c>
      <c r="F125" s="102">
        <v>4.7066607756444598E-2</v>
      </c>
      <c r="G125" s="102">
        <v>4.7066607756444598E-2</v>
      </c>
      <c r="H125" s="102">
        <f>+(Yield_Originals!I125+Yield_Originals!G125)/2</f>
        <v>4.9911003367085247E-2</v>
      </c>
      <c r="I125" s="102">
        <v>5.2755398977725902E-2</v>
      </c>
      <c r="J125" s="102">
        <v>5.0160063342711399E-2</v>
      </c>
      <c r="K125" s="103">
        <v>1</v>
      </c>
      <c r="L125" s="104">
        <f>(Yield_Originals!$G125*Yield_Originals!L$1)/Yield_Originals!$K125</f>
        <v>5.6479929307733524E-2</v>
      </c>
      <c r="M125" s="104">
        <f>(Yield_Originals!$G125*Yield_Originals!M$1)/Yield_Originals!$K125</f>
        <v>5.8244927098600192E-2</v>
      </c>
      <c r="N125" s="104">
        <f>(Yield_Originals!$G125*Yield_Originals!N$1)/Yield_Originals!$K125</f>
        <v>6.0009924889466867E-2</v>
      </c>
      <c r="O125" s="104">
        <f>(Yield_Originals!$G125*Yield_Originals!O$1)/Yield_Originals!$K125</f>
        <v>6.1774922680333542E-2</v>
      </c>
      <c r="P125" s="105">
        <f>(Yield_Originals!$H125*Yield_Originals!P$1)/Yield_Originals!$K125</f>
        <v>6.7379854545565082E-2</v>
      </c>
      <c r="Q125" s="105">
        <f>(Yield_Originals!$H125*Yield_Originals!Q$1)/Yield_Originals!$K125</f>
        <v>6.9251517171830784E-2</v>
      </c>
      <c r="R125" s="105">
        <f>(Yield_Originals!$H125*Yield_Originals!R$1)/Yield_Originals!$K125</f>
        <v>7.1123179798096486E-2</v>
      </c>
      <c r="S125" s="105">
        <f>(Yield_Originals!$H125*Yield_Originals!S$1)/Yield_Originals!$K125</f>
        <v>7.2994842424362189E-2</v>
      </c>
      <c r="T125" s="107">
        <f>(Yield_Originals!$I125*Yield_Originals!T$1)/Yield_Originals!$K125</f>
        <v>7.9133098466588878E-2</v>
      </c>
      <c r="U125" s="107">
        <f>(Yield_Originals!$I125*Yield_Originals!U$1)/Yield_Originals!$K125</f>
        <v>8.1111425928253586E-2</v>
      </c>
      <c r="V125" s="107">
        <f>(Yield_Originals!$I125*Yield_Originals!V$1)/Yield_Originals!$K125</f>
        <v>8.3089753389918308E-2</v>
      </c>
      <c r="W125" s="107">
        <f>(Yield_Originals!$I125*Yield_Originals!W$1)/Yield_Originals!$K125</f>
        <v>8.5068080851583003E-2</v>
      </c>
      <c r="X125" s="108">
        <f>(Yield_Originals!$J125*Yield_Originals!X$1)/Yield_Originals!$K125</f>
        <v>8.2764104515473808E-2</v>
      </c>
      <c r="Y125" s="108">
        <f>(Yield_Originals!$J125*Yield_Originals!Y$1)/Yield_Originals!$K125</f>
        <v>8.4645106890825467E-2</v>
      </c>
      <c r="Z125" s="108">
        <f>(Yield_Originals!$J125*Yield_Originals!Z$1)/Yield_Originals!$K125</f>
        <v>8.652610926617714E-2</v>
      </c>
      <c r="AA125" s="108">
        <f>(Yield_Originals!$J125*Yield_Originals!AA$1)/Yield_Originals!$K125</f>
        <v>8.8407111641528799E-2</v>
      </c>
      <c r="AB125" s="108">
        <f>(Yield_Originals!$J125*Yield_Originals!AB$1)/Yield_Originals!$K125</f>
        <v>9.0288114016880486E-2</v>
      </c>
    </row>
    <row r="126" spans="1:28" x14ac:dyDescent="0.25">
      <c r="A126" s="72" t="s">
        <v>955</v>
      </c>
      <c r="B126" s="70">
        <v>2</v>
      </c>
      <c r="C126" s="99" t="s">
        <v>888</v>
      </c>
      <c r="D126" s="99" t="s">
        <v>954</v>
      </c>
      <c r="E126" s="100">
        <v>14</v>
      </c>
      <c r="F126" s="102">
        <v>4.7066607756444598E-2</v>
      </c>
      <c r="G126" s="102">
        <v>4.7066607756444598E-2</v>
      </c>
      <c r="H126" s="102">
        <f>+(Yield_Originals!I126+Yield_Originals!G126)/2</f>
        <v>4.9911003367085247E-2</v>
      </c>
      <c r="I126" s="102">
        <v>5.2755398977725902E-2</v>
      </c>
      <c r="J126" s="102">
        <v>5.0160063342711399E-2</v>
      </c>
      <c r="K126" s="103">
        <v>1</v>
      </c>
      <c r="L126" s="104">
        <f>(Yield_Originals!$G126*Yield_Originals!L$1)/Yield_Originals!$K126</f>
        <v>5.6479929307733524E-2</v>
      </c>
      <c r="M126" s="104">
        <f>(Yield_Originals!$G126*Yield_Originals!M$1)/Yield_Originals!$K126</f>
        <v>5.8244927098600192E-2</v>
      </c>
      <c r="N126" s="104">
        <f>(Yield_Originals!$G126*Yield_Originals!N$1)/Yield_Originals!$K126</f>
        <v>6.0009924889466867E-2</v>
      </c>
      <c r="O126" s="104">
        <f>(Yield_Originals!$G126*Yield_Originals!O$1)/Yield_Originals!$K126</f>
        <v>6.1774922680333542E-2</v>
      </c>
      <c r="P126" s="105">
        <f>(Yield_Originals!$H126*Yield_Originals!P$1)/Yield_Originals!$K126</f>
        <v>6.7379854545565082E-2</v>
      </c>
      <c r="Q126" s="105">
        <f>(Yield_Originals!$H126*Yield_Originals!Q$1)/Yield_Originals!$K126</f>
        <v>6.9251517171830784E-2</v>
      </c>
      <c r="R126" s="105">
        <f>(Yield_Originals!$H126*Yield_Originals!R$1)/Yield_Originals!$K126</f>
        <v>7.1123179798096486E-2</v>
      </c>
      <c r="S126" s="105">
        <f>(Yield_Originals!$H126*Yield_Originals!S$1)/Yield_Originals!$K126</f>
        <v>7.2994842424362189E-2</v>
      </c>
      <c r="T126" s="107">
        <f>(Yield_Originals!$I126*Yield_Originals!T$1)/Yield_Originals!$K126</f>
        <v>7.9133098466588878E-2</v>
      </c>
      <c r="U126" s="107">
        <f>(Yield_Originals!$I126*Yield_Originals!U$1)/Yield_Originals!$K126</f>
        <v>8.1111425928253586E-2</v>
      </c>
      <c r="V126" s="107">
        <f>(Yield_Originals!$I126*Yield_Originals!V$1)/Yield_Originals!$K126</f>
        <v>8.3089753389918308E-2</v>
      </c>
      <c r="W126" s="107">
        <f>(Yield_Originals!$I126*Yield_Originals!W$1)/Yield_Originals!$K126</f>
        <v>8.5068080851583003E-2</v>
      </c>
      <c r="X126" s="108">
        <f>(Yield_Originals!$J126*Yield_Originals!X$1)/Yield_Originals!$K126</f>
        <v>8.2764104515473808E-2</v>
      </c>
      <c r="Y126" s="108">
        <f>(Yield_Originals!$J126*Yield_Originals!Y$1)/Yield_Originals!$K126</f>
        <v>8.4645106890825467E-2</v>
      </c>
      <c r="Z126" s="108">
        <f>(Yield_Originals!$J126*Yield_Originals!Z$1)/Yield_Originals!$K126</f>
        <v>8.652610926617714E-2</v>
      </c>
      <c r="AA126" s="108">
        <f>(Yield_Originals!$J126*Yield_Originals!AA$1)/Yield_Originals!$K126</f>
        <v>8.8407111641528799E-2</v>
      </c>
      <c r="AB126" s="108">
        <f>(Yield_Originals!$J126*Yield_Originals!AB$1)/Yield_Originals!$K126</f>
        <v>9.0288114016880486E-2</v>
      </c>
    </row>
    <row r="127" spans="1:28" x14ac:dyDescent="0.25">
      <c r="A127" s="72" t="s">
        <v>955</v>
      </c>
      <c r="B127" s="70">
        <v>2</v>
      </c>
      <c r="C127" s="99" t="s">
        <v>888</v>
      </c>
      <c r="D127" s="99" t="s">
        <v>954</v>
      </c>
      <c r="E127" s="100">
        <v>15</v>
      </c>
      <c r="F127" s="102">
        <v>4.7066607756444598E-2</v>
      </c>
      <c r="G127" s="102">
        <v>4.7066607756444598E-2</v>
      </c>
      <c r="H127" s="102">
        <f>+(Yield_Originals!I127+Yield_Originals!G127)/2</f>
        <v>4.9911003367085247E-2</v>
      </c>
      <c r="I127" s="102">
        <v>5.2755398977725902E-2</v>
      </c>
      <c r="J127" s="102">
        <v>5.0160063342711399E-2</v>
      </c>
      <c r="K127" s="103">
        <v>1</v>
      </c>
      <c r="L127" s="104">
        <f>(Yield_Originals!$G127*Yield_Originals!L$1)/Yield_Originals!$K127</f>
        <v>5.6479929307733524E-2</v>
      </c>
      <c r="M127" s="104">
        <f>(Yield_Originals!$G127*Yield_Originals!M$1)/Yield_Originals!$K127</f>
        <v>5.8244927098600192E-2</v>
      </c>
      <c r="N127" s="104">
        <f>(Yield_Originals!$G127*Yield_Originals!N$1)/Yield_Originals!$K127</f>
        <v>6.0009924889466867E-2</v>
      </c>
      <c r="O127" s="104">
        <f>(Yield_Originals!$G127*Yield_Originals!O$1)/Yield_Originals!$K127</f>
        <v>6.1774922680333542E-2</v>
      </c>
      <c r="P127" s="105">
        <f>(Yield_Originals!$H127*Yield_Originals!P$1)/Yield_Originals!$K127</f>
        <v>6.7379854545565082E-2</v>
      </c>
      <c r="Q127" s="105">
        <f>(Yield_Originals!$H127*Yield_Originals!Q$1)/Yield_Originals!$K127</f>
        <v>6.9251517171830784E-2</v>
      </c>
      <c r="R127" s="105">
        <f>(Yield_Originals!$H127*Yield_Originals!R$1)/Yield_Originals!$K127</f>
        <v>7.1123179798096486E-2</v>
      </c>
      <c r="S127" s="105">
        <f>(Yield_Originals!$H127*Yield_Originals!S$1)/Yield_Originals!$K127</f>
        <v>7.2994842424362189E-2</v>
      </c>
      <c r="T127" s="107">
        <f>(Yield_Originals!$I127*Yield_Originals!T$1)/Yield_Originals!$K127</f>
        <v>7.9133098466588878E-2</v>
      </c>
      <c r="U127" s="107">
        <f>(Yield_Originals!$I127*Yield_Originals!U$1)/Yield_Originals!$K127</f>
        <v>8.1111425928253586E-2</v>
      </c>
      <c r="V127" s="107">
        <f>(Yield_Originals!$I127*Yield_Originals!V$1)/Yield_Originals!$K127</f>
        <v>8.3089753389918308E-2</v>
      </c>
      <c r="W127" s="107">
        <f>(Yield_Originals!$I127*Yield_Originals!W$1)/Yield_Originals!$K127</f>
        <v>8.5068080851583003E-2</v>
      </c>
      <c r="X127" s="108">
        <f>(Yield_Originals!$J127*Yield_Originals!X$1)/Yield_Originals!$K127</f>
        <v>8.2764104515473808E-2</v>
      </c>
      <c r="Y127" s="108">
        <f>(Yield_Originals!$J127*Yield_Originals!Y$1)/Yield_Originals!$K127</f>
        <v>8.4645106890825467E-2</v>
      </c>
      <c r="Z127" s="108">
        <f>(Yield_Originals!$J127*Yield_Originals!Z$1)/Yield_Originals!$K127</f>
        <v>8.652610926617714E-2</v>
      </c>
      <c r="AA127" s="108">
        <f>(Yield_Originals!$J127*Yield_Originals!AA$1)/Yield_Originals!$K127</f>
        <v>8.8407111641528799E-2</v>
      </c>
      <c r="AB127" s="108">
        <f>(Yield_Originals!$J127*Yield_Originals!AB$1)/Yield_Originals!$K127</f>
        <v>9.0288114016880486E-2</v>
      </c>
    </row>
    <row r="128" spans="1:28" x14ac:dyDescent="0.25">
      <c r="A128" s="72" t="s">
        <v>955</v>
      </c>
      <c r="B128" s="70">
        <v>2</v>
      </c>
      <c r="C128" s="99" t="s">
        <v>891</v>
      </c>
      <c r="D128" s="99" t="s">
        <v>966</v>
      </c>
      <c r="E128" s="100">
        <v>9</v>
      </c>
      <c r="F128" s="102">
        <v>4.7066607756444598E-2</v>
      </c>
      <c r="G128" s="102">
        <v>4.7066607756444598E-2</v>
      </c>
      <c r="H128" s="102">
        <f>+(Yield_Originals!I128+Yield_Originals!G128)/2</f>
        <v>4.9911003367085247E-2</v>
      </c>
      <c r="I128" s="102">
        <v>5.2755398977725902E-2</v>
      </c>
      <c r="J128" s="102">
        <v>5.0160063342711399E-2</v>
      </c>
      <c r="K128" s="103">
        <v>1</v>
      </c>
      <c r="L128" s="104">
        <f>(Yield_Originals!$G128*Yield_Originals!L$1)/Yield_Originals!$K128</f>
        <v>5.6479929307733524E-2</v>
      </c>
      <c r="M128" s="104">
        <f>(Yield_Originals!$G128*Yield_Originals!M$1)/Yield_Originals!$K128</f>
        <v>5.8244927098600192E-2</v>
      </c>
      <c r="N128" s="104">
        <f>(Yield_Originals!$G128*Yield_Originals!N$1)/Yield_Originals!$K128</f>
        <v>6.0009924889466867E-2</v>
      </c>
      <c r="O128" s="104">
        <f>(Yield_Originals!$G128*Yield_Originals!O$1)/Yield_Originals!$K128</f>
        <v>6.1774922680333542E-2</v>
      </c>
      <c r="P128" s="105">
        <f>(Yield_Originals!$H128*Yield_Originals!P$1)/Yield_Originals!$K128</f>
        <v>6.7379854545565082E-2</v>
      </c>
      <c r="Q128" s="105">
        <f>(Yield_Originals!$H128*Yield_Originals!Q$1)/Yield_Originals!$K128</f>
        <v>6.9251517171830784E-2</v>
      </c>
      <c r="R128" s="105">
        <f>(Yield_Originals!$H128*Yield_Originals!R$1)/Yield_Originals!$K128</f>
        <v>7.1123179798096486E-2</v>
      </c>
      <c r="S128" s="105">
        <f>(Yield_Originals!$H128*Yield_Originals!S$1)/Yield_Originals!$K128</f>
        <v>7.2994842424362189E-2</v>
      </c>
      <c r="T128" s="107">
        <f>(Yield_Originals!$I128*Yield_Originals!T$1)/Yield_Originals!$K128</f>
        <v>7.9133098466588878E-2</v>
      </c>
      <c r="U128" s="107">
        <f>(Yield_Originals!$I128*Yield_Originals!U$1)/Yield_Originals!$K128</f>
        <v>8.1111425928253586E-2</v>
      </c>
      <c r="V128" s="107">
        <f>(Yield_Originals!$I128*Yield_Originals!V$1)/Yield_Originals!$K128</f>
        <v>8.3089753389918308E-2</v>
      </c>
      <c r="W128" s="107">
        <f>(Yield_Originals!$I128*Yield_Originals!W$1)/Yield_Originals!$K128</f>
        <v>8.5068080851583003E-2</v>
      </c>
      <c r="X128" s="108">
        <f>(Yield_Originals!$J128*Yield_Originals!X$1)/Yield_Originals!$K128</f>
        <v>8.2764104515473808E-2</v>
      </c>
      <c r="Y128" s="108">
        <f>(Yield_Originals!$J128*Yield_Originals!Y$1)/Yield_Originals!$K128</f>
        <v>8.4645106890825467E-2</v>
      </c>
      <c r="Z128" s="108">
        <f>(Yield_Originals!$J128*Yield_Originals!Z$1)/Yield_Originals!$K128</f>
        <v>8.652610926617714E-2</v>
      </c>
      <c r="AA128" s="108">
        <f>(Yield_Originals!$J128*Yield_Originals!AA$1)/Yield_Originals!$K128</f>
        <v>8.8407111641528799E-2</v>
      </c>
      <c r="AB128" s="108">
        <f>(Yield_Originals!$J128*Yield_Originals!AB$1)/Yield_Originals!$K128</f>
        <v>9.0288114016880486E-2</v>
      </c>
    </row>
    <row r="129" spans="1:28" x14ac:dyDescent="0.25">
      <c r="A129" s="72" t="s">
        <v>955</v>
      </c>
      <c r="B129" s="70">
        <v>2</v>
      </c>
      <c r="C129" s="99" t="s">
        <v>891</v>
      </c>
      <c r="D129" s="99" t="s">
        <v>966</v>
      </c>
      <c r="E129" s="100">
        <v>10</v>
      </c>
      <c r="F129" s="102">
        <v>4.7066607756444598E-2</v>
      </c>
      <c r="G129" s="102">
        <v>4.7066607756444598E-2</v>
      </c>
      <c r="H129" s="102">
        <f>+(Yield_Originals!I129+Yield_Originals!G129)/2</f>
        <v>4.9911003367085247E-2</v>
      </c>
      <c r="I129" s="102">
        <v>5.2755398977725902E-2</v>
      </c>
      <c r="J129" s="102">
        <v>5.0160063342711399E-2</v>
      </c>
      <c r="K129" s="103">
        <v>1</v>
      </c>
      <c r="L129" s="104">
        <f>(Yield_Originals!$G129*Yield_Originals!L$1)/Yield_Originals!$K129</f>
        <v>5.6479929307733524E-2</v>
      </c>
      <c r="M129" s="104">
        <f>(Yield_Originals!$G129*Yield_Originals!M$1)/Yield_Originals!$K129</f>
        <v>5.8244927098600192E-2</v>
      </c>
      <c r="N129" s="104">
        <f>(Yield_Originals!$G129*Yield_Originals!N$1)/Yield_Originals!$K129</f>
        <v>6.0009924889466867E-2</v>
      </c>
      <c r="O129" s="104">
        <f>(Yield_Originals!$G129*Yield_Originals!O$1)/Yield_Originals!$K129</f>
        <v>6.1774922680333542E-2</v>
      </c>
      <c r="P129" s="105">
        <f>(Yield_Originals!$H129*Yield_Originals!P$1)/Yield_Originals!$K129</f>
        <v>6.7379854545565082E-2</v>
      </c>
      <c r="Q129" s="105">
        <f>(Yield_Originals!$H129*Yield_Originals!Q$1)/Yield_Originals!$K129</f>
        <v>6.9251517171830784E-2</v>
      </c>
      <c r="R129" s="105">
        <f>(Yield_Originals!$H129*Yield_Originals!R$1)/Yield_Originals!$K129</f>
        <v>7.1123179798096486E-2</v>
      </c>
      <c r="S129" s="105">
        <f>(Yield_Originals!$H129*Yield_Originals!S$1)/Yield_Originals!$K129</f>
        <v>7.2994842424362189E-2</v>
      </c>
      <c r="T129" s="107">
        <f>(Yield_Originals!$I129*Yield_Originals!T$1)/Yield_Originals!$K129</f>
        <v>7.9133098466588878E-2</v>
      </c>
      <c r="U129" s="107">
        <f>(Yield_Originals!$I129*Yield_Originals!U$1)/Yield_Originals!$K129</f>
        <v>8.1111425928253586E-2</v>
      </c>
      <c r="V129" s="107">
        <f>(Yield_Originals!$I129*Yield_Originals!V$1)/Yield_Originals!$K129</f>
        <v>8.3089753389918308E-2</v>
      </c>
      <c r="W129" s="107">
        <f>(Yield_Originals!$I129*Yield_Originals!W$1)/Yield_Originals!$K129</f>
        <v>8.5068080851583003E-2</v>
      </c>
      <c r="X129" s="108">
        <f>(Yield_Originals!$J129*Yield_Originals!X$1)/Yield_Originals!$K129</f>
        <v>8.2764104515473808E-2</v>
      </c>
      <c r="Y129" s="108">
        <f>(Yield_Originals!$J129*Yield_Originals!Y$1)/Yield_Originals!$K129</f>
        <v>8.4645106890825467E-2</v>
      </c>
      <c r="Z129" s="108">
        <f>(Yield_Originals!$J129*Yield_Originals!Z$1)/Yield_Originals!$K129</f>
        <v>8.652610926617714E-2</v>
      </c>
      <c r="AA129" s="108">
        <f>(Yield_Originals!$J129*Yield_Originals!AA$1)/Yield_Originals!$K129</f>
        <v>8.8407111641528799E-2</v>
      </c>
      <c r="AB129" s="108">
        <f>(Yield_Originals!$J129*Yield_Originals!AB$1)/Yield_Originals!$K129</f>
        <v>9.0288114016880486E-2</v>
      </c>
    </row>
    <row r="130" spans="1:28" x14ac:dyDescent="0.25">
      <c r="A130" s="72" t="s">
        <v>955</v>
      </c>
      <c r="B130" s="70">
        <v>2</v>
      </c>
      <c r="C130" s="99" t="s">
        <v>891</v>
      </c>
      <c r="D130" s="99" t="s">
        <v>966</v>
      </c>
      <c r="E130" s="100">
        <v>11</v>
      </c>
      <c r="F130" s="102">
        <v>4.7066607756444598E-2</v>
      </c>
      <c r="G130" s="102">
        <v>4.7066607756444598E-2</v>
      </c>
      <c r="H130" s="102">
        <f>+(Yield_Originals!I130+Yield_Originals!G130)/2</f>
        <v>4.9911003367085247E-2</v>
      </c>
      <c r="I130" s="102">
        <v>5.2755398977725902E-2</v>
      </c>
      <c r="J130" s="102">
        <v>5.0160063342711399E-2</v>
      </c>
      <c r="K130" s="103">
        <v>1</v>
      </c>
      <c r="L130" s="104">
        <f>(Yield_Originals!$G130*Yield_Originals!L$1)/Yield_Originals!$K130</f>
        <v>5.6479929307733524E-2</v>
      </c>
      <c r="M130" s="104">
        <f>(Yield_Originals!$G130*Yield_Originals!M$1)/Yield_Originals!$K130</f>
        <v>5.8244927098600192E-2</v>
      </c>
      <c r="N130" s="104">
        <f>(Yield_Originals!$G130*Yield_Originals!N$1)/Yield_Originals!$K130</f>
        <v>6.0009924889466867E-2</v>
      </c>
      <c r="O130" s="104">
        <f>(Yield_Originals!$G130*Yield_Originals!O$1)/Yield_Originals!$K130</f>
        <v>6.1774922680333542E-2</v>
      </c>
      <c r="P130" s="105">
        <f>(Yield_Originals!$H130*Yield_Originals!P$1)/Yield_Originals!$K130</f>
        <v>6.7379854545565082E-2</v>
      </c>
      <c r="Q130" s="105">
        <f>(Yield_Originals!$H130*Yield_Originals!Q$1)/Yield_Originals!$K130</f>
        <v>6.9251517171830784E-2</v>
      </c>
      <c r="R130" s="105">
        <f>(Yield_Originals!$H130*Yield_Originals!R$1)/Yield_Originals!$K130</f>
        <v>7.1123179798096486E-2</v>
      </c>
      <c r="S130" s="105">
        <f>(Yield_Originals!$H130*Yield_Originals!S$1)/Yield_Originals!$K130</f>
        <v>7.2994842424362189E-2</v>
      </c>
      <c r="T130" s="107">
        <f>(Yield_Originals!$I130*Yield_Originals!T$1)/Yield_Originals!$K130</f>
        <v>7.9133098466588878E-2</v>
      </c>
      <c r="U130" s="107">
        <f>(Yield_Originals!$I130*Yield_Originals!U$1)/Yield_Originals!$K130</f>
        <v>8.1111425928253586E-2</v>
      </c>
      <c r="V130" s="107">
        <f>(Yield_Originals!$I130*Yield_Originals!V$1)/Yield_Originals!$K130</f>
        <v>8.3089753389918308E-2</v>
      </c>
      <c r="W130" s="107">
        <f>(Yield_Originals!$I130*Yield_Originals!W$1)/Yield_Originals!$K130</f>
        <v>8.5068080851583003E-2</v>
      </c>
      <c r="X130" s="108">
        <f>(Yield_Originals!$J130*Yield_Originals!X$1)/Yield_Originals!$K130</f>
        <v>8.2764104515473808E-2</v>
      </c>
      <c r="Y130" s="108">
        <f>(Yield_Originals!$J130*Yield_Originals!Y$1)/Yield_Originals!$K130</f>
        <v>8.4645106890825467E-2</v>
      </c>
      <c r="Z130" s="108">
        <f>(Yield_Originals!$J130*Yield_Originals!Z$1)/Yield_Originals!$K130</f>
        <v>8.652610926617714E-2</v>
      </c>
      <c r="AA130" s="108">
        <f>(Yield_Originals!$J130*Yield_Originals!AA$1)/Yield_Originals!$K130</f>
        <v>8.8407111641528799E-2</v>
      </c>
      <c r="AB130" s="108">
        <f>(Yield_Originals!$J130*Yield_Originals!AB$1)/Yield_Originals!$K130</f>
        <v>9.0288114016880486E-2</v>
      </c>
    </row>
    <row r="131" spans="1:28" x14ac:dyDescent="0.25">
      <c r="A131" s="72" t="s">
        <v>955</v>
      </c>
      <c r="B131" s="70">
        <v>2</v>
      </c>
      <c r="C131" s="99" t="s">
        <v>891</v>
      </c>
      <c r="D131" s="99" t="s">
        <v>966</v>
      </c>
      <c r="E131" s="100">
        <v>12</v>
      </c>
      <c r="F131" s="102">
        <v>4.7066607756444598E-2</v>
      </c>
      <c r="G131" s="102">
        <v>4.7066607756444598E-2</v>
      </c>
      <c r="H131" s="102">
        <f>+(Yield_Originals!I131+Yield_Originals!G131)/2</f>
        <v>4.9911003367085247E-2</v>
      </c>
      <c r="I131" s="102">
        <v>5.2755398977725902E-2</v>
      </c>
      <c r="J131" s="102">
        <v>5.0160063342711399E-2</v>
      </c>
      <c r="K131" s="103">
        <v>1</v>
      </c>
      <c r="L131" s="104">
        <f>(Yield_Originals!$G131*Yield_Originals!L$1)/Yield_Originals!$K131</f>
        <v>5.6479929307733524E-2</v>
      </c>
      <c r="M131" s="104">
        <f>(Yield_Originals!$G131*Yield_Originals!M$1)/Yield_Originals!$K131</f>
        <v>5.8244927098600192E-2</v>
      </c>
      <c r="N131" s="104">
        <f>(Yield_Originals!$G131*Yield_Originals!N$1)/Yield_Originals!$K131</f>
        <v>6.0009924889466867E-2</v>
      </c>
      <c r="O131" s="104">
        <f>(Yield_Originals!$G131*Yield_Originals!O$1)/Yield_Originals!$K131</f>
        <v>6.1774922680333542E-2</v>
      </c>
      <c r="P131" s="105">
        <f>(Yield_Originals!$H131*Yield_Originals!P$1)/Yield_Originals!$K131</f>
        <v>6.7379854545565082E-2</v>
      </c>
      <c r="Q131" s="105">
        <f>(Yield_Originals!$H131*Yield_Originals!Q$1)/Yield_Originals!$K131</f>
        <v>6.9251517171830784E-2</v>
      </c>
      <c r="R131" s="105">
        <f>(Yield_Originals!$H131*Yield_Originals!R$1)/Yield_Originals!$K131</f>
        <v>7.1123179798096486E-2</v>
      </c>
      <c r="S131" s="105">
        <f>(Yield_Originals!$H131*Yield_Originals!S$1)/Yield_Originals!$K131</f>
        <v>7.2994842424362189E-2</v>
      </c>
      <c r="T131" s="107">
        <f>(Yield_Originals!$I131*Yield_Originals!T$1)/Yield_Originals!$K131</f>
        <v>7.9133098466588878E-2</v>
      </c>
      <c r="U131" s="107">
        <f>(Yield_Originals!$I131*Yield_Originals!U$1)/Yield_Originals!$K131</f>
        <v>8.1111425928253586E-2</v>
      </c>
      <c r="V131" s="107">
        <f>(Yield_Originals!$I131*Yield_Originals!V$1)/Yield_Originals!$K131</f>
        <v>8.3089753389918308E-2</v>
      </c>
      <c r="W131" s="107">
        <f>(Yield_Originals!$I131*Yield_Originals!W$1)/Yield_Originals!$K131</f>
        <v>8.5068080851583003E-2</v>
      </c>
      <c r="X131" s="108">
        <f>(Yield_Originals!$J131*Yield_Originals!X$1)/Yield_Originals!$K131</f>
        <v>8.2764104515473808E-2</v>
      </c>
      <c r="Y131" s="108">
        <f>(Yield_Originals!$J131*Yield_Originals!Y$1)/Yield_Originals!$K131</f>
        <v>8.4645106890825467E-2</v>
      </c>
      <c r="Z131" s="108">
        <f>(Yield_Originals!$J131*Yield_Originals!Z$1)/Yield_Originals!$K131</f>
        <v>8.652610926617714E-2</v>
      </c>
      <c r="AA131" s="108">
        <f>(Yield_Originals!$J131*Yield_Originals!AA$1)/Yield_Originals!$K131</f>
        <v>8.8407111641528799E-2</v>
      </c>
      <c r="AB131" s="108">
        <f>(Yield_Originals!$J131*Yield_Originals!AB$1)/Yield_Originals!$K131</f>
        <v>9.0288114016880486E-2</v>
      </c>
    </row>
    <row r="132" spans="1:28" x14ac:dyDescent="0.25">
      <c r="A132" s="72" t="s">
        <v>955</v>
      </c>
      <c r="B132" s="70">
        <v>2</v>
      </c>
      <c r="C132" s="99" t="s">
        <v>891</v>
      </c>
      <c r="D132" s="99" t="s">
        <v>966</v>
      </c>
      <c r="E132" s="100">
        <v>13</v>
      </c>
      <c r="F132" s="102">
        <v>4.7066607756444598E-2</v>
      </c>
      <c r="G132" s="102">
        <v>4.7066607756444598E-2</v>
      </c>
      <c r="H132" s="102">
        <f>+(Yield_Originals!I132+Yield_Originals!G132)/2</f>
        <v>4.9911003367085247E-2</v>
      </c>
      <c r="I132" s="102">
        <v>5.2755398977725902E-2</v>
      </c>
      <c r="J132" s="102">
        <v>5.0160063342711399E-2</v>
      </c>
      <c r="K132" s="103">
        <v>1</v>
      </c>
      <c r="L132" s="104">
        <f>(Yield_Originals!$G132*Yield_Originals!L$1)/Yield_Originals!$K132</f>
        <v>5.6479929307733524E-2</v>
      </c>
      <c r="M132" s="104">
        <f>(Yield_Originals!$G132*Yield_Originals!M$1)/Yield_Originals!$K132</f>
        <v>5.8244927098600192E-2</v>
      </c>
      <c r="N132" s="104">
        <f>(Yield_Originals!$G132*Yield_Originals!N$1)/Yield_Originals!$K132</f>
        <v>6.0009924889466867E-2</v>
      </c>
      <c r="O132" s="104">
        <f>(Yield_Originals!$G132*Yield_Originals!O$1)/Yield_Originals!$K132</f>
        <v>6.1774922680333542E-2</v>
      </c>
      <c r="P132" s="105">
        <f>(Yield_Originals!$H132*Yield_Originals!P$1)/Yield_Originals!$K132</f>
        <v>6.7379854545565082E-2</v>
      </c>
      <c r="Q132" s="105">
        <f>(Yield_Originals!$H132*Yield_Originals!Q$1)/Yield_Originals!$K132</f>
        <v>6.9251517171830784E-2</v>
      </c>
      <c r="R132" s="105">
        <f>(Yield_Originals!$H132*Yield_Originals!R$1)/Yield_Originals!$K132</f>
        <v>7.1123179798096486E-2</v>
      </c>
      <c r="S132" s="105">
        <f>(Yield_Originals!$H132*Yield_Originals!S$1)/Yield_Originals!$K132</f>
        <v>7.2994842424362189E-2</v>
      </c>
      <c r="T132" s="107">
        <f>(Yield_Originals!$I132*Yield_Originals!T$1)/Yield_Originals!$K132</f>
        <v>7.9133098466588878E-2</v>
      </c>
      <c r="U132" s="107">
        <f>(Yield_Originals!$I132*Yield_Originals!U$1)/Yield_Originals!$K132</f>
        <v>8.1111425928253586E-2</v>
      </c>
      <c r="V132" s="107">
        <f>(Yield_Originals!$I132*Yield_Originals!V$1)/Yield_Originals!$K132</f>
        <v>8.3089753389918308E-2</v>
      </c>
      <c r="W132" s="107">
        <f>(Yield_Originals!$I132*Yield_Originals!W$1)/Yield_Originals!$K132</f>
        <v>8.5068080851583003E-2</v>
      </c>
      <c r="X132" s="108">
        <f>(Yield_Originals!$J132*Yield_Originals!X$1)/Yield_Originals!$K132</f>
        <v>8.2764104515473808E-2</v>
      </c>
      <c r="Y132" s="108">
        <f>(Yield_Originals!$J132*Yield_Originals!Y$1)/Yield_Originals!$K132</f>
        <v>8.4645106890825467E-2</v>
      </c>
      <c r="Z132" s="108">
        <f>(Yield_Originals!$J132*Yield_Originals!Z$1)/Yield_Originals!$K132</f>
        <v>8.652610926617714E-2</v>
      </c>
      <c r="AA132" s="108">
        <f>(Yield_Originals!$J132*Yield_Originals!AA$1)/Yield_Originals!$K132</f>
        <v>8.8407111641528799E-2</v>
      </c>
      <c r="AB132" s="108">
        <f>(Yield_Originals!$J132*Yield_Originals!AB$1)/Yield_Originals!$K132</f>
        <v>9.0288114016880486E-2</v>
      </c>
    </row>
    <row r="133" spans="1:28" x14ac:dyDescent="0.25">
      <c r="A133" s="72" t="s">
        <v>955</v>
      </c>
      <c r="B133" s="70">
        <v>2</v>
      </c>
      <c r="C133" s="99" t="s">
        <v>891</v>
      </c>
      <c r="D133" s="99" t="s">
        <v>966</v>
      </c>
      <c r="E133" s="100">
        <v>14</v>
      </c>
      <c r="F133" s="102">
        <v>4.7066607756444598E-2</v>
      </c>
      <c r="G133" s="102">
        <v>4.7066607756444598E-2</v>
      </c>
      <c r="H133" s="102">
        <f>+(Yield_Originals!I133+Yield_Originals!G133)/2</f>
        <v>4.9911003367085247E-2</v>
      </c>
      <c r="I133" s="102">
        <v>5.2755398977725902E-2</v>
      </c>
      <c r="J133" s="102">
        <v>5.0160063342711399E-2</v>
      </c>
      <c r="K133" s="103">
        <v>1</v>
      </c>
      <c r="L133" s="104">
        <f>(Yield_Originals!$G133*Yield_Originals!L$1)/Yield_Originals!$K133</f>
        <v>5.6479929307733524E-2</v>
      </c>
      <c r="M133" s="104">
        <f>(Yield_Originals!$G133*Yield_Originals!M$1)/Yield_Originals!$K133</f>
        <v>5.8244927098600192E-2</v>
      </c>
      <c r="N133" s="104">
        <f>(Yield_Originals!$G133*Yield_Originals!N$1)/Yield_Originals!$K133</f>
        <v>6.0009924889466867E-2</v>
      </c>
      <c r="O133" s="104">
        <f>(Yield_Originals!$G133*Yield_Originals!O$1)/Yield_Originals!$K133</f>
        <v>6.1774922680333542E-2</v>
      </c>
      <c r="P133" s="105">
        <f>(Yield_Originals!$H133*Yield_Originals!P$1)/Yield_Originals!$K133</f>
        <v>6.7379854545565082E-2</v>
      </c>
      <c r="Q133" s="105">
        <f>(Yield_Originals!$H133*Yield_Originals!Q$1)/Yield_Originals!$K133</f>
        <v>6.9251517171830784E-2</v>
      </c>
      <c r="R133" s="105">
        <f>(Yield_Originals!$H133*Yield_Originals!R$1)/Yield_Originals!$K133</f>
        <v>7.1123179798096486E-2</v>
      </c>
      <c r="S133" s="105">
        <f>(Yield_Originals!$H133*Yield_Originals!S$1)/Yield_Originals!$K133</f>
        <v>7.2994842424362189E-2</v>
      </c>
      <c r="T133" s="107">
        <f>(Yield_Originals!$I133*Yield_Originals!T$1)/Yield_Originals!$K133</f>
        <v>7.9133098466588878E-2</v>
      </c>
      <c r="U133" s="107">
        <f>(Yield_Originals!$I133*Yield_Originals!U$1)/Yield_Originals!$K133</f>
        <v>8.1111425928253586E-2</v>
      </c>
      <c r="V133" s="107">
        <f>(Yield_Originals!$I133*Yield_Originals!V$1)/Yield_Originals!$K133</f>
        <v>8.3089753389918308E-2</v>
      </c>
      <c r="W133" s="107">
        <f>(Yield_Originals!$I133*Yield_Originals!W$1)/Yield_Originals!$K133</f>
        <v>8.5068080851583003E-2</v>
      </c>
      <c r="X133" s="108">
        <f>(Yield_Originals!$J133*Yield_Originals!X$1)/Yield_Originals!$K133</f>
        <v>8.2764104515473808E-2</v>
      </c>
      <c r="Y133" s="108">
        <f>(Yield_Originals!$J133*Yield_Originals!Y$1)/Yield_Originals!$K133</f>
        <v>8.4645106890825467E-2</v>
      </c>
      <c r="Z133" s="108">
        <f>(Yield_Originals!$J133*Yield_Originals!Z$1)/Yield_Originals!$K133</f>
        <v>8.652610926617714E-2</v>
      </c>
      <c r="AA133" s="108">
        <f>(Yield_Originals!$J133*Yield_Originals!AA$1)/Yield_Originals!$K133</f>
        <v>8.8407111641528799E-2</v>
      </c>
      <c r="AB133" s="108">
        <f>(Yield_Originals!$J133*Yield_Originals!AB$1)/Yield_Originals!$K133</f>
        <v>9.0288114016880486E-2</v>
      </c>
    </row>
    <row r="134" spans="1:28" x14ac:dyDescent="0.25">
      <c r="A134" s="72" t="s">
        <v>955</v>
      </c>
      <c r="B134" s="70">
        <v>2</v>
      </c>
      <c r="C134" s="99" t="s">
        <v>891</v>
      </c>
      <c r="D134" s="99" t="s">
        <v>966</v>
      </c>
      <c r="E134" s="100">
        <v>15</v>
      </c>
      <c r="F134" s="102">
        <v>4.7066607756444598E-2</v>
      </c>
      <c r="G134" s="102">
        <v>4.7066607756444598E-2</v>
      </c>
      <c r="H134" s="102">
        <f>+(Yield_Originals!I134+Yield_Originals!G134)/2</f>
        <v>4.9911003367085247E-2</v>
      </c>
      <c r="I134" s="102">
        <v>5.2755398977725902E-2</v>
      </c>
      <c r="J134" s="102">
        <v>5.0160063342711399E-2</v>
      </c>
      <c r="K134" s="103">
        <v>1</v>
      </c>
      <c r="L134" s="104">
        <f>(Yield_Originals!$G134*Yield_Originals!L$1)/Yield_Originals!$K134</f>
        <v>5.6479929307733524E-2</v>
      </c>
      <c r="M134" s="104">
        <f>(Yield_Originals!$G134*Yield_Originals!M$1)/Yield_Originals!$K134</f>
        <v>5.8244927098600192E-2</v>
      </c>
      <c r="N134" s="104">
        <f>(Yield_Originals!$G134*Yield_Originals!N$1)/Yield_Originals!$K134</f>
        <v>6.0009924889466867E-2</v>
      </c>
      <c r="O134" s="104">
        <f>(Yield_Originals!$G134*Yield_Originals!O$1)/Yield_Originals!$K134</f>
        <v>6.1774922680333542E-2</v>
      </c>
      <c r="P134" s="105">
        <f>(Yield_Originals!$H134*Yield_Originals!P$1)/Yield_Originals!$K134</f>
        <v>6.7379854545565082E-2</v>
      </c>
      <c r="Q134" s="105">
        <f>(Yield_Originals!$H134*Yield_Originals!Q$1)/Yield_Originals!$K134</f>
        <v>6.9251517171830784E-2</v>
      </c>
      <c r="R134" s="105">
        <f>(Yield_Originals!$H134*Yield_Originals!R$1)/Yield_Originals!$K134</f>
        <v>7.1123179798096486E-2</v>
      </c>
      <c r="S134" s="105">
        <f>(Yield_Originals!$H134*Yield_Originals!S$1)/Yield_Originals!$K134</f>
        <v>7.2994842424362189E-2</v>
      </c>
      <c r="T134" s="107">
        <f>(Yield_Originals!$I134*Yield_Originals!T$1)/Yield_Originals!$K134</f>
        <v>7.9133098466588878E-2</v>
      </c>
      <c r="U134" s="107">
        <f>(Yield_Originals!$I134*Yield_Originals!U$1)/Yield_Originals!$K134</f>
        <v>8.1111425928253586E-2</v>
      </c>
      <c r="V134" s="107">
        <f>(Yield_Originals!$I134*Yield_Originals!V$1)/Yield_Originals!$K134</f>
        <v>8.3089753389918308E-2</v>
      </c>
      <c r="W134" s="107">
        <f>(Yield_Originals!$I134*Yield_Originals!W$1)/Yield_Originals!$K134</f>
        <v>8.5068080851583003E-2</v>
      </c>
      <c r="X134" s="108">
        <f>(Yield_Originals!$J134*Yield_Originals!X$1)/Yield_Originals!$K134</f>
        <v>8.2764104515473808E-2</v>
      </c>
      <c r="Y134" s="108">
        <f>(Yield_Originals!$J134*Yield_Originals!Y$1)/Yield_Originals!$K134</f>
        <v>8.4645106890825467E-2</v>
      </c>
      <c r="Z134" s="108">
        <f>(Yield_Originals!$J134*Yield_Originals!Z$1)/Yield_Originals!$K134</f>
        <v>8.652610926617714E-2</v>
      </c>
      <c r="AA134" s="108">
        <f>(Yield_Originals!$J134*Yield_Originals!AA$1)/Yield_Originals!$K134</f>
        <v>8.8407111641528799E-2</v>
      </c>
      <c r="AB134" s="108">
        <f>(Yield_Originals!$J134*Yield_Originals!AB$1)/Yield_Originals!$K134</f>
        <v>9.0288114016880486E-2</v>
      </c>
    </row>
    <row r="135" spans="1:28" x14ac:dyDescent="0.25">
      <c r="A135" s="72" t="s">
        <v>955</v>
      </c>
      <c r="B135" s="70">
        <v>2</v>
      </c>
      <c r="C135" s="99" t="s">
        <v>894</v>
      </c>
      <c r="D135" s="99" t="s">
        <v>963</v>
      </c>
      <c r="E135" s="100">
        <v>9</v>
      </c>
      <c r="F135" s="102">
        <v>4.7066607756444598E-2</v>
      </c>
      <c r="G135" s="102">
        <v>4.7066607756444598E-2</v>
      </c>
      <c r="H135" s="102">
        <f>+(Yield_Originals!I135+Yield_Originals!G135)/2</f>
        <v>4.9911003367085247E-2</v>
      </c>
      <c r="I135" s="102">
        <v>5.2755398977725902E-2</v>
      </c>
      <c r="J135" s="102">
        <v>5.0160063342711399E-2</v>
      </c>
      <c r="K135" s="103">
        <v>1</v>
      </c>
      <c r="L135" s="104">
        <f>(Yield_Originals!$G135*Yield_Originals!L$1)/Yield_Originals!$K135</f>
        <v>5.6479929307733524E-2</v>
      </c>
      <c r="M135" s="104">
        <f>(Yield_Originals!$G135*Yield_Originals!M$1)/Yield_Originals!$K135</f>
        <v>5.8244927098600192E-2</v>
      </c>
      <c r="N135" s="104">
        <f>(Yield_Originals!$G135*Yield_Originals!N$1)/Yield_Originals!$K135</f>
        <v>6.0009924889466867E-2</v>
      </c>
      <c r="O135" s="104">
        <f>(Yield_Originals!$G135*Yield_Originals!O$1)/Yield_Originals!$K135</f>
        <v>6.1774922680333542E-2</v>
      </c>
      <c r="P135" s="105">
        <f>(Yield_Originals!$H135*Yield_Originals!P$1)/Yield_Originals!$K135</f>
        <v>6.7379854545565082E-2</v>
      </c>
      <c r="Q135" s="105"/>
      <c r="R135" s="105"/>
      <c r="S135" s="105"/>
      <c r="T135" s="107"/>
      <c r="U135" s="107"/>
      <c r="V135" s="107"/>
      <c r="W135" s="107"/>
      <c r="X135" s="108"/>
      <c r="Y135" s="108"/>
      <c r="Z135" s="108"/>
      <c r="AA135" s="108"/>
      <c r="AB135" s="108"/>
    </row>
    <row r="136" spans="1:28" x14ac:dyDescent="0.25">
      <c r="A136" s="72" t="s">
        <v>955</v>
      </c>
      <c r="B136" s="70">
        <v>2</v>
      </c>
      <c r="C136" s="99" t="s">
        <v>894</v>
      </c>
      <c r="D136" s="99" t="s">
        <v>963</v>
      </c>
      <c r="E136" s="100">
        <v>10</v>
      </c>
      <c r="F136" s="102">
        <v>4.7066607756444598E-2</v>
      </c>
      <c r="G136" s="102">
        <v>4.7066607756444598E-2</v>
      </c>
      <c r="H136" s="102">
        <f>+(Yield_Originals!I136+Yield_Originals!G136)/2</f>
        <v>4.9911003367085247E-2</v>
      </c>
      <c r="I136" s="102">
        <v>5.2755398977725902E-2</v>
      </c>
      <c r="J136" s="102">
        <v>5.0160063342711399E-2</v>
      </c>
      <c r="K136" s="103">
        <v>1</v>
      </c>
      <c r="L136" s="104">
        <f>(Yield_Originals!$G136*Yield_Originals!L$1)/Yield_Originals!$K136</f>
        <v>5.6479929307733524E-2</v>
      </c>
      <c r="M136" s="104">
        <f>(Yield_Originals!$G136*Yield_Originals!M$1)/Yield_Originals!$K136</f>
        <v>5.8244927098600192E-2</v>
      </c>
      <c r="N136" s="104">
        <f>(Yield_Originals!$G136*Yield_Originals!N$1)/Yield_Originals!$K136</f>
        <v>6.0009924889466867E-2</v>
      </c>
      <c r="O136" s="104">
        <f>(Yield_Originals!$G136*Yield_Originals!O$1)/Yield_Originals!$K136</f>
        <v>6.1774922680333542E-2</v>
      </c>
      <c r="P136" s="105">
        <f>(Yield_Originals!$H136*Yield_Originals!P$1)/Yield_Originals!$K136</f>
        <v>6.7379854545565082E-2</v>
      </c>
      <c r="Q136" s="105"/>
      <c r="R136" s="105"/>
      <c r="S136" s="105"/>
      <c r="T136" s="107"/>
      <c r="U136" s="107"/>
      <c r="V136" s="107"/>
      <c r="W136" s="107"/>
      <c r="X136" s="108"/>
      <c r="Y136" s="108"/>
      <c r="Z136" s="108"/>
      <c r="AA136" s="108"/>
      <c r="AB136" s="108"/>
    </row>
    <row r="137" spans="1:28" x14ac:dyDescent="0.25">
      <c r="A137" s="72" t="s">
        <v>955</v>
      </c>
      <c r="B137" s="70">
        <v>2</v>
      </c>
      <c r="C137" s="99" t="s">
        <v>894</v>
      </c>
      <c r="D137" s="99" t="s">
        <v>963</v>
      </c>
      <c r="E137" s="100">
        <v>11</v>
      </c>
      <c r="F137" s="102">
        <v>4.7066607756444598E-2</v>
      </c>
      <c r="G137" s="102">
        <v>4.7066607756444598E-2</v>
      </c>
      <c r="H137" s="102">
        <f>+(Yield_Originals!I137+Yield_Originals!G137)/2</f>
        <v>4.9911003367085247E-2</v>
      </c>
      <c r="I137" s="102">
        <v>5.2755398977725902E-2</v>
      </c>
      <c r="J137" s="102">
        <v>5.0160063342711399E-2</v>
      </c>
      <c r="K137" s="103">
        <v>1</v>
      </c>
      <c r="L137" s="104">
        <f>(Yield_Originals!$G137*Yield_Originals!L$1)/Yield_Originals!$K137</f>
        <v>5.6479929307733524E-2</v>
      </c>
      <c r="M137" s="104">
        <f>(Yield_Originals!$G137*Yield_Originals!M$1)/Yield_Originals!$K137</f>
        <v>5.8244927098600192E-2</v>
      </c>
      <c r="N137" s="104">
        <f>(Yield_Originals!$G137*Yield_Originals!N$1)/Yield_Originals!$K137</f>
        <v>6.0009924889466867E-2</v>
      </c>
      <c r="O137" s="104">
        <f>(Yield_Originals!$G137*Yield_Originals!O$1)/Yield_Originals!$K137</f>
        <v>6.1774922680333542E-2</v>
      </c>
      <c r="P137" s="105">
        <f>(Yield_Originals!$H137*Yield_Originals!P$1)/Yield_Originals!$K137</f>
        <v>6.7379854545565082E-2</v>
      </c>
      <c r="Q137" s="105"/>
      <c r="R137" s="105"/>
      <c r="S137" s="105"/>
      <c r="T137" s="107"/>
      <c r="U137" s="107"/>
      <c r="V137" s="107"/>
      <c r="W137" s="107"/>
      <c r="X137" s="108"/>
      <c r="Y137" s="108"/>
      <c r="Z137" s="108"/>
      <c r="AA137" s="108"/>
      <c r="AB137" s="108"/>
    </row>
    <row r="138" spans="1:28" x14ac:dyDescent="0.25">
      <c r="A138" s="72" t="s">
        <v>955</v>
      </c>
      <c r="B138" s="70">
        <v>2</v>
      </c>
      <c r="C138" s="99" t="s">
        <v>894</v>
      </c>
      <c r="D138" s="99" t="s">
        <v>963</v>
      </c>
      <c r="E138" s="100">
        <v>12</v>
      </c>
      <c r="F138" s="102">
        <v>4.7066607756444598E-2</v>
      </c>
      <c r="G138" s="102">
        <v>4.7066607756444598E-2</v>
      </c>
      <c r="H138" s="102">
        <f>+(Yield_Originals!I138+Yield_Originals!G138)/2</f>
        <v>4.9911003367085247E-2</v>
      </c>
      <c r="I138" s="102">
        <v>5.2755398977725902E-2</v>
      </c>
      <c r="J138" s="102">
        <v>5.0160063342711399E-2</v>
      </c>
      <c r="K138" s="103">
        <v>1</v>
      </c>
      <c r="L138" s="104">
        <f>(Yield_Originals!$G138*Yield_Originals!L$1)/Yield_Originals!$K138</f>
        <v>5.6479929307733524E-2</v>
      </c>
      <c r="M138" s="104">
        <f>(Yield_Originals!$G138*Yield_Originals!M$1)/Yield_Originals!$K138</f>
        <v>5.8244927098600192E-2</v>
      </c>
      <c r="N138" s="104">
        <f>(Yield_Originals!$G138*Yield_Originals!N$1)/Yield_Originals!$K138</f>
        <v>6.0009924889466867E-2</v>
      </c>
      <c r="O138" s="104">
        <f>(Yield_Originals!$G138*Yield_Originals!O$1)/Yield_Originals!$K138</f>
        <v>6.1774922680333542E-2</v>
      </c>
      <c r="P138" s="105">
        <f>(Yield_Originals!$H138*Yield_Originals!P$1)/Yield_Originals!$K138</f>
        <v>6.7379854545565082E-2</v>
      </c>
      <c r="Q138" s="105"/>
      <c r="R138" s="105"/>
      <c r="S138" s="105"/>
      <c r="T138" s="107"/>
      <c r="U138" s="107"/>
      <c r="V138" s="107"/>
      <c r="W138" s="107"/>
      <c r="X138" s="108"/>
      <c r="Y138" s="108"/>
      <c r="Z138" s="108"/>
      <c r="AA138" s="108"/>
      <c r="AB138" s="108"/>
    </row>
    <row r="139" spans="1:28" x14ac:dyDescent="0.25">
      <c r="A139" s="72" t="s">
        <v>955</v>
      </c>
      <c r="B139" s="70">
        <v>2</v>
      </c>
      <c r="C139" s="99" t="s">
        <v>894</v>
      </c>
      <c r="D139" s="99" t="s">
        <v>963</v>
      </c>
      <c r="E139" s="100">
        <v>13</v>
      </c>
      <c r="F139" s="102">
        <v>4.7066607756444598E-2</v>
      </c>
      <c r="G139" s="102">
        <v>4.7066607756444598E-2</v>
      </c>
      <c r="H139" s="102">
        <f>+(Yield_Originals!I139+Yield_Originals!G139)/2</f>
        <v>4.9911003367085247E-2</v>
      </c>
      <c r="I139" s="102">
        <v>5.2755398977725902E-2</v>
      </c>
      <c r="J139" s="102">
        <v>5.0160063342711399E-2</v>
      </c>
      <c r="K139" s="103">
        <v>1</v>
      </c>
      <c r="L139" s="104">
        <f>(Yield_Originals!$G139*Yield_Originals!L$1)/Yield_Originals!$K139</f>
        <v>5.6479929307733524E-2</v>
      </c>
      <c r="M139" s="104">
        <f>(Yield_Originals!$G139*Yield_Originals!M$1)/Yield_Originals!$K139</f>
        <v>5.8244927098600192E-2</v>
      </c>
      <c r="N139" s="104">
        <f>(Yield_Originals!$G139*Yield_Originals!N$1)/Yield_Originals!$K139</f>
        <v>6.0009924889466867E-2</v>
      </c>
      <c r="O139" s="104">
        <f>(Yield_Originals!$G139*Yield_Originals!O$1)/Yield_Originals!$K139</f>
        <v>6.1774922680333542E-2</v>
      </c>
      <c r="P139" s="105">
        <f>(Yield_Originals!$H139*Yield_Originals!P$1)/Yield_Originals!$K139</f>
        <v>6.7379854545565082E-2</v>
      </c>
      <c r="Q139" s="105"/>
      <c r="R139" s="105"/>
      <c r="S139" s="105"/>
      <c r="T139" s="107"/>
      <c r="U139" s="107"/>
      <c r="V139" s="107"/>
      <c r="W139" s="107"/>
      <c r="X139" s="108"/>
      <c r="Y139" s="108"/>
      <c r="Z139" s="108"/>
      <c r="AA139" s="108"/>
      <c r="AB139" s="108"/>
    </row>
    <row r="140" spans="1:28" x14ac:dyDescent="0.25">
      <c r="A140" s="72" t="s">
        <v>955</v>
      </c>
      <c r="B140" s="70">
        <v>2</v>
      </c>
      <c r="C140" s="99" t="s">
        <v>894</v>
      </c>
      <c r="D140" s="99" t="s">
        <v>963</v>
      </c>
      <c r="E140" s="100">
        <v>14</v>
      </c>
      <c r="F140" s="102">
        <v>4.7066607756444598E-2</v>
      </c>
      <c r="G140" s="102">
        <v>4.7066607756444598E-2</v>
      </c>
      <c r="H140" s="102">
        <f>+(Yield_Originals!I140+Yield_Originals!G140)/2</f>
        <v>4.9911003367085247E-2</v>
      </c>
      <c r="I140" s="102">
        <v>5.2755398977725902E-2</v>
      </c>
      <c r="J140" s="102">
        <v>5.0160063342711399E-2</v>
      </c>
      <c r="K140" s="103">
        <v>1</v>
      </c>
      <c r="L140" s="104">
        <f>(Yield_Originals!$G140*Yield_Originals!L$1)/Yield_Originals!$K140</f>
        <v>5.6479929307733524E-2</v>
      </c>
      <c r="M140" s="104">
        <f>(Yield_Originals!$G140*Yield_Originals!M$1)/Yield_Originals!$K140</f>
        <v>5.8244927098600192E-2</v>
      </c>
      <c r="N140" s="104">
        <f>(Yield_Originals!$G140*Yield_Originals!N$1)/Yield_Originals!$K140</f>
        <v>6.0009924889466867E-2</v>
      </c>
      <c r="O140" s="104">
        <f>(Yield_Originals!$G140*Yield_Originals!O$1)/Yield_Originals!$K140</f>
        <v>6.1774922680333542E-2</v>
      </c>
      <c r="P140" s="105">
        <f>(Yield_Originals!$H140*Yield_Originals!P$1)/Yield_Originals!$K140</f>
        <v>6.7379854545565082E-2</v>
      </c>
      <c r="Q140" s="105"/>
      <c r="R140" s="105"/>
      <c r="S140" s="105"/>
      <c r="T140" s="107"/>
      <c r="U140" s="107"/>
      <c r="V140" s="107"/>
      <c r="W140" s="107"/>
      <c r="X140" s="108"/>
      <c r="Y140" s="108"/>
      <c r="Z140" s="108"/>
      <c r="AA140" s="108"/>
      <c r="AB140" s="108"/>
    </row>
    <row r="141" spans="1:28" x14ac:dyDescent="0.25">
      <c r="A141" s="72" t="s">
        <v>955</v>
      </c>
      <c r="B141" s="70">
        <v>2</v>
      </c>
      <c r="C141" s="99" t="s">
        <v>894</v>
      </c>
      <c r="D141" s="99" t="s">
        <v>963</v>
      </c>
      <c r="E141" s="100">
        <v>15</v>
      </c>
      <c r="F141" s="102">
        <v>4.7066607756444598E-2</v>
      </c>
      <c r="G141" s="102">
        <v>4.7066607756444598E-2</v>
      </c>
      <c r="H141" s="102">
        <f>+(Yield_Originals!I141+Yield_Originals!G141)/2</f>
        <v>4.9911003367085247E-2</v>
      </c>
      <c r="I141" s="102">
        <v>5.2755398977725902E-2</v>
      </c>
      <c r="J141" s="102">
        <v>5.0160063342711399E-2</v>
      </c>
      <c r="K141" s="103">
        <v>1</v>
      </c>
      <c r="L141" s="104">
        <f>(Yield_Originals!$G141*Yield_Originals!L$1)/Yield_Originals!$K141</f>
        <v>5.6479929307733524E-2</v>
      </c>
      <c r="M141" s="104">
        <f>(Yield_Originals!$G141*Yield_Originals!M$1)/Yield_Originals!$K141</f>
        <v>5.8244927098600192E-2</v>
      </c>
      <c r="N141" s="104">
        <f>(Yield_Originals!$G141*Yield_Originals!N$1)/Yield_Originals!$K141</f>
        <v>6.0009924889466867E-2</v>
      </c>
      <c r="O141" s="104">
        <f>(Yield_Originals!$G141*Yield_Originals!O$1)/Yield_Originals!$K141</f>
        <v>6.1774922680333542E-2</v>
      </c>
      <c r="P141" s="105">
        <f>(Yield_Originals!$H141*Yield_Originals!P$1)/Yield_Originals!$K141</f>
        <v>6.7379854545565082E-2</v>
      </c>
      <c r="Q141" s="105"/>
      <c r="R141" s="105"/>
      <c r="S141" s="105"/>
      <c r="T141" s="107"/>
      <c r="U141" s="107"/>
      <c r="V141" s="107"/>
      <c r="W141" s="107"/>
      <c r="X141" s="108"/>
      <c r="Y141" s="108"/>
      <c r="Z141" s="108"/>
      <c r="AA141" s="108"/>
      <c r="AB141" s="108"/>
    </row>
    <row r="142" spans="1:28" x14ac:dyDescent="0.25">
      <c r="A142" s="72" t="s">
        <v>970</v>
      </c>
      <c r="B142" s="70">
        <v>2</v>
      </c>
      <c r="C142" s="57" t="s">
        <v>898</v>
      </c>
      <c r="D142" s="57" t="s">
        <v>986</v>
      </c>
      <c r="E142" s="100">
        <v>22</v>
      </c>
      <c r="F142" s="102">
        <v>4.7920198716335002E-2</v>
      </c>
      <c r="G142" s="102">
        <v>4.7920198716335002E-2</v>
      </c>
      <c r="H142" s="102">
        <f>+(Yield_Originals!I142+Yield_Originals!G142)/2</f>
        <v>4.9787821804547702E-2</v>
      </c>
      <c r="I142" s="102">
        <v>5.1655444892760402E-2</v>
      </c>
      <c r="J142" s="102">
        <v>4.8331516136121903E-2</v>
      </c>
      <c r="K142" s="103">
        <v>1</v>
      </c>
      <c r="L142" s="104">
        <f>(Yield_Originals!$G142*Yield_Originals!L$1)/Yield_Originals!$K142</f>
        <v>5.7504238459602008E-2</v>
      </c>
      <c r="M142" s="104">
        <f>(Yield_Originals!$G142*Yield_Originals!M$1)/Yield_Originals!$K142</f>
        <v>5.9301245911464566E-2</v>
      </c>
      <c r="N142" s="104">
        <f>(Yield_Originals!$G142*Yield_Originals!N$1)/Yield_Originals!$K142</f>
        <v>6.1098253363327137E-2</v>
      </c>
      <c r="O142" s="104">
        <f>(Yield_Originals!$G142*Yield_Originals!O$1)/Yield_Originals!$K142</f>
        <v>6.2895260815189702E-2</v>
      </c>
      <c r="P142" s="105">
        <f>(Yield_Originals!$H142*Yield_Originals!P$1)/Yield_Originals!$K142</f>
        <v>6.7213559436139408E-2</v>
      </c>
      <c r="Q142" s="105">
        <f>(Yield_Originals!$H142*Yield_Originals!Q$1)/Yield_Originals!$K142</f>
        <v>6.908060275380995E-2</v>
      </c>
      <c r="R142" s="105">
        <f>(Yield_Originals!$H142*Yield_Originals!R$1)/Yield_Originals!$K142</f>
        <v>7.0947646071480491E-2</v>
      </c>
      <c r="S142" s="105">
        <f>(Yield_Originals!$H142*Yield_Originals!S$1)/Yield_Originals!$K142</f>
        <v>7.2814689389151033E-2</v>
      </c>
      <c r="T142" s="107">
        <f>(Yield_Originals!$I142*Yield_Originals!T$1)/Yield_Originals!$K142</f>
        <v>7.7483167339140624E-2</v>
      </c>
      <c r="U142" s="107">
        <f>(Yield_Originals!$I142*Yield_Originals!U$1)/Yield_Originals!$K142</f>
        <v>7.9420246522619128E-2</v>
      </c>
      <c r="V142" s="107">
        <f>(Yield_Originals!$I142*Yield_Originals!V$1)/Yield_Originals!$K142</f>
        <v>8.1357325706097647E-2</v>
      </c>
      <c r="W142" s="107">
        <f>(Yield_Originals!$I142*Yield_Originals!W$1)/Yield_Originals!$K142</f>
        <v>8.3294404889576137E-2</v>
      </c>
      <c r="X142" s="108">
        <f>(Yield_Originals!$J142*Yield_Originals!X$1)/Yield_Originals!$K142</f>
        <v>7.9747001624601133E-2</v>
      </c>
      <c r="Y142" s="108">
        <f>(Yield_Originals!$J142*Yield_Originals!Y$1)/Yield_Originals!$K142</f>
        <v>8.1559433479705692E-2</v>
      </c>
      <c r="Z142" s="108">
        <f>(Yield_Originals!$J142*Yield_Originals!Z$1)/Yield_Originals!$K142</f>
        <v>8.3371865334810266E-2</v>
      </c>
      <c r="AA142" s="108">
        <f>(Yield_Originals!$J142*Yield_Originals!AA$1)/Yield_Originals!$K142</f>
        <v>8.5184297189914826E-2</v>
      </c>
      <c r="AB142" s="108">
        <f>(Yield_Originals!$J142*Yield_Originals!AB$1)/Yield_Originals!$K142</f>
        <v>8.69967290450194E-2</v>
      </c>
    </row>
    <row r="143" spans="1:28" x14ac:dyDescent="0.25">
      <c r="A143" s="72" t="s">
        <v>970</v>
      </c>
      <c r="B143" s="70">
        <v>2</v>
      </c>
      <c r="C143" s="57" t="s">
        <v>365</v>
      </c>
      <c r="D143" s="57" t="s">
        <v>969</v>
      </c>
      <c r="E143" s="100">
        <v>16</v>
      </c>
      <c r="F143" s="102">
        <v>4.7920198716335002E-2</v>
      </c>
      <c r="G143" s="102">
        <v>4.7920198716335002E-2</v>
      </c>
      <c r="H143" s="102">
        <f>+(Yield_Originals!I143+Yield_Originals!G143)/2</f>
        <v>4.9787821804547702E-2</v>
      </c>
      <c r="I143" s="102">
        <v>5.1655444892760402E-2</v>
      </c>
      <c r="J143" s="102">
        <v>4.8331516136121903E-2</v>
      </c>
      <c r="K143" s="103">
        <v>1</v>
      </c>
      <c r="L143" s="104">
        <f>(Yield_Originals!$G143*Yield_Originals!L$1)/Yield_Originals!$K143</f>
        <v>5.7504238459602008E-2</v>
      </c>
      <c r="M143" s="104">
        <f>(Yield_Originals!$G143*Yield_Originals!M$1)/Yield_Originals!$K143</f>
        <v>5.9301245911464566E-2</v>
      </c>
      <c r="N143" s="104">
        <f>(Yield_Originals!$G143*Yield_Originals!N$1)/Yield_Originals!$K143</f>
        <v>6.1098253363327137E-2</v>
      </c>
      <c r="O143" s="104">
        <f>(Yield_Originals!$G143*Yield_Originals!O$1)/Yield_Originals!$K143</f>
        <v>6.2895260815189702E-2</v>
      </c>
      <c r="P143" s="105">
        <f>(Yield_Originals!$H143*Yield_Originals!P$1)/Yield_Originals!$K143</f>
        <v>6.7213559436139408E-2</v>
      </c>
      <c r="Q143" s="105">
        <f>(Yield_Originals!$H143*Yield_Originals!Q$1)/Yield_Originals!$K143</f>
        <v>6.908060275380995E-2</v>
      </c>
      <c r="R143" s="105">
        <f>(Yield_Originals!$H143*Yield_Originals!R$1)/Yield_Originals!$K143</f>
        <v>7.0947646071480491E-2</v>
      </c>
      <c r="S143" s="105">
        <f>(Yield_Originals!$H143*Yield_Originals!S$1)/Yield_Originals!$K143</f>
        <v>7.2814689389151033E-2</v>
      </c>
      <c r="T143" s="107">
        <f>(Yield_Originals!$I143*Yield_Originals!T$1)/Yield_Originals!$K143</f>
        <v>7.7483167339140624E-2</v>
      </c>
      <c r="U143" s="107">
        <f>(Yield_Originals!$I143*Yield_Originals!U$1)/Yield_Originals!$K143</f>
        <v>7.9420246522619128E-2</v>
      </c>
      <c r="V143" s="107">
        <f>(Yield_Originals!$I143*Yield_Originals!V$1)/Yield_Originals!$K143</f>
        <v>8.1357325706097647E-2</v>
      </c>
      <c r="W143" s="107">
        <f>(Yield_Originals!$I143*Yield_Originals!W$1)/Yield_Originals!$K143</f>
        <v>8.3294404889576137E-2</v>
      </c>
      <c r="X143" s="108">
        <f>(Yield_Originals!$J143*Yield_Originals!X$1)/Yield_Originals!$K143</f>
        <v>7.9747001624601133E-2</v>
      </c>
      <c r="Y143" s="108">
        <f>(Yield_Originals!$J143*Yield_Originals!Y$1)/Yield_Originals!$K143</f>
        <v>8.1559433479705692E-2</v>
      </c>
      <c r="Z143" s="108">
        <f>(Yield_Originals!$J143*Yield_Originals!Z$1)/Yield_Originals!$K143</f>
        <v>8.3371865334810266E-2</v>
      </c>
      <c r="AA143" s="108">
        <f>(Yield_Originals!$J143*Yield_Originals!AA$1)/Yield_Originals!$K143</f>
        <v>8.5184297189914826E-2</v>
      </c>
      <c r="AB143" s="108">
        <f>(Yield_Originals!$J143*Yield_Originals!AB$1)/Yield_Originals!$K143</f>
        <v>8.69967290450194E-2</v>
      </c>
    </row>
    <row r="144" spans="1:28" x14ac:dyDescent="0.25">
      <c r="A144" s="72" t="s">
        <v>970</v>
      </c>
      <c r="B144" s="70">
        <v>2</v>
      </c>
      <c r="C144" s="57" t="s">
        <v>365</v>
      </c>
      <c r="D144" s="57" t="s">
        <v>969</v>
      </c>
      <c r="E144" s="100">
        <v>17</v>
      </c>
      <c r="F144" s="102">
        <v>4.7920198716335002E-2</v>
      </c>
      <c r="G144" s="102">
        <v>4.7920198716335002E-2</v>
      </c>
      <c r="H144" s="102">
        <f>+(Yield_Originals!I144+Yield_Originals!G144)/2</f>
        <v>4.9787821804547702E-2</v>
      </c>
      <c r="I144" s="102">
        <v>5.1655444892760402E-2</v>
      </c>
      <c r="J144" s="102">
        <v>4.8331516136121903E-2</v>
      </c>
      <c r="K144" s="103">
        <v>1</v>
      </c>
      <c r="L144" s="104">
        <f>(Yield_Originals!$G144*Yield_Originals!L$1)/Yield_Originals!$K144</f>
        <v>5.7504238459602008E-2</v>
      </c>
      <c r="M144" s="104">
        <f>(Yield_Originals!$G144*Yield_Originals!M$1)/Yield_Originals!$K144</f>
        <v>5.9301245911464566E-2</v>
      </c>
      <c r="N144" s="104">
        <f>(Yield_Originals!$G144*Yield_Originals!N$1)/Yield_Originals!$K144</f>
        <v>6.1098253363327137E-2</v>
      </c>
      <c r="O144" s="104">
        <f>(Yield_Originals!$G144*Yield_Originals!O$1)/Yield_Originals!$K144</f>
        <v>6.2895260815189702E-2</v>
      </c>
      <c r="P144" s="105">
        <f>(Yield_Originals!$H144*Yield_Originals!P$1)/Yield_Originals!$K144</f>
        <v>6.7213559436139408E-2</v>
      </c>
      <c r="Q144" s="105">
        <f>(Yield_Originals!$H144*Yield_Originals!Q$1)/Yield_Originals!$K144</f>
        <v>6.908060275380995E-2</v>
      </c>
      <c r="R144" s="105">
        <f>(Yield_Originals!$H144*Yield_Originals!R$1)/Yield_Originals!$K144</f>
        <v>7.0947646071480491E-2</v>
      </c>
      <c r="S144" s="105">
        <f>(Yield_Originals!$H144*Yield_Originals!S$1)/Yield_Originals!$K144</f>
        <v>7.2814689389151033E-2</v>
      </c>
      <c r="T144" s="107">
        <f>(Yield_Originals!$I144*Yield_Originals!T$1)/Yield_Originals!$K144</f>
        <v>7.7483167339140624E-2</v>
      </c>
      <c r="U144" s="107">
        <f>(Yield_Originals!$I144*Yield_Originals!U$1)/Yield_Originals!$K144</f>
        <v>7.9420246522619128E-2</v>
      </c>
      <c r="V144" s="107">
        <f>(Yield_Originals!$I144*Yield_Originals!V$1)/Yield_Originals!$K144</f>
        <v>8.1357325706097647E-2</v>
      </c>
      <c r="W144" s="107">
        <f>(Yield_Originals!$I144*Yield_Originals!W$1)/Yield_Originals!$K144</f>
        <v>8.3294404889576137E-2</v>
      </c>
      <c r="X144" s="108">
        <f>(Yield_Originals!$J144*Yield_Originals!X$1)/Yield_Originals!$K144</f>
        <v>7.9747001624601133E-2</v>
      </c>
      <c r="Y144" s="108">
        <f>(Yield_Originals!$J144*Yield_Originals!Y$1)/Yield_Originals!$K144</f>
        <v>8.1559433479705692E-2</v>
      </c>
      <c r="Z144" s="108">
        <f>(Yield_Originals!$J144*Yield_Originals!Z$1)/Yield_Originals!$K144</f>
        <v>8.3371865334810266E-2</v>
      </c>
      <c r="AA144" s="108">
        <f>(Yield_Originals!$J144*Yield_Originals!AA$1)/Yield_Originals!$K144</f>
        <v>8.5184297189914826E-2</v>
      </c>
      <c r="AB144" s="108">
        <f>(Yield_Originals!$J144*Yield_Originals!AB$1)/Yield_Originals!$K144</f>
        <v>8.69967290450194E-2</v>
      </c>
    </row>
    <row r="145" spans="1:28" x14ac:dyDescent="0.25">
      <c r="A145" s="72" t="s">
        <v>970</v>
      </c>
      <c r="B145" s="70">
        <v>2</v>
      </c>
      <c r="C145" s="57" t="s">
        <v>365</v>
      </c>
      <c r="D145" s="57" t="s">
        <v>969</v>
      </c>
      <c r="E145" s="100">
        <v>18</v>
      </c>
      <c r="F145" s="102">
        <v>4.7920198716335002E-2</v>
      </c>
      <c r="G145" s="102">
        <v>4.7920198716335002E-2</v>
      </c>
      <c r="H145" s="102">
        <f>+(Yield_Originals!I145+Yield_Originals!G145)/2</f>
        <v>4.9787821804547702E-2</v>
      </c>
      <c r="I145" s="102">
        <v>5.1655444892760402E-2</v>
      </c>
      <c r="J145" s="102">
        <v>4.8331516136121903E-2</v>
      </c>
      <c r="K145" s="103">
        <v>1</v>
      </c>
      <c r="L145" s="104">
        <f>(Yield_Originals!$G145*Yield_Originals!L$1)/Yield_Originals!$K145</f>
        <v>5.7504238459602008E-2</v>
      </c>
      <c r="M145" s="104">
        <f>(Yield_Originals!$G145*Yield_Originals!M$1)/Yield_Originals!$K145</f>
        <v>5.9301245911464566E-2</v>
      </c>
      <c r="N145" s="104">
        <f>(Yield_Originals!$G145*Yield_Originals!N$1)/Yield_Originals!$K145</f>
        <v>6.1098253363327137E-2</v>
      </c>
      <c r="O145" s="104">
        <f>(Yield_Originals!$G145*Yield_Originals!O$1)/Yield_Originals!$K145</f>
        <v>6.2895260815189702E-2</v>
      </c>
      <c r="P145" s="105">
        <f>(Yield_Originals!$H145*Yield_Originals!P$1)/Yield_Originals!$K145</f>
        <v>6.7213559436139408E-2</v>
      </c>
      <c r="Q145" s="105">
        <f>(Yield_Originals!$H145*Yield_Originals!Q$1)/Yield_Originals!$K145</f>
        <v>6.908060275380995E-2</v>
      </c>
      <c r="R145" s="105">
        <f>(Yield_Originals!$H145*Yield_Originals!R$1)/Yield_Originals!$K145</f>
        <v>7.0947646071480491E-2</v>
      </c>
      <c r="S145" s="105">
        <f>(Yield_Originals!$H145*Yield_Originals!S$1)/Yield_Originals!$K145</f>
        <v>7.2814689389151033E-2</v>
      </c>
      <c r="T145" s="107">
        <f>(Yield_Originals!$I145*Yield_Originals!T$1)/Yield_Originals!$K145</f>
        <v>7.7483167339140624E-2</v>
      </c>
      <c r="U145" s="107">
        <f>(Yield_Originals!$I145*Yield_Originals!U$1)/Yield_Originals!$K145</f>
        <v>7.9420246522619128E-2</v>
      </c>
      <c r="V145" s="107">
        <f>(Yield_Originals!$I145*Yield_Originals!V$1)/Yield_Originals!$K145</f>
        <v>8.1357325706097647E-2</v>
      </c>
      <c r="W145" s="107">
        <f>(Yield_Originals!$I145*Yield_Originals!W$1)/Yield_Originals!$K145</f>
        <v>8.3294404889576137E-2</v>
      </c>
      <c r="X145" s="108">
        <f>(Yield_Originals!$J145*Yield_Originals!X$1)/Yield_Originals!$K145</f>
        <v>7.9747001624601133E-2</v>
      </c>
      <c r="Y145" s="108">
        <f>(Yield_Originals!$J145*Yield_Originals!Y$1)/Yield_Originals!$K145</f>
        <v>8.1559433479705692E-2</v>
      </c>
      <c r="Z145" s="108">
        <f>(Yield_Originals!$J145*Yield_Originals!Z$1)/Yield_Originals!$K145</f>
        <v>8.3371865334810266E-2</v>
      </c>
      <c r="AA145" s="108">
        <f>(Yield_Originals!$J145*Yield_Originals!AA$1)/Yield_Originals!$K145</f>
        <v>8.5184297189914826E-2</v>
      </c>
      <c r="AB145" s="108">
        <f>(Yield_Originals!$J145*Yield_Originals!AB$1)/Yield_Originals!$K145</f>
        <v>8.69967290450194E-2</v>
      </c>
    </row>
    <row r="146" spans="1:28" x14ac:dyDescent="0.25">
      <c r="A146" s="72" t="s">
        <v>970</v>
      </c>
      <c r="B146" s="70">
        <v>2</v>
      </c>
      <c r="C146" s="57" t="s">
        <v>365</v>
      </c>
      <c r="D146" s="57" t="s">
        <v>969</v>
      </c>
      <c r="E146" s="100">
        <v>19</v>
      </c>
      <c r="F146" s="102">
        <v>4.7920198716335002E-2</v>
      </c>
      <c r="G146" s="102">
        <v>4.7920198716335002E-2</v>
      </c>
      <c r="H146" s="102">
        <f>+(Yield_Originals!I146+Yield_Originals!G146)/2</f>
        <v>4.9787821804547702E-2</v>
      </c>
      <c r="I146" s="102">
        <v>5.1655444892760402E-2</v>
      </c>
      <c r="J146" s="102">
        <v>4.8331516136121903E-2</v>
      </c>
      <c r="K146" s="103">
        <v>1</v>
      </c>
      <c r="L146" s="104">
        <f>(Yield_Originals!$G146*Yield_Originals!L$1)/Yield_Originals!$K146</f>
        <v>5.7504238459602008E-2</v>
      </c>
      <c r="M146" s="104">
        <f>(Yield_Originals!$G146*Yield_Originals!M$1)/Yield_Originals!$K146</f>
        <v>5.9301245911464566E-2</v>
      </c>
      <c r="N146" s="104">
        <f>(Yield_Originals!$G146*Yield_Originals!N$1)/Yield_Originals!$K146</f>
        <v>6.1098253363327137E-2</v>
      </c>
      <c r="O146" s="104">
        <f>(Yield_Originals!$G146*Yield_Originals!O$1)/Yield_Originals!$K146</f>
        <v>6.2895260815189702E-2</v>
      </c>
      <c r="P146" s="105">
        <f>(Yield_Originals!$H146*Yield_Originals!P$1)/Yield_Originals!$K146</f>
        <v>6.7213559436139408E-2</v>
      </c>
      <c r="Q146" s="105">
        <f>(Yield_Originals!$H146*Yield_Originals!Q$1)/Yield_Originals!$K146</f>
        <v>6.908060275380995E-2</v>
      </c>
      <c r="R146" s="105">
        <f>(Yield_Originals!$H146*Yield_Originals!R$1)/Yield_Originals!$K146</f>
        <v>7.0947646071480491E-2</v>
      </c>
      <c r="S146" s="105">
        <f>(Yield_Originals!$H146*Yield_Originals!S$1)/Yield_Originals!$K146</f>
        <v>7.2814689389151033E-2</v>
      </c>
      <c r="T146" s="107">
        <f>(Yield_Originals!$I146*Yield_Originals!T$1)/Yield_Originals!$K146</f>
        <v>7.7483167339140624E-2</v>
      </c>
      <c r="U146" s="107">
        <f>(Yield_Originals!$I146*Yield_Originals!U$1)/Yield_Originals!$K146</f>
        <v>7.9420246522619128E-2</v>
      </c>
      <c r="V146" s="107">
        <f>(Yield_Originals!$I146*Yield_Originals!V$1)/Yield_Originals!$K146</f>
        <v>8.1357325706097647E-2</v>
      </c>
      <c r="W146" s="107">
        <f>(Yield_Originals!$I146*Yield_Originals!W$1)/Yield_Originals!$K146</f>
        <v>8.3294404889576137E-2</v>
      </c>
      <c r="X146" s="108">
        <f>(Yield_Originals!$J146*Yield_Originals!X$1)/Yield_Originals!$K146</f>
        <v>7.9747001624601133E-2</v>
      </c>
      <c r="Y146" s="108">
        <f>(Yield_Originals!$J146*Yield_Originals!Y$1)/Yield_Originals!$K146</f>
        <v>8.1559433479705692E-2</v>
      </c>
      <c r="Z146" s="108">
        <f>(Yield_Originals!$J146*Yield_Originals!Z$1)/Yield_Originals!$K146</f>
        <v>8.3371865334810266E-2</v>
      </c>
      <c r="AA146" s="108">
        <f>(Yield_Originals!$J146*Yield_Originals!AA$1)/Yield_Originals!$K146</f>
        <v>8.5184297189914826E-2</v>
      </c>
      <c r="AB146" s="108">
        <f>(Yield_Originals!$J146*Yield_Originals!AB$1)/Yield_Originals!$K146</f>
        <v>8.69967290450194E-2</v>
      </c>
    </row>
    <row r="147" spans="1:28" x14ac:dyDescent="0.25">
      <c r="A147" s="72" t="s">
        <v>970</v>
      </c>
      <c r="B147" s="70">
        <v>2</v>
      </c>
      <c r="C147" s="57" t="s">
        <v>365</v>
      </c>
      <c r="D147" s="57" t="s">
        <v>969</v>
      </c>
      <c r="E147" s="100">
        <v>20</v>
      </c>
      <c r="F147" s="102">
        <v>4.7920198716335002E-2</v>
      </c>
      <c r="G147" s="102">
        <v>4.7920198716335002E-2</v>
      </c>
      <c r="H147" s="102">
        <f>+(Yield_Originals!I147+Yield_Originals!G147)/2</f>
        <v>4.9787821804547702E-2</v>
      </c>
      <c r="I147" s="102">
        <v>5.1655444892760402E-2</v>
      </c>
      <c r="J147" s="102">
        <v>4.8331516136121903E-2</v>
      </c>
      <c r="K147" s="103">
        <v>1</v>
      </c>
      <c r="L147" s="104">
        <f>(Yield_Originals!$G147*Yield_Originals!L$1)/Yield_Originals!$K147</f>
        <v>5.7504238459602008E-2</v>
      </c>
      <c r="M147" s="104">
        <f>(Yield_Originals!$G147*Yield_Originals!M$1)/Yield_Originals!$K147</f>
        <v>5.9301245911464566E-2</v>
      </c>
      <c r="N147" s="104">
        <f>(Yield_Originals!$G147*Yield_Originals!N$1)/Yield_Originals!$K147</f>
        <v>6.1098253363327137E-2</v>
      </c>
      <c r="O147" s="104">
        <f>(Yield_Originals!$G147*Yield_Originals!O$1)/Yield_Originals!$K147</f>
        <v>6.2895260815189702E-2</v>
      </c>
      <c r="P147" s="105">
        <f>(Yield_Originals!$H147*Yield_Originals!P$1)/Yield_Originals!$K147</f>
        <v>6.7213559436139408E-2</v>
      </c>
      <c r="Q147" s="105">
        <f>(Yield_Originals!$H147*Yield_Originals!Q$1)/Yield_Originals!$K147</f>
        <v>6.908060275380995E-2</v>
      </c>
      <c r="R147" s="105">
        <f>(Yield_Originals!$H147*Yield_Originals!R$1)/Yield_Originals!$K147</f>
        <v>7.0947646071480491E-2</v>
      </c>
      <c r="S147" s="105">
        <f>(Yield_Originals!$H147*Yield_Originals!S$1)/Yield_Originals!$K147</f>
        <v>7.2814689389151033E-2</v>
      </c>
      <c r="T147" s="107">
        <f>(Yield_Originals!$I147*Yield_Originals!T$1)/Yield_Originals!$K147</f>
        <v>7.7483167339140624E-2</v>
      </c>
      <c r="U147" s="107">
        <f>(Yield_Originals!$I147*Yield_Originals!U$1)/Yield_Originals!$K147</f>
        <v>7.9420246522619128E-2</v>
      </c>
      <c r="V147" s="107">
        <f>(Yield_Originals!$I147*Yield_Originals!V$1)/Yield_Originals!$K147</f>
        <v>8.1357325706097647E-2</v>
      </c>
      <c r="W147" s="107">
        <f>(Yield_Originals!$I147*Yield_Originals!W$1)/Yield_Originals!$K147</f>
        <v>8.3294404889576137E-2</v>
      </c>
      <c r="X147" s="108">
        <f>(Yield_Originals!$J147*Yield_Originals!X$1)/Yield_Originals!$K147</f>
        <v>7.9747001624601133E-2</v>
      </c>
      <c r="Y147" s="108">
        <f>(Yield_Originals!$J147*Yield_Originals!Y$1)/Yield_Originals!$K147</f>
        <v>8.1559433479705692E-2</v>
      </c>
      <c r="Z147" s="108">
        <f>(Yield_Originals!$J147*Yield_Originals!Z$1)/Yield_Originals!$K147</f>
        <v>8.3371865334810266E-2</v>
      </c>
      <c r="AA147" s="108">
        <f>(Yield_Originals!$J147*Yield_Originals!AA$1)/Yield_Originals!$K147</f>
        <v>8.5184297189914826E-2</v>
      </c>
      <c r="AB147" s="108">
        <f>(Yield_Originals!$J147*Yield_Originals!AB$1)/Yield_Originals!$K147</f>
        <v>8.69967290450194E-2</v>
      </c>
    </row>
    <row r="148" spans="1:28" x14ac:dyDescent="0.25">
      <c r="A148" s="72" t="s">
        <v>970</v>
      </c>
      <c r="B148" s="70">
        <v>2</v>
      </c>
      <c r="C148" s="57" t="s">
        <v>365</v>
      </c>
      <c r="D148" s="57" t="s">
        <v>969</v>
      </c>
      <c r="E148" s="100">
        <v>21</v>
      </c>
      <c r="F148" s="102">
        <v>4.7920198716335002E-2</v>
      </c>
      <c r="G148" s="102">
        <v>4.7920198716335002E-2</v>
      </c>
      <c r="H148" s="102">
        <f>+(Yield_Originals!I148+Yield_Originals!G148)/2</f>
        <v>4.9787821804547702E-2</v>
      </c>
      <c r="I148" s="102">
        <v>5.1655444892760402E-2</v>
      </c>
      <c r="J148" s="102">
        <v>4.8331516136121903E-2</v>
      </c>
      <c r="K148" s="103">
        <v>1</v>
      </c>
      <c r="L148" s="104">
        <f>(Yield_Originals!$G148*Yield_Originals!L$1)/Yield_Originals!$K148</f>
        <v>5.7504238459602008E-2</v>
      </c>
      <c r="M148" s="104">
        <f>(Yield_Originals!$G148*Yield_Originals!M$1)/Yield_Originals!$K148</f>
        <v>5.9301245911464566E-2</v>
      </c>
      <c r="N148" s="104">
        <f>(Yield_Originals!$G148*Yield_Originals!N$1)/Yield_Originals!$K148</f>
        <v>6.1098253363327137E-2</v>
      </c>
      <c r="O148" s="104">
        <f>(Yield_Originals!$G148*Yield_Originals!O$1)/Yield_Originals!$K148</f>
        <v>6.2895260815189702E-2</v>
      </c>
      <c r="P148" s="105">
        <f>(Yield_Originals!$H148*Yield_Originals!P$1)/Yield_Originals!$K148</f>
        <v>6.7213559436139408E-2</v>
      </c>
      <c r="Q148" s="105">
        <f>(Yield_Originals!$H148*Yield_Originals!Q$1)/Yield_Originals!$K148</f>
        <v>6.908060275380995E-2</v>
      </c>
      <c r="R148" s="105">
        <f>(Yield_Originals!$H148*Yield_Originals!R$1)/Yield_Originals!$K148</f>
        <v>7.0947646071480491E-2</v>
      </c>
      <c r="S148" s="105">
        <f>(Yield_Originals!$H148*Yield_Originals!S$1)/Yield_Originals!$K148</f>
        <v>7.2814689389151033E-2</v>
      </c>
      <c r="T148" s="107">
        <f>(Yield_Originals!$I148*Yield_Originals!T$1)/Yield_Originals!$K148</f>
        <v>7.7483167339140624E-2</v>
      </c>
      <c r="U148" s="107">
        <f>(Yield_Originals!$I148*Yield_Originals!U$1)/Yield_Originals!$K148</f>
        <v>7.9420246522619128E-2</v>
      </c>
      <c r="V148" s="107">
        <f>(Yield_Originals!$I148*Yield_Originals!V$1)/Yield_Originals!$K148</f>
        <v>8.1357325706097647E-2</v>
      </c>
      <c r="W148" s="107">
        <f>(Yield_Originals!$I148*Yield_Originals!W$1)/Yield_Originals!$K148</f>
        <v>8.3294404889576137E-2</v>
      </c>
      <c r="X148" s="108">
        <f>(Yield_Originals!$J148*Yield_Originals!X$1)/Yield_Originals!$K148</f>
        <v>7.9747001624601133E-2</v>
      </c>
      <c r="Y148" s="108">
        <f>(Yield_Originals!$J148*Yield_Originals!Y$1)/Yield_Originals!$K148</f>
        <v>8.1559433479705692E-2</v>
      </c>
      <c r="Z148" s="108">
        <f>(Yield_Originals!$J148*Yield_Originals!Z$1)/Yield_Originals!$K148</f>
        <v>8.3371865334810266E-2</v>
      </c>
      <c r="AA148" s="108">
        <f>(Yield_Originals!$J148*Yield_Originals!AA$1)/Yield_Originals!$K148</f>
        <v>8.5184297189914826E-2</v>
      </c>
      <c r="AB148" s="108">
        <f>(Yield_Originals!$J148*Yield_Originals!AB$1)/Yield_Originals!$K148</f>
        <v>8.69967290450194E-2</v>
      </c>
    </row>
    <row r="149" spans="1:28" x14ac:dyDescent="0.25">
      <c r="A149" s="72" t="s">
        <v>970</v>
      </c>
      <c r="B149" s="70">
        <v>2</v>
      </c>
      <c r="C149" s="57" t="s">
        <v>367</v>
      </c>
      <c r="D149" s="57" t="s">
        <v>983</v>
      </c>
      <c r="E149" s="100">
        <v>16</v>
      </c>
      <c r="F149" s="102">
        <v>4.7920198716335002E-2</v>
      </c>
      <c r="G149" s="102">
        <v>4.7920198716335002E-2</v>
      </c>
      <c r="H149" s="102">
        <f>+(Yield_Originals!I149+Yield_Originals!G149)/2</f>
        <v>4.9787821804547702E-2</v>
      </c>
      <c r="I149" s="102">
        <v>5.1655444892760402E-2</v>
      </c>
      <c r="J149" s="102">
        <v>4.8331516136121903E-2</v>
      </c>
      <c r="K149" s="103">
        <v>1</v>
      </c>
      <c r="L149" s="104">
        <f>(Yield_Originals!$G149*Yield_Originals!L$1)/Yield_Originals!$K149</f>
        <v>5.7504238459602008E-2</v>
      </c>
      <c r="M149" s="104">
        <f>(Yield_Originals!$G149*Yield_Originals!M$1)/Yield_Originals!$K149</f>
        <v>5.9301245911464566E-2</v>
      </c>
      <c r="N149" s="104">
        <f>(Yield_Originals!$G149*Yield_Originals!N$1)/Yield_Originals!$K149</f>
        <v>6.1098253363327137E-2</v>
      </c>
      <c r="O149" s="104">
        <f>(Yield_Originals!$G149*Yield_Originals!O$1)/Yield_Originals!$K149</f>
        <v>6.2895260815189702E-2</v>
      </c>
      <c r="P149" s="105">
        <f>(Yield_Originals!$H149*Yield_Originals!P$1)/Yield_Originals!$K149</f>
        <v>6.7213559436139408E-2</v>
      </c>
      <c r="Q149" s="105">
        <f>(Yield_Originals!$H149*Yield_Originals!Q$1)/Yield_Originals!$K149</f>
        <v>6.908060275380995E-2</v>
      </c>
      <c r="R149" s="105">
        <f>(Yield_Originals!$H149*Yield_Originals!R$1)/Yield_Originals!$K149</f>
        <v>7.0947646071480491E-2</v>
      </c>
      <c r="S149" s="105">
        <f>(Yield_Originals!$H149*Yield_Originals!S$1)/Yield_Originals!$K149</f>
        <v>7.2814689389151033E-2</v>
      </c>
      <c r="T149" s="107">
        <f>(Yield_Originals!$I149*Yield_Originals!T$1)/Yield_Originals!$K149</f>
        <v>7.7483167339140624E-2</v>
      </c>
      <c r="U149" s="107">
        <f>(Yield_Originals!$I149*Yield_Originals!U$1)/Yield_Originals!$K149</f>
        <v>7.9420246522619128E-2</v>
      </c>
      <c r="V149" s="107">
        <f>(Yield_Originals!$I149*Yield_Originals!V$1)/Yield_Originals!$K149</f>
        <v>8.1357325706097647E-2</v>
      </c>
      <c r="W149" s="107">
        <f>(Yield_Originals!$I149*Yield_Originals!W$1)/Yield_Originals!$K149</f>
        <v>8.3294404889576137E-2</v>
      </c>
      <c r="X149" s="108">
        <f>(Yield_Originals!$J149*Yield_Originals!X$1)/Yield_Originals!$K149</f>
        <v>7.9747001624601133E-2</v>
      </c>
      <c r="Y149" s="108">
        <f>(Yield_Originals!$J149*Yield_Originals!Y$1)/Yield_Originals!$K149</f>
        <v>8.1559433479705692E-2</v>
      </c>
      <c r="Z149" s="108">
        <f>(Yield_Originals!$J149*Yield_Originals!Z$1)/Yield_Originals!$K149</f>
        <v>8.3371865334810266E-2</v>
      </c>
      <c r="AA149" s="108">
        <f>(Yield_Originals!$J149*Yield_Originals!AA$1)/Yield_Originals!$K149</f>
        <v>8.5184297189914826E-2</v>
      </c>
      <c r="AB149" s="108">
        <f>(Yield_Originals!$J149*Yield_Originals!AB$1)/Yield_Originals!$K149</f>
        <v>8.69967290450194E-2</v>
      </c>
    </row>
    <row r="150" spans="1:28" x14ac:dyDescent="0.25">
      <c r="A150" s="72" t="s">
        <v>970</v>
      </c>
      <c r="B150" s="70">
        <v>2</v>
      </c>
      <c r="C150" s="57" t="s">
        <v>367</v>
      </c>
      <c r="D150" s="57" t="s">
        <v>983</v>
      </c>
      <c r="E150" s="100">
        <v>17</v>
      </c>
      <c r="F150" s="102">
        <v>4.7920198716335002E-2</v>
      </c>
      <c r="G150" s="102">
        <v>4.7920198716335002E-2</v>
      </c>
      <c r="H150" s="102">
        <f>+(Yield_Originals!I150+Yield_Originals!G150)/2</f>
        <v>4.9787821804547702E-2</v>
      </c>
      <c r="I150" s="102">
        <v>5.1655444892760402E-2</v>
      </c>
      <c r="J150" s="102">
        <v>4.8331516136121903E-2</v>
      </c>
      <c r="K150" s="103">
        <v>1</v>
      </c>
      <c r="L150" s="104">
        <f>(Yield_Originals!$G150*Yield_Originals!L$1)/Yield_Originals!$K150</f>
        <v>5.7504238459602008E-2</v>
      </c>
      <c r="M150" s="104">
        <f>(Yield_Originals!$G150*Yield_Originals!M$1)/Yield_Originals!$K150</f>
        <v>5.9301245911464566E-2</v>
      </c>
      <c r="N150" s="104">
        <f>(Yield_Originals!$G150*Yield_Originals!N$1)/Yield_Originals!$K150</f>
        <v>6.1098253363327137E-2</v>
      </c>
      <c r="O150" s="104">
        <f>(Yield_Originals!$G150*Yield_Originals!O$1)/Yield_Originals!$K150</f>
        <v>6.2895260815189702E-2</v>
      </c>
      <c r="P150" s="105">
        <f>(Yield_Originals!$H150*Yield_Originals!P$1)/Yield_Originals!$K150</f>
        <v>6.7213559436139408E-2</v>
      </c>
      <c r="Q150" s="105">
        <f>(Yield_Originals!$H150*Yield_Originals!Q$1)/Yield_Originals!$K150</f>
        <v>6.908060275380995E-2</v>
      </c>
      <c r="R150" s="105">
        <f>(Yield_Originals!$H150*Yield_Originals!R$1)/Yield_Originals!$K150</f>
        <v>7.0947646071480491E-2</v>
      </c>
      <c r="S150" s="105">
        <f>(Yield_Originals!$H150*Yield_Originals!S$1)/Yield_Originals!$K150</f>
        <v>7.2814689389151033E-2</v>
      </c>
      <c r="T150" s="107">
        <f>(Yield_Originals!$I150*Yield_Originals!T$1)/Yield_Originals!$K150</f>
        <v>7.7483167339140624E-2</v>
      </c>
      <c r="U150" s="107">
        <f>(Yield_Originals!$I150*Yield_Originals!U$1)/Yield_Originals!$K150</f>
        <v>7.9420246522619128E-2</v>
      </c>
      <c r="V150" s="107">
        <f>(Yield_Originals!$I150*Yield_Originals!V$1)/Yield_Originals!$K150</f>
        <v>8.1357325706097647E-2</v>
      </c>
      <c r="W150" s="107">
        <f>(Yield_Originals!$I150*Yield_Originals!W$1)/Yield_Originals!$K150</f>
        <v>8.3294404889576137E-2</v>
      </c>
      <c r="X150" s="108">
        <f>(Yield_Originals!$J150*Yield_Originals!X$1)/Yield_Originals!$K150</f>
        <v>7.9747001624601133E-2</v>
      </c>
      <c r="Y150" s="108">
        <f>(Yield_Originals!$J150*Yield_Originals!Y$1)/Yield_Originals!$K150</f>
        <v>8.1559433479705692E-2</v>
      </c>
      <c r="Z150" s="108">
        <f>(Yield_Originals!$J150*Yield_Originals!Z$1)/Yield_Originals!$K150</f>
        <v>8.3371865334810266E-2</v>
      </c>
      <c r="AA150" s="108">
        <f>(Yield_Originals!$J150*Yield_Originals!AA$1)/Yield_Originals!$K150</f>
        <v>8.5184297189914826E-2</v>
      </c>
      <c r="AB150" s="108">
        <f>(Yield_Originals!$J150*Yield_Originals!AB$1)/Yield_Originals!$K150</f>
        <v>8.69967290450194E-2</v>
      </c>
    </row>
    <row r="151" spans="1:28" x14ac:dyDescent="0.25">
      <c r="A151" s="72" t="s">
        <v>970</v>
      </c>
      <c r="B151" s="70">
        <v>2</v>
      </c>
      <c r="C151" s="57" t="s">
        <v>367</v>
      </c>
      <c r="D151" s="57" t="s">
        <v>983</v>
      </c>
      <c r="E151" s="100">
        <v>18</v>
      </c>
      <c r="F151" s="102">
        <v>4.7920198716335002E-2</v>
      </c>
      <c r="G151" s="102">
        <v>4.7920198716335002E-2</v>
      </c>
      <c r="H151" s="102">
        <f>+(Yield_Originals!I151+Yield_Originals!G151)/2</f>
        <v>4.9787821804547702E-2</v>
      </c>
      <c r="I151" s="102">
        <v>5.1655444892760402E-2</v>
      </c>
      <c r="J151" s="102">
        <v>4.8331516136121903E-2</v>
      </c>
      <c r="K151" s="103">
        <v>1</v>
      </c>
      <c r="L151" s="104">
        <f>(Yield_Originals!$G151*Yield_Originals!L$1)/Yield_Originals!$K151</f>
        <v>5.7504238459602008E-2</v>
      </c>
      <c r="M151" s="104">
        <f>(Yield_Originals!$G151*Yield_Originals!M$1)/Yield_Originals!$K151</f>
        <v>5.9301245911464566E-2</v>
      </c>
      <c r="N151" s="104">
        <f>(Yield_Originals!$G151*Yield_Originals!N$1)/Yield_Originals!$K151</f>
        <v>6.1098253363327137E-2</v>
      </c>
      <c r="O151" s="104">
        <f>(Yield_Originals!$G151*Yield_Originals!O$1)/Yield_Originals!$K151</f>
        <v>6.2895260815189702E-2</v>
      </c>
      <c r="P151" s="105">
        <f>(Yield_Originals!$H151*Yield_Originals!P$1)/Yield_Originals!$K151</f>
        <v>6.7213559436139408E-2</v>
      </c>
      <c r="Q151" s="105">
        <f>(Yield_Originals!$H151*Yield_Originals!Q$1)/Yield_Originals!$K151</f>
        <v>6.908060275380995E-2</v>
      </c>
      <c r="R151" s="105">
        <f>(Yield_Originals!$H151*Yield_Originals!R$1)/Yield_Originals!$K151</f>
        <v>7.0947646071480491E-2</v>
      </c>
      <c r="S151" s="105">
        <f>(Yield_Originals!$H151*Yield_Originals!S$1)/Yield_Originals!$K151</f>
        <v>7.2814689389151033E-2</v>
      </c>
      <c r="T151" s="107">
        <f>(Yield_Originals!$I151*Yield_Originals!T$1)/Yield_Originals!$K151</f>
        <v>7.7483167339140624E-2</v>
      </c>
      <c r="U151" s="107">
        <f>(Yield_Originals!$I151*Yield_Originals!U$1)/Yield_Originals!$K151</f>
        <v>7.9420246522619128E-2</v>
      </c>
      <c r="V151" s="107">
        <f>(Yield_Originals!$I151*Yield_Originals!V$1)/Yield_Originals!$K151</f>
        <v>8.1357325706097647E-2</v>
      </c>
      <c r="W151" s="107">
        <f>(Yield_Originals!$I151*Yield_Originals!W$1)/Yield_Originals!$K151</f>
        <v>8.3294404889576137E-2</v>
      </c>
      <c r="X151" s="108">
        <f>(Yield_Originals!$J151*Yield_Originals!X$1)/Yield_Originals!$K151</f>
        <v>7.9747001624601133E-2</v>
      </c>
      <c r="Y151" s="108">
        <f>(Yield_Originals!$J151*Yield_Originals!Y$1)/Yield_Originals!$K151</f>
        <v>8.1559433479705692E-2</v>
      </c>
      <c r="Z151" s="108">
        <f>(Yield_Originals!$J151*Yield_Originals!Z$1)/Yield_Originals!$K151</f>
        <v>8.3371865334810266E-2</v>
      </c>
      <c r="AA151" s="108">
        <f>(Yield_Originals!$J151*Yield_Originals!AA$1)/Yield_Originals!$K151</f>
        <v>8.5184297189914826E-2</v>
      </c>
      <c r="AB151" s="108">
        <f>(Yield_Originals!$J151*Yield_Originals!AB$1)/Yield_Originals!$K151</f>
        <v>8.69967290450194E-2</v>
      </c>
    </row>
    <row r="152" spans="1:28" x14ac:dyDescent="0.25">
      <c r="A152" s="72" t="s">
        <v>970</v>
      </c>
      <c r="B152" s="70">
        <v>2</v>
      </c>
      <c r="C152" s="57" t="s">
        <v>367</v>
      </c>
      <c r="D152" s="57" t="s">
        <v>983</v>
      </c>
      <c r="E152" s="100">
        <v>19</v>
      </c>
      <c r="F152" s="102">
        <v>4.7920198716335002E-2</v>
      </c>
      <c r="G152" s="102">
        <v>4.7920198716335002E-2</v>
      </c>
      <c r="H152" s="102">
        <f>+(Yield_Originals!I152+Yield_Originals!G152)/2</f>
        <v>4.9787821804547702E-2</v>
      </c>
      <c r="I152" s="102">
        <v>5.1655444892760402E-2</v>
      </c>
      <c r="J152" s="102">
        <v>4.8331516136121903E-2</v>
      </c>
      <c r="K152" s="103">
        <v>1</v>
      </c>
      <c r="L152" s="104">
        <f>(Yield_Originals!$G152*Yield_Originals!L$1)/Yield_Originals!$K152</f>
        <v>5.7504238459602008E-2</v>
      </c>
      <c r="M152" s="104">
        <f>(Yield_Originals!$G152*Yield_Originals!M$1)/Yield_Originals!$K152</f>
        <v>5.9301245911464566E-2</v>
      </c>
      <c r="N152" s="104">
        <f>(Yield_Originals!$G152*Yield_Originals!N$1)/Yield_Originals!$K152</f>
        <v>6.1098253363327137E-2</v>
      </c>
      <c r="O152" s="104">
        <f>(Yield_Originals!$G152*Yield_Originals!O$1)/Yield_Originals!$K152</f>
        <v>6.2895260815189702E-2</v>
      </c>
      <c r="P152" s="105">
        <f>(Yield_Originals!$H152*Yield_Originals!P$1)/Yield_Originals!$K152</f>
        <v>6.7213559436139408E-2</v>
      </c>
      <c r="Q152" s="105">
        <f>(Yield_Originals!$H152*Yield_Originals!Q$1)/Yield_Originals!$K152</f>
        <v>6.908060275380995E-2</v>
      </c>
      <c r="R152" s="105">
        <f>(Yield_Originals!$H152*Yield_Originals!R$1)/Yield_Originals!$K152</f>
        <v>7.0947646071480491E-2</v>
      </c>
      <c r="S152" s="105">
        <f>(Yield_Originals!$H152*Yield_Originals!S$1)/Yield_Originals!$K152</f>
        <v>7.2814689389151033E-2</v>
      </c>
      <c r="T152" s="107">
        <f>(Yield_Originals!$I152*Yield_Originals!T$1)/Yield_Originals!$K152</f>
        <v>7.7483167339140624E-2</v>
      </c>
      <c r="U152" s="107">
        <f>(Yield_Originals!$I152*Yield_Originals!U$1)/Yield_Originals!$K152</f>
        <v>7.9420246522619128E-2</v>
      </c>
      <c r="V152" s="107">
        <f>(Yield_Originals!$I152*Yield_Originals!V$1)/Yield_Originals!$K152</f>
        <v>8.1357325706097647E-2</v>
      </c>
      <c r="W152" s="107">
        <f>(Yield_Originals!$I152*Yield_Originals!W$1)/Yield_Originals!$K152</f>
        <v>8.3294404889576137E-2</v>
      </c>
      <c r="X152" s="108">
        <f>(Yield_Originals!$J152*Yield_Originals!X$1)/Yield_Originals!$K152</f>
        <v>7.9747001624601133E-2</v>
      </c>
      <c r="Y152" s="108">
        <f>(Yield_Originals!$J152*Yield_Originals!Y$1)/Yield_Originals!$K152</f>
        <v>8.1559433479705692E-2</v>
      </c>
      <c r="Z152" s="108">
        <f>(Yield_Originals!$J152*Yield_Originals!Z$1)/Yield_Originals!$K152</f>
        <v>8.3371865334810266E-2</v>
      </c>
      <c r="AA152" s="108">
        <f>(Yield_Originals!$J152*Yield_Originals!AA$1)/Yield_Originals!$K152</f>
        <v>8.5184297189914826E-2</v>
      </c>
      <c r="AB152" s="108">
        <f>(Yield_Originals!$J152*Yield_Originals!AB$1)/Yield_Originals!$K152</f>
        <v>8.69967290450194E-2</v>
      </c>
    </row>
    <row r="153" spans="1:28" x14ac:dyDescent="0.25">
      <c r="A153" s="72" t="s">
        <v>970</v>
      </c>
      <c r="B153" s="70">
        <v>2</v>
      </c>
      <c r="C153" s="57" t="s">
        <v>367</v>
      </c>
      <c r="D153" s="57" t="s">
        <v>983</v>
      </c>
      <c r="E153" s="100">
        <v>20</v>
      </c>
      <c r="F153" s="102">
        <v>4.7920198716335002E-2</v>
      </c>
      <c r="G153" s="102">
        <v>4.7920198716335002E-2</v>
      </c>
      <c r="H153" s="102">
        <f>+(Yield_Originals!I153+Yield_Originals!G153)/2</f>
        <v>4.9787821804547702E-2</v>
      </c>
      <c r="I153" s="102">
        <v>5.1655444892760402E-2</v>
      </c>
      <c r="J153" s="102">
        <v>4.8331516136121903E-2</v>
      </c>
      <c r="K153" s="103">
        <v>1</v>
      </c>
      <c r="L153" s="104">
        <f>(Yield_Originals!$G153*Yield_Originals!L$1)/Yield_Originals!$K153</f>
        <v>5.7504238459602008E-2</v>
      </c>
      <c r="M153" s="104">
        <f>(Yield_Originals!$G153*Yield_Originals!M$1)/Yield_Originals!$K153</f>
        <v>5.9301245911464566E-2</v>
      </c>
      <c r="N153" s="104">
        <f>(Yield_Originals!$G153*Yield_Originals!N$1)/Yield_Originals!$K153</f>
        <v>6.1098253363327137E-2</v>
      </c>
      <c r="O153" s="104">
        <f>(Yield_Originals!$G153*Yield_Originals!O$1)/Yield_Originals!$K153</f>
        <v>6.2895260815189702E-2</v>
      </c>
      <c r="P153" s="105">
        <f>(Yield_Originals!$H153*Yield_Originals!P$1)/Yield_Originals!$K153</f>
        <v>6.7213559436139408E-2</v>
      </c>
      <c r="Q153" s="105">
        <f>(Yield_Originals!$H153*Yield_Originals!Q$1)/Yield_Originals!$K153</f>
        <v>6.908060275380995E-2</v>
      </c>
      <c r="R153" s="105">
        <f>(Yield_Originals!$H153*Yield_Originals!R$1)/Yield_Originals!$K153</f>
        <v>7.0947646071480491E-2</v>
      </c>
      <c r="S153" s="105">
        <f>(Yield_Originals!$H153*Yield_Originals!S$1)/Yield_Originals!$K153</f>
        <v>7.2814689389151033E-2</v>
      </c>
      <c r="T153" s="107">
        <f>(Yield_Originals!$I153*Yield_Originals!T$1)/Yield_Originals!$K153</f>
        <v>7.7483167339140624E-2</v>
      </c>
      <c r="U153" s="107">
        <f>(Yield_Originals!$I153*Yield_Originals!U$1)/Yield_Originals!$K153</f>
        <v>7.9420246522619128E-2</v>
      </c>
      <c r="V153" s="107">
        <f>(Yield_Originals!$I153*Yield_Originals!V$1)/Yield_Originals!$K153</f>
        <v>8.1357325706097647E-2</v>
      </c>
      <c r="W153" s="107">
        <f>(Yield_Originals!$I153*Yield_Originals!W$1)/Yield_Originals!$K153</f>
        <v>8.3294404889576137E-2</v>
      </c>
      <c r="X153" s="108">
        <f>(Yield_Originals!$J153*Yield_Originals!X$1)/Yield_Originals!$K153</f>
        <v>7.9747001624601133E-2</v>
      </c>
      <c r="Y153" s="108">
        <f>(Yield_Originals!$J153*Yield_Originals!Y$1)/Yield_Originals!$K153</f>
        <v>8.1559433479705692E-2</v>
      </c>
      <c r="Z153" s="108">
        <f>(Yield_Originals!$J153*Yield_Originals!Z$1)/Yield_Originals!$K153</f>
        <v>8.3371865334810266E-2</v>
      </c>
      <c r="AA153" s="108">
        <f>(Yield_Originals!$J153*Yield_Originals!AA$1)/Yield_Originals!$K153</f>
        <v>8.5184297189914826E-2</v>
      </c>
      <c r="AB153" s="108">
        <f>(Yield_Originals!$J153*Yield_Originals!AB$1)/Yield_Originals!$K153</f>
        <v>8.69967290450194E-2</v>
      </c>
    </row>
    <row r="154" spans="1:28" x14ac:dyDescent="0.25">
      <c r="A154" s="72" t="s">
        <v>970</v>
      </c>
      <c r="B154" s="70">
        <v>2</v>
      </c>
      <c r="C154" s="57" t="s">
        <v>367</v>
      </c>
      <c r="D154" s="57" t="s">
        <v>983</v>
      </c>
      <c r="E154" s="100">
        <v>21</v>
      </c>
      <c r="F154" s="102">
        <v>4.7920198716335002E-2</v>
      </c>
      <c r="G154" s="102">
        <v>4.7920198716335002E-2</v>
      </c>
      <c r="H154" s="102">
        <f>+(Yield_Originals!I154+Yield_Originals!G154)/2</f>
        <v>4.9787821804547702E-2</v>
      </c>
      <c r="I154" s="102">
        <v>5.1655444892760402E-2</v>
      </c>
      <c r="J154" s="102">
        <v>4.8331516136121903E-2</v>
      </c>
      <c r="K154" s="103">
        <v>1</v>
      </c>
      <c r="L154" s="104">
        <f>(Yield_Originals!$G154*Yield_Originals!L$1)/Yield_Originals!$K154</f>
        <v>5.7504238459602008E-2</v>
      </c>
      <c r="M154" s="104">
        <f>(Yield_Originals!$G154*Yield_Originals!M$1)/Yield_Originals!$K154</f>
        <v>5.9301245911464566E-2</v>
      </c>
      <c r="N154" s="104">
        <f>(Yield_Originals!$G154*Yield_Originals!N$1)/Yield_Originals!$K154</f>
        <v>6.1098253363327137E-2</v>
      </c>
      <c r="O154" s="104">
        <f>(Yield_Originals!$G154*Yield_Originals!O$1)/Yield_Originals!$K154</f>
        <v>6.2895260815189702E-2</v>
      </c>
      <c r="P154" s="105">
        <f>(Yield_Originals!$H154*Yield_Originals!P$1)/Yield_Originals!$K154</f>
        <v>6.7213559436139408E-2</v>
      </c>
      <c r="Q154" s="105">
        <f>(Yield_Originals!$H154*Yield_Originals!Q$1)/Yield_Originals!$K154</f>
        <v>6.908060275380995E-2</v>
      </c>
      <c r="R154" s="105">
        <f>(Yield_Originals!$H154*Yield_Originals!R$1)/Yield_Originals!$K154</f>
        <v>7.0947646071480491E-2</v>
      </c>
      <c r="S154" s="105">
        <f>(Yield_Originals!$H154*Yield_Originals!S$1)/Yield_Originals!$K154</f>
        <v>7.2814689389151033E-2</v>
      </c>
      <c r="T154" s="107">
        <f>(Yield_Originals!$I154*Yield_Originals!T$1)/Yield_Originals!$K154</f>
        <v>7.7483167339140624E-2</v>
      </c>
      <c r="U154" s="107">
        <f>(Yield_Originals!$I154*Yield_Originals!U$1)/Yield_Originals!$K154</f>
        <v>7.9420246522619128E-2</v>
      </c>
      <c r="V154" s="107">
        <f>(Yield_Originals!$I154*Yield_Originals!V$1)/Yield_Originals!$K154</f>
        <v>8.1357325706097647E-2</v>
      </c>
      <c r="W154" s="107">
        <f>(Yield_Originals!$I154*Yield_Originals!W$1)/Yield_Originals!$K154</f>
        <v>8.3294404889576137E-2</v>
      </c>
      <c r="X154" s="108">
        <f>(Yield_Originals!$J154*Yield_Originals!X$1)/Yield_Originals!$K154</f>
        <v>7.9747001624601133E-2</v>
      </c>
      <c r="Y154" s="108">
        <f>(Yield_Originals!$J154*Yield_Originals!Y$1)/Yield_Originals!$K154</f>
        <v>8.1559433479705692E-2</v>
      </c>
      <c r="Z154" s="108">
        <f>(Yield_Originals!$J154*Yield_Originals!Z$1)/Yield_Originals!$K154</f>
        <v>8.3371865334810266E-2</v>
      </c>
      <c r="AA154" s="108">
        <f>(Yield_Originals!$J154*Yield_Originals!AA$1)/Yield_Originals!$K154</f>
        <v>8.5184297189914826E-2</v>
      </c>
      <c r="AB154" s="108">
        <f>(Yield_Originals!$J154*Yield_Originals!AB$1)/Yield_Originals!$K154</f>
        <v>8.69967290450194E-2</v>
      </c>
    </row>
    <row r="155" spans="1:28" x14ac:dyDescent="0.25">
      <c r="A155" s="72" t="s">
        <v>1000</v>
      </c>
      <c r="B155" s="70">
        <v>3</v>
      </c>
      <c r="C155" s="57" t="s">
        <v>228</v>
      </c>
      <c r="D155" s="57" t="s">
        <v>1004</v>
      </c>
      <c r="E155" s="100">
        <v>27</v>
      </c>
      <c r="F155" s="102">
        <v>0.197549546027287</v>
      </c>
      <c r="G155" s="102">
        <v>0.197549546027287</v>
      </c>
      <c r="H155" s="102">
        <v>0.24722430150788799</v>
      </c>
      <c r="I155" s="102">
        <v>0.25798411286037298</v>
      </c>
      <c r="J155" s="102">
        <v>0.25798411286037298</v>
      </c>
      <c r="K155" s="103">
        <v>1</v>
      </c>
      <c r="L155" s="104"/>
      <c r="M155" s="104"/>
      <c r="N155" s="104"/>
      <c r="O155" s="104"/>
      <c r="P155" s="105"/>
      <c r="Q155" s="105"/>
      <c r="R155" s="105"/>
      <c r="S155" s="105">
        <f>(Yield_Originals!$H155*Yield_Originals!S$1)/Yield_Originals!$K155</f>
        <v>0.36156554095528626</v>
      </c>
      <c r="T155" s="107">
        <f>(Yield_Originals!$I155*Yield_Originals!T$1)/Yield_Originals!$K155</f>
        <v>0.38697616929055961</v>
      </c>
      <c r="U155" s="107">
        <f>(Yield_Originals!$I155*Yield_Originals!U$1)/Yield_Originals!$K155</f>
        <v>0.39665057352282346</v>
      </c>
      <c r="V155" s="107">
        <f>(Yield_Originals!$I155*Yield_Originals!V$1)/Yield_Originals!$K155</f>
        <v>0.40632497775508747</v>
      </c>
      <c r="W155" s="107">
        <f>(Yield_Originals!$I155*Yield_Originals!W$1)/Yield_Originals!$K155</f>
        <v>0.41599938198735137</v>
      </c>
      <c r="X155" s="108">
        <f>(Yield_Originals!$J155*Yield_Originals!X$1)/Yield_Originals!$K155</f>
        <v>0.42567378621961538</v>
      </c>
      <c r="Y155" s="108">
        <f>(Yield_Originals!$J155*Yield_Originals!Y$1)/Yield_Originals!$K155</f>
        <v>0.43534819045187928</v>
      </c>
      <c r="Z155" s="108">
        <f>(Yield_Originals!$J155*Yield_Originals!Z$1)/Yield_Originals!$K155</f>
        <v>0.44502259468414329</v>
      </c>
      <c r="AA155" s="108">
        <f>(Yield_Originals!$J155*Yield_Originals!AA$1)/Yield_Originals!$K155</f>
        <v>0.45469699891640719</v>
      </c>
      <c r="AB155" s="108">
        <f>(Yield_Originals!$J155*Yield_Originals!AB$1)/Yield_Originals!$K155</f>
        <v>0.4643714031486712</v>
      </c>
    </row>
    <row r="156" spans="1:28" x14ac:dyDescent="0.25">
      <c r="A156" s="72" t="s">
        <v>1000</v>
      </c>
      <c r="B156" s="70">
        <v>3</v>
      </c>
      <c r="C156" s="57" t="s">
        <v>124</v>
      </c>
      <c r="D156" s="57" t="s">
        <v>999</v>
      </c>
      <c r="E156" s="100">
        <v>27</v>
      </c>
      <c r="F156" s="102">
        <v>0.197549546027287</v>
      </c>
      <c r="G156" s="102">
        <v>0.197549546027287</v>
      </c>
      <c r="H156" s="102">
        <v>0.24722430150788799</v>
      </c>
      <c r="I156" s="102">
        <v>0.25798411286037298</v>
      </c>
      <c r="J156" s="102">
        <v>0.25798411286037298</v>
      </c>
      <c r="K156" s="103">
        <v>1</v>
      </c>
      <c r="L156" s="104">
        <f>(Yield_Originals!$G156*Yield_Originals!L$1)/Yield_Originals!$K156</f>
        <v>0.23705945523274444</v>
      </c>
      <c r="M156" s="104">
        <f>(Yield_Originals!$G156*Yield_Originals!M$1)/Yield_Originals!$K156</f>
        <v>0.24446756320876767</v>
      </c>
      <c r="N156" s="104">
        <f>(Yield_Originals!$G156*Yield_Originals!N$1)/Yield_Originals!$K156</f>
        <v>0.25187567118479093</v>
      </c>
      <c r="O156" s="104">
        <f>(Yield_Originals!$G156*Yield_Originals!O$1)/Yield_Originals!$K156</f>
        <v>0.25928377916081424</v>
      </c>
      <c r="P156" s="105">
        <f>(Yield_Originals!$H156*Yield_Originals!P$1)/Yield_Originals!$K156</f>
        <v>0.3337528070356488</v>
      </c>
      <c r="Q156" s="105">
        <f>(Yield_Originals!$H156*Yield_Originals!Q$1)/Yield_Originals!$K156</f>
        <v>0.34302371834219464</v>
      </c>
      <c r="R156" s="105">
        <f>(Yield_Originals!$H156*Yield_Originals!R$1)/Yield_Originals!$K156</f>
        <v>0.35229462964874048</v>
      </c>
      <c r="S156" s="105">
        <f>(Yield_Originals!$H156*Yield_Originals!S$1)/Yield_Originals!$K156</f>
        <v>0.36156554095528626</v>
      </c>
      <c r="T156" s="107">
        <f>(Yield_Originals!$I156*Yield_Originals!T$1)/Yield_Originals!$K156</f>
        <v>0.38697616929055961</v>
      </c>
      <c r="U156" s="107">
        <f>(Yield_Originals!$I156*Yield_Originals!U$1)/Yield_Originals!$K156</f>
        <v>0.39665057352282346</v>
      </c>
      <c r="V156" s="107">
        <f>(Yield_Originals!$I156*Yield_Originals!V$1)/Yield_Originals!$K156</f>
        <v>0.40632497775508747</v>
      </c>
      <c r="W156" s="107">
        <f>(Yield_Originals!$I156*Yield_Originals!W$1)/Yield_Originals!$K156</f>
        <v>0.41599938198735137</v>
      </c>
      <c r="X156" s="108">
        <f>(Yield_Originals!$J156*Yield_Originals!X$1)/Yield_Originals!$K156</f>
        <v>0.42567378621961538</v>
      </c>
      <c r="Y156" s="108">
        <f>(Yield_Originals!$J156*Yield_Originals!Y$1)/Yield_Originals!$K156</f>
        <v>0.43534819045187928</v>
      </c>
      <c r="Z156" s="108">
        <f>(Yield_Originals!$J156*Yield_Originals!Z$1)/Yield_Originals!$K156</f>
        <v>0.44502259468414329</v>
      </c>
      <c r="AA156" s="108">
        <f>(Yield_Originals!$J156*Yield_Originals!AA$1)/Yield_Originals!$K156</f>
        <v>0.45469699891640719</v>
      </c>
      <c r="AB156" s="108">
        <f>(Yield_Originals!$J156*Yield_Originals!AB$1)/Yield_Originals!$K156</f>
        <v>0.4643714031486712</v>
      </c>
    </row>
    <row r="157" spans="1:28" x14ac:dyDescent="0.25">
      <c r="A157" s="72" t="s">
        <v>1000</v>
      </c>
      <c r="B157" s="70">
        <v>3</v>
      </c>
      <c r="C157" s="57" t="s">
        <v>229</v>
      </c>
      <c r="D157" s="57" t="s">
        <v>1002</v>
      </c>
      <c r="E157" s="100">
        <v>27</v>
      </c>
      <c r="F157" s="102">
        <v>0.197549546027287</v>
      </c>
      <c r="G157" s="102">
        <v>0.197549546027287</v>
      </c>
      <c r="H157" s="102">
        <v>0.24722430150788799</v>
      </c>
      <c r="I157" s="102">
        <v>0.25798411286037298</v>
      </c>
      <c r="J157" s="102">
        <v>0.25798411286037298</v>
      </c>
      <c r="K157" s="103">
        <v>1</v>
      </c>
      <c r="L157" s="104">
        <f>(Yield_Originals!$G157*Yield_Originals!L$1)/Yield_Originals!$K157</f>
        <v>0.23705945523274444</v>
      </c>
      <c r="M157" s="104">
        <f>(Yield_Originals!$G157*Yield_Originals!M$1)/Yield_Originals!$K157</f>
        <v>0.24446756320876767</v>
      </c>
      <c r="N157" s="104">
        <f>(Yield_Originals!$G157*Yield_Originals!N$1)/Yield_Originals!$K157</f>
        <v>0.25187567118479093</v>
      </c>
      <c r="O157" s="104">
        <f>(Yield_Originals!$G157*Yield_Originals!O$1)/Yield_Originals!$K157</f>
        <v>0.25928377916081424</v>
      </c>
      <c r="P157" s="105">
        <f>(Yield_Originals!$H157*Yield_Originals!P$1)/Yield_Originals!$K157</f>
        <v>0.3337528070356488</v>
      </c>
      <c r="Q157" s="105">
        <f>(Yield_Originals!$H157*Yield_Originals!Q$1)/Yield_Originals!$K157</f>
        <v>0.34302371834219464</v>
      </c>
      <c r="R157" s="105">
        <f>(Yield_Originals!$H157*Yield_Originals!R$1)/Yield_Originals!$K157</f>
        <v>0.35229462964874048</v>
      </c>
      <c r="S157" s="105">
        <f>(Yield_Originals!$H157*Yield_Originals!S$1)/Yield_Originals!$K157</f>
        <v>0.36156554095528626</v>
      </c>
      <c r="T157" s="107">
        <f>(Yield_Originals!$I157*Yield_Originals!T$1)/Yield_Originals!$K157</f>
        <v>0.38697616929055961</v>
      </c>
      <c r="U157" s="107">
        <f>(Yield_Originals!$I157*Yield_Originals!U$1)/Yield_Originals!$K157</f>
        <v>0.39665057352282346</v>
      </c>
      <c r="V157" s="107">
        <f>(Yield_Originals!$I157*Yield_Originals!V$1)/Yield_Originals!$K157</f>
        <v>0.40632497775508747</v>
      </c>
      <c r="W157" s="107">
        <f>(Yield_Originals!$I157*Yield_Originals!W$1)/Yield_Originals!$K157</f>
        <v>0.41599938198735137</v>
      </c>
      <c r="X157" s="108">
        <f>(Yield_Originals!$J157*Yield_Originals!X$1)/Yield_Originals!$K157</f>
        <v>0.42567378621961538</v>
      </c>
      <c r="Y157" s="108">
        <f>(Yield_Originals!$J157*Yield_Originals!Y$1)/Yield_Originals!$K157</f>
        <v>0.43534819045187928</v>
      </c>
      <c r="Z157" s="108">
        <f>(Yield_Originals!$J157*Yield_Originals!Z$1)/Yield_Originals!$K157</f>
        <v>0.44502259468414329</v>
      </c>
      <c r="AA157" s="108">
        <f>(Yield_Originals!$J157*Yield_Originals!AA$1)/Yield_Originals!$K157</f>
        <v>0.45469699891640719</v>
      </c>
      <c r="AB157" s="108">
        <f>(Yield_Originals!$J157*Yield_Originals!AB$1)/Yield_Originals!$K157</f>
        <v>0.4643714031486712</v>
      </c>
    </row>
    <row r="158" spans="1:28" x14ac:dyDescent="0.25">
      <c r="A158" s="72" t="s">
        <v>1000</v>
      </c>
      <c r="B158" s="70">
        <v>3</v>
      </c>
      <c r="C158" s="57" t="s">
        <v>912</v>
      </c>
      <c r="D158" s="57" t="s">
        <v>1006</v>
      </c>
      <c r="E158" s="100">
        <v>27</v>
      </c>
      <c r="F158" s="102">
        <v>0.197549546027287</v>
      </c>
      <c r="G158" s="102">
        <v>0.197549546027287</v>
      </c>
      <c r="H158" s="102">
        <v>0.24722430150788799</v>
      </c>
      <c r="I158" s="102">
        <v>0.25798411286037298</v>
      </c>
      <c r="J158" s="102">
        <v>0.25798411286037298</v>
      </c>
      <c r="K158" s="103">
        <v>1</v>
      </c>
      <c r="L158" s="104">
        <f>(Yield_Originals!$G158*Yield_Originals!L$1)/Yield_Originals!$K158</f>
        <v>0.23705945523274444</v>
      </c>
      <c r="M158" s="104">
        <f>(Yield_Originals!$G158*Yield_Originals!M$1)/Yield_Originals!$K158</f>
        <v>0.24446756320876767</v>
      </c>
      <c r="N158" s="104">
        <f>(Yield_Originals!$G158*Yield_Originals!N$1)/Yield_Originals!$K158</f>
        <v>0.25187567118479093</v>
      </c>
      <c r="O158" s="104">
        <f>(Yield_Originals!$G158*Yield_Originals!O$1)/Yield_Originals!$K158</f>
        <v>0.25928377916081424</v>
      </c>
      <c r="P158" s="105">
        <f>(Yield_Originals!$H158*Yield_Originals!P$1)/Yield_Originals!$K158</f>
        <v>0.3337528070356488</v>
      </c>
      <c r="Q158" s="105">
        <f>(Yield_Originals!$H158*Yield_Originals!Q$1)/Yield_Originals!$K158</f>
        <v>0.34302371834219464</v>
      </c>
      <c r="R158" s="105">
        <f>(Yield_Originals!$H158*Yield_Originals!R$1)/Yield_Originals!$K158</f>
        <v>0.35229462964874048</v>
      </c>
      <c r="S158" s="105">
        <f>(Yield_Originals!$H158*Yield_Originals!S$1)/Yield_Originals!$K158</f>
        <v>0.36156554095528626</v>
      </c>
      <c r="T158" s="107">
        <f>(Yield_Originals!$I158*Yield_Originals!T$1)/Yield_Originals!$K158</f>
        <v>0.38697616929055961</v>
      </c>
      <c r="U158" s="107">
        <f>(Yield_Originals!$I158*Yield_Originals!U$1)/Yield_Originals!$K158</f>
        <v>0.39665057352282346</v>
      </c>
      <c r="V158" s="107">
        <f>(Yield_Originals!$I158*Yield_Originals!V$1)/Yield_Originals!$K158</f>
        <v>0.40632497775508747</v>
      </c>
      <c r="W158" s="107">
        <f>(Yield_Originals!$I158*Yield_Originals!W$1)/Yield_Originals!$K158</f>
        <v>0.41599938198735137</v>
      </c>
      <c r="X158" s="108">
        <f>(Yield_Originals!$J158*Yield_Originals!X$1)/Yield_Originals!$K158</f>
        <v>0.42567378621961538</v>
      </c>
      <c r="Y158" s="108">
        <f>(Yield_Originals!$J158*Yield_Originals!Y$1)/Yield_Originals!$K158</f>
        <v>0.43534819045187928</v>
      </c>
      <c r="Z158" s="108">
        <f>(Yield_Originals!$J158*Yield_Originals!Z$1)/Yield_Originals!$K158</f>
        <v>0.44502259468414329</v>
      </c>
      <c r="AA158" s="108">
        <f>(Yield_Originals!$J158*Yield_Originals!AA$1)/Yield_Originals!$K158</f>
        <v>0.45469699891640719</v>
      </c>
      <c r="AB158" s="108">
        <f>(Yield_Originals!$J158*Yield_Originals!AB$1)/Yield_Originals!$K158</f>
        <v>0.4643714031486712</v>
      </c>
    </row>
    <row r="159" spans="1:28" x14ac:dyDescent="0.25">
      <c r="A159" s="109" t="s">
        <v>1010</v>
      </c>
      <c r="B159" s="70">
        <v>3</v>
      </c>
      <c r="C159" s="57" t="s">
        <v>230</v>
      </c>
      <c r="D159" s="57" t="s">
        <v>1009</v>
      </c>
      <c r="E159" s="100">
        <v>28</v>
      </c>
      <c r="F159" s="102">
        <v>0.21128080595198101</v>
      </c>
      <c r="G159" s="102">
        <v>0.21128080595198101</v>
      </c>
      <c r="H159" s="102">
        <f>+(Yield_Originals!I159+Yield_Originals!G159)/2</f>
        <v>0.21198888698324853</v>
      </c>
      <c r="I159" s="102">
        <v>0.21269696801451601</v>
      </c>
      <c r="J159" s="102">
        <v>0.22368258603862201</v>
      </c>
      <c r="K159" s="103">
        <v>1</v>
      </c>
      <c r="L159" s="104">
        <f>(Yield_Originals!$G159*Yield_Originals!L$1)/Yield_Originals!$K159</f>
        <v>0.25353696714237722</v>
      </c>
      <c r="M159" s="104">
        <f>(Yield_Originals!$G159*Yield_Originals!M$1)/Yield_Originals!$K159</f>
        <v>0.26145999736557651</v>
      </c>
      <c r="N159" s="104"/>
      <c r="O159" s="104"/>
      <c r="P159" s="105"/>
      <c r="Q159" s="105"/>
      <c r="R159" s="105"/>
      <c r="S159" s="105"/>
      <c r="T159" s="107"/>
      <c r="U159" s="107"/>
      <c r="V159" s="107"/>
      <c r="W159" s="107"/>
      <c r="X159" s="108"/>
      <c r="Y159" s="108"/>
      <c r="Z159" s="108"/>
      <c r="AA159" s="108"/>
      <c r="AB159" s="108"/>
    </row>
    <row r="160" spans="1:28" x14ac:dyDescent="0.25">
      <c r="A160" s="109" t="s">
        <v>1010</v>
      </c>
      <c r="B160" s="70">
        <v>3</v>
      </c>
      <c r="C160" s="57" t="s">
        <v>125</v>
      </c>
      <c r="D160" s="57" t="s">
        <v>1012</v>
      </c>
      <c r="E160" s="100">
        <v>28</v>
      </c>
      <c r="F160" s="102">
        <v>0.21128080595198101</v>
      </c>
      <c r="G160" s="102">
        <v>0.21128080595198101</v>
      </c>
      <c r="H160" s="102">
        <f>+(Yield_Originals!I160+Yield_Originals!G160)/2</f>
        <v>0.21198888698324853</v>
      </c>
      <c r="I160" s="102">
        <v>0.21269696801451601</v>
      </c>
      <c r="J160" s="102">
        <v>0.22368258603862201</v>
      </c>
      <c r="K160" s="103">
        <v>1</v>
      </c>
      <c r="L160" s="104">
        <f>(Yield_Originals!$G160*Yield_Originals!L$1)/Yield_Originals!$K160</f>
        <v>0.25353696714237722</v>
      </c>
      <c r="M160" s="104">
        <f>(Yield_Originals!$G160*Yield_Originals!M$1)/Yield_Originals!$K160</f>
        <v>0.26145999736557651</v>
      </c>
      <c r="N160" s="104">
        <f>(Yield_Originals!$G160*Yield_Originals!N$1)/Yield_Originals!$K160</f>
        <v>0.2693830275887758</v>
      </c>
      <c r="O160" s="104">
        <f>(Yield_Originals!$G160*Yield_Originals!O$1)/Yield_Originals!$K160</f>
        <v>0.27730605781197515</v>
      </c>
      <c r="P160" s="105">
        <f>(Yield_Originals!$H160*Yield_Originals!P$1)/Yield_Originals!$K160</f>
        <v>0.28618499742738551</v>
      </c>
      <c r="Q160" s="105">
        <f>(Yield_Originals!$H160*Yield_Originals!Q$1)/Yield_Originals!$K160</f>
        <v>0.29413458068925735</v>
      </c>
      <c r="R160" s="105">
        <f>(Yield_Originals!$H160*Yield_Originals!R$1)/Yield_Originals!$K160</f>
        <v>0.30208416395112919</v>
      </c>
      <c r="S160" s="105">
        <f>(Yield_Originals!$H160*Yield_Originals!S$1)/Yield_Originals!$K160</f>
        <v>0.31003374721300103</v>
      </c>
      <c r="T160" s="107">
        <f>(Yield_Originals!$I160*Yield_Originals!T$1)/Yield_Originals!$K160</f>
        <v>0.31904545202177409</v>
      </c>
      <c r="U160" s="107">
        <f>(Yield_Originals!$I160*Yield_Originals!U$1)/Yield_Originals!$K160</f>
        <v>0.32702158832231837</v>
      </c>
      <c r="V160" s="107">
        <f>(Yield_Originals!$I160*Yield_Originals!V$1)/Yield_Originals!$K160</f>
        <v>0.33499772462286276</v>
      </c>
      <c r="W160" s="107">
        <f>(Yield_Originals!$I160*Yield_Originals!W$1)/Yield_Originals!$K160</f>
        <v>0.34297386092340704</v>
      </c>
      <c r="X160" s="108">
        <f>(Yield_Originals!$J160*Yield_Originals!X$1)/Yield_Originals!$K160</f>
        <v>0.36907626696372631</v>
      </c>
      <c r="Y160" s="108">
        <f>(Yield_Originals!$J160*Yield_Originals!Y$1)/Yield_Originals!$K160</f>
        <v>0.37746436394017452</v>
      </c>
      <c r="Z160" s="108">
        <f>(Yield_Originals!$J160*Yield_Originals!Z$1)/Yield_Originals!$K160</f>
        <v>0.3858524609166229</v>
      </c>
      <c r="AA160" s="108">
        <f>(Yield_Originals!$J160*Yield_Originals!AA$1)/Yield_Originals!$K160</f>
        <v>0.39424055789307111</v>
      </c>
      <c r="AB160" s="108">
        <f>(Yield_Originals!$J160*Yield_Originals!AB$1)/Yield_Originals!$K160</f>
        <v>0.40262865486951949</v>
      </c>
    </row>
    <row r="161" spans="1:28" x14ac:dyDescent="0.25">
      <c r="A161" s="109" t="s">
        <v>1010</v>
      </c>
      <c r="B161" s="70">
        <v>3</v>
      </c>
      <c r="C161" s="57" t="s">
        <v>231</v>
      </c>
      <c r="D161" s="57" t="s">
        <v>1014</v>
      </c>
      <c r="E161" s="100">
        <v>28</v>
      </c>
      <c r="F161" s="102">
        <v>0.21128080595198101</v>
      </c>
      <c r="G161" s="102">
        <v>0.21128080595198101</v>
      </c>
      <c r="H161" s="102">
        <f>+(Yield_Originals!I161+Yield_Originals!G161)/2</f>
        <v>0.21198888698324853</v>
      </c>
      <c r="I161" s="102">
        <v>0.21269696801451601</v>
      </c>
      <c r="J161" s="102">
        <v>0.22368258603862201</v>
      </c>
      <c r="K161" s="103">
        <v>1</v>
      </c>
      <c r="L161" s="104">
        <f>(Yield_Originals!$G161*Yield_Originals!L$1)/Yield_Originals!$K161</f>
        <v>0.25353696714237722</v>
      </c>
      <c r="M161" s="104">
        <f>(Yield_Originals!$G161*Yield_Originals!M$1)/Yield_Originals!$K161</f>
        <v>0.26145999736557651</v>
      </c>
      <c r="N161" s="104">
        <f>(Yield_Originals!$G161*Yield_Originals!N$1)/Yield_Originals!$K161</f>
        <v>0.2693830275887758</v>
      </c>
      <c r="O161" s="104">
        <f>(Yield_Originals!$G161*Yield_Originals!O$1)/Yield_Originals!$K161</f>
        <v>0.27730605781197515</v>
      </c>
      <c r="P161" s="105">
        <f>(Yield_Originals!$H161*Yield_Originals!P$1)/Yield_Originals!$K161</f>
        <v>0.28618499742738551</v>
      </c>
      <c r="Q161" s="105">
        <f>(Yield_Originals!$H161*Yield_Originals!Q$1)/Yield_Originals!$K161</f>
        <v>0.29413458068925735</v>
      </c>
      <c r="R161" s="105">
        <f>(Yield_Originals!$H161*Yield_Originals!R$1)/Yield_Originals!$K161</f>
        <v>0.30208416395112919</v>
      </c>
      <c r="S161" s="105">
        <f>(Yield_Originals!$H161*Yield_Originals!S$1)/Yield_Originals!$K161</f>
        <v>0.31003374721300103</v>
      </c>
      <c r="T161" s="107">
        <f>(Yield_Originals!$I161*Yield_Originals!T$1)/Yield_Originals!$K161</f>
        <v>0.31904545202177409</v>
      </c>
      <c r="U161" s="107">
        <f>(Yield_Originals!$I161*Yield_Originals!U$1)/Yield_Originals!$K161</f>
        <v>0.32702158832231837</v>
      </c>
      <c r="V161" s="107">
        <f>(Yield_Originals!$I161*Yield_Originals!V$1)/Yield_Originals!$K161</f>
        <v>0.33499772462286276</v>
      </c>
      <c r="W161" s="107">
        <f>(Yield_Originals!$I161*Yield_Originals!W$1)/Yield_Originals!$K161</f>
        <v>0.34297386092340704</v>
      </c>
      <c r="X161" s="108">
        <f>(Yield_Originals!$J161*Yield_Originals!X$1)/Yield_Originals!$K161</f>
        <v>0.36907626696372631</v>
      </c>
      <c r="Y161" s="108">
        <f>(Yield_Originals!$J161*Yield_Originals!Y$1)/Yield_Originals!$K161</f>
        <v>0.37746436394017452</v>
      </c>
      <c r="Z161" s="108">
        <f>(Yield_Originals!$J161*Yield_Originals!Z$1)/Yield_Originals!$K161</f>
        <v>0.3858524609166229</v>
      </c>
      <c r="AA161" s="108">
        <f>(Yield_Originals!$J161*Yield_Originals!AA$1)/Yield_Originals!$K161</f>
        <v>0.39424055789307111</v>
      </c>
      <c r="AB161" s="108">
        <f>(Yield_Originals!$J161*Yield_Originals!AB$1)/Yield_Originals!$K161</f>
        <v>0.40262865486951949</v>
      </c>
    </row>
    <row r="162" spans="1:28" x14ac:dyDescent="0.25">
      <c r="A162" s="109" t="s">
        <v>1010</v>
      </c>
      <c r="B162" s="70">
        <v>3</v>
      </c>
      <c r="C162" s="57" t="s">
        <v>921</v>
      </c>
      <c r="D162" s="57" t="s">
        <v>1020</v>
      </c>
      <c r="E162" s="100">
        <v>28</v>
      </c>
      <c r="F162" s="102">
        <v>0.21128080595198101</v>
      </c>
      <c r="G162" s="102">
        <v>0.21128080595198101</v>
      </c>
      <c r="H162" s="102">
        <f>+(Yield_Originals!I162+Yield_Originals!G162)/2</f>
        <v>0.21198888698324853</v>
      </c>
      <c r="I162" s="102">
        <v>0.21269696801451601</v>
      </c>
      <c r="J162" s="102">
        <v>0.22368258603862201</v>
      </c>
      <c r="K162" s="103">
        <v>1</v>
      </c>
      <c r="L162" s="104">
        <f>(Yield_Originals!$G162*Yield_Originals!L$1)/Yield_Originals!$K162</f>
        <v>0.25353696714237722</v>
      </c>
      <c r="M162" s="104">
        <f>(Yield_Originals!$G162*Yield_Originals!M$1)/Yield_Originals!$K162</f>
        <v>0.26145999736557651</v>
      </c>
      <c r="N162" s="104">
        <f>(Yield_Originals!$G162*Yield_Originals!N$1)/Yield_Originals!$K162</f>
        <v>0.2693830275887758</v>
      </c>
      <c r="O162" s="104">
        <f>(Yield_Originals!$G162*Yield_Originals!O$1)/Yield_Originals!$K162</f>
        <v>0.27730605781197515</v>
      </c>
      <c r="P162" s="105">
        <f>(Yield_Originals!$H162*Yield_Originals!P$1)/Yield_Originals!$K162</f>
        <v>0.28618499742738551</v>
      </c>
      <c r="Q162" s="105">
        <f>(Yield_Originals!$H162*Yield_Originals!Q$1)/Yield_Originals!$K162</f>
        <v>0.29413458068925735</v>
      </c>
      <c r="R162" s="105">
        <f>(Yield_Originals!$H162*Yield_Originals!R$1)/Yield_Originals!$K162</f>
        <v>0.30208416395112919</v>
      </c>
      <c r="S162" s="105">
        <f>(Yield_Originals!$H162*Yield_Originals!S$1)/Yield_Originals!$K162</f>
        <v>0.31003374721300103</v>
      </c>
      <c r="T162" s="107">
        <f>(Yield_Originals!$I162*Yield_Originals!T$1)/Yield_Originals!$K162</f>
        <v>0.31904545202177409</v>
      </c>
      <c r="U162" s="107">
        <f>(Yield_Originals!$I162*Yield_Originals!U$1)/Yield_Originals!$K162</f>
        <v>0.32702158832231837</v>
      </c>
      <c r="V162" s="107">
        <f>(Yield_Originals!$I162*Yield_Originals!V$1)/Yield_Originals!$K162</f>
        <v>0.33499772462286276</v>
      </c>
      <c r="W162" s="107">
        <f>(Yield_Originals!$I162*Yield_Originals!W$1)/Yield_Originals!$K162</f>
        <v>0.34297386092340704</v>
      </c>
      <c r="X162" s="108">
        <f>(Yield_Originals!$J162*Yield_Originals!X$1)/Yield_Originals!$K162</f>
        <v>0.36907626696372631</v>
      </c>
      <c r="Y162" s="108">
        <f>(Yield_Originals!$J162*Yield_Originals!Y$1)/Yield_Originals!$K162</f>
        <v>0.37746436394017452</v>
      </c>
      <c r="Z162" s="108">
        <f>(Yield_Originals!$J162*Yield_Originals!Z$1)/Yield_Originals!$K162</f>
        <v>0.3858524609166229</v>
      </c>
      <c r="AA162" s="108">
        <f>(Yield_Originals!$J162*Yield_Originals!AA$1)/Yield_Originals!$K162</f>
        <v>0.39424055789307111</v>
      </c>
      <c r="AB162" s="108">
        <f>(Yield_Originals!$J162*Yield_Originals!AB$1)/Yield_Originals!$K162</f>
        <v>0.40262865486951949</v>
      </c>
    </row>
    <row r="163" spans="1:28" x14ac:dyDescent="0.25">
      <c r="A163" s="109" t="s">
        <v>1010</v>
      </c>
      <c r="B163" s="70">
        <v>3</v>
      </c>
      <c r="C163" s="57" t="s">
        <v>924</v>
      </c>
      <c r="D163" s="57" t="s">
        <v>1018</v>
      </c>
      <c r="E163" s="100">
        <v>28</v>
      </c>
      <c r="F163" s="102">
        <v>0.21128080595198101</v>
      </c>
      <c r="G163" s="102">
        <v>0.21128080595198101</v>
      </c>
      <c r="H163" s="102">
        <f>+(Yield_Originals!I163+Yield_Originals!G163)/2</f>
        <v>0.21198888698324853</v>
      </c>
      <c r="I163" s="102">
        <v>0.21269696801451601</v>
      </c>
      <c r="J163" s="102">
        <v>0.22368258603862201</v>
      </c>
      <c r="K163" s="103">
        <v>1</v>
      </c>
      <c r="L163" s="104">
        <f>(Yield_Originals!$G163*Yield_Originals!L$1)/Yield_Originals!$K163</f>
        <v>0.25353696714237722</v>
      </c>
      <c r="M163" s="104">
        <f>(Yield_Originals!$G163*Yield_Originals!M$1)/Yield_Originals!$K163</f>
        <v>0.26145999736557651</v>
      </c>
      <c r="N163" s="104">
        <f>(Yield_Originals!$G163*Yield_Originals!N$1)/Yield_Originals!$K163</f>
        <v>0.2693830275887758</v>
      </c>
      <c r="O163" s="104">
        <f>(Yield_Originals!$G163*Yield_Originals!O$1)/Yield_Originals!$K163</f>
        <v>0.27730605781197515</v>
      </c>
      <c r="P163" s="105">
        <f>(Yield_Originals!$H163*Yield_Originals!P$1)/Yield_Originals!$K163</f>
        <v>0.28618499742738551</v>
      </c>
      <c r="Q163" s="105">
        <f>(Yield_Originals!$H163*Yield_Originals!Q$1)/Yield_Originals!$K163</f>
        <v>0.29413458068925735</v>
      </c>
      <c r="R163" s="105">
        <f>(Yield_Originals!$H163*Yield_Originals!R$1)/Yield_Originals!$K163</f>
        <v>0.30208416395112919</v>
      </c>
      <c r="S163" s="105">
        <f>(Yield_Originals!$H163*Yield_Originals!S$1)/Yield_Originals!$K163</f>
        <v>0.31003374721300103</v>
      </c>
      <c r="T163" s="107">
        <f>(Yield_Originals!$I163*Yield_Originals!T$1)/Yield_Originals!$K163</f>
        <v>0.31904545202177409</v>
      </c>
      <c r="U163" s="107">
        <f>(Yield_Originals!$I163*Yield_Originals!U$1)/Yield_Originals!$K163</f>
        <v>0.32702158832231837</v>
      </c>
      <c r="V163" s="107">
        <f>(Yield_Originals!$I163*Yield_Originals!V$1)/Yield_Originals!$K163</f>
        <v>0.33499772462286276</v>
      </c>
      <c r="W163" s="107">
        <f>(Yield_Originals!$I163*Yield_Originals!W$1)/Yield_Originals!$K163</f>
        <v>0.34297386092340704</v>
      </c>
      <c r="X163" s="108">
        <f>(Yield_Originals!$J163*Yield_Originals!X$1)/Yield_Originals!$K163</f>
        <v>0.36907626696372631</v>
      </c>
      <c r="Y163" s="108">
        <f>(Yield_Originals!$J163*Yield_Originals!Y$1)/Yield_Originals!$K163</f>
        <v>0.37746436394017452</v>
      </c>
      <c r="Z163" s="108">
        <f>(Yield_Originals!$J163*Yield_Originals!Z$1)/Yield_Originals!$K163</f>
        <v>0.3858524609166229</v>
      </c>
      <c r="AA163" s="108">
        <f>(Yield_Originals!$J163*Yield_Originals!AA$1)/Yield_Originals!$K163</f>
        <v>0.39424055789307111</v>
      </c>
      <c r="AB163" s="108">
        <f>(Yield_Originals!$J163*Yield_Originals!AB$1)/Yield_Originals!$K163</f>
        <v>0.40262865486951949</v>
      </c>
    </row>
    <row r="164" spans="1:28" x14ac:dyDescent="0.25">
      <c r="A164" s="109" t="s">
        <v>1083</v>
      </c>
      <c r="B164" s="70">
        <v>3</v>
      </c>
      <c r="C164" s="57" t="s">
        <v>376</v>
      </c>
      <c r="D164" s="57" t="s">
        <v>1082</v>
      </c>
      <c r="E164" s="100">
        <v>32</v>
      </c>
      <c r="F164" s="102">
        <v>7.5664553583429897E-2</v>
      </c>
      <c r="G164" s="102">
        <v>7.5664553583429897E-2</v>
      </c>
      <c r="H164" s="102">
        <f>+(Yield_Originals!I164+Yield_Originals!G164)/2</f>
        <v>7.4375142155887808E-2</v>
      </c>
      <c r="I164" s="102">
        <v>7.3085730728345705E-2</v>
      </c>
      <c r="J164" s="102">
        <v>7.8733763154190395E-2</v>
      </c>
      <c r="K164" s="103">
        <v>1</v>
      </c>
      <c r="L164" s="104">
        <f>(Yield_Originals!$G164*Yield_Originals!L$1)/Yield_Originals!$K164</f>
        <v>9.0797464300115885E-2</v>
      </c>
      <c r="M164" s="104">
        <f>(Yield_Originals!$G164*Yield_Originals!M$1)/Yield_Originals!$K164</f>
        <v>9.3634885059494508E-2</v>
      </c>
      <c r="N164" s="104">
        <f>(Yield_Originals!$G164*Yield_Originals!N$1)/Yield_Originals!$K164</f>
        <v>9.647230581887313E-2</v>
      </c>
      <c r="O164" s="104">
        <f>(Yield_Originals!$G164*Yield_Originals!O$1)/Yield_Originals!$K164</f>
        <v>9.9309726578251753E-2</v>
      </c>
      <c r="P164" s="105">
        <f>(Yield_Originals!$H164*Yield_Originals!P$1)/Yield_Originals!$K164</f>
        <v>0.10040644191044855</v>
      </c>
      <c r="Q164" s="105">
        <f>(Yield_Originals!$H164*Yield_Originals!Q$1)/Yield_Originals!$K164</f>
        <v>0.10319550974129435</v>
      </c>
      <c r="R164" s="105">
        <f>(Yield_Originals!$H164*Yield_Originals!R$1)/Yield_Originals!$K164</f>
        <v>0.10598457757214015</v>
      </c>
      <c r="S164" s="105">
        <f>(Yield_Originals!$H164*Yield_Originals!S$1)/Yield_Originals!$K164</f>
        <v>0.10877364540298595</v>
      </c>
      <c r="T164" s="107">
        <f>(Yield_Originals!$I164*Yield_Originals!T$1)/Yield_Originals!$K164</f>
        <v>0.10962859609251858</v>
      </c>
      <c r="U164" s="107">
        <f>(Yield_Originals!$I164*Yield_Originals!U$1)/Yield_Originals!$K164</f>
        <v>0.11236931099483152</v>
      </c>
      <c r="V164" s="107">
        <f>(Yield_Originals!$I164*Yield_Originals!V$1)/Yield_Originals!$K164</f>
        <v>0.1151100258971445</v>
      </c>
      <c r="W164" s="107">
        <f>(Yield_Originals!$I164*Yield_Originals!W$1)/Yield_Originals!$K164</f>
        <v>0.11785074079945744</v>
      </c>
      <c r="X164" s="108">
        <f>(Yield_Originals!$J164*Yield_Originals!X$1)/Yield_Originals!$K164</f>
        <v>0.12991070920441414</v>
      </c>
      <c r="Y164" s="108">
        <f>(Yield_Originals!$J164*Yield_Originals!Y$1)/Yield_Originals!$K164</f>
        <v>0.13286322532269626</v>
      </c>
      <c r="Z164" s="108">
        <f>(Yield_Originals!$J164*Yield_Originals!Z$1)/Yield_Originals!$K164</f>
        <v>0.13581574144097841</v>
      </c>
      <c r="AA164" s="108">
        <f>(Yield_Originals!$J164*Yield_Originals!AA$1)/Yield_Originals!$K164</f>
        <v>0.1387682575592605</v>
      </c>
      <c r="AB164" s="108">
        <f>(Yield_Originals!$J164*Yield_Originals!AB$1)/Yield_Originals!$K164</f>
        <v>0.14172077367754266</v>
      </c>
    </row>
    <row r="165" spans="1:28" x14ac:dyDescent="0.25">
      <c r="A165" s="109" t="s">
        <v>1083</v>
      </c>
      <c r="B165" s="70">
        <v>3</v>
      </c>
      <c r="C165" s="57" t="s">
        <v>929</v>
      </c>
      <c r="D165" s="57" t="s">
        <v>1082</v>
      </c>
      <c r="E165" s="100">
        <v>32</v>
      </c>
      <c r="F165" s="102">
        <v>7.5664553583429897E-2</v>
      </c>
      <c r="G165" s="102">
        <v>7.5664553583429897E-2</v>
      </c>
      <c r="H165" s="102">
        <f>+(Yield_Originals!I165+Yield_Originals!G165)/2</f>
        <v>7.4375142155887808E-2</v>
      </c>
      <c r="I165" s="102">
        <v>7.3085730728345705E-2</v>
      </c>
      <c r="J165" s="102">
        <v>7.8733763154190395E-2</v>
      </c>
      <c r="K165" s="103">
        <v>1</v>
      </c>
      <c r="L165" s="104">
        <f>(Yield_Originals!$G165*Yield_Originals!L$1)/Yield_Originals!$K165</f>
        <v>9.0797464300115885E-2</v>
      </c>
      <c r="M165" s="104">
        <f>(Yield_Originals!$G165*Yield_Originals!M$1)/Yield_Originals!$K165</f>
        <v>9.3634885059494508E-2</v>
      </c>
      <c r="N165" s="104">
        <f>(Yield_Originals!$G165*Yield_Originals!N$1)/Yield_Originals!$K165</f>
        <v>9.647230581887313E-2</v>
      </c>
      <c r="O165" s="104">
        <f>(Yield_Originals!$G165*Yield_Originals!O$1)/Yield_Originals!$K165</f>
        <v>9.9309726578251753E-2</v>
      </c>
      <c r="P165" s="105">
        <f>(Yield_Originals!$H165*Yield_Originals!P$1)/Yield_Originals!$K165</f>
        <v>0.10040644191044855</v>
      </c>
      <c r="Q165" s="105">
        <f>(Yield_Originals!$H165*Yield_Originals!Q$1)/Yield_Originals!$K165</f>
        <v>0.10319550974129435</v>
      </c>
      <c r="R165" s="105">
        <f>(Yield_Originals!$H165*Yield_Originals!R$1)/Yield_Originals!$K165</f>
        <v>0.10598457757214015</v>
      </c>
      <c r="S165" s="105">
        <f>(Yield_Originals!$H165*Yield_Originals!S$1)/Yield_Originals!$K165</f>
        <v>0.10877364540298595</v>
      </c>
      <c r="T165" s="107">
        <f>(Yield_Originals!$I165*Yield_Originals!T$1)/Yield_Originals!$K165</f>
        <v>0.10962859609251858</v>
      </c>
      <c r="U165" s="107">
        <f>(Yield_Originals!$I165*Yield_Originals!U$1)/Yield_Originals!$K165</f>
        <v>0.11236931099483152</v>
      </c>
      <c r="V165" s="107">
        <f>(Yield_Originals!$I165*Yield_Originals!V$1)/Yield_Originals!$K165</f>
        <v>0.1151100258971445</v>
      </c>
      <c r="W165" s="107">
        <f>(Yield_Originals!$I165*Yield_Originals!W$1)/Yield_Originals!$K165</f>
        <v>0.11785074079945744</v>
      </c>
      <c r="X165" s="108">
        <f>(Yield_Originals!$J165*Yield_Originals!X$1)/Yield_Originals!$K165</f>
        <v>0.12991070920441414</v>
      </c>
      <c r="Y165" s="108">
        <f>(Yield_Originals!$J165*Yield_Originals!Y$1)/Yield_Originals!$K165</f>
        <v>0.13286322532269626</v>
      </c>
      <c r="Z165" s="108">
        <f>(Yield_Originals!$J165*Yield_Originals!Z$1)/Yield_Originals!$K165</f>
        <v>0.13581574144097841</v>
      </c>
      <c r="AA165" s="108">
        <f>(Yield_Originals!$J165*Yield_Originals!AA$1)/Yield_Originals!$K165</f>
        <v>0.1387682575592605</v>
      </c>
      <c r="AB165" s="108">
        <f>(Yield_Originals!$J165*Yield_Originals!AB$1)/Yield_Originals!$K165</f>
        <v>0.14172077367754266</v>
      </c>
    </row>
    <row r="166" spans="1:28" x14ac:dyDescent="0.25">
      <c r="A166" s="109" t="s">
        <v>1092</v>
      </c>
      <c r="B166" s="70">
        <v>3</v>
      </c>
      <c r="C166" s="57" t="s">
        <v>933</v>
      </c>
      <c r="D166" s="57" t="s">
        <v>1091</v>
      </c>
      <c r="E166" s="100">
        <v>34</v>
      </c>
      <c r="F166" s="102">
        <v>0.21128080595198101</v>
      </c>
      <c r="G166" s="102">
        <v>0.21128080595198101</v>
      </c>
      <c r="H166" s="102">
        <f>+(Yield_Originals!I166+Yield_Originals!G166)/2</f>
        <v>0.21198888698324853</v>
      </c>
      <c r="I166" s="102">
        <v>0.21269696801451601</v>
      </c>
      <c r="J166" s="102">
        <v>0.22368258603862201</v>
      </c>
      <c r="K166" s="103">
        <v>1</v>
      </c>
      <c r="L166" s="104">
        <f>(Yield_Originals!$G166*Yield_Originals!L$1)/Yield_Originals!$K166</f>
        <v>0.25353696714237722</v>
      </c>
      <c r="M166" s="104">
        <f>(Yield_Originals!$G166*Yield_Originals!M$1)/Yield_Originals!$K166</f>
        <v>0.26145999736557651</v>
      </c>
      <c r="N166" s="104">
        <f>(Yield_Originals!$G166*Yield_Originals!N$1)/Yield_Originals!$K166</f>
        <v>0.2693830275887758</v>
      </c>
      <c r="O166" s="104">
        <f>(Yield_Originals!$G166*Yield_Originals!O$1)/Yield_Originals!$K166</f>
        <v>0.27730605781197515</v>
      </c>
      <c r="P166" s="105">
        <f>(Yield_Originals!$H166*Yield_Originals!P$1)/Yield_Originals!$K166</f>
        <v>0.28618499742738551</v>
      </c>
      <c r="Q166" s="105">
        <f>(Yield_Originals!$H166*Yield_Originals!Q$1)/Yield_Originals!$K166</f>
        <v>0.29413458068925735</v>
      </c>
      <c r="R166" s="105">
        <f>(Yield_Originals!$H166*Yield_Originals!R$1)/Yield_Originals!$K166</f>
        <v>0.30208416395112919</v>
      </c>
      <c r="S166" s="105">
        <f>(Yield_Originals!$H166*Yield_Originals!S$1)/Yield_Originals!$K166</f>
        <v>0.31003374721300103</v>
      </c>
      <c r="T166" s="107">
        <f>(Yield_Originals!$I166*Yield_Originals!T$1)/Yield_Originals!$K166</f>
        <v>0.31904545202177409</v>
      </c>
      <c r="U166" s="107">
        <f>(Yield_Originals!$I166*Yield_Originals!U$1)/Yield_Originals!$K166</f>
        <v>0.32702158832231837</v>
      </c>
      <c r="V166" s="107">
        <f>(Yield_Originals!$I166*Yield_Originals!V$1)/Yield_Originals!$K166</f>
        <v>0.33499772462286276</v>
      </c>
      <c r="W166" s="107">
        <f>(Yield_Originals!$I166*Yield_Originals!W$1)/Yield_Originals!$K166</f>
        <v>0.34297386092340704</v>
      </c>
      <c r="X166" s="108">
        <f>(Yield_Originals!$J166*Yield_Originals!X$1)/Yield_Originals!$K166</f>
        <v>0.36907626696372631</v>
      </c>
      <c r="Y166" s="108">
        <f>(Yield_Originals!$J166*Yield_Originals!Y$1)/Yield_Originals!$K166</f>
        <v>0.37746436394017452</v>
      </c>
      <c r="Z166" s="108">
        <f>(Yield_Originals!$J166*Yield_Originals!Z$1)/Yield_Originals!$K166</f>
        <v>0.3858524609166229</v>
      </c>
      <c r="AA166" s="108">
        <f>(Yield_Originals!$J166*Yield_Originals!AA$1)/Yield_Originals!$K166</f>
        <v>0.39424055789307111</v>
      </c>
      <c r="AB166" s="108">
        <f>(Yield_Originals!$J166*Yield_Originals!AB$1)/Yield_Originals!$K166</f>
        <v>0.40262865486951949</v>
      </c>
    </row>
    <row r="167" spans="1:28" x14ac:dyDescent="0.25">
      <c r="A167" s="109" t="s">
        <v>1010</v>
      </c>
      <c r="B167" s="70">
        <v>3</v>
      </c>
      <c r="C167" s="57" t="s">
        <v>378</v>
      </c>
      <c r="D167" s="57" t="s">
        <v>1016</v>
      </c>
      <c r="E167" s="100">
        <v>28</v>
      </c>
      <c r="F167" s="102">
        <v>0.21128080595198101</v>
      </c>
      <c r="G167" s="102">
        <v>0.21128080595198101</v>
      </c>
      <c r="H167" s="102">
        <f>+(Yield_Originals!I167+Yield_Originals!G167)/2</f>
        <v>0.21198888698324853</v>
      </c>
      <c r="I167" s="102">
        <v>0.21269696801451601</v>
      </c>
      <c r="J167" s="102">
        <v>0.22368258603862201</v>
      </c>
      <c r="K167" s="103">
        <v>1</v>
      </c>
      <c r="L167" s="104">
        <f>(Yield_Originals!$G167*Yield_Originals!L$1)/Yield_Originals!$K167</f>
        <v>0.25353696714237722</v>
      </c>
      <c r="M167" s="104">
        <f>(Yield_Originals!$G167*Yield_Originals!M$1)/Yield_Originals!$K167</f>
        <v>0.26145999736557651</v>
      </c>
      <c r="N167" s="104">
        <f>(Yield_Originals!$G167*Yield_Originals!N$1)/Yield_Originals!$K167</f>
        <v>0.2693830275887758</v>
      </c>
      <c r="O167" s="104">
        <f>(Yield_Originals!$G167*Yield_Originals!O$1)/Yield_Originals!$K167</f>
        <v>0.27730605781197515</v>
      </c>
      <c r="P167" s="105">
        <f>(Yield_Originals!$H167*Yield_Originals!P$1)/Yield_Originals!$K167</f>
        <v>0.28618499742738551</v>
      </c>
      <c r="Q167" s="105">
        <f>(Yield_Originals!$H167*Yield_Originals!Q$1)/Yield_Originals!$K167</f>
        <v>0.29413458068925735</v>
      </c>
      <c r="R167" s="105">
        <f>(Yield_Originals!$H167*Yield_Originals!R$1)/Yield_Originals!$K167</f>
        <v>0.30208416395112919</v>
      </c>
      <c r="S167" s="105">
        <f>(Yield_Originals!$H167*Yield_Originals!S$1)/Yield_Originals!$K167</f>
        <v>0.31003374721300103</v>
      </c>
      <c r="T167" s="107">
        <f>(Yield_Originals!$I167*Yield_Originals!T$1)/Yield_Originals!$K167</f>
        <v>0.31904545202177409</v>
      </c>
      <c r="U167" s="107">
        <f>(Yield_Originals!$I167*Yield_Originals!U$1)/Yield_Originals!$K167</f>
        <v>0.32702158832231837</v>
      </c>
      <c r="V167" s="107">
        <f>(Yield_Originals!$I167*Yield_Originals!V$1)/Yield_Originals!$K167</f>
        <v>0.33499772462286276</v>
      </c>
      <c r="W167" s="107">
        <f>(Yield_Originals!$I167*Yield_Originals!W$1)/Yield_Originals!$K167</f>
        <v>0.34297386092340704</v>
      </c>
      <c r="X167" s="108">
        <f>(Yield_Originals!$J167*Yield_Originals!X$1)/Yield_Originals!$K167</f>
        <v>0.36907626696372631</v>
      </c>
      <c r="Y167" s="108">
        <f>(Yield_Originals!$J167*Yield_Originals!Y$1)/Yield_Originals!$K167</f>
        <v>0.37746436394017452</v>
      </c>
      <c r="Z167" s="108">
        <f>(Yield_Originals!$J167*Yield_Originals!Z$1)/Yield_Originals!$K167</f>
        <v>0.3858524609166229</v>
      </c>
      <c r="AA167" s="108">
        <f>(Yield_Originals!$J167*Yield_Originals!AA$1)/Yield_Originals!$K167</f>
        <v>0.39424055789307111</v>
      </c>
      <c r="AB167" s="108">
        <f>(Yield_Originals!$J167*Yield_Originals!AB$1)/Yield_Originals!$K167</f>
        <v>0.40262865486951949</v>
      </c>
    </row>
    <row r="168" spans="1:28" x14ac:dyDescent="0.25">
      <c r="A168" s="109" t="s">
        <v>1027</v>
      </c>
      <c r="B168" s="70">
        <v>3</v>
      </c>
      <c r="C168" s="57" t="s">
        <v>232</v>
      </c>
      <c r="D168" s="57" t="s">
        <v>1048</v>
      </c>
      <c r="E168" s="100">
        <v>30</v>
      </c>
      <c r="F168" s="102">
        <v>0.14900527286376899</v>
      </c>
      <c r="G168" s="102">
        <v>0.14900527286376899</v>
      </c>
      <c r="H168" s="102">
        <f>+(Yield_Originals!I168+Yield_Originals!G168)/2</f>
        <v>0.15374807147695349</v>
      </c>
      <c r="I168" s="102">
        <v>0.15849087009013799</v>
      </c>
      <c r="J168" s="102">
        <v>0.169281787727845</v>
      </c>
      <c r="K168" s="103">
        <v>1</v>
      </c>
      <c r="L168" s="104">
        <f>(Yield_Originals!$G168*Yield_Originals!L$1)/Yield_Originals!$K168</f>
        <v>0.17880632743652283</v>
      </c>
      <c r="M168" s="104">
        <f>(Yield_Originals!$G168*Yield_Originals!M$1)/Yield_Originals!$K168</f>
        <v>0.18439402516891415</v>
      </c>
      <c r="N168" s="104">
        <f>(Yield_Originals!$G168*Yield_Originals!N$1)/Yield_Originals!$K168</f>
        <v>0.18998172290130549</v>
      </c>
      <c r="O168" s="104">
        <f>(Yield_Originals!$G168*Yield_Originals!O$1)/Yield_Originals!$K168</f>
        <v>0.19556942063369684</v>
      </c>
      <c r="P168" s="105"/>
      <c r="Q168" s="105"/>
      <c r="R168" s="105"/>
      <c r="S168" s="105"/>
      <c r="T168" s="107"/>
      <c r="U168" s="107"/>
      <c r="V168" s="107"/>
      <c r="W168" s="107"/>
      <c r="X168" s="108"/>
      <c r="Y168" s="108"/>
      <c r="Z168" s="108"/>
      <c r="AA168" s="108"/>
      <c r="AB168" s="108"/>
    </row>
    <row r="169" spans="1:28" x14ac:dyDescent="0.25">
      <c r="A169" s="109" t="s">
        <v>1027</v>
      </c>
      <c r="B169" s="70">
        <v>3</v>
      </c>
      <c r="C169" s="57" t="s">
        <v>126</v>
      </c>
      <c r="D169" s="57" t="s">
        <v>1032</v>
      </c>
      <c r="E169" s="100">
        <v>30</v>
      </c>
      <c r="F169" s="102">
        <v>0.14900527286376899</v>
      </c>
      <c r="G169" s="102">
        <v>0.14900527286376899</v>
      </c>
      <c r="H169" s="102">
        <f>+(Yield_Originals!I169+Yield_Originals!G169)/2</f>
        <v>0.15374807147695349</v>
      </c>
      <c r="I169" s="102">
        <v>0.15849087009013799</v>
      </c>
      <c r="J169" s="102">
        <v>0.169281787727845</v>
      </c>
      <c r="K169" s="103">
        <v>1</v>
      </c>
      <c r="L169" s="104"/>
      <c r="M169" s="104"/>
      <c r="N169" s="104"/>
      <c r="O169" s="104"/>
      <c r="P169" s="105">
        <f>(Yield_Originals!$H169*Yield_Originals!P$1)/Yield_Originals!$K169</f>
        <v>0.20755989649388723</v>
      </c>
      <c r="Q169" s="105">
        <f>(Yield_Originals!$H169*Yield_Originals!Q$1)/Yield_Originals!$K169</f>
        <v>0.21332544917427299</v>
      </c>
      <c r="R169" s="105">
        <f>(Yield_Originals!$H169*Yield_Originals!R$1)/Yield_Originals!$K169</f>
        <v>0.21909100185465877</v>
      </c>
      <c r="S169" s="105">
        <f>(Yield_Originals!$H169*Yield_Originals!S$1)/Yield_Originals!$K169</f>
        <v>0.22485655453504452</v>
      </c>
      <c r="T169" s="107">
        <f>(Yield_Originals!$I169*Yield_Originals!T$1)/Yield_Originals!$K169</f>
        <v>0.23773630513520705</v>
      </c>
      <c r="U169" s="107">
        <f>(Yield_Originals!$I169*Yield_Originals!U$1)/Yield_Originals!$K169</f>
        <v>0.24367971276358716</v>
      </c>
      <c r="V169" s="107">
        <f>(Yield_Originals!$I169*Yield_Originals!V$1)/Yield_Originals!$K169</f>
        <v>0.24962312039196735</v>
      </c>
      <c r="W169" s="107">
        <f>(Yield_Originals!$I169*Yield_Originals!W$1)/Yield_Originals!$K169</f>
        <v>0.25556652802034746</v>
      </c>
      <c r="X169" s="108">
        <f>(Yield_Originals!$J169*Yield_Originals!X$1)/Yield_Originals!$K169</f>
        <v>0.27931494975094423</v>
      </c>
      <c r="Y169" s="108">
        <f>(Yield_Originals!$J169*Yield_Originals!Y$1)/Yield_Originals!$K169</f>
        <v>0.28566301679073836</v>
      </c>
      <c r="Z169" s="108">
        <f>(Yield_Originals!$J169*Yield_Originals!Z$1)/Yield_Originals!$K169</f>
        <v>0.29201108383053254</v>
      </c>
      <c r="AA169" s="108">
        <f>(Yield_Originals!$J169*Yield_Originals!AA$1)/Yield_Originals!$K169</f>
        <v>0.29835915087032666</v>
      </c>
      <c r="AB169" s="108">
        <f>(Yield_Originals!$J169*Yield_Originals!AB$1)/Yield_Originals!$K169</f>
        <v>0.3047072179101209</v>
      </c>
    </row>
    <row r="170" spans="1:28" x14ac:dyDescent="0.25">
      <c r="A170" s="109" t="s">
        <v>1027</v>
      </c>
      <c r="B170" s="70">
        <v>3</v>
      </c>
      <c r="C170" s="57" t="s">
        <v>942</v>
      </c>
      <c r="D170" s="57" t="s">
        <v>1035</v>
      </c>
      <c r="E170" s="100">
        <v>30</v>
      </c>
      <c r="F170" s="102">
        <v>0.14900527286376899</v>
      </c>
      <c r="G170" s="102">
        <v>0.14900527286376899</v>
      </c>
      <c r="H170" s="102">
        <f>+(Yield_Originals!I170+Yield_Originals!G170)/2</f>
        <v>0.15374807147695349</v>
      </c>
      <c r="I170" s="102">
        <v>0.15849087009013799</v>
      </c>
      <c r="J170" s="102">
        <v>0.169281787727845</v>
      </c>
      <c r="K170" s="103">
        <v>1</v>
      </c>
      <c r="L170" s="104"/>
      <c r="M170" s="104"/>
      <c r="N170" s="104"/>
      <c r="O170" s="104"/>
      <c r="P170" s="105">
        <f>(Yield_Originals!$H170*Yield_Originals!P$1)/Yield_Originals!$K170</f>
        <v>0.20755989649388723</v>
      </c>
      <c r="Q170" s="105">
        <f>(Yield_Originals!$H170*Yield_Originals!Q$1)/Yield_Originals!$K170</f>
        <v>0.21332544917427299</v>
      </c>
      <c r="R170" s="105">
        <f>(Yield_Originals!$H170*Yield_Originals!R$1)/Yield_Originals!$K170</f>
        <v>0.21909100185465877</v>
      </c>
      <c r="S170" s="105">
        <f>(Yield_Originals!$H170*Yield_Originals!S$1)/Yield_Originals!$K170</f>
        <v>0.22485655453504452</v>
      </c>
      <c r="T170" s="107">
        <f>(Yield_Originals!$I170*Yield_Originals!T$1)/Yield_Originals!$K170</f>
        <v>0.23773630513520705</v>
      </c>
      <c r="U170" s="107">
        <f>(Yield_Originals!$I170*Yield_Originals!U$1)/Yield_Originals!$K170</f>
        <v>0.24367971276358716</v>
      </c>
      <c r="V170" s="107">
        <f>(Yield_Originals!$I170*Yield_Originals!V$1)/Yield_Originals!$K170</f>
        <v>0.24962312039196735</v>
      </c>
      <c r="W170" s="107">
        <f>(Yield_Originals!$I170*Yield_Originals!W$1)/Yield_Originals!$K170</f>
        <v>0.25556652802034746</v>
      </c>
      <c r="X170" s="108">
        <f>(Yield_Originals!$J170*Yield_Originals!X$1)/Yield_Originals!$K170</f>
        <v>0.27931494975094423</v>
      </c>
      <c r="Y170" s="108">
        <f>(Yield_Originals!$J170*Yield_Originals!Y$1)/Yield_Originals!$K170</f>
        <v>0.28566301679073836</v>
      </c>
      <c r="Z170" s="108">
        <f>(Yield_Originals!$J170*Yield_Originals!Z$1)/Yield_Originals!$K170</f>
        <v>0.29201108383053254</v>
      </c>
      <c r="AA170" s="108">
        <f>(Yield_Originals!$J170*Yield_Originals!AA$1)/Yield_Originals!$K170</f>
        <v>0.29835915087032666</v>
      </c>
      <c r="AB170" s="108">
        <f>(Yield_Originals!$J170*Yield_Originals!AB$1)/Yield_Originals!$K170</f>
        <v>0.3047072179101209</v>
      </c>
    </row>
    <row r="171" spans="1:28" x14ac:dyDescent="0.25">
      <c r="A171" s="109" t="s">
        <v>1027</v>
      </c>
      <c r="B171" s="70">
        <v>3</v>
      </c>
      <c r="C171" s="57" t="s">
        <v>233</v>
      </c>
      <c r="D171" s="57" t="s">
        <v>1040</v>
      </c>
      <c r="E171" s="100">
        <v>30</v>
      </c>
      <c r="F171" s="102">
        <v>0.14900527286376899</v>
      </c>
      <c r="G171" s="102">
        <v>0.14900527286376899</v>
      </c>
      <c r="H171" s="102">
        <f>+(Yield_Originals!I171+Yield_Originals!G171)/2</f>
        <v>0.15374807147695349</v>
      </c>
      <c r="I171" s="102">
        <v>0.15849087009013799</v>
      </c>
      <c r="J171" s="102">
        <v>0.169281787727845</v>
      </c>
      <c r="K171" s="103">
        <v>1</v>
      </c>
      <c r="L171" s="104"/>
      <c r="M171" s="104"/>
      <c r="N171" s="104"/>
      <c r="O171" s="104"/>
      <c r="P171" s="105"/>
      <c r="Q171" s="105"/>
      <c r="R171" s="105">
        <f>(Yield_Originals!$H171*Yield_Originals!R$1)/Yield_Originals!$K171</f>
        <v>0.21909100185465877</v>
      </c>
      <c r="S171" s="105">
        <f>(Yield_Originals!$H171*Yield_Originals!S$1)/Yield_Originals!$K171</f>
        <v>0.22485655453504452</v>
      </c>
      <c r="T171" s="107">
        <f>(Yield_Originals!$I171*Yield_Originals!T$1)/Yield_Originals!$K171</f>
        <v>0.23773630513520705</v>
      </c>
      <c r="U171" s="107">
        <f>(Yield_Originals!$I171*Yield_Originals!U$1)/Yield_Originals!$K171</f>
        <v>0.24367971276358716</v>
      </c>
      <c r="V171" s="107">
        <f>(Yield_Originals!$I171*Yield_Originals!V$1)/Yield_Originals!$K171</f>
        <v>0.24962312039196735</v>
      </c>
      <c r="W171" s="107">
        <f>(Yield_Originals!$I171*Yield_Originals!W$1)/Yield_Originals!$K171</f>
        <v>0.25556652802034746</v>
      </c>
      <c r="X171" s="108"/>
      <c r="Y171" s="108"/>
      <c r="Z171" s="108"/>
      <c r="AA171" s="108"/>
      <c r="AB171" s="108"/>
    </row>
    <row r="172" spans="1:28" x14ac:dyDescent="0.25">
      <c r="A172" s="109" t="s">
        <v>1027</v>
      </c>
      <c r="B172" s="70">
        <v>3</v>
      </c>
      <c r="C172" s="57" t="s">
        <v>947</v>
      </c>
      <c r="D172" s="57" t="s">
        <v>1038</v>
      </c>
      <c r="E172" s="100">
        <v>30</v>
      </c>
      <c r="F172" s="102">
        <v>0.14900527286376899</v>
      </c>
      <c r="G172" s="102">
        <v>0.14900527286376899</v>
      </c>
      <c r="H172" s="102">
        <f>+(Yield_Originals!I172+Yield_Originals!G172)/2</f>
        <v>0.15374807147695349</v>
      </c>
      <c r="I172" s="102">
        <v>0.15849087009013799</v>
      </c>
      <c r="J172" s="102">
        <v>0.169281787727845</v>
      </c>
      <c r="K172" s="103">
        <v>1</v>
      </c>
      <c r="L172" s="104"/>
      <c r="M172" s="104"/>
      <c r="N172" s="104"/>
      <c r="O172" s="104"/>
      <c r="P172" s="105"/>
      <c r="Q172" s="105"/>
      <c r="R172" s="105">
        <f>(Yield_Originals!$H172*Yield_Originals!R$1)/Yield_Originals!$K172</f>
        <v>0.21909100185465877</v>
      </c>
      <c r="S172" s="105">
        <f>(Yield_Originals!$H172*Yield_Originals!S$1)/Yield_Originals!$K172</f>
        <v>0.22485655453504452</v>
      </c>
      <c r="T172" s="107">
        <f>(Yield_Originals!$I172*Yield_Originals!T$1)/Yield_Originals!$K172</f>
        <v>0.23773630513520705</v>
      </c>
      <c r="U172" s="107">
        <f>(Yield_Originals!$I172*Yield_Originals!U$1)/Yield_Originals!$K172</f>
        <v>0.24367971276358716</v>
      </c>
      <c r="V172" s="107">
        <f>(Yield_Originals!$I172*Yield_Originals!V$1)/Yield_Originals!$K172</f>
        <v>0.24962312039196735</v>
      </c>
      <c r="W172" s="107">
        <f>(Yield_Originals!$I172*Yield_Originals!W$1)/Yield_Originals!$K172</f>
        <v>0.25556652802034746</v>
      </c>
      <c r="X172" s="108"/>
      <c r="Y172" s="108"/>
      <c r="Z172" s="108"/>
      <c r="AA172" s="108"/>
      <c r="AB172" s="108"/>
    </row>
    <row r="173" spans="1:28" x14ac:dyDescent="0.25">
      <c r="A173" s="109" t="s">
        <v>1027</v>
      </c>
      <c r="B173" s="70">
        <v>3</v>
      </c>
      <c r="C173" s="57" t="s">
        <v>234</v>
      </c>
      <c r="D173" s="57" t="s">
        <v>1042</v>
      </c>
      <c r="E173" s="100">
        <v>30</v>
      </c>
      <c r="F173" s="102">
        <v>0.14900527286376899</v>
      </c>
      <c r="G173" s="102">
        <v>0.14900527286376899</v>
      </c>
      <c r="H173" s="102">
        <f>+(Yield_Originals!I173+Yield_Originals!G173)/2</f>
        <v>0.15374807147695349</v>
      </c>
      <c r="I173" s="102">
        <v>0.15849087009013799</v>
      </c>
      <c r="J173" s="102">
        <v>0.169281787727845</v>
      </c>
      <c r="K173" s="103">
        <v>1</v>
      </c>
      <c r="L173" s="104">
        <f>(Yield_Originals!$G173*Yield_Originals!L$1)/Yield_Originals!$K173</f>
        <v>0.17880632743652283</v>
      </c>
      <c r="M173" s="104">
        <f>(Yield_Originals!$G173*Yield_Originals!M$1)/Yield_Originals!$K173</f>
        <v>0.18439402516891415</v>
      </c>
      <c r="N173" s="104">
        <f>(Yield_Originals!$G173*Yield_Originals!N$1)/Yield_Originals!$K173</f>
        <v>0.18998172290130549</v>
      </c>
      <c r="O173" s="104">
        <f>(Yield_Originals!$G173*Yield_Originals!O$1)/Yield_Originals!$K173</f>
        <v>0.19556942063369684</v>
      </c>
      <c r="P173" s="105">
        <f>(Yield_Originals!$H173*Yield_Originals!P$1)/Yield_Originals!$K173</f>
        <v>0.20755989649388723</v>
      </c>
      <c r="Q173" s="105">
        <f>(Yield_Originals!$H173*Yield_Originals!Q$1)/Yield_Originals!$K173</f>
        <v>0.21332544917427299</v>
      </c>
      <c r="R173" s="105">
        <f>(Yield_Originals!$H173*Yield_Originals!R$1)/Yield_Originals!$K173</f>
        <v>0.21909100185465877</v>
      </c>
      <c r="S173" s="105">
        <f>(Yield_Originals!$H173*Yield_Originals!S$1)/Yield_Originals!$K173</f>
        <v>0.22485655453504452</v>
      </c>
      <c r="T173" s="107">
        <f>(Yield_Originals!$I173*Yield_Originals!T$1)/Yield_Originals!$K173</f>
        <v>0.23773630513520705</v>
      </c>
      <c r="U173" s="107">
        <f>(Yield_Originals!$I173*Yield_Originals!U$1)/Yield_Originals!$K173</f>
        <v>0.24367971276358716</v>
      </c>
      <c r="V173" s="107">
        <f>(Yield_Originals!$I173*Yield_Originals!V$1)/Yield_Originals!$K173</f>
        <v>0.24962312039196735</v>
      </c>
      <c r="W173" s="107">
        <f>(Yield_Originals!$I173*Yield_Originals!W$1)/Yield_Originals!$K173</f>
        <v>0.25556652802034746</v>
      </c>
      <c r="X173" s="108">
        <f>(Yield_Originals!$J173*Yield_Originals!X$1)/Yield_Originals!$K173</f>
        <v>0.27931494975094423</v>
      </c>
      <c r="Y173" s="108">
        <f>(Yield_Originals!$J173*Yield_Originals!Y$1)/Yield_Originals!$K173</f>
        <v>0.28566301679073836</v>
      </c>
      <c r="Z173" s="108">
        <f>(Yield_Originals!$J173*Yield_Originals!Z$1)/Yield_Originals!$K173</f>
        <v>0.29201108383053254</v>
      </c>
      <c r="AA173" s="108">
        <f>(Yield_Originals!$J173*Yield_Originals!AA$1)/Yield_Originals!$K173</f>
        <v>0.29835915087032666</v>
      </c>
      <c r="AB173" s="108">
        <f>(Yield_Originals!$J173*Yield_Originals!AB$1)/Yield_Originals!$K173</f>
        <v>0.3047072179101209</v>
      </c>
    </row>
    <row r="174" spans="1:28" x14ac:dyDescent="0.25">
      <c r="A174" s="109" t="s">
        <v>1027</v>
      </c>
      <c r="B174" s="70">
        <v>3</v>
      </c>
      <c r="C174" s="57" t="s">
        <v>389</v>
      </c>
      <c r="D174" s="57" t="s">
        <v>1026</v>
      </c>
      <c r="E174" s="100">
        <v>30</v>
      </c>
      <c r="F174" s="102">
        <v>0.14900527286376899</v>
      </c>
      <c r="G174" s="102">
        <v>0.14900527286376899</v>
      </c>
      <c r="H174" s="102">
        <f>+(Yield_Originals!I174+Yield_Originals!G174)/2</f>
        <v>0.15374807147695349</v>
      </c>
      <c r="I174" s="102">
        <v>0.15849087009013799</v>
      </c>
      <c r="J174" s="102">
        <v>0.169281787727845</v>
      </c>
      <c r="K174" s="103">
        <v>1</v>
      </c>
      <c r="L174" s="104">
        <f>(Yield_Originals!$G174*Yield_Originals!L$1)/Yield_Originals!$K174</f>
        <v>0.17880632743652283</v>
      </c>
      <c r="M174" s="104">
        <f>(Yield_Originals!$G174*Yield_Originals!M$1)/Yield_Originals!$K174</f>
        <v>0.18439402516891415</v>
      </c>
      <c r="N174" s="104">
        <f>(Yield_Originals!$G174*Yield_Originals!N$1)/Yield_Originals!$K174</f>
        <v>0.18998172290130549</v>
      </c>
      <c r="O174" s="104">
        <f>(Yield_Originals!$G174*Yield_Originals!O$1)/Yield_Originals!$K174</f>
        <v>0.19556942063369684</v>
      </c>
      <c r="P174" s="105">
        <f>(Yield_Originals!$H174*Yield_Originals!P$1)/Yield_Originals!$K174</f>
        <v>0.20755989649388723</v>
      </c>
      <c r="Q174" s="105">
        <f>(Yield_Originals!$H174*Yield_Originals!Q$1)/Yield_Originals!$K174</f>
        <v>0.21332544917427299</v>
      </c>
      <c r="R174" s="105">
        <f>(Yield_Originals!$H174*Yield_Originals!R$1)/Yield_Originals!$K174</f>
        <v>0.21909100185465877</v>
      </c>
      <c r="S174" s="105">
        <f>(Yield_Originals!$H174*Yield_Originals!S$1)/Yield_Originals!$K174</f>
        <v>0.22485655453504452</v>
      </c>
      <c r="T174" s="107">
        <f>(Yield_Originals!$I174*Yield_Originals!T$1)/Yield_Originals!$K174</f>
        <v>0.23773630513520705</v>
      </c>
      <c r="U174" s="107">
        <f>(Yield_Originals!$I174*Yield_Originals!U$1)/Yield_Originals!$K174</f>
        <v>0.24367971276358716</v>
      </c>
      <c r="V174" s="107">
        <f>(Yield_Originals!$I174*Yield_Originals!V$1)/Yield_Originals!$K174</f>
        <v>0.24962312039196735</v>
      </c>
      <c r="W174" s="107">
        <f>(Yield_Originals!$I174*Yield_Originals!W$1)/Yield_Originals!$K174</f>
        <v>0.25556652802034746</v>
      </c>
      <c r="X174" s="108">
        <f>(Yield_Originals!$J174*Yield_Originals!X$1)/Yield_Originals!$K174</f>
        <v>0.27931494975094423</v>
      </c>
      <c r="Y174" s="108">
        <f>(Yield_Originals!$J174*Yield_Originals!Y$1)/Yield_Originals!$K174</f>
        <v>0.28566301679073836</v>
      </c>
      <c r="Z174" s="108">
        <f>(Yield_Originals!$J174*Yield_Originals!Z$1)/Yield_Originals!$K174</f>
        <v>0.29201108383053254</v>
      </c>
      <c r="AA174" s="108">
        <f>(Yield_Originals!$J174*Yield_Originals!AA$1)/Yield_Originals!$K174</f>
        <v>0.29835915087032666</v>
      </c>
      <c r="AB174" s="108">
        <f>(Yield_Originals!$J174*Yield_Originals!AB$1)/Yield_Originals!$K174</f>
        <v>0.3047072179101209</v>
      </c>
    </row>
    <row r="175" spans="1:28" x14ac:dyDescent="0.25">
      <c r="A175" s="109" t="s">
        <v>1027</v>
      </c>
      <c r="B175" s="70">
        <v>3</v>
      </c>
      <c r="C175" s="57" t="s">
        <v>235</v>
      </c>
      <c r="D175" s="57" t="s">
        <v>1030</v>
      </c>
      <c r="E175" s="100">
        <v>30</v>
      </c>
      <c r="F175" s="102">
        <v>0.14900527286376899</v>
      </c>
      <c r="G175" s="102">
        <v>0.14900527286376899</v>
      </c>
      <c r="H175" s="102">
        <f>+(Yield_Originals!I175+Yield_Originals!G175)/2</f>
        <v>0.15374807147695349</v>
      </c>
      <c r="I175" s="102">
        <v>0.15849087009013799</v>
      </c>
      <c r="J175" s="102">
        <v>0.169281787727845</v>
      </c>
      <c r="K175" s="103">
        <v>1</v>
      </c>
      <c r="L175" s="104">
        <f>(Yield_Originals!$G175*Yield_Originals!L$1)/Yield_Originals!$K175</f>
        <v>0.17880632743652283</v>
      </c>
      <c r="M175" s="104">
        <f>(Yield_Originals!$G175*Yield_Originals!M$1)/Yield_Originals!$K175</f>
        <v>0.18439402516891415</v>
      </c>
      <c r="N175" s="104">
        <f>(Yield_Originals!$G175*Yield_Originals!N$1)/Yield_Originals!$K175</f>
        <v>0.18998172290130549</v>
      </c>
      <c r="O175" s="104">
        <f>(Yield_Originals!$G175*Yield_Originals!O$1)/Yield_Originals!$K175</f>
        <v>0.19556942063369684</v>
      </c>
      <c r="P175" s="105">
        <f>(Yield_Originals!$H175*Yield_Originals!P$1)/Yield_Originals!$K175</f>
        <v>0.20755989649388723</v>
      </c>
      <c r="Q175" s="105">
        <f>(Yield_Originals!$H175*Yield_Originals!Q$1)/Yield_Originals!$K175</f>
        <v>0.21332544917427299</v>
      </c>
      <c r="R175" s="105">
        <f>(Yield_Originals!$H175*Yield_Originals!R$1)/Yield_Originals!$K175</f>
        <v>0.21909100185465877</v>
      </c>
      <c r="S175" s="105">
        <f>(Yield_Originals!$H175*Yield_Originals!S$1)/Yield_Originals!$K175</f>
        <v>0.22485655453504452</v>
      </c>
      <c r="T175" s="107">
        <f>(Yield_Originals!$I175*Yield_Originals!T$1)/Yield_Originals!$K175</f>
        <v>0.23773630513520705</v>
      </c>
      <c r="U175" s="107">
        <f>(Yield_Originals!$I175*Yield_Originals!U$1)/Yield_Originals!$K175</f>
        <v>0.24367971276358716</v>
      </c>
      <c r="V175" s="107">
        <f>(Yield_Originals!$I175*Yield_Originals!V$1)/Yield_Originals!$K175</f>
        <v>0.24962312039196735</v>
      </c>
      <c r="W175" s="107">
        <f>(Yield_Originals!$I175*Yield_Originals!W$1)/Yield_Originals!$K175</f>
        <v>0.25556652802034746</v>
      </c>
      <c r="X175" s="108">
        <f>(Yield_Originals!$J175*Yield_Originals!X$1)/Yield_Originals!$K175</f>
        <v>0.27931494975094423</v>
      </c>
      <c r="Y175" s="108">
        <f>(Yield_Originals!$J175*Yield_Originals!Y$1)/Yield_Originals!$K175</f>
        <v>0.28566301679073836</v>
      </c>
      <c r="Z175" s="108">
        <f>(Yield_Originals!$J175*Yield_Originals!Z$1)/Yield_Originals!$K175</f>
        <v>0.29201108383053254</v>
      </c>
      <c r="AA175" s="108">
        <f>(Yield_Originals!$J175*Yield_Originals!AA$1)/Yield_Originals!$K175</f>
        <v>0.29835915087032666</v>
      </c>
      <c r="AB175" s="108">
        <f>(Yield_Originals!$J175*Yield_Originals!AB$1)/Yield_Originals!$K175</f>
        <v>0.3047072179101209</v>
      </c>
    </row>
    <row r="176" spans="1:28" x14ac:dyDescent="0.25">
      <c r="A176" s="109" t="s">
        <v>1027</v>
      </c>
      <c r="B176" s="70">
        <v>3</v>
      </c>
      <c r="C176" s="57" t="s">
        <v>957</v>
      </c>
      <c r="D176" s="57" t="s">
        <v>1050</v>
      </c>
      <c r="E176" s="100">
        <v>30</v>
      </c>
      <c r="F176" s="102">
        <v>0.14900527286376899</v>
      </c>
      <c r="G176" s="102">
        <v>0.14900527286376899</v>
      </c>
      <c r="H176" s="102">
        <f>+(Yield_Originals!I176+Yield_Originals!G176)/2</f>
        <v>0.15374807147695349</v>
      </c>
      <c r="I176" s="102">
        <v>0.15849087009013799</v>
      </c>
      <c r="J176" s="102">
        <v>0.169281787727845</v>
      </c>
      <c r="K176" s="103">
        <v>1</v>
      </c>
      <c r="L176" s="104">
        <f>(Yield_Originals!$G176*Yield_Originals!L$1)/Yield_Originals!$K176</f>
        <v>0.17880632743652283</v>
      </c>
      <c r="M176" s="104">
        <f>(Yield_Originals!$G176*Yield_Originals!M$1)/Yield_Originals!$K176</f>
        <v>0.18439402516891415</v>
      </c>
      <c r="N176" s="104">
        <f>(Yield_Originals!$G176*Yield_Originals!N$1)/Yield_Originals!$K176</f>
        <v>0.18998172290130549</v>
      </c>
      <c r="O176" s="104">
        <f>(Yield_Originals!$G176*Yield_Originals!O$1)/Yield_Originals!$K176</f>
        <v>0.19556942063369684</v>
      </c>
      <c r="P176" s="105">
        <f>(Yield_Originals!$H176*Yield_Originals!P$1)/Yield_Originals!$K176</f>
        <v>0.20755989649388723</v>
      </c>
      <c r="Q176" s="105">
        <f>(Yield_Originals!$H176*Yield_Originals!Q$1)/Yield_Originals!$K176</f>
        <v>0.21332544917427299</v>
      </c>
      <c r="R176" s="105">
        <f>(Yield_Originals!$H176*Yield_Originals!R$1)/Yield_Originals!$K176</f>
        <v>0.21909100185465877</v>
      </c>
      <c r="S176" s="105">
        <f>(Yield_Originals!$H176*Yield_Originals!S$1)/Yield_Originals!$K176</f>
        <v>0.22485655453504452</v>
      </c>
      <c r="T176" s="107">
        <f>(Yield_Originals!$I176*Yield_Originals!T$1)/Yield_Originals!$K176</f>
        <v>0.23773630513520705</v>
      </c>
      <c r="U176" s="107">
        <f>(Yield_Originals!$I176*Yield_Originals!U$1)/Yield_Originals!$K176</f>
        <v>0.24367971276358716</v>
      </c>
      <c r="V176" s="107">
        <f>(Yield_Originals!$I176*Yield_Originals!V$1)/Yield_Originals!$K176</f>
        <v>0.24962312039196735</v>
      </c>
      <c r="W176" s="107">
        <f>(Yield_Originals!$I176*Yield_Originals!W$1)/Yield_Originals!$K176</f>
        <v>0.25556652802034746</v>
      </c>
      <c r="X176" s="108">
        <f>(Yield_Originals!$J176*Yield_Originals!X$1)/Yield_Originals!$K176</f>
        <v>0.27931494975094423</v>
      </c>
      <c r="Y176" s="108">
        <f>(Yield_Originals!$J176*Yield_Originals!Y$1)/Yield_Originals!$K176</f>
        <v>0.28566301679073836</v>
      </c>
      <c r="Z176" s="108">
        <f>(Yield_Originals!$J176*Yield_Originals!Z$1)/Yield_Originals!$K176</f>
        <v>0.29201108383053254</v>
      </c>
      <c r="AA176" s="108">
        <f>(Yield_Originals!$J176*Yield_Originals!AA$1)/Yield_Originals!$K176</f>
        <v>0.29835915087032666</v>
      </c>
      <c r="AB176" s="108">
        <f>(Yield_Originals!$J176*Yield_Originals!AB$1)/Yield_Originals!$K176</f>
        <v>0.3047072179101209</v>
      </c>
    </row>
    <row r="177" spans="1:28" x14ac:dyDescent="0.25">
      <c r="A177" s="109" t="s">
        <v>1027</v>
      </c>
      <c r="B177" s="70">
        <v>3</v>
      </c>
      <c r="C177" s="57" t="s">
        <v>960</v>
      </c>
      <c r="D177" s="57" t="s">
        <v>1045</v>
      </c>
      <c r="E177" s="100">
        <v>30</v>
      </c>
      <c r="F177" s="102">
        <v>0.14900527286376899</v>
      </c>
      <c r="G177" s="102">
        <v>0.14900527286376899</v>
      </c>
      <c r="H177" s="102">
        <f>+(Yield_Originals!I177+Yield_Originals!G177)/2</f>
        <v>0.15374807147695349</v>
      </c>
      <c r="I177" s="102">
        <v>0.15849087009013799</v>
      </c>
      <c r="J177" s="102">
        <v>0.169281787727845</v>
      </c>
      <c r="K177" s="103">
        <v>1</v>
      </c>
      <c r="L177" s="104"/>
      <c r="M177" s="104"/>
      <c r="N177" s="104"/>
      <c r="O177" s="104"/>
      <c r="P177" s="105"/>
      <c r="Q177" s="105"/>
      <c r="R177" s="105">
        <f>(Yield_Originals!$H177*Yield_Originals!R$1)/Yield_Originals!$K177</f>
        <v>0.21909100185465877</v>
      </c>
      <c r="S177" s="105">
        <f>(Yield_Originals!$H177*Yield_Originals!S$1)/Yield_Originals!$K177</f>
        <v>0.22485655453504452</v>
      </c>
      <c r="T177" s="107">
        <f>(Yield_Originals!$I177*Yield_Originals!T$1)/Yield_Originals!$K177</f>
        <v>0.23773630513520705</v>
      </c>
      <c r="U177" s="107">
        <f>(Yield_Originals!$I177*Yield_Originals!U$1)/Yield_Originals!$K177</f>
        <v>0.24367971276358716</v>
      </c>
      <c r="V177" s="107">
        <f>(Yield_Originals!$I177*Yield_Originals!V$1)/Yield_Originals!$K177</f>
        <v>0.24962312039196735</v>
      </c>
      <c r="W177" s="107">
        <f>(Yield_Originals!$I177*Yield_Originals!W$1)/Yield_Originals!$K177</f>
        <v>0.25556652802034746</v>
      </c>
      <c r="X177" s="108">
        <f>(Yield_Originals!$J177*Yield_Originals!X$1)/Yield_Originals!$K177</f>
        <v>0.27931494975094423</v>
      </c>
      <c r="Y177" s="108"/>
      <c r="Z177" s="108"/>
      <c r="AA177" s="108"/>
      <c r="AB177" s="108"/>
    </row>
    <row r="178" spans="1:28" x14ac:dyDescent="0.25">
      <c r="A178" s="72" t="s">
        <v>1054</v>
      </c>
      <c r="B178" s="70">
        <v>3</v>
      </c>
      <c r="C178" s="57" t="s">
        <v>236</v>
      </c>
      <c r="D178" s="57" t="s">
        <v>1071</v>
      </c>
      <c r="E178" s="100">
        <v>31</v>
      </c>
      <c r="F178" s="102">
        <v>0.12622424002054</v>
      </c>
      <c r="G178" s="102">
        <v>0.12622424002054</v>
      </c>
      <c r="H178" s="102">
        <f>+(Yield_Originals!I178+Yield_Originals!G178)/2</f>
        <v>0.12836610205624349</v>
      </c>
      <c r="I178" s="102">
        <v>0.13050796409194701</v>
      </c>
      <c r="J178" s="102">
        <v>0.14189303832344</v>
      </c>
      <c r="K178" s="103">
        <v>1</v>
      </c>
      <c r="L178" s="104"/>
      <c r="M178" s="104"/>
      <c r="N178" s="104"/>
      <c r="O178" s="104"/>
      <c r="P178" s="105"/>
      <c r="Q178" s="105"/>
      <c r="R178" s="105">
        <f>(Yield_Originals!$H178*Yield_Originals!R$1)/Yield_Originals!$K178</f>
        <v>0.182921695430147</v>
      </c>
      <c r="S178" s="105">
        <f>(Yield_Originals!$H178*Yield_Originals!S$1)/Yield_Originals!$K178</f>
        <v>0.18773542425725614</v>
      </c>
      <c r="T178" s="107">
        <f>(Yield_Originals!$I178*Yield_Originals!T$1)/Yield_Originals!$K178</f>
        <v>0.19576194613792058</v>
      </c>
      <c r="U178" s="107">
        <f>(Yield_Originals!$I178*Yield_Originals!U$1)/Yield_Originals!$K178</f>
        <v>0.20065599479136853</v>
      </c>
      <c r="V178" s="107">
        <f>(Yield_Originals!$I178*Yield_Originals!V$1)/Yield_Originals!$K178</f>
        <v>0.20555004344481656</v>
      </c>
      <c r="W178" s="107">
        <f>(Yield_Originals!$I178*Yield_Originals!W$1)/Yield_Originals!$K178</f>
        <v>0.21044409209826453</v>
      </c>
      <c r="X178" s="108">
        <f>(Yield_Originals!$J178*Yield_Originals!X$1)/Yield_Originals!$K178</f>
        <v>0.23412351323367597</v>
      </c>
      <c r="Y178" s="108"/>
      <c r="Z178" s="108"/>
      <c r="AA178" s="108"/>
      <c r="AB178" s="108"/>
    </row>
    <row r="179" spans="1:28" x14ac:dyDescent="0.25">
      <c r="A179" s="72" t="s">
        <v>1054</v>
      </c>
      <c r="B179" s="70">
        <v>3</v>
      </c>
      <c r="C179" s="57" t="s">
        <v>236</v>
      </c>
      <c r="D179" s="57" t="s">
        <v>1071</v>
      </c>
      <c r="E179" s="100">
        <v>32</v>
      </c>
      <c r="F179" s="102">
        <v>0.12622424002054</v>
      </c>
      <c r="G179" s="102">
        <v>0.12622424002054</v>
      </c>
      <c r="H179" s="102">
        <f>+(Yield_Originals!I179+Yield_Originals!G179)/2</f>
        <v>0.12836610205624349</v>
      </c>
      <c r="I179" s="102">
        <v>0.13050796409194701</v>
      </c>
      <c r="J179" s="102">
        <v>0.14189303832344</v>
      </c>
      <c r="K179" s="103">
        <v>1</v>
      </c>
      <c r="L179" s="104"/>
      <c r="M179" s="104"/>
      <c r="N179" s="104"/>
      <c r="O179" s="104"/>
      <c r="P179" s="105"/>
      <c r="Q179" s="105"/>
      <c r="R179" s="105">
        <f>(Yield_Originals!$H179*Yield_Originals!R$1)/Yield_Originals!$K179</f>
        <v>0.182921695430147</v>
      </c>
      <c r="S179" s="105">
        <f>(Yield_Originals!$H179*Yield_Originals!S$1)/Yield_Originals!$K179</f>
        <v>0.18773542425725614</v>
      </c>
      <c r="T179" s="107">
        <f>(Yield_Originals!$I179*Yield_Originals!T$1)/Yield_Originals!$K179</f>
        <v>0.19576194613792058</v>
      </c>
      <c r="U179" s="107">
        <f>(Yield_Originals!$I179*Yield_Originals!U$1)/Yield_Originals!$K179</f>
        <v>0.20065599479136853</v>
      </c>
      <c r="V179" s="107">
        <f>(Yield_Originals!$I179*Yield_Originals!V$1)/Yield_Originals!$K179</f>
        <v>0.20555004344481656</v>
      </c>
      <c r="W179" s="107">
        <f>(Yield_Originals!$I179*Yield_Originals!W$1)/Yield_Originals!$K179</f>
        <v>0.21044409209826453</v>
      </c>
      <c r="X179" s="108">
        <f>(Yield_Originals!$J179*Yield_Originals!X$1)/Yield_Originals!$K179</f>
        <v>0.23412351323367597</v>
      </c>
      <c r="Y179" s="108"/>
      <c r="Z179" s="108"/>
      <c r="AA179" s="108"/>
      <c r="AB179" s="108"/>
    </row>
    <row r="180" spans="1:28" x14ac:dyDescent="0.25">
      <c r="A180" s="72" t="s">
        <v>1054</v>
      </c>
      <c r="B180" s="70">
        <v>3</v>
      </c>
      <c r="C180" s="57" t="s">
        <v>965</v>
      </c>
      <c r="D180" s="57" t="s">
        <v>1073</v>
      </c>
      <c r="E180" s="100">
        <v>31</v>
      </c>
      <c r="F180" s="102">
        <v>0.12622424002054</v>
      </c>
      <c r="G180" s="102">
        <v>0.12622424002054</v>
      </c>
      <c r="H180" s="102">
        <f>+(Yield_Originals!I180+Yield_Originals!G180)/2</f>
        <v>0.12836610205624349</v>
      </c>
      <c r="I180" s="102">
        <v>0.13050796409194701</v>
      </c>
      <c r="J180" s="102">
        <v>0.14189303832344</v>
      </c>
      <c r="K180" s="103">
        <v>1</v>
      </c>
      <c r="L180" s="104">
        <f>(Yield_Originals!$G180*Yield_Originals!L$1)/Yield_Originals!$K180</f>
        <v>0.15146908802464804</v>
      </c>
      <c r="M180" s="104">
        <f>(Yield_Originals!$G180*Yield_Originals!M$1)/Yield_Originals!$K180</f>
        <v>0.15620249702541825</v>
      </c>
      <c r="N180" s="104">
        <f>(Yield_Originals!$G180*Yield_Originals!N$1)/Yield_Originals!$K180</f>
        <v>0.16093590602618851</v>
      </c>
      <c r="O180" s="104">
        <f>(Yield_Originals!$G180*Yield_Originals!O$1)/Yield_Originals!$K180</f>
        <v>0.16566931502695878</v>
      </c>
      <c r="P180" s="105"/>
      <c r="Q180" s="105"/>
      <c r="R180" s="105"/>
      <c r="S180" s="105"/>
      <c r="T180" s="107"/>
      <c r="U180" s="107"/>
      <c r="V180" s="107"/>
      <c r="W180" s="107"/>
      <c r="X180" s="108"/>
      <c r="Y180" s="108"/>
      <c r="Z180" s="108"/>
      <c r="AA180" s="108"/>
      <c r="AB180" s="108"/>
    </row>
    <row r="181" spans="1:28" x14ac:dyDescent="0.25">
      <c r="A181" s="72" t="s">
        <v>1054</v>
      </c>
      <c r="B181" s="70">
        <v>3</v>
      </c>
      <c r="C181" s="57" t="s">
        <v>965</v>
      </c>
      <c r="D181" s="57" t="s">
        <v>1073</v>
      </c>
      <c r="E181" s="100">
        <v>32</v>
      </c>
      <c r="F181" s="102">
        <v>0.12622424002054</v>
      </c>
      <c r="G181" s="102">
        <v>0.12622424002054</v>
      </c>
      <c r="H181" s="102">
        <f>+(Yield_Originals!I181+Yield_Originals!G181)/2</f>
        <v>0.12836610205624349</v>
      </c>
      <c r="I181" s="102">
        <v>0.13050796409194701</v>
      </c>
      <c r="J181" s="102">
        <v>0.14189303832344</v>
      </c>
      <c r="K181" s="103">
        <v>1</v>
      </c>
      <c r="L181" s="104">
        <f>(Yield_Originals!$G181*Yield_Originals!L$1)/Yield_Originals!$K181</f>
        <v>0.15146908802464804</v>
      </c>
      <c r="M181" s="104">
        <f>(Yield_Originals!$G181*Yield_Originals!M$1)/Yield_Originals!$K181</f>
        <v>0.15620249702541825</v>
      </c>
      <c r="N181" s="104">
        <f>(Yield_Originals!$G181*Yield_Originals!N$1)/Yield_Originals!$K181</f>
        <v>0.16093590602618851</v>
      </c>
      <c r="O181" s="104">
        <f>(Yield_Originals!$G181*Yield_Originals!O$1)/Yield_Originals!$K181</f>
        <v>0.16566931502695878</v>
      </c>
      <c r="P181" s="105">
        <f>(Yield_Originals!$H181*Yield_Originals!P$1)/Yield_Originals!$K181</f>
        <v>0.17329423777592873</v>
      </c>
      <c r="Q181" s="105">
        <f>(Yield_Originals!$H181*Yield_Originals!Q$1)/Yield_Originals!$K181</f>
        <v>0.17810796660303788</v>
      </c>
      <c r="R181" s="105">
        <f>(Yield_Originals!$H181*Yield_Originals!R$1)/Yield_Originals!$K181</f>
        <v>0.182921695430147</v>
      </c>
      <c r="S181" s="105">
        <f>(Yield_Originals!$H181*Yield_Originals!S$1)/Yield_Originals!$K181</f>
        <v>0.18773542425725614</v>
      </c>
      <c r="T181" s="107">
        <f>(Yield_Originals!$I181*Yield_Originals!T$1)/Yield_Originals!$K181</f>
        <v>0.19576194613792058</v>
      </c>
      <c r="U181" s="107">
        <f>(Yield_Originals!$I181*Yield_Originals!U$1)/Yield_Originals!$K181</f>
        <v>0.20065599479136853</v>
      </c>
      <c r="V181" s="107">
        <f>(Yield_Originals!$I181*Yield_Originals!V$1)/Yield_Originals!$K181</f>
        <v>0.20555004344481656</v>
      </c>
      <c r="W181" s="107">
        <f>(Yield_Originals!$I181*Yield_Originals!W$1)/Yield_Originals!$K181</f>
        <v>0.21044409209826453</v>
      </c>
      <c r="X181" s="108">
        <f>(Yield_Originals!$J181*Yield_Originals!X$1)/Yield_Originals!$K181</f>
        <v>0.23412351323367597</v>
      </c>
      <c r="Y181" s="108">
        <f>(Yield_Originals!$J181*Yield_Originals!Y$1)/Yield_Originals!$K181</f>
        <v>0.23944450217080493</v>
      </c>
      <c r="Z181" s="108">
        <f>(Yield_Originals!$J181*Yield_Originals!Z$1)/Yield_Originals!$K181</f>
        <v>0.24476549110793394</v>
      </c>
      <c r="AA181" s="108">
        <f>(Yield_Originals!$J181*Yield_Originals!AA$1)/Yield_Originals!$K181</f>
        <v>0.2500864800450629</v>
      </c>
      <c r="AB181" s="108">
        <f>(Yield_Originals!$J181*Yield_Originals!AB$1)/Yield_Originals!$K181</f>
        <v>0.25540746898219191</v>
      </c>
    </row>
    <row r="182" spans="1:28" x14ac:dyDescent="0.25">
      <c r="A182" s="72" t="s">
        <v>1054</v>
      </c>
      <c r="B182" s="70">
        <v>3</v>
      </c>
      <c r="C182" s="57" t="s">
        <v>968</v>
      </c>
      <c r="D182" s="57" t="s">
        <v>1075</v>
      </c>
      <c r="E182" s="100">
        <v>31</v>
      </c>
      <c r="F182" s="102">
        <v>0.12622424002054</v>
      </c>
      <c r="G182" s="102">
        <v>0.12622424002054</v>
      </c>
      <c r="H182" s="102">
        <f>+(Yield_Originals!I182+Yield_Originals!G182)/2</f>
        <v>0.12836610205624349</v>
      </c>
      <c r="I182" s="102">
        <v>0.13050796409194701</v>
      </c>
      <c r="J182" s="102">
        <v>0.14189303832344</v>
      </c>
      <c r="K182" s="103">
        <v>1</v>
      </c>
      <c r="L182" s="104">
        <f>(Yield_Originals!$G182*Yield_Originals!L$1)/Yield_Originals!$K182</f>
        <v>0.15146908802464804</v>
      </c>
      <c r="M182" s="104">
        <f>(Yield_Originals!$G182*Yield_Originals!M$1)/Yield_Originals!$K182</f>
        <v>0.15620249702541825</v>
      </c>
      <c r="N182" s="104">
        <f>(Yield_Originals!$G182*Yield_Originals!N$1)/Yield_Originals!$K182</f>
        <v>0.16093590602618851</v>
      </c>
      <c r="O182" s="104">
        <f>(Yield_Originals!$G182*Yield_Originals!O$1)/Yield_Originals!$K182</f>
        <v>0.16566931502695878</v>
      </c>
      <c r="P182" s="105"/>
      <c r="Q182" s="105"/>
      <c r="R182" s="105"/>
      <c r="S182" s="105"/>
      <c r="T182" s="107"/>
      <c r="U182" s="107"/>
      <c r="V182" s="107"/>
      <c r="W182" s="107"/>
      <c r="X182" s="108"/>
      <c r="Y182" s="108"/>
      <c r="Z182" s="108"/>
      <c r="AA182" s="108"/>
      <c r="AB182" s="108"/>
    </row>
    <row r="183" spans="1:28" x14ac:dyDescent="0.25">
      <c r="A183" s="72" t="s">
        <v>1054</v>
      </c>
      <c r="B183" s="70">
        <v>3</v>
      </c>
      <c r="C183" s="57" t="s">
        <v>968</v>
      </c>
      <c r="D183" s="57" t="s">
        <v>1075</v>
      </c>
      <c r="E183" s="100">
        <v>32</v>
      </c>
      <c r="F183" s="102">
        <v>0.12622424002054</v>
      </c>
      <c r="G183" s="102">
        <v>0.12622424002054</v>
      </c>
      <c r="H183" s="102">
        <f>+(Yield_Originals!I183+Yield_Originals!G183)/2</f>
        <v>0.12836610205624349</v>
      </c>
      <c r="I183" s="102">
        <v>0.13050796409194701</v>
      </c>
      <c r="J183" s="102">
        <v>0.14189303832344</v>
      </c>
      <c r="K183" s="103">
        <v>1</v>
      </c>
      <c r="L183" s="104">
        <f>(Yield_Originals!$G183*Yield_Originals!L$1)/Yield_Originals!$K183</f>
        <v>0.15146908802464804</v>
      </c>
      <c r="M183" s="104">
        <f>(Yield_Originals!$G183*Yield_Originals!M$1)/Yield_Originals!$K183</f>
        <v>0.15620249702541825</v>
      </c>
      <c r="N183" s="104">
        <f>(Yield_Originals!$G183*Yield_Originals!N$1)/Yield_Originals!$K183</f>
        <v>0.16093590602618851</v>
      </c>
      <c r="O183" s="104">
        <f>(Yield_Originals!$G183*Yield_Originals!O$1)/Yield_Originals!$K183</f>
        <v>0.16566931502695878</v>
      </c>
      <c r="P183" s="105">
        <f>(Yield_Originals!$H183*Yield_Originals!P$1)/Yield_Originals!$K183</f>
        <v>0.17329423777592873</v>
      </c>
      <c r="Q183" s="105">
        <f>(Yield_Originals!$H183*Yield_Originals!Q$1)/Yield_Originals!$K183</f>
        <v>0.17810796660303788</v>
      </c>
      <c r="R183" s="105">
        <f>(Yield_Originals!$H183*Yield_Originals!R$1)/Yield_Originals!$K183</f>
        <v>0.182921695430147</v>
      </c>
      <c r="S183" s="105">
        <f>(Yield_Originals!$H183*Yield_Originals!S$1)/Yield_Originals!$K183</f>
        <v>0.18773542425725614</v>
      </c>
      <c r="T183" s="107">
        <f>(Yield_Originals!$I183*Yield_Originals!T$1)/Yield_Originals!$K183</f>
        <v>0.19576194613792058</v>
      </c>
      <c r="U183" s="107">
        <f>(Yield_Originals!$I183*Yield_Originals!U$1)/Yield_Originals!$K183</f>
        <v>0.20065599479136853</v>
      </c>
      <c r="V183" s="107">
        <f>(Yield_Originals!$I183*Yield_Originals!V$1)/Yield_Originals!$K183</f>
        <v>0.20555004344481656</v>
      </c>
      <c r="W183" s="107">
        <f>(Yield_Originals!$I183*Yield_Originals!W$1)/Yield_Originals!$K183</f>
        <v>0.21044409209826453</v>
      </c>
      <c r="X183" s="108">
        <f>(Yield_Originals!$J183*Yield_Originals!X$1)/Yield_Originals!$K183</f>
        <v>0.23412351323367597</v>
      </c>
      <c r="Y183" s="108">
        <f>(Yield_Originals!$J183*Yield_Originals!Y$1)/Yield_Originals!$K183</f>
        <v>0.23944450217080493</v>
      </c>
      <c r="Z183" s="108">
        <f>(Yield_Originals!$J183*Yield_Originals!Z$1)/Yield_Originals!$K183</f>
        <v>0.24476549110793394</v>
      </c>
      <c r="AA183" s="108">
        <f>(Yield_Originals!$J183*Yield_Originals!AA$1)/Yield_Originals!$K183</f>
        <v>0.2500864800450629</v>
      </c>
      <c r="AB183" s="108">
        <f>(Yield_Originals!$J183*Yield_Originals!AB$1)/Yield_Originals!$K183</f>
        <v>0.25540746898219191</v>
      </c>
    </row>
    <row r="184" spans="1:28" x14ac:dyDescent="0.25">
      <c r="A184" s="72" t="s">
        <v>1054</v>
      </c>
      <c r="B184" s="70">
        <v>3</v>
      </c>
      <c r="C184" s="57" t="s">
        <v>972</v>
      </c>
      <c r="D184" s="57" t="s">
        <v>1080</v>
      </c>
      <c r="E184" s="100">
        <v>31</v>
      </c>
      <c r="F184" s="102">
        <v>0.12622424002054</v>
      </c>
      <c r="G184" s="102">
        <v>0.12622424002054</v>
      </c>
      <c r="H184" s="102">
        <f>+(Yield_Originals!I184+Yield_Originals!G184)/2</f>
        <v>0.12836610205624349</v>
      </c>
      <c r="I184" s="102">
        <v>0.13050796409194701</v>
      </c>
      <c r="J184" s="102">
        <v>0.14189303832344</v>
      </c>
      <c r="K184" s="103">
        <v>1</v>
      </c>
      <c r="L184" s="104"/>
      <c r="M184" s="104"/>
      <c r="N184" s="104">
        <f>(Yield_Originals!$G184*Yield_Originals!N$1)/Yield_Originals!$K184</f>
        <v>0.16093590602618851</v>
      </c>
      <c r="O184" s="104">
        <f>(Yield_Originals!$G184*Yield_Originals!O$1)/Yield_Originals!$K184</f>
        <v>0.16566931502695878</v>
      </c>
      <c r="P184" s="105">
        <f>(Yield_Originals!$H184*Yield_Originals!P$1)/Yield_Originals!$K184</f>
        <v>0.17329423777592873</v>
      </c>
      <c r="Q184" s="105">
        <f>(Yield_Originals!$H184*Yield_Originals!Q$1)/Yield_Originals!$K184</f>
        <v>0.17810796660303788</v>
      </c>
      <c r="R184" s="105">
        <f>(Yield_Originals!$H184*Yield_Originals!R$1)/Yield_Originals!$K184</f>
        <v>0.182921695430147</v>
      </c>
      <c r="S184" s="105">
        <f>(Yield_Originals!$H184*Yield_Originals!S$1)/Yield_Originals!$K184</f>
        <v>0.18773542425725614</v>
      </c>
      <c r="T184" s="107"/>
      <c r="U184" s="107"/>
      <c r="V184" s="107"/>
      <c r="W184" s="107"/>
      <c r="X184" s="108"/>
      <c r="Y184" s="108"/>
      <c r="Z184" s="108"/>
      <c r="AA184" s="108"/>
      <c r="AB184" s="108"/>
    </row>
    <row r="185" spans="1:28" x14ac:dyDescent="0.25">
      <c r="A185" s="72" t="s">
        <v>1054</v>
      </c>
      <c r="B185" s="70">
        <v>3</v>
      </c>
      <c r="C185" s="57" t="s">
        <v>972</v>
      </c>
      <c r="D185" s="57" t="s">
        <v>1080</v>
      </c>
      <c r="E185" s="100">
        <v>32</v>
      </c>
      <c r="F185" s="102">
        <v>0.12622424002054</v>
      </c>
      <c r="G185" s="102">
        <v>0.12622424002054</v>
      </c>
      <c r="H185" s="102">
        <f>+(Yield_Originals!I185+Yield_Originals!G185)/2</f>
        <v>0.12836610205624349</v>
      </c>
      <c r="I185" s="102">
        <v>0.13050796409194701</v>
      </c>
      <c r="J185" s="102">
        <v>0.14189303832344</v>
      </c>
      <c r="K185" s="103">
        <v>1</v>
      </c>
      <c r="L185" s="104"/>
      <c r="M185" s="104"/>
      <c r="N185" s="104">
        <f>(Yield_Originals!$G185*Yield_Originals!N$1)/Yield_Originals!$K185</f>
        <v>0.16093590602618851</v>
      </c>
      <c r="O185" s="104">
        <f>(Yield_Originals!$G185*Yield_Originals!O$1)/Yield_Originals!$K185</f>
        <v>0.16566931502695878</v>
      </c>
      <c r="P185" s="105">
        <f>(Yield_Originals!$H185*Yield_Originals!P$1)/Yield_Originals!$K185</f>
        <v>0.17329423777592873</v>
      </c>
      <c r="Q185" s="105">
        <f>(Yield_Originals!$H185*Yield_Originals!Q$1)/Yield_Originals!$K185</f>
        <v>0.17810796660303788</v>
      </c>
      <c r="R185" s="105">
        <f>(Yield_Originals!$H185*Yield_Originals!R$1)/Yield_Originals!$K185</f>
        <v>0.182921695430147</v>
      </c>
      <c r="S185" s="105">
        <f>(Yield_Originals!$H185*Yield_Originals!S$1)/Yield_Originals!$K185</f>
        <v>0.18773542425725614</v>
      </c>
      <c r="T185" s="107"/>
      <c r="U185" s="107"/>
      <c r="V185" s="107"/>
      <c r="W185" s="107"/>
      <c r="X185" s="108"/>
      <c r="Y185" s="108"/>
      <c r="Z185" s="108"/>
      <c r="AA185" s="108"/>
      <c r="AB185" s="108"/>
    </row>
    <row r="186" spans="1:28" x14ac:dyDescent="0.25">
      <c r="A186" s="72" t="s">
        <v>1054</v>
      </c>
      <c r="B186" s="70">
        <v>3</v>
      </c>
      <c r="C186" s="57" t="s">
        <v>975</v>
      </c>
      <c r="D186" s="57" t="s">
        <v>1078</v>
      </c>
      <c r="E186" s="100">
        <v>31</v>
      </c>
      <c r="F186" s="102">
        <v>0.12622424002054</v>
      </c>
      <c r="G186" s="102">
        <v>0.12622424002054</v>
      </c>
      <c r="H186" s="102">
        <f>+(Yield_Originals!I186+Yield_Originals!G186)/2</f>
        <v>0.12836610205624349</v>
      </c>
      <c r="I186" s="102">
        <v>0.13050796409194701</v>
      </c>
      <c r="J186" s="102">
        <v>0.14189303832344</v>
      </c>
      <c r="K186" s="103">
        <v>1</v>
      </c>
      <c r="L186" s="104"/>
      <c r="M186" s="104"/>
      <c r="N186" s="104"/>
      <c r="O186" s="104"/>
      <c r="P186" s="105">
        <f>(Yield_Originals!$H186*Yield_Originals!P$1)/Yield_Originals!$K186</f>
        <v>0.17329423777592873</v>
      </c>
      <c r="Q186" s="105">
        <f>(Yield_Originals!$H186*Yield_Originals!Q$1)/Yield_Originals!$K186</f>
        <v>0.17810796660303788</v>
      </c>
      <c r="R186" s="105">
        <f>(Yield_Originals!$H186*Yield_Originals!R$1)/Yield_Originals!$K186</f>
        <v>0.182921695430147</v>
      </c>
      <c r="S186" s="105">
        <f>(Yield_Originals!$H186*Yield_Originals!S$1)/Yield_Originals!$K186</f>
        <v>0.18773542425725614</v>
      </c>
      <c r="T186" s="107">
        <f>(Yield_Originals!$I186*Yield_Originals!T$1)/Yield_Originals!$K186</f>
        <v>0.19576194613792058</v>
      </c>
      <c r="U186" s="107">
        <f>(Yield_Originals!$I186*Yield_Originals!U$1)/Yield_Originals!$K186</f>
        <v>0.20065599479136853</v>
      </c>
      <c r="V186" s="107">
        <f>(Yield_Originals!$I186*Yield_Originals!V$1)/Yield_Originals!$K186</f>
        <v>0.20555004344481656</v>
      </c>
      <c r="W186" s="107">
        <f>(Yield_Originals!$I186*Yield_Originals!W$1)/Yield_Originals!$K186</f>
        <v>0.21044409209826453</v>
      </c>
      <c r="X186" s="108"/>
      <c r="Y186" s="108"/>
      <c r="Z186" s="108"/>
      <c r="AA186" s="108"/>
      <c r="AB186" s="108"/>
    </row>
    <row r="187" spans="1:28" x14ac:dyDescent="0.25">
      <c r="A187" s="72" t="s">
        <v>1054</v>
      </c>
      <c r="B187" s="70">
        <v>3</v>
      </c>
      <c r="C187" s="57" t="s">
        <v>975</v>
      </c>
      <c r="D187" s="57" t="s">
        <v>1078</v>
      </c>
      <c r="E187" s="100">
        <v>32</v>
      </c>
      <c r="F187" s="102">
        <v>0.12622424002054</v>
      </c>
      <c r="G187" s="102">
        <v>0.12622424002054</v>
      </c>
      <c r="H187" s="102">
        <f>+(Yield_Originals!I187+Yield_Originals!G187)/2</f>
        <v>0.12836610205624349</v>
      </c>
      <c r="I187" s="102">
        <v>0.13050796409194701</v>
      </c>
      <c r="J187" s="102">
        <v>0.14189303832344</v>
      </c>
      <c r="K187" s="103">
        <v>1</v>
      </c>
      <c r="L187" s="104"/>
      <c r="M187" s="104"/>
      <c r="N187" s="104"/>
      <c r="O187" s="104"/>
      <c r="P187" s="105">
        <f>(Yield_Originals!$H187*Yield_Originals!P$1)/Yield_Originals!$K187</f>
        <v>0.17329423777592873</v>
      </c>
      <c r="Q187" s="105">
        <f>(Yield_Originals!$H187*Yield_Originals!Q$1)/Yield_Originals!$K187</f>
        <v>0.17810796660303788</v>
      </c>
      <c r="R187" s="105">
        <f>(Yield_Originals!$H187*Yield_Originals!R$1)/Yield_Originals!$K187</f>
        <v>0.182921695430147</v>
      </c>
      <c r="S187" s="105">
        <f>(Yield_Originals!$H187*Yield_Originals!S$1)/Yield_Originals!$K187</f>
        <v>0.18773542425725614</v>
      </c>
      <c r="T187" s="107">
        <f>(Yield_Originals!$I187*Yield_Originals!T$1)/Yield_Originals!$K187</f>
        <v>0.19576194613792058</v>
      </c>
      <c r="U187" s="107">
        <f>(Yield_Originals!$I187*Yield_Originals!U$1)/Yield_Originals!$K187</f>
        <v>0.20065599479136853</v>
      </c>
      <c r="V187" s="107">
        <f>(Yield_Originals!$I187*Yield_Originals!V$1)/Yield_Originals!$K187</f>
        <v>0.20555004344481656</v>
      </c>
      <c r="W187" s="107">
        <f>(Yield_Originals!$I187*Yield_Originals!W$1)/Yield_Originals!$K187</f>
        <v>0.21044409209826453</v>
      </c>
      <c r="X187" s="108"/>
      <c r="Y187" s="108"/>
      <c r="Z187" s="108"/>
      <c r="AA187" s="108"/>
      <c r="AB187" s="108"/>
    </row>
    <row r="188" spans="1:28" x14ac:dyDescent="0.25">
      <c r="A188" s="72" t="s">
        <v>1054</v>
      </c>
      <c r="B188" s="70">
        <v>3</v>
      </c>
      <c r="C188" s="57" t="s">
        <v>127</v>
      </c>
      <c r="D188" s="57" t="s">
        <v>1053</v>
      </c>
      <c r="E188" s="100">
        <v>31</v>
      </c>
      <c r="F188" s="102">
        <v>0.12622424002054</v>
      </c>
      <c r="G188" s="102">
        <v>0.12622424002054</v>
      </c>
      <c r="H188" s="102">
        <f>+(Yield_Originals!I188+Yield_Originals!G188)/2</f>
        <v>0.12836610205624349</v>
      </c>
      <c r="I188" s="102">
        <v>0.13050796409194701</v>
      </c>
      <c r="J188" s="102">
        <v>0.14189303832344</v>
      </c>
      <c r="K188" s="103">
        <v>1</v>
      </c>
      <c r="L188" s="104">
        <f>(Yield_Originals!$G188*Yield_Originals!L$1)/Yield_Originals!$K188</f>
        <v>0.15146908802464804</v>
      </c>
      <c r="M188" s="104">
        <f>(Yield_Originals!$G188*Yield_Originals!M$1)/Yield_Originals!$K188</f>
        <v>0.15620249702541825</v>
      </c>
      <c r="N188" s="104">
        <f>(Yield_Originals!$G188*Yield_Originals!N$1)/Yield_Originals!$K188</f>
        <v>0.16093590602618851</v>
      </c>
      <c r="O188" s="104">
        <f>(Yield_Originals!$G188*Yield_Originals!O$1)/Yield_Originals!$K188</f>
        <v>0.16566931502695878</v>
      </c>
      <c r="P188" s="105">
        <f>(Yield_Originals!$H188*Yield_Originals!P$1)/Yield_Originals!$K188</f>
        <v>0.17329423777592873</v>
      </c>
      <c r="Q188" s="105">
        <f>(Yield_Originals!$H188*Yield_Originals!Q$1)/Yield_Originals!$K188</f>
        <v>0.17810796660303788</v>
      </c>
      <c r="R188" s="105">
        <f>(Yield_Originals!$H188*Yield_Originals!R$1)/Yield_Originals!$K188</f>
        <v>0.182921695430147</v>
      </c>
      <c r="S188" s="105">
        <f>(Yield_Originals!$H188*Yield_Originals!S$1)/Yield_Originals!$K188</f>
        <v>0.18773542425725614</v>
      </c>
      <c r="T188" s="107">
        <f>(Yield_Originals!$I188*Yield_Originals!T$1)/Yield_Originals!$K188</f>
        <v>0.19576194613792058</v>
      </c>
      <c r="U188" s="107">
        <f>(Yield_Originals!$I188*Yield_Originals!U$1)/Yield_Originals!$K188</f>
        <v>0.20065599479136853</v>
      </c>
      <c r="V188" s="107">
        <f>(Yield_Originals!$I188*Yield_Originals!V$1)/Yield_Originals!$K188</f>
        <v>0.20555004344481656</v>
      </c>
      <c r="W188" s="107">
        <f>(Yield_Originals!$I188*Yield_Originals!W$1)/Yield_Originals!$K188</f>
        <v>0.21044409209826453</v>
      </c>
      <c r="X188" s="108">
        <f>(Yield_Originals!$J188*Yield_Originals!X$1)/Yield_Originals!$K188</f>
        <v>0.23412351323367597</v>
      </c>
      <c r="Y188" s="108">
        <f>(Yield_Originals!$J188*Yield_Originals!Y$1)/Yield_Originals!$K188</f>
        <v>0.23944450217080493</v>
      </c>
      <c r="Z188" s="108">
        <f>(Yield_Originals!$J188*Yield_Originals!Z$1)/Yield_Originals!$K188</f>
        <v>0.24476549110793394</v>
      </c>
      <c r="AA188" s="108">
        <f>(Yield_Originals!$J188*Yield_Originals!AA$1)/Yield_Originals!$K188</f>
        <v>0.2500864800450629</v>
      </c>
      <c r="AB188" s="108">
        <f>(Yield_Originals!$J188*Yield_Originals!AB$1)/Yield_Originals!$K188</f>
        <v>0.25540746898219191</v>
      </c>
    </row>
    <row r="189" spans="1:28" x14ac:dyDescent="0.25">
      <c r="A189" s="72" t="s">
        <v>1054</v>
      </c>
      <c r="B189" s="70">
        <v>3</v>
      </c>
      <c r="C189" s="57" t="s">
        <v>127</v>
      </c>
      <c r="D189" s="57" t="s">
        <v>1053</v>
      </c>
      <c r="E189" s="100">
        <v>32</v>
      </c>
      <c r="F189" s="102">
        <v>0.12622424002054</v>
      </c>
      <c r="G189" s="102">
        <v>0.12622424002054</v>
      </c>
      <c r="H189" s="102">
        <f>+(Yield_Originals!I189+Yield_Originals!G189)/2</f>
        <v>0.12836610205624349</v>
      </c>
      <c r="I189" s="102">
        <v>0.13050796409194701</v>
      </c>
      <c r="J189" s="102">
        <v>0.14189303832344</v>
      </c>
      <c r="K189" s="103">
        <v>1</v>
      </c>
      <c r="L189" s="104">
        <f>(Yield_Originals!$G189*Yield_Originals!L$1)/Yield_Originals!$K189</f>
        <v>0.15146908802464804</v>
      </c>
      <c r="M189" s="104">
        <f>(Yield_Originals!$G189*Yield_Originals!M$1)/Yield_Originals!$K189</f>
        <v>0.15620249702541825</v>
      </c>
      <c r="N189" s="104">
        <f>(Yield_Originals!$G189*Yield_Originals!N$1)/Yield_Originals!$K189</f>
        <v>0.16093590602618851</v>
      </c>
      <c r="O189" s="104">
        <f>(Yield_Originals!$G189*Yield_Originals!O$1)/Yield_Originals!$K189</f>
        <v>0.16566931502695878</v>
      </c>
      <c r="P189" s="105">
        <f>(Yield_Originals!$H189*Yield_Originals!P$1)/Yield_Originals!$K189</f>
        <v>0.17329423777592873</v>
      </c>
      <c r="Q189" s="105">
        <f>(Yield_Originals!$H189*Yield_Originals!Q$1)/Yield_Originals!$K189</f>
        <v>0.17810796660303788</v>
      </c>
      <c r="R189" s="105">
        <f>(Yield_Originals!$H189*Yield_Originals!R$1)/Yield_Originals!$K189</f>
        <v>0.182921695430147</v>
      </c>
      <c r="S189" s="105">
        <f>(Yield_Originals!$H189*Yield_Originals!S$1)/Yield_Originals!$K189</f>
        <v>0.18773542425725614</v>
      </c>
      <c r="T189" s="107">
        <f>(Yield_Originals!$I189*Yield_Originals!T$1)/Yield_Originals!$K189</f>
        <v>0.19576194613792058</v>
      </c>
      <c r="U189" s="107">
        <f>(Yield_Originals!$I189*Yield_Originals!U$1)/Yield_Originals!$K189</f>
        <v>0.20065599479136853</v>
      </c>
      <c r="V189" s="107">
        <f>(Yield_Originals!$I189*Yield_Originals!V$1)/Yield_Originals!$K189</f>
        <v>0.20555004344481656</v>
      </c>
      <c r="W189" s="107">
        <f>(Yield_Originals!$I189*Yield_Originals!W$1)/Yield_Originals!$K189</f>
        <v>0.21044409209826453</v>
      </c>
      <c r="X189" s="108">
        <f>(Yield_Originals!$J189*Yield_Originals!X$1)/Yield_Originals!$K189</f>
        <v>0.23412351323367597</v>
      </c>
      <c r="Y189" s="108">
        <f>(Yield_Originals!$J189*Yield_Originals!Y$1)/Yield_Originals!$K189</f>
        <v>0.23944450217080493</v>
      </c>
      <c r="Z189" s="108">
        <f>(Yield_Originals!$J189*Yield_Originals!Z$1)/Yield_Originals!$K189</f>
        <v>0.24476549110793394</v>
      </c>
      <c r="AA189" s="108">
        <f>(Yield_Originals!$J189*Yield_Originals!AA$1)/Yield_Originals!$K189</f>
        <v>0.2500864800450629</v>
      </c>
      <c r="AB189" s="108">
        <f>(Yield_Originals!$J189*Yield_Originals!AB$1)/Yield_Originals!$K189</f>
        <v>0.25540746898219191</v>
      </c>
    </row>
    <row r="190" spans="1:28" x14ac:dyDescent="0.25">
      <c r="A190" s="72" t="s">
        <v>1054</v>
      </c>
      <c r="B190" s="70">
        <v>3</v>
      </c>
      <c r="C190" s="57" t="s">
        <v>237</v>
      </c>
      <c r="D190" s="57" t="s">
        <v>1057</v>
      </c>
      <c r="E190" s="100">
        <v>31</v>
      </c>
      <c r="F190" s="102">
        <v>0.12622424002054</v>
      </c>
      <c r="G190" s="102">
        <v>0.12622424002054</v>
      </c>
      <c r="H190" s="102">
        <f>+(Yield_Originals!I190+Yield_Originals!G190)/2</f>
        <v>0.12836610205624349</v>
      </c>
      <c r="I190" s="102">
        <v>0.13050796409194701</v>
      </c>
      <c r="J190" s="102">
        <v>0.14189303832344</v>
      </c>
      <c r="K190" s="103">
        <v>1</v>
      </c>
      <c r="L190" s="104">
        <f>(Yield_Originals!$G190*Yield_Originals!L$1)/Yield_Originals!$K190</f>
        <v>0.15146908802464804</v>
      </c>
      <c r="M190" s="104">
        <f>(Yield_Originals!$G190*Yield_Originals!M$1)/Yield_Originals!$K190</f>
        <v>0.15620249702541825</v>
      </c>
      <c r="N190" s="104">
        <f>(Yield_Originals!$G190*Yield_Originals!N$1)/Yield_Originals!$K190</f>
        <v>0.16093590602618851</v>
      </c>
      <c r="O190" s="104">
        <f>(Yield_Originals!$G190*Yield_Originals!O$1)/Yield_Originals!$K190</f>
        <v>0.16566931502695878</v>
      </c>
      <c r="P190" s="105">
        <f>(Yield_Originals!$H190*Yield_Originals!P$1)/Yield_Originals!$K190</f>
        <v>0.17329423777592873</v>
      </c>
      <c r="Q190" s="105">
        <f>(Yield_Originals!$H190*Yield_Originals!Q$1)/Yield_Originals!$K190</f>
        <v>0.17810796660303788</v>
      </c>
      <c r="R190" s="105">
        <f>(Yield_Originals!$H190*Yield_Originals!R$1)/Yield_Originals!$K190</f>
        <v>0.182921695430147</v>
      </c>
      <c r="S190" s="105">
        <f>(Yield_Originals!$H190*Yield_Originals!S$1)/Yield_Originals!$K190</f>
        <v>0.18773542425725614</v>
      </c>
      <c r="T190" s="107">
        <f>(Yield_Originals!$I190*Yield_Originals!T$1)/Yield_Originals!$K190</f>
        <v>0.19576194613792058</v>
      </c>
      <c r="U190" s="107">
        <f>(Yield_Originals!$I190*Yield_Originals!U$1)/Yield_Originals!$K190</f>
        <v>0.20065599479136853</v>
      </c>
      <c r="V190" s="107">
        <f>(Yield_Originals!$I190*Yield_Originals!V$1)/Yield_Originals!$K190</f>
        <v>0.20555004344481656</v>
      </c>
      <c r="W190" s="107">
        <f>(Yield_Originals!$I190*Yield_Originals!W$1)/Yield_Originals!$K190</f>
        <v>0.21044409209826453</v>
      </c>
      <c r="X190" s="108">
        <f>(Yield_Originals!$J190*Yield_Originals!X$1)/Yield_Originals!$K190</f>
        <v>0.23412351323367597</v>
      </c>
      <c r="Y190" s="108">
        <f>(Yield_Originals!$J190*Yield_Originals!Y$1)/Yield_Originals!$K190</f>
        <v>0.23944450217080493</v>
      </c>
      <c r="Z190" s="108">
        <f>(Yield_Originals!$J190*Yield_Originals!Z$1)/Yield_Originals!$K190</f>
        <v>0.24476549110793394</v>
      </c>
      <c r="AA190" s="108">
        <f>(Yield_Originals!$J190*Yield_Originals!AA$1)/Yield_Originals!$K190</f>
        <v>0.2500864800450629</v>
      </c>
      <c r="AB190" s="108">
        <f>(Yield_Originals!$J190*Yield_Originals!AB$1)/Yield_Originals!$K190</f>
        <v>0.25540746898219191</v>
      </c>
    </row>
    <row r="191" spans="1:28" x14ac:dyDescent="0.25">
      <c r="A191" s="72" t="s">
        <v>1054</v>
      </c>
      <c r="B191" s="70">
        <v>3</v>
      </c>
      <c r="C191" s="57" t="s">
        <v>237</v>
      </c>
      <c r="D191" s="57" t="s">
        <v>1057</v>
      </c>
      <c r="E191" s="100">
        <v>32</v>
      </c>
      <c r="F191" s="102">
        <v>0.12622424002054</v>
      </c>
      <c r="G191" s="102">
        <v>0.12622424002054</v>
      </c>
      <c r="H191" s="102">
        <f>+(Yield_Originals!I191+Yield_Originals!G191)/2</f>
        <v>0.12836610205624349</v>
      </c>
      <c r="I191" s="102">
        <v>0.13050796409194701</v>
      </c>
      <c r="J191" s="102">
        <v>0.14189303832344</v>
      </c>
      <c r="K191" s="103">
        <v>1</v>
      </c>
      <c r="L191" s="104">
        <f>(Yield_Originals!$G191*Yield_Originals!L$1)/Yield_Originals!$K191</f>
        <v>0.15146908802464804</v>
      </c>
      <c r="M191" s="104">
        <f>(Yield_Originals!$G191*Yield_Originals!M$1)/Yield_Originals!$K191</f>
        <v>0.15620249702541825</v>
      </c>
      <c r="N191" s="104">
        <f>(Yield_Originals!$G191*Yield_Originals!N$1)/Yield_Originals!$K191</f>
        <v>0.16093590602618851</v>
      </c>
      <c r="O191" s="104">
        <f>(Yield_Originals!$G191*Yield_Originals!O$1)/Yield_Originals!$K191</f>
        <v>0.16566931502695878</v>
      </c>
      <c r="P191" s="105">
        <f>(Yield_Originals!$H191*Yield_Originals!P$1)/Yield_Originals!$K191</f>
        <v>0.17329423777592873</v>
      </c>
      <c r="Q191" s="105">
        <f>(Yield_Originals!$H191*Yield_Originals!Q$1)/Yield_Originals!$K191</f>
        <v>0.17810796660303788</v>
      </c>
      <c r="R191" s="105">
        <f>(Yield_Originals!$H191*Yield_Originals!R$1)/Yield_Originals!$K191</f>
        <v>0.182921695430147</v>
      </c>
      <c r="S191" s="105">
        <f>(Yield_Originals!$H191*Yield_Originals!S$1)/Yield_Originals!$K191</f>
        <v>0.18773542425725614</v>
      </c>
      <c r="T191" s="107">
        <f>(Yield_Originals!$I191*Yield_Originals!T$1)/Yield_Originals!$K191</f>
        <v>0.19576194613792058</v>
      </c>
      <c r="U191" s="107">
        <f>(Yield_Originals!$I191*Yield_Originals!U$1)/Yield_Originals!$K191</f>
        <v>0.20065599479136853</v>
      </c>
      <c r="V191" s="107">
        <f>(Yield_Originals!$I191*Yield_Originals!V$1)/Yield_Originals!$K191</f>
        <v>0.20555004344481656</v>
      </c>
      <c r="W191" s="107">
        <f>(Yield_Originals!$I191*Yield_Originals!W$1)/Yield_Originals!$K191</f>
        <v>0.21044409209826453</v>
      </c>
      <c r="X191" s="108">
        <f>(Yield_Originals!$J191*Yield_Originals!X$1)/Yield_Originals!$K191</f>
        <v>0.23412351323367597</v>
      </c>
      <c r="Y191" s="108">
        <f>(Yield_Originals!$J191*Yield_Originals!Y$1)/Yield_Originals!$K191</f>
        <v>0.23944450217080493</v>
      </c>
      <c r="Z191" s="108">
        <f>(Yield_Originals!$J191*Yield_Originals!Z$1)/Yield_Originals!$K191</f>
        <v>0.24476549110793394</v>
      </c>
      <c r="AA191" s="108">
        <f>(Yield_Originals!$J191*Yield_Originals!AA$1)/Yield_Originals!$K191</f>
        <v>0.2500864800450629</v>
      </c>
      <c r="AB191" s="108">
        <f>(Yield_Originals!$J191*Yield_Originals!AB$1)/Yield_Originals!$K191</f>
        <v>0.25540746898219191</v>
      </c>
    </row>
    <row r="192" spans="1:28" x14ac:dyDescent="0.25">
      <c r="A192" s="72" t="s">
        <v>1054</v>
      </c>
      <c r="B192" s="70">
        <v>3</v>
      </c>
      <c r="C192" s="57" t="s">
        <v>982</v>
      </c>
      <c r="D192" s="57" t="s">
        <v>1069</v>
      </c>
      <c r="E192" s="100">
        <v>31</v>
      </c>
      <c r="F192" s="102">
        <v>0.12622424002054</v>
      </c>
      <c r="G192" s="102">
        <v>0.12622424002054</v>
      </c>
      <c r="H192" s="102">
        <f>+(Yield_Originals!I192+Yield_Originals!G192)/2</f>
        <v>0.12836610205624349</v>
      </c>
      <c r="I192" s="102">
        <v>0.13050796409194701</v>
      </c>
      <c r="J192" s="102">
        <v>0.14189303832344</v>
      </c>
      <c r="K192" s="103">
        <v>1</v>
      </c>
      <c r="L192" s="104">
        <f>(Yield_Originals!$G192*Yield_Originals!L$1)/Yield_Originals!$K192</f>
        <v>0.15146908802464804</v>
      </c>
      <c r="M192" s="104">
        <f>(Yield_Originals!$G192*Yield_Originals!M$1)/Yield_Originals!$K192</f>
        <v>0.15620249702541825</v>
      </c>
      <c r="N192" s="104">
        <f>(Yield_Originals!$G192*Yield_Originals!N$1)/Yield_Originals!$K192</f>
        <v>0.16093590602618851</v>
      </c>
      <c r="O192" s="104">
        <f>(Yield_Originals!$G192*Yield_Originals!O$1)/Yield_Originals!$K192</f>
        <v>0.16566931502695878</v>
      </c>
      <c r="P192" s="105">
        <f>(Yield_Originals!$H192*Yield_Originals!P$1)/Yield_Originals!$K192</f>
        <v>0.17329423777592873</v>
      </c>
      <c r="Q192" s="105">
        <f>(Yield_Originals!$H192*Yield_Originals!Q$1)/Yield_Originals!$K192</f>
        <v>0.17810796660303788</v>
      </c>
      <c r="R192" s="105">
        <f>(Yield_Originals!$H192*Yield_Originals!R$1)/Yield_Originals!$K192</f>
        <v>0.182921695430147</v>
      </c>
      <c r="S192" s="105">
        <f>(Yield_Originals!$H192*Yield_Originals!S$1)/Yield_Originals!$K192</f>
        <v>0.18773542425725614</v>
      </c>
      <c r="T192" s="107">
        <f>(Yield_Originals!$I192*Yield_Originals!T$1)/Yield_Originals!$K192</f>
        <v>0.19576194613792058</v>
      </c>
      <c r="U192" s="107">
        <f>(Yield_Originals!$I192*Yield_Originals!U$1)/Yield_Originals!$K192</f>
        <v>0.20065599479136853</v>
      </c>
      <c r="V192" s="107">
        <f>(Yield_Originals!$I192*Yield_Originals!V$1)/Yield_Originals!$K192</f>
        <v>0.20555004344481656</v>
      </c>
      <c r="W192" s="107">
        <f>(Yield_Originals!$I192*Yield_Originals!W$1)/Yield_Originals!$K192</f>
        <v>0.21044409209826453</v>
      </c>
      <c r="X192" s="108">
        <f>(Yield_Originals!$J192*Yield_Originals!X$1)/Yield_Originals!$K192</f>
        <v>0.23412351323367597</v>
      </c>
      <c r="Y192" s="108">
        <f>(Yield_Originals!$J192*Yield_Originals!Y$1)/Yield_Originals!$K192</f>
        <v>0.23944450217080493</v>
      </c>
      <c r="Z192" s="108">
        <f>(Yield_Originals!$J192*Yield_Originals!Z$1)/Yield_Originals!$K192</f>
        <v>0.24476549110793394</v>
      </c>
      <c r="AA192" s="108">
        <f>(Yield_Originals!$J192*Yield_Originals!AA$1)/Yield_Originals!$K192</f>
        <v>0.2500864800450629</v>
      </c>
      <c r="AB192" s="108">
        <f>(Yield_Originals!$J192*Yield_Originals!AB$1)/Yield_Originals!$K192</f>
        <v>0.25540746898219191</v>
      </c>
    </row>
    <row r="193" spans="1:28" x14ac:dyDescent="0.25">
      <c r="A193" s="72" t="s">
        <v>1054</v>
      </c>
      <c r="B193" s="70">
        <v>3</v>
      </c>
      <c r="C193" s="57" t="s">
        <v>982</v>
      </c>
      <c r="D193" s="57" t="s">
        <v>1069</v>
      </c>
      <c r="E193" s="100">
        <v>32</v>
      </c>
      <c r="F193" s="102">
        <v>0.12622424002054</v>
      </c>
      <c r="G193" s="102">
        <v>0.12622424002054</v>
      </c>
      <c r="H193" s="102">
        <f>+(Yield_Originals!I193+Yield_Originals!G193)/2</f>
        <v>0.12836610205624349</v>
      </c>
      <c r="I193" s="102">
        <v>0.13050796409194701</v>
      </c>
      <c r="J193" s="102">
        <v>0.14189303832344</v>
      </c>
      <c r="K193" s="103">
        <v>1</v>
      </c>
      <c r="L193" s="104">
        <f>(Yield_Originals!$G193*Yield_Originals!L$1)/Yield_Originals!$K193</f>
        <v>0.15146908802464804</v>
      </c>
      <c r="M193" s="104">
        <f>(Yield_Originals!$G193*Yield_Originals!M$1)/Yield_Originals!$K193</f>
        <v>0.15620249702541825</v>
      </c>
      <c r="N193" s="104">
        <f>(Yield_Originals!$G193*Yield_Originals!N$1)/Yield_Originals!$K193</f>
        <v>0.16093590602618851</v>
      </c>
      <c r="O193" s="104">
        <f>(Yield_Originals!$G193*Yield_Originals!O$1)/Yield_Originals!$K193</f>
        <v>0.16566931502695878</v>
      </c>
      <c r="P193" s="105">
        <f>(Yield_Originals!$H193*Yield_Originals!P$1)/Yield_Originals!$K193</f>
        <v>0.17329423777592873</v>
      </c>
      <c r="Q193" s="105">
        <f>(Yield_Originals!$H193*Yield_Originals!Q$1)/Yield_Originals!$K193</f>
        <v>0.17810796660303788</v>
      </c>
      <c r="R193" s="105">
        <f>(Yield_Originals!$H193*Yield_Originals!R$1)/Yield_Originals!$K193</f>
        <v>0.182921695430147</v>
      </c>
      <c r="S193" s="105">
        <f>(Yield_Originals!$H193*Yield_Originals!S$1)/Yield_Originals!$K193</f>
        <v>0.18773542425725614</v>
      </c>
      <c r="T193" s="107">
        <f>(Yield_Originals!$I193*Yield_Originals!T$1)/Yield_Originals!$K193</f>
        <v>0.19576194613792058</v>
      </c>
      <c r="U193" s="107">
        <f>(Yield_Originals!$I193*Yield_Originals!U$1)/Yield_Originals!$K193</f>
        <v>0.20065599479136853</v>
      </c>
      <c r="V193" s="107">
        <f>(Yield_Originals!$I193*Yield_Originals!V$1)/Yield_Originals!$K193</f>
        <v>0.20555004344481656</v>
      </c>
      <c r="W193" s="107">
        <f>(Yield_Originals!$I193*Yield_Originals!W$1)/Yield_Originals!$K193</f>
        <v>0.21044409209826453</v>
      </c>
      <c r="X193" s="108">
        <f>(Yield_Originals!$J193*Yield_Originals!X$1)/Yield_Originals!$K193</f>
        <v>0.23412351323367597</v>
      </c>
      <c r="Y193" s="108">
        <f>(Yield_Originals!$J193*Yield_Originals!Y$1)/Yield_Originals!$K193</f>
        <v>0.23944450217080493</v>
      </c>
      <c r="Z193" s="108">
        <f>(Yield_Originals!$J193*Yield_Originals!Z$1)/Yield_Originals!$K193</f>
        <v>0.24476549110793394</v>
      </c>
      <c r="AA193" s="108">
        <f>(Yield_Originals!$J193*Yield_Originals!AA$1)/Yield_Originals!$K193</f>
        <v>0.2500864800450629</v>
      </c>
      <c r="AB193" s="108">
        <f>(Yield_Originals!$J193*Yield_Originals!AB$1)/Yield_Originals!$K193</f>
        <v>0.25540746898219191</v>
      </c>
    </row>
    <row r="194" spans="1:28" x14ac:dyDescent="0.25">
      <c r="A194" s="72" t="s">
        <v>1054</v>
      </c>
      <c r="B194" s="70">
        <v>3</v>
      </c>
      <c r="C194" s="57" t="s">
        <v>985</v>
      </c>
      <c r="D194" s="57" t="s">
        <v>1066</v>
      </c>
      <c r="E194" s="100">
        <v>31</v>
      </c>
      <c r="F194" s="102">
        <v>0.12622424002054</v>
      </c>
      <c r="G194" s="102">
        <v>0.12622424002054</v>
      </c>
      <c r="H194" s="102">
        <f>+(Yield_Originals!I194+Yield_Originals!G194)/2</f>
        <v>0.12836610205624349</v>
      </c>
      <c r="I194" s="102">
        <v>0.13050796409194701</v>
      </c>
      <c r="J194" s="102">
        <v>0.14189303832344</v>
      </c>
      <c r="K194" s="103">
        <v>1</v>
      </c>
      <c r="L194" s="104">
        <f>(Yield_Originals!$G194*Yield_Originals!L$1)/Yield_Originals!$K194</f>
        <v>0.15146908802464804</v>
      </c>
      <c r="M194" s="104">
        <f>(Yield_Originals!$G194*Yield_Originals!M$1)/Yield_Originals!$K194</f>
        <v>0.15620249702541825</v>
      </c>
      <c r="N194" s="104">
        <f>(Yield_Originals!$G194*Yield_Originals!N$1)/Yield_Originals!$K194</f>
        <v>0.16093590602618851</v>
      </c>
      <c r="O194" s="104">
        <f>(Yield_Originals!$G194*Yield_Originals!O$1)/Yield_Originals!$K194</f>
        <v>0.16566931502695878</v>
      </c>
      <c r="P194" s="105">
        <f>(Yield_Originals!$H194*Yield_Originals!P$1)/Yield_Originals!$K194</f>
        <v>0.17329423777592873</v>
      </c>
      <c r="Q194" s="105">
        <f>(Yield_Originals!$H194*Yield_Originals!Q$1)/Yield_Originals!$K194</f>
        <v>0.17810796660303788</v>
      </c>
      <c r="R194" s="105">
        <f>(Yield_Originals!$H194*Yield_Originals!R$1)/Yield_Originals!$K194</f>
        <v>0.182921695430147</v>
      </c>
      <c r="S194" s="105">
        <f>(Yield_Originals!$H194*Yield_Originals!S$1)/Yield_Originals!$K194</f>
        <v>0.18773542425725614</v>
      </c>
      <c r="T194" s="107">
        <f>(Yield_Originals!$I194*Yield_Originals!T$1)/Yield_Originals!$K194</f>
        <v>0.19576194613792058</v>
      </c>
      <c r="U194" s="107">
        <f>(Yield_Originals!$I194*Yield_Originals!U$1)/Yield_Originals!$K194</f>
        <v>0.20065599479136853</v>
      </c>
      <c r="V194" s="107">
        <f>(Yield_Originals!$I194*Yield_Originals!V$1)/Yield_Originals!$K194</f>
        <v>0.20555004344481656</v>
      </c>
      <c r="W194" s="107">
        <f>(Yield_Originals!$I194*Yield_Originals!W$1)/Yield_Originals!$K194</f>
        <v>0.21044409209826453</v>
      </c>
      <c r="X194" s="108">
        <f>(Yield_Originals!$J194*Yield_Originals!X$1)/Yield_Originals!$K194</f>
        <v>0.23412351323367597</v>
      </c>
      <c r="Y194" s="108">
        <f>(Yield_Originals!$J194*Yield_Originals!Y$1)/Yield_Originals!$K194</f>
        <v>0.23944450217080493</v>
      </c>
      <c r="Z194" s="108">
        <f>(Yield_Originals!$J194*Yield_Originals!Z$1)/Yield_Originals!$K194</f>
        <v>0.24476549110793394</v>
      </c>
      <c r="AA194" s="108">
        <f>(Yield_Originals!$J194*Yield_Originals!AA$1)/Yield_Originals!$K194</f>
        <v>0.2500864800450629</v>
      </c>
      <c r="AB194" s="108">
        <f>(Yield_Originals!$J194*Yield_Originals!AB$1)/Yield_Originals!$K194</f>
        <v>0.25540746898219191</v>
      </c>
    </row>
    <row r="195" spans="1:28" x14ac:dyDescent="0.25">
      <c r="A195" s="72" t="s">
        <v>1054</v>
      </c>
      <c r="B195" s="70">
        <v>3</v>
      </c>
      <c r="C195" s="57" t="s">
        <v>985</v>
      </c>
      <c r="D195" s="57" t="s">
        <v>1066</v>
      </c>
      <c r="E195" s="100">
        <v>32</v>
      </c>
      <c r="F195" s="102">
        <v>0.12622424002054</v>
      </c>
      <c r="G195" s="102">
        <v>0.12622424002054</v>
      </c>
      <c r="H195" s="102">
        <f>+(Yield_Originals!I195+Yield_Originals!G195)/2</f>
        <v>0.12836610205624349</v>
      </c>
      <c r="I195" s="102">
        <v>0.13050796409194701</v>
      </c>
      <c r="J195" s="102">
        <v>0.14189303832344</v>
      </c>
      <c r="K195" s="103">
        <v>1</v>
      </c>
      <c r="L195" s="104">
        <f>(Yield_Originals!$G195*Yield_Originals!L$1)/Yield_Originals!$K195</f>
        <v>0.15146908802464804</v>
      </c>
      <c r="M195" s="104">
        <f>(Yield_Originals!$G195*Yield_Originals!M$1)/Yield_Originals!$K195</f>
        <v>0.15620249702541825</v>
      </c>
      <c r="N195" s="104">
        <f>(Yield_Originals!$G195*Yield_Originals!N$1)/Yield_Originals!$K195</f>
        <v>0.16093590602618851</v>
      </c>
      <c r="O195" s="104">
        <f>(Yield_Originals!$G195*Yield_Originals!O$1)/Yield_Originals!$K195</f>
        <v>0.16566931502695878</v>
      </c>
      <c r="P195" s="105">
        <f>(Yield_Originals!$H195*Yield_Originals!P$1)/Yield_Originals!$K195</f>
        <v>0.17329423777592873</v>
      </c>
      <c r="Q195" s="105">
        <f>(Yield_Originals!$H195*Yield_Originals!Q$1)/Yield_Originals!$K195</f>
        <v>0.17810796660303788</v>
      </c>
      <c r="R195" s="105">
        <f>(Yield_Originals!$H195*Yield_Originals!R$1)/Yield_Originals!$K195</f>
        <v>0.182921695430147</v>
      </c>
      <c r="S195" s="105">
        <f>(Yield_Originals!$H195*Yield_Originals!S$1)/Yield_Originals!$K195</f>
        <v>0.18773542425725614</v>
      </c>
      <c r="T195" s="107">
        <f>(Yield_Originals!$I195*Yield_Originals!T$1)/Yield_Originals!$K195</f>
        <v>0.19576194613792058</v>
      </c>
      <c r="U195" s="107">
        <f>(Yield_Originals!$I195*Yield_Originals!U$1)/Yield_Originals!$K195</f>
        <v>0.20065599479136853</v>
      </c>
      <c r="V195" s="107">
        <f>(Yield_Originals!$I195*Yield_Originals!V$1)/Yield_Originals!$K195</f>
        <v>0.20555004344481656</v>
      </c>
      <c r="W195" s="107">
        <f>(Yield_Originals!$I195*Yield_Originals!W$1)/Yield_Originals!$K195</f>
        <v>0.21044409209826453</v>
      </c>
      <c r="X195" s="108">
        <f>(Yield_Originals!$J195*Yield_Originals!X$1)/Yield_Originals!$K195</f>
        <v>0.23412351323367597</v>
      </c>
      <c r="Y195" s="108">
        <f>(Yield_Originals!$J195*Yield_Originals!Y$1)/Yield_Originals!$K195</f>
        <v>0.23944450217080493</v>
      </c>
      <c r="Z195" s="108">
        <f>(Yield_Originals!$J195*Yield_Originals!Z$1)/Yield_Originals!$K195</f>
        <v>0.24476549110793394</v>
      </c>
      <c r="AA195" s="108">
        <f>(Yield_Originals!$J195*Yield_Originals!AA$1)/Yield_Originals!$K195</f>
        <v>0.2500864800450629</v>
      </c>
      <c r="AB195" s="108">
        <f>(Yield_Originals!$J195*Yield_Originals!AB$1)/Yield_Originals!$K195</f>
        <v>0.25540746898219191</v>
      </c>
    </row>
    <row r="196" spans="1:28" x14ac:dyDescent="0.25">
      <c r="A196" s="72" t="s">
        <v>1054</v>
      </c>
      <c r="B196" s="70">
        <v>3</v>
      </c>
      <c r="C196" s="57" t="s">
        <v>128</v>
      </c>
      <c r="D196" s="57" t="s">
        <v>1059</v>
      </c>
      <c r="E196" s="100">
        <v>31</v>
      </c>
      <c r="F196" s="102">
        <v>0.12622424002054</v>
      </c>
      <c r="G196" s="102">
        <v>0.12622424002054</v>
      </c>
      <c r="H196" s="102">
        <f>+(Yield_Originals!I196+Yield_Originals!G196)/2</f>
        <v>0.12836610205624349</v>
      </c>
      <c r="I196" s="102">
        <v>0.13050796409194701</v>
      </c>
      <c r="J196" s="102">
        <v>0.14189303832344</v>
      </c>
      <c r="K196" s="103">
        <v>1</v>
      </c>
      <c r="L196" s="104">
        <f>(Yield_Originals!$G196*Yield_Originals!L$1)/Yield_Originals!$K196</f>
        <v>0.15146908802464804</v>
      </c>
      <c r="M196" s="104">
        <f>(Yield_Originals!$G196*Yield_Originals!M$1)/Yield_Originals!$K196</f>
        <v>0.15620249702541825</v>
      </c>
      <c r="N196" s="104">
        <f>(Yield_Originals!$G196*Yield_Originals!N$1)/Yield_Originals!$K196</f>
        <v>0.16093590602618851</v>
      </c>
      <c r="O196" s="104">
        <f>(Yield_Originals!$G196*Yield_Originals!O$1)/Yield_Originals!$K196</f>
        <v>0.16566931502695878</v>
      </c>
      <c r="P196" s="105">
        <f>(Yield_Originals!$H196*Yield_Originals!P$1)/Yield_Originals!$K196</f>
        <v>0.17329423777592873</v>
      </c>
      <c r="Q196" s="105">
        <f>(Yield_Originals!$H196*Yield_Originals!Q$1)/Yield_Originals!$K196</f>
        <v>0.17810796660303788</v>
      </c>
      <c r="R196" s="105">
        <f>(Yield_Originals!$H196*Yield_Originals!R$1)/Yield_Originals!$K196</f>
        <v>0.182921695430147</v>
      </c>
      <c r="S196" s="105">
        <f>(Yield_Originals!$H196*Yield_Originals!S$1)/Yield_Originals!$K196</f>
        <v>0.18773542425725614</v>
      </c>
      <c r="T196" s="107">
        <f>(Yield_Originals!$I196*Yield_Originals!T$1)/Yield_Originals!$K196</f>
        <v>0.19576194613792058</v>
      </c>
      <c r="U196" s="107">
        <f>(Yield_Originals!$I196*Yield_Originals!U$1)/Yield_Originals!$K196</f>
        <v>0.20065599479136853</v>
      </c>
      <c r="V196" s="107">
        <f>(Yield_Originals!$I196*Yield_Originals!V$1)/Yield_Originals!$K196</f>
        <v>0.20555004344481656</v>
      </c>
      <c r="W196" s="107">
        <f>(Yield_Originals!$I196*Yield_Originals!W$1)/Yield_Originals!$K196</f>
        <v>0.21044409209826453</v>
      </c>
      <c r="X196" s="108">
        <f>(Yield_Originals!$J196*Yield_Originals!X$1)/Yield_Originals!$K196</f>
        <v>0.23412351323367597</v>
      </c>
      <c r="Y196" s="108">
        <f>(Yield_Originals!$J196*Yield_Originals!Y$1)/Yield_Originals!$K196</f>
        <v>0.23944450217080493</v>
      </c>
      <c r="Z196" s="108">
        <f>(Yield_Originals!$J196*Yield_Originals!Z$1)/Yield_Originals!$K196</f>
        <v>0.24476549110793394</v>
      </c>
      <c r="AA196" s="108">
        <f>(Yield_Originals!$J196*Yield_Originals!AA$1)/Yield_Originals!$K196</f>
        <v>0.2500864800450629</v>
      </c>
      <c r="AB196" s="108">
        <f>(Yield_Originals!$J196*Yield_Originals!AB$1)/Yield_Originals!$K196</f>
        <v>0.25540746898219191</v>
      </c>
    </row>
    <row r="197" spans="1:28" x14ac:dyDescent="0.25">
      <c r="A197" s="72" t="s">
        <v>1054</v>
      </c>
      <c r="B197" s="70">
        <v>3</v>
      </c>
      <c r="C197" s="57" t="s">
        <v>128</v>
      </c>
      <c r="D197" s="57" t="s">
        <v>1059</v>
      </c>
      <c r="E197" s="100">
        <v>32</v>
      </c>
      <c r="F197" s="102">
        <v>0.12622424002054</v>
      </c>
      <c r="G197" s="102">
        <v>0.12622424002054</v>
      </c>
      <c r="H197" s="102">
        <f>+(Yield_Originals!I197+Yield_Originals!G197)/2</f>
        <v>0.12836610205624349</v>
      </c>
      <c r="I197" s="102">
        <v>0.13050796409194701</v>
      </c>
      <c r="J197" s="102">
        <v>0.14189303832344</v>
      </c>
      <c r="K197" s="103">
        <v>1</v>
      </c>
      <c r="L197" s="104">
        <f>(Yield_Originals!$G197*Yield_Originals!L$1)/Yield_Originals!$K197</f>
        <v>0.15146908802464804</v>
      </c>
      <c r="M197" s="104">
        <f>(Yield_Originals!$G197*Yield_Originals!M$1)/Yield_Originals!$K197</f>
        <v>0.15620249702541825</v>
      </c>
      <c r="N197" s="104">
        <f>(Yield_Originals!$G197*Yield_Originals!N$1)/Yield_Originals!$K197</f>
        <v>0.16093590602618851</v>
      </c>
      <c r="O197" s="104">
        <f>(Yield_Originals!$G197*Yield_Originals!O$1)/Yield_Originals!$K197</f>
        <v>0.16566931502695878</v>
      </c>
      <c r="P197" s="105">
        <f>(Yield_Originals!$H197*Yield_Originals!P$1)/Yield_Originals!$K197</f>
        <v>0.17329423777592873</v>
      </c>
      <c r="Q197" s="105">
        <f>(Yield_Originals!$H197*Yield_Originals!Q$1)/Yield_Originals!$K197</f>
        <v>0.17810796660303788</v>
      </c>
      <c r="R197" s="105">
        <f>(Yield_Originals!$H197*Yield_Originals!R$1)/Yield_Originals!$K197</f>
        <v>0.182921695430147</v>
      </c>
      <c r="S197" s="105">
        <f>(Yield_Originals!$H197*Yield_Originals!S$1)/Yield_Originals!$K197</f>
        <v>0.18773542425725614</v>
      </c>
      <c r="T197" s="107">
        <f>(Yield_Originals!$I197*Yield_Originals!T$1)/Yield_Originals!$K197</f>
        <v>0.19576194613792058</v>
      </c>
      <c r="U197" s="107">
        <f>(Yield_Originals!$I197*Yield_Originals!U$1)/Yield_Originals!$K197</f>
        <v>0.20065599479136853</v>
      </c>
      <c r="V197" s="107">
        <f>(Yield_Originals!$I197*Yield_Originals!V$1)/Yield_Originals!$K197</f>
        <v>0.20555004344481656</v>
      </c>
      <c r="W197" s="107">
        <f>(Yield_Originals!$I197*Yield_Originals!W$1)/Yield_Originals!$K197</f>
        <v>0.21044409209826453</v>
      </c>
      <c r="X197" s="108">
        <f>(Yield_Originals!$J197*Yield_Originals!X$1)/Yield_Originals!$K197</f>
        <v>0.23412351323367597</v>
      </c>
      <c r="Y197" s="108">
        <f>(Yield_Originals!$J197*Yield_Originals!Y$1)/Yield_Originals!$K197</f>
        <v>0.23944450217080493</v>
      </c>
      <c r="Z197" s="108">
        <f>(Yield_Originals!$J197*Yield_Originals!Z$1)/Yield_Originals!$K197</f>
        <v>0.24476549110793394</v>
      </c>
      <c r="AA197" s="108">
        <f>(Yield_Originals!$J197*Yield_Originals!AA$1)/Yield_Originals!$K197</f>
        <v>0.2500864800450629</v>
      </c>
      <c r="AB197" s="108">
        <f>(Yield_Originals!$J197*Yield_Originals!AB$1)/Yield_Originals!$K197</f>
        <v>0.25540746898219191</v>
      </c>
    </row>
    <row r="198" spans="1:28" x14ac:dyDescent="0.25">
      <c r="A198" s="72" t="s">
        <v>1054</v>
      </c>
      <c r="B198" s="70">
        <v>3</v>
      </c>
      <c r="C198" s="57" t="s">
        <v>238</v>
      </c>
      <c r="D198" s="57" t="s">
        <v>1061</v>
      </c>
      <c r="E198" s="100">
        <v>31</v>
      </c>
      <c r="F198" s="102">
        <v>0.12622424002054</v>
      </c>
      <c r="G198" s="102">
        <v>0.12622424002054</v>
      </c>
      <c r="H198" s="102">
        <f>+(Yield_Originals!I198+Yield_Originals!G198)/2</f>
        <v>0.12836610205624349</v>
      </c>
      <c r="I198" s="102">
        <v>0.13050796409194701</v>
      </c>
      <c r="J198" s="102">
        <v>0.14189303832344</v>
      </c>
      <c r="K198" s="103">
        <v>1</v>
      </c>
      <c r="L198" s="104">
        <f>(Yield_Originals!$G198*Yield_Originals!L$1)/Yield_Originals!$K198</f>
        <v>0.15146908802464804</v>
      </c>
      <c r="M198" s="104">
        <f>(Yield_Originals!$G198*Yield_Originals!M$1)/Yield_Originals!$K198</f>
        <v>0.15620249702541825</v>
      </c>
      <c r="N198" s="104">
        <f>(Yield_Originals!$G198*Yield_Originals!N$1)/Yield_Originals!$K198</f>
        <v>0.16093590602618851</v>
      </c>
      <c r="O198" s="104">
        <f>(Yield_Originals!$G198*Yield_Originals!O$1)/Yield_Originals!$K198</f>
        <v>0.16566931502695878</v>
      </c>
      <c r="P198" s="105">
        <f>(Yield_Originals!$H198*Yield_Originals!P$1)/Yield_Originals!$K198</f>
        <v>0.17329423777592873</v>
      </c>
      <c r="Q198" s="105">
        <f>(Yield_Originals!$H198*Yield_Originals!Q$1)/Yield_Originals!$K198</f>
        <v>0.17810796660303788</v>
      </c>
      <c r="R198" s="105">
        <f>(Yield_Originals!$H198*Yield_Originals!R$1)/Yield_Originals!$K198</f>
        <v>0.182921695430147</v>
      </c>
      <c r="S198" s="105">
        <f>(Yield_Originals!$H198*Yield_Originals!S$1)/Yield_Originals!$K198</f>
        <v>0.18773542425725614</v>
      </c>
      <c r="T198" s="107">
        <f>(Yield_Originals!$I198*Yield_Originals!T$1)/Yield_Originals!$K198</f>
        <v>0.19576194613792058</v>
      </c>
      <c r="U198" s="107">
        <f>(Yield_Originals!$I198*Yield_Originals!U$1)/Yield_Originals!$K198</f>
        <v>0.20065599479136853</v>
      </c>
      <c r="V198" s="107">
        <f>(Yield_Originals!$I198*Yield_Originals!V$1)/Yield_Originals!$K198</f>
        <v>0.20555004344481656</v>
      </c>
      <c r="W198" s="107">
        <f>(Yield_Originals!$I198*Yield_Originals!W$1)/Yield_Originals!$K198</f>
        <v>0.21044409209826453</v>
      </c>
      <c r="X198" s="108">
        <f>(Yield_Originals!$J198*Yield_Originals!X$1)/Yield_Originals!$K198</f>
        <v>0.23412351323367597</v>
      </c>
      <c r="Y198" s="108">
        <f>(Yield_Originals!$J198*Yield_Originals!Y$1)/Yield_Originals!$K198</f>
        <v>0.23944450217080493</v>
      </c>
      <c r="Z198" s="108">
        <f>(Yield_Originals!$J198*Yield_Originals!Z$1)/Yield_Originals!$K198</f>
        <v>0.24476549110793394</v>
      </c>
      <c r="AA198" s="108">
        <f>(Yield_Originals!$J198*Yield_Originals!AA$1)/Yield_Originals!$K198</f>
        <v>0.2500864800450629</v>
      </c>
      <c r="AB198" s="108">
        <f>(Yield_Originals!$J198*Yield_Originals!AB$1)/Yield_Originals!$K198</f>
        <v>0.25540746898219191</v>
      </c>
    </row>
    <row r="199" spans="1:28" x14ac:dyDescent="0.25">
      <c r="A199" s="72" t="s">
        <v>1054</v>
      </c>
      <c r="B199" s="70">
        <v>3</v>
      </c>
      <c r="C199" s="57" t="s">
        <v>238</v>
      </c>
      <c r="D199" s="57" t="s">
        <v>1061</v>
      </c>
      <c r="E199" s="100">
        <v>32</v>
      </c>
      <c r="F199" s="102">
        <v>0.12622424002054</v>
      </c>
      <c r="G199" s="102">
        <v>0.12622424002054</v>
      </c>
      <c r="H199" s="102">
        <f>+(Yield_Originals!I199+Yield_Originals!G199)/2</f>
        <v>0.12836610205624349</v>
      </c>
      <c r="I199" s="102">
        <v>0.13050796409194701</v>
      </c>
      <c r="J199" s="102">
        <v>0.14189303832344</v>
      </c>
      <c r="K199" s="103">
        <v>1</v>
      </c>
      <c r="L199" s="104">
        <f>(Yield_Originals!$G199*Yield_Originals!L$1)/Yield_Originals!$K199</f>
        <v>0.15146908802464804</v>
      </c>
      <c r="M199" s="104">
        <f>(Yield_Originals!$G199*Yield_Originals!M$1)/Yield_Originals!$K199</f>
        <v>0.15620249702541825</v>
      </c>
      <c r="N199" s="104">
        <f>(Yield_Originals!$G199*Yield_Originals!N$1)/Yield_Originals!$K199</f>
        <v>0.16093590602618851</v>
      </c>
      <c r="O199" s="104">
        <f>(Yield_Originals!$G199*Yield_Originals!O$1)/Yield_Originals!$K199</f>
        <v>0.16566931502695878</v>
      </c>
      <c r="P199" s="105">
        <f>(Yield_Originals!$H199*Yield_Originals!P$1)/Yield_Originals!$K199</f>
        <v>0.17329423777592873</v>
      </c>
      <c r="Q199" s="105">
        <f>(Yield_Originals!$H199*Yield_Originals!Q$1)/Yield_Originals!$K199</f>
        <v>0.17810796660303788</v>
      </c>
      <c r="R199" s="105">
        <f>(Yield_Originals!$H199*Yield_Originals!R$1)/Yield_Originals!$K199</f>
        <v>0.182921695430147</v>
      </c>
      <c r="S199" s="105">
        <f>(Yield_Originals!$H199*Yield_Originals!S$1)/Yield_Originals!$K199</f>
        <v>0.18773542425725614</v>
      </c>
      <c r="T199" s="107">
        <f>(Yield_Originals!$I199*Yield_Originals!T$1)/Yield_Originals!$K199</f>
        <v>0.19576194613792058</v>
      </c>
      <c r="U199" s="107">
        <f>(Yield_Originals!$I199*Yield_Originals!U$1)/Yield_Originals!$K199</f>
        <v>0.20065599479136853</v>
      </c>
      <c r="V199" s="107">
        <f>(Yield_Originals!$I199*Yield_Originals!V$1)/Yield_Originals!$K199</f>
        <v>0.20555004344481656</v>
      </c>
      <c r="W199" s="107">
        <f>(Yield_Originals!$I199*Yield_Originals!W$1)/Yield_Originals!$K199</f>
        <v>0.21044409209826453</v>
      </c>
      <c r="X199" s="108">
        <f>(Yield_Originals!$J199*Yield_Originals!X$1)/Yield_Originals!$K199</f>
        <v>0.23412351323367597</v>
      </c>
      <c r="Y199" s="108">
        <f>(Yield_Originals!$J199*Yield_Originals!Y$1)/Yield_Originals!$K199</f>
        <v>0.23944450217080493</v>
      </c>
      <c r="Z199" s="108">
        <f>(Yield_Originals!$J199*Yield_Originals!Z$1)/Yield_Originals!$K199</f>
        <v>0.24476549110793394</v>
      </c>
      <c r="AA199" s="108">
        <f>(Yield_Originals!$J199*Yield_Originals!AA$1)/Yield_Originals!$K199</f>
        <v>0.2500864800450629</v>
      </c>
      <c r="AB199" s="108">
        <f>(Yield_Originals!$J199*Yield_Originals!AB$1)/Yield_Originals!$K199</f>
        <v>0.25540746898219191</v>
      </c>
    </row>
    <row r="200" spans="1:28" x14ac:dyDescent="0.25">
      <c r="A200" s="72" t="s">
        <v>1089</v>
      </c>
      <c r="B200" s="70">
        <v>3</v>
      </c>
      <c r="C200" s="57" t="s">
        <v>239</v>
      </c>
      <c r="D200" s="57" t="s">
        <v>1088</v>
      </c>
      <c r="E200" s="100">
        <v>33</v>
      </c>
      <c r="F200" s="102">
        <v>0.21128080595198101</v>
      </c>
      <c r="G200" s="102">
        <v>0.21128080595198101</v>
      </c>
      <c r="H200" s="102">
        <f>+(Yield_Originals!I200+Yield_Originals!G200)/2</f>
        <v>0.21198888698324853</v>
      </c>
      <c r="I200" s="102">
        <v>0.21269696801451601</v>
      </c>
      <c r="J200" s="102">
        <v>0.22368258603862201</v>
      </c>
      <c r="K200" s="103">
        <v>1</v>
      </c>
      <c r="L200" s="104">
        <f>(Yield_Originals!$G200*Yield_Originals!L$1)/Yield_Originals!$K200</f>
        <v>0.25353696714237722</v>
      </c>
      <c r="M200" s="104">
        <f>(Yield_Originals!$G200*Yield_Originals!M$1)/Yield_Originals!$K200</f>
        <v>0.26145999736557651</v>
      </c>
      <c r="N200" s="104">
        <f>(Yield_Originals!$G200*Yield_Originals!N$1)/Yield_Originals!$K200</f>
        <v>0.2693830275887758</v>
      </c>
      <c r="O200" s="104">
        <f>(Yield_Originals!$G200*Yield_Originals!O$1)/Yield_Originals!$K200</f>
        <v>0.27730605781197515</v>
      </c>
      <c r="P200" s="105">
        <f>(Yield_Originals!$H200*Yield_Originals!P$1)/Yield_Originals!$K200</f>
        <v>0.28618499742738551</v>
      </c>
      <c r="Q200" s="105">
        <f>(Yield_Originals!$H200*Yield_Originals!Q$1)/Yield_Originals!$K200</f>
        <v>0.29413458068925735</v>
      </c>
      <c r="R200" s="105">
        <f>(Yield_Originals!$H200*Yield_Originals!R$1)/Yield_Originals!$K200</f>
        <v>0.30208416395112919</v>
      </c>
      <c r="S200" s="105">
        <f>(Yield_Originals!$H200*Yield_Originals!S$1)/Yield_Originals!$K200</f>
        <v>0.31003374721300103</v>
      </c>
      <c r="T200" s="107">
        <f>(Yield_Originals!$I200*Yield_Originals!T$1)/Yield_Originals!$K200</f>
        <v>0.31904545202177409</v>
      </c>
      <c r="U200" s="107">
        <f>(Yield_Originals!$I200*Yield_Originals!U$1)/Yield_Originals!$K200</f>
        <v>0.32702158832231837</v>
      </c>
      <c r="V200" s="107">
        <f>(Yield_Originals!$I200*Yield_Originals!V$1)/Yield_Originals!$K200</f>
        <v>0.33499772462286276</v>
      </c>
      <c r="W200" s="107">
        <f>(Yield_Originals!$I200*Yield_Originals!W$1)/Yield_Originals!$K200</f>
        <v>0.34297386092340704</v>
      </c>
      <c r="X200" s="108">
        <f>(Yield_Originals!$J200*Yield_Originals!X$1)/Yield_Originals!$K200</f>
        <v>0.36907626696372631</v>
      </c>
      <c r="Y200" s="108">
        <f>(Yield_Originals!$J200*Yield_Originals!Y$1)/Yield_Originals!$K200</f>
        <v>0.37746436394017452</v>
      </c>
      <c r="Z200" s="108">
        <f>(Yield_Originals!$J200*Yield_Originals!Z$1)/Yield_Originals!$K200</f>
        <v>0.3858524609166229</v>
      </c>
      <c r="AA200" s="108">
        <f>(Yield_Originals!$J200*Yield_Originals!AA$1)/Yield_Originals!$K200</f>
        <v>0.39424055789307111</v>
      </c>
      <c r="AB200" s="108">
        <f>(Yield_Originals!$J200*Yield_Originals!AB$1)/Yield_Originals!$K200</f>
        <v>0.40262865486951949</v>
      </c>
    </row>
    <row r="201" spans="1:28" x14ac:dyDescent="0.25">
      <c r="A201" s="72" t="s">
        <v>1054</v>
      </c>
      <c r="B201" s="70">
        <v>3</v>
      </c>
      <c r="C201" s="57" t="s">
        <v>129</v>
      </c>
      <c r="D201" s="57" t="s">
        <v>1064</v>
      </c>
      <c r="E201" s="100">
        <v>31</v>
      </c>
      <c r="F201" s="102">
        <v>0.12622424002054</v>
      </c>
      <c r="G201" s="102">
        <v>0.12622424002054</v>
      </c>
      <c r="H201" s="102">
        <f>+(Yield_Originals!I201+Yield_Originals!G201)/2</f>
        <v>0.12836610205624349</v>
      </c>
      <c r="I201" s="102">
        <v>0.13050796409194701</v>
      </c>
      <c r="J201" s="102">
        <v>0.14189303832344</v>
      </c>
      <c r="K201" s="103">
        <v>1</v>
      </c>
      <c r="L201" s="104">
        <f>(Yield_Originals!$G201*Yield_Originals!L$1)/Yield_Originals!$K201</f>
        <v>0.15146908802464804</v>
      </c>
      <c r="M201" s="104">
        <f>(Yield_Originals!$G201*Yield_Originals!M$1)/Yield_Originals!$K201</f>
        <v>0.15620249702541825</v>
      </c>
      <c r="N201" s="104">
        <f>(Yield_Originals!$G201*Yield_Originals!N$1)/Yield_Originals!$K201</f>
        <v>0.16093590602618851</v>
      </c>
      <c r="O201" s="104">
        <f>(Yield_Originals!$G201*Yield_Originals!O$1)/Yield_Originals!$K201</f>
        <v>0.16566931502695878</v>
      </c>
      <c r="P201" s="105">
        <f>(Yield_Originals!$H201*Yield_Originals!P$1)/Yield_Originals!$K201</f>
        <v>0.17329423777592873</v>
      </c>
      <c r="Q201" s="105">
        <f>(Yield_Originals!$H201*Yield_Originals!Q$1)/Yield_Originals!$K201</f>
        <v>0.17810796660303788</v>
      </c>
      <c r="R201" s="105">
        <f>(Yield_Originals!$H201*Yield_Originals!R$1)/Yield_Originals!$K201</f>
        <v>0.182921695430147</v>
      </c>
      <c r="S201" s="105">
        <f>(Yield_Originals!$H201*Yield_Originals!S$1)/Yield_Originals!$K201</f>
        <v>0.18773542425725614</v>
      </c>
      <c r="T201" s="107">
        <f>(Yield_Originals!$I201*Yield_Originals!T$1)/Yield_Originals!$K201</f>
        <v>0.19576194613792058</v>
      </c>
      <c r="U201" s="107">
        <f>(Yield_Originals!$I201*Yield_Originals!U$1)/Yield_Originals!$K201</f>
        <v>0.20065599479136853</v>
      </c>
      <c r="V201" s="107">
        <f>(Yield_Originals!$I201*Yield_Originals!V$1)/Yield_Originals!$K201</f>
        <v>0.20555004344481656</v>
      </c>
      <c r="W201" s="107">
        <f>(Yield_Originals!$I201*Yield_Originals!W$1)/Yield_Originals!$K201</f>
        <v>0.21044409209826453</v>
      </c>
      <c r="X201" s="108">
        <f>(Yield_Originals!$J201*Yield_Originals!X$1)/Yield_Originals!$K201</f>
        <v>0.23412351323367597</v>
      </c>
      <c r="Y201" s="108">
        <f>(Yield_Originals!$J201*Yield_Originals!Y$1)/Yield_Originals!$K201</f>
        <v>0.23944450217080493</v>
      </c>
      <c r="Z201" s="108">
        <f>(Yield_Originals!$J201*Yield_Originals!Z$1)/Yield_Originals!$K201</f>
        <v>0.24476549110793394</v>
      </c>
      <c r="AA201" s="108">
        <f>(Yield_Originals!$J201*Yield_Originals!AA$1)/Yield_Originals!$K201</f>
        <v>0.2500864800450629</v>
      </c>
      <c r="AB201" s="108">
        <f>(Yield_Originals!$J201*Yield_Originals!AB$1)/Yield_Originals!$K201</f>
        <v>0.25540746898219191</v>
      </c>
    </row>
    <row r="202" spans="1:28" x14ac:dyDescent="0.25">
      <c r="A202" s="72" t="s">
        <v>1054</v>
      </c>
      <c r="B202" s="70">
        <v>3</v>
      </c>
      <c r="C202" s="57" t="s">
        <v>129</v>
      </c>
      <c r="D202" s="57" t="s">
        <v>1064</v>
      </c>
      <c r="E202" s="100">
        <v>32</v>
      </c>
      <c r="F202" s="102">
        <v>0.12622424002054</v>
      </c>
      <c r="G202" s="102">
        <v>0.12622424002054</v>
      </c>
      <c r="H202" s="102">
        <f>+(Yield_Originals!I202+Yield_Originals!G202)/2</f>
        <v>0.12836610205624349</v>
      </c>
      <c r="I202" s="102">
        <v>0.13050796409194701</v>
      </c>
      <c r="J202" s="102">
        <v>0.14189303832344</v>
      </c>
      <c r="K202" s="103">
        <v>1</v>
      </c>
      <c r="L202" s="104">
        <f>(Yield_Originals!$G202*Yield_Originals!L$1)/Yield_Originals!$K202</f>
        <v>0.15146908802464804</v>
      </c>
      <c r="M202" s="104">
        <f>(Yield_Originals!$G202*Yield_Originals!M$1)/Yield_Originals!$K202</f>
        <v>0.15620249702541825</v>
      </c>
      <c r="N202" s="104">
        <f>(Yield_Originals!$G202*Yield_Originals!N$1)/Yield_Originals!$K202</f>
        <v>0.16093590602618851</v>
      </c>
      <c r="O202" s="104">
        <f>(Yield_Originals!$G202*Yield_Originals!O$1)/Yield_Originals!$K202</f>
        <v>0.16566931502695878</v>
      </c>
      <c r="P202" s="105">
        <f>(Yield_Originals!$H202*Yield_Originals!P$1)/Yield_Originals!$K202</f>
        <v>0.17329423777592873</v>
      </c>
      <c r="Q202" s="105">
        <f>(Yield_Originals!$H202*Yield_Originals!Q$1)/Yield_Originals!$K202</f>
        <v>0.17810796660303788</v>
      </c>
      <c r="R202" s="105">
        <f>(Yield_Originals!$H202*Yield_Originals!R$1)/Yield_Originals!$K202</f>
        <v>0.182921695430147</v>
      </c>
      <c r="S202" s="105">
        <f>(Yield_Originals!$H202*Yield_Originals!S$1)/Yield_Originals!$K202</f>
        <v>0.18773542425725614</v>
      </c>
      <c r="T202" s="107">
        <f>(Yield_Originals!$I202*Yield_Originals!T$1)/Yield_Originals!$K202</f>
        <v>0.19576194613792058</v>
      </c>
      <c r="U202" s="107">
        <f>(Yield_Originals!$I202*Yield_Originals!U$1)/Yield_Originals!$K202</f>
        <v>0.20065599479136853</v>
      </c>
      <c r="V202" s="107">
        <f>(Yield_Originals!$I202*Yield_Originals!V$1)/Yield_Originals!$K202</f>
        <v>0.20555004344481656</v>
      </c>
      <c r="W202" s="107">
        <f>(Yield_Originals!$I202*Yield_Originals!W$1)/Yield_Originals!$K202</f>
        <v>0.21044409209826453</v>
      </c>
      <c r="X202" s="108">
        <f>(Yield_Originals!$J202*Yield_Originals!X$1)/Yield_Originals!$K202</f>
        <v>0.23412351323367597</v>
      </c>
      <c r="Y202" s="108">
        <f>(Yield_Originals!$J202*Yield_Originals!Y$1)/Yield_Originals!$K202</f>
        <v>0.23944450217080493</v>
      </c>
      <c r="Z202" s="108">
        <f>(Yield_Originals!$J202*Yield_Originals!Z$1)/Yield_Originals!$K202</f>
        <v>0.24476549110793394</v>
      </c>
      <c r="AA202" s="108">
        <f>(Yield_Originals!$J202*Yield_Originals!AA$1)/Yield_Originals!$K202</f>
        <v>0.2500864800450629</v>
      </c>
      <c r="AB202" s="108">
        <f>(Yield_Originals!$J202*Yield_Originals!AB$1)/Yield_Originals!$K202</f>
        <v>0.25540746898219191</v>
      </c>
    </row>
    <row r="203" spans="1:28" hidden="1" x14ac:dyDescent="0.25">
      <c r="A203" s="70" t="s">
        <v>1177</v>
      </c>
      <c r="B203" s="70" t="s">
        <v>1376</v>
      </c>
      <c r="C203" t="s">
        <v>998</v>
      </c>
      <c r="D203" t="s">
        <v>1212</v>
      </c>
      <c r="E203" s="70">
        <v>4</v>
      </c>
      <c r="F203" s="110">
        <f>Yield_Originals!G203</f>
        <v>0.9</v>
      </c>
      <c r="G203" s="111">
        <v>0.9</v>
      </c>
      <c r="H203" s="111">
        <v>0.9</v>
      </c>
      <c r="I203" s="111">
        <v>0.9</v>
      </c>
      <c r="J203" s="111">
        <v>0.9</v>
      </c>
      <c r="K203" s="103">
        <v>1</v>
      </c>
      <c r="L203" s="112"/>
      <c r="M203" s="112"/>
      <c r="N203" s="112"/>
      <c r="O203" s="113"/>
      <c r="P203" s="114"/>
      <c r="Q203" s="114">
        <f>(Yield_Originals!$H203*Yield_Originals!Q$1)/Yield_Originals!$K203</f>
        <v>1.2487500000000002</v>
      </c>
      <c r="R203" s="114">
        <f>(Yield_Originals!$H203*Yield_Originals!R$1)/Yield_Originals!$K203</f>
        <v>1.2825000000000002</v>
      </c>
      <c r="S203" s="114">
        <f>(Yield_Originals!$H203*Yield_Originals!S$1)/Yield_Originals!$K203</f>
        <v>1.3162500000000004</v>
      </c>
      <c r="T203" s="107">
        <f>(Yield_Originals!$I203*Yield_Originals!T$1)/Yield_Originals!$K203</f>
        <v>1.3500000000000005</v>
      </c>
      <c r="U203"/>
      <c r="V203"/>
      <c r="W203"/>
      <c r="X203"/>
      <c r="Y203"/>
      <c r="Z203"/>
      <c r="AA203"/>
      <c r="AB203"/>
    </row>
    <row r="204" spans="1:28" x14ac:dyDescent="0.25">
      <c r="A204" s="70" t="s">
        <v>1095</v>
      </c>
      <c r="B204" s="70">
        <v>1</v>
      </c>
      <c r="C204" t="s">
        <v>240</v>
      </c>
      <c r="D204" t="s">
        <v>1111</v>
      </c>
      <c r="E204" s="70">
        <v>1</v>
      </c>
      <c r="F204" s="110">
        <f>Yield_Originals!G204</f>
        <v>0.15292146531850001</v>
      </c>
      <c r="G204" s="102">
        <v>0.15292146531850001</v>
      </c>
      <c r="H204" s="102">
        <v>0.15292146531850001</v>
      </c>
      <c r="I204" s="102">
        <f>+(Yield_Originals!H204+Yield_Originals!J204)/2</f>
        <v>0.15646073265925001</v>
      </c>
      <c r="J204" s="102">
        <v>0.16</v>
      </c>
      <c r="K204" s="103">
        <v>2</v>
      </c>
      <c r="L204" s="104">
        <f>(Yield_Originals!$G204*Yield_Originals!L$1)/Yield_Originals!$K204</f>
        <v>9.175287919110002E-2</v>
      </c>
      <c r="M204" s="104">
        <f>(Yield_Originals!$G204*Yield_Originals!M$1)/Yield_Originals!$K204</f>
        <v>9.4620156665821881E-2</v>
      </c>
      <c r="N204" s="104">
        <f>(Yield_Originals!$G204*Yield_Originals!N$1)/Yield_Originals!$K204</f>
        <v>9.7487434140543769E-2</v>
      </c>
      <c r="O204" s="104">
        <f>(Yield_Originals!$G204*Yield_Originals!O$1)/Yield_Originals!$K204</f>
        <v>0.10035471161526564</v>
      </c>
      <c r="P204" s="105">
        <f>(Yield_Originals!$H204*Yield_Originals!P$1)/Yield_Originals!$K204</f>
        <v>0.10322198908998752</v>
      </c>
      <c r="Q204" s="105">
        <f>(Yield_Originals!$H204*Yield_Originals!Q$1)/Yield_Originals!$K204</f>
        <v>0.10608926656470939</v>
      </c>
      <c r="R204" s="105">
        <f>(Yield_Originals!$H204*Yield_Originals!R$1)/Yield_Originals!$K204</f>
        <v>0.10895654403943128</v>
      </c>
      <c r="S204" s="105">
        <f>(Yield_Originals!$H204*Yield_Originals!S$1)/Yield_Originals!$K204</f>
        <v>0.11182382151415315</v>
      </c>
      <c r="T204" s="107">
        <f>(Yield_Originals!$I204*Yield_Originals!T$1)/Yield_Originals!$K204</f>
        <v>0.11734554949443754</v>
      </c>
      <c r="U204" s="107">
        <f>(Yield_Originals!$I204*Yield_Originals!U$1)/Yield_Originals!$K204</f>
        <v>0.12027918823179845</v>
      </c>
      <c r="V204" s="107">
        <f>(Yield_Originals!$I204*Yield_Originals!V$1)/Yield_Originals!$K204</f>
        <v>0.12321282696915939</v>
      </c>
      <c r="W204" s="107">
        <f>(Yield_Originals!$I204*Yield_Originals!W$1)/Yield_Originals!$K204</f>
        <v>0.1261464657065203</v>
      </c>
      <c r="X204" s="108">
        <f>(Yield_Originals!$I204*Yield_Originals!X$1)/Yield_Originals!$K204</f>
        <v>0.12908010444388124</v>
      </c>
      <c r="Y204" s="108"/>
      <c r="Z204"/>
      <c r="AA204"/>
      <c r="AB204"/>
    </row>
    <row r="205" spans="1:28" x14ac:dyDescent="0.25">
      <c r="A205" s="70" t="s">
        <v>1095</v>
      </c>
      <c r="B205" s="70">
        <v>1</v>
      </c>
      <c r="C205" t="s">
        <v>130</v>
      </c>
      <c r="D205" t="s">
        <v>1094</v>
      </c>
      <c r="E205" s="70">
        <v>1</v>
      </c>
      <c r="F205" s="110">
        <f>Yield_Originals!G205</f>
        <v>0.15292146531850001</v>
      </c>
      <c r="G205" s="102">
        <v>0.15292146531850001</v>
      </c>
      <c r="H205" s="102">
        <v>0.15292146531850001</v>
      </c>
      <c r="I205" s="102">
        <f>+(Yield_Originals!H205+Yield_Originals!J205)/2</f>
        <v>0.15646073265925001</v>
      </c>
      <c r="J205" s="102">
        <v>0.16</v>
      </c>
      <c r="K205" s="103">
        <v>2</v>
      </c>
      <c r="L205" s="104">
        <f>(Yield_Originals!$G205*Yield_Originals!L$1)/Yield_Originals!$K205</f>
        <v>9.175287919110002E-2</v>
      </c>
      <c r="M205" s="104">
        <f>(Yield_Originals!$G205*Yield_Originals!M$1)/Yield_Originals!$K205</f>
        <v>9.4620156665821881E-2</v>
      </c>
      <c r="N205" s="104">
        <f>(Yield_Originals!$G205*Yield_Originals!N$1)/Yield_Originals!$K205</f>
        <v>9.7487434140543769E-2</v>
      </c>
      <c r="O205" s="104">
        <f>(Yield_Originals!$G205*Yield_Originals!O$1)/Yield_Originals!$K205</f>
        <v>0.10035471161526564</v>
      </c>
      <c r="P205" s="105"/>
      <c r="Q205" s="105"/>
      <c r="R205" s="105"/>
      <c r="S205" s="105"/>
      <c r="T205"/>
      <c r="U205"/>
      <c r="V205"/>
      <c r="W205"/>
      <c r="X205"/>
      <c r="Y205"/>
      <c r="Z205"/>
      <c r="AA205"/>
      <c r="AB205"/>
    </row>
    <row r="206" spans="1:28" x14ac:dyDescent="0.25">
      <c r="A206" s="70" t="s">
        <v>1095</v>
      </c>
      <c r="B206" s="70">
        <v>1</v>
      </c>
      <c r="C206" t="s">
        <v>241</v>
      </c>
      <c r="D206" t="s">
        <v>1094</v>
      </c>
      <c r="E206" s="70">
        <v>1</v>
      </c>
      <c r="F206" s="110">
        <f>Yield_Originals!G206</f>
        <v>0.15292146531850001</v>
      </c>
      <c r="G206" s="102">
        <v>0.15292146531850001</v>
      </c>
      <c r="H206" s="102">
        <v>0.15292146531850001</v>
      </c>
      <c r="I206" s="102">
        <f>+(Yield_Originals!H206+Yield_Originals!J206)/2</f>
        <v>0.15646073265925001</v>
      </c>
      <c r="J206" s="102">
        <v>0.16</v>
      </c>
      <c r="K206" s="103">
        <v>2</v>
      </c>
      <c r="L206" s="104">
        <f>(Yield_Originals!$G206*Yield_Originals!L$1)/Yield_Originals!$K206</f>
        <v>9.175287919110002E-2</v>
      </c>
      <c r="M206" s="104">
        <f>(Yield_Originals!$G206*Yield_Originals!M$1)/Yield_Originals!$K206</f>
        <v>9.4620156665821881E-2</v>
      </c>
      <c r="N206" s="104">
        <f>(Yield_Originals!$G206*Yield_Originals!N$1)/Yield_Originals!$K206</f>
        <v>9.7487434140543769E-2</v>
      </c>
      <c r="O206" s="104">
        <f>(Yield_Originals!$G206*Yield_Originals!O$1)/Yield_Originals!$K206</f>
        <v>0.10035471161526564</v>
      </c>
      <c r="P206" s="105"/>
      <c r="Q206" s="105"/>
      <c r="R206" s="105"/>
      <c r="S206" s="105"/>
      <c r="T206"/>
      <c r="U206"/>
      <c r="V206"/>
      <c r="W206"/>
      <c r="X206"/>
      <c r="Y206"/>
      <c r="Z206"/>
      <c r="AA206"/>
      <c r="AB206"/>
    </row>
    <row r="207" spans="1:28" x14ac:dyDescent="0.25">
      <c r="A207" s="70" t="s">
        <v>1095</v>
      </c>
      <c r="B207" s="70">
        <v>1</v>
      </c>
      <c r="C207" t="s">
        <v>1008</v>
      </c>
      <c r="D207" t="s">
        <v>1099</v>
      </c>
      <c r="E207" s="70">
        <v>1</v>
      </c>
      <c r="F207" s="110">
        <f>Yield_Originals!G207</f>
        <v>0.15292146531850001</v>
      </c>
      <c r="G207" s="102">
        <v>0.15292146531850001</v>
      </c>
      <c r="H207" s="102">
        <v>0.15292146531850001</v>
      </c>
      <c r="I207" s="102">
        <f>+(Yield_Originals!H207+Yield_Originals!J207)/2</f>
        <v>0.15646073265925001</v>
      </c>
      <c r="J207" s="102">
        <v>0.16</v>
      </c>
      <c r="K207" s="103">
        <v>2</v>
      </c>
      <c r="L207" s="104">
        <f>(Yield_Originals!$G207*Yield_Originals!L$1)/Yield_Originals!$K207</f>
        <v>9.175287919110002E-2</v>
      </c>
      <c r="M207" s="104">
        <f>(Yield_Originals!$G207*Yield_Originals!M$1)/Yield_Originals!$K207</f>
        <v>9.4620156665821881E-2</v>
      </c>
      <c r="N207" s="104">
        <f>(Yield_Originals!$G207*Yield_Originals!N$1)/Yield_Originals!$K207</f>
        <v>9.7487434140543769E-2</v>
      </c>
      <c r="O207" s="104">
        <f>(Yield_Originals!$G207*Yield_Originals!O$1)/Yield_Originals!$K207</f>
        <v>0.10035471161526564</v>
      </c>
      <c r="P207" s="105">
        <f>(Yield_Originals!$H207*Yield_Originals!P$1)/Yield_Originals!$K207</f>
        <v>0.10322198908998752</v>
      </c>
      <c r="Q207" s="105">
        <f>(Yield_Originals!$H207*Yield_Originals!Q$1)/Yield_Originals!$K207</f>
        <v>0.10608926656470939</v>
      </c>
      <c r="R207" s="105">
        <f>(Yield_Originals!$H207*Yield_Originals!R$1)/Yield_Originals!$K207</f>
        <v>0.10895654403943128</v>
      </c>
      <c r="S207" s="105">
        <f>(Yield_Originals!$H207*Yield_Originals!S$1)/Yield_Originals!$K207</f>
        <v>0.11182382151415315</v>
      </c>
      <c r="T207"/>
      <c r="U207"/>
      <c r="V207"/>
      <c r="W207"/>
      <c r="X207"/>
      <c r="Y207"/>
      <c r="Z207"/>
      <c r="AA207"/>
      <c r="AB207"/>
    </row>
    <row r="208" spans="1:28" x14ac:dyDescent="0.25">
      <c r="A208" s="70" t="s">
        <v>1095</v>
      </c>
      <c r="B208" s="70">
        <v>1</v>
      </c>
      <c r="C208" t="s">
        <v>242</v>
      </c>
      <c r="D208" t="s">
        <v>1102</v>
      </c>
      <c r="E208" s="70">
        <v>1</v>
      </c>
      <c r="F208" s="110">
        <f>Yield_Originals!G208</f>
        <v>0.15292146531850001</v>
      </c>
      <c r="G208" s="102">
        <v>0.15292146531850001</v>
      </c>
      <c r="H208" s="102">
        <v>0.15292146531850001</v>
      </c>
      <c r="I208" s="102">
        <f>+(Yield_Originals!H208+Yield_Originals!J208)/2</f>
        <v>0.15646073265925001</v>
      </c>
      <c r="J208" s="102">
        <v>0.16</v>
      </c>
      <c r="K208" s="103">
        <v>2</v>
      </c>
      <c r="L208" s="104"/>
      <c r="M208" s="104"/>
      <c r="N208" s="104"/>
      <c r="O208" s="104"/>
      <c r="P208" s="105">
        <f>(Yield_Originals!$H208*Yield_Originals!P$1)/Yield_Originals!$K208</f>
        <v>0.10322198908998752</v>
      </c>
      <c r="Q208" s="105">
        <f>(Yield_Originals!$H208*Yield_Originals!Q$1)/Yield_Originals!$K208</f>
        <v>0.10608926656470939</v>
      </c>
      <c r="R208" s="105">
        <f>(Yield_Originals!$H208*Yield_Originals!R$1)/Yield_Originals!$K208</f>
        <v>0.10895654403943128</v>
      </c>
      <c r="S208" s="105">
        <f>(Yield_Originals!$H208*Yield_Originals!S$1)/Yield_Originals!$K208</f>
        <v>0.11182382151415315</v>
      </c>
      <c r="T208" s="107">
        <f>(Yield_Originals!$I208*Yield_Originals!T$1)/Yield_Originals!$K208</f>
        <v>0.11734554949443754</v>
      </c>
      <c r="U208" s="107">
        <f>(Yield_Originals!$I208*Yield_Originals!U$1)/Yield_Originals!$K208</f>
        <v>0.12027918823179845</v>
      </c>
      <c r="V208" s="107">
        <f>(Yield_Originals!$I208*Yield_Originals!V$1)/Yield_Originals!$K208</f>
        <v>0.12321282696915939</v>
      </c>
      <c r="W208" s="107">
        <f>(Yield_Originals!$I208*Yield_Originals!W$1)/Yield_Originals!$K208</f>
        <v>0.1261464657065203</v>
      </c>
      <c r="X208" s="108">
        <f>(Yield_Originals!$I208*Yield_Originals!X$1)/Yield_Originals!$K208</f>
        <v>0.12908010444388124</v>
      </c>
      <c r="Y208" s="108"/>
      <c r="Z208"/>
      <c r="AA208"/>
      <c r="AB208"/>
    </row>
    <row r="209" spans="1:28" x14ac:dyDescent="0.25">
      <c r="A209" s="70" t="s">
        <v>1095</v>
      </c>
      <c r="B209" s="70">
        <v>1</v>
      </c>
      <c r="C209" t="s">
        <v>131</v>
      </c>
      <c r="D209" t="s">
        <v>1104</v>
      </c>
      <c r="E209" s="70">
        <v>1</v>
      </c>
      <c r="F209" s="110">
        <f>Yield_Originals!G209</f>
        <v>0.15292146531850001</v>
      </c>
      <c r="G209" s="102">
        <v>0.15292146531850001</v>
      </c>
      <c r="H209" s="102">
        <v>0.15292146531850001</v>
      </c>
      <c r="I209" s="102">
        <f>+(Yield_Originals!H209+Yield_Originals!J209)/2</f>
        <v>0.15646073265925001</v>
      </c>
      <c r="J209" s="102">
        <v>0.16</v>
      </c>
      <c r="K209" s="103">
        <v>2</v>
      </c>
      <c r="L209" s="104"/>
      <c r="M209" s="104"/>
      <c r="N209" s="104"/>
      <c r="O209" s="104"/>
      <c r="P209" s="105">
        <f>(Yield_Originals!$H209*Yield_Originals!P$1)/Yield_Originals!$K209</f>
        <v>0.10322198908998752</v>
      </c>
      <c r="Q209" s="105">
        <f>(Yield_Originals!$H209*Yield_Originals!Q$1)/Yield_Originals!$K209</f>
        <v>0.10608926656470939</v>
      </c>
      <c r="R209" s="105">
        <f>(Yield_Originals!$H209*Yield_Originals!R$1)/Yield_Originals!$K209</f>
        <v>0.10895654403943128</v>
      </c>
      <c r="S209" s="105">
        <f>(Yield_Originals!$H209*Yield_Originals!S$1)/Yield_Originals!$K209</f>
        <v>0.11182382151415315</v>
      </c>
      <c r="T209" s="107">
        <f>(Yield_Originals!$I209*Yield_Originals!T$1)/Yield_Originals!$K209</f>
        <v>0.11734554949443754</v>
      </c>
      <c r="U209" s="107">
        <f>(Yield_Originals!$I209*Yield_Originals!U$1)/Yield_Originals!$K209</f>
        <v>0.12027918823179845</v>
      </c>
      <c r="V209" s="107">
        <f>(Yield_Originals!$I209*Yield_Originals!V$1)/Yield_Originals!$K209</f>
        <v>0.12321282696915939</v>
      </c>
      <c r="W209" s="107">
        <f>(Yield_Originals!$I209*Yield_Originals!W$1)/Yield_Originals!$K209</f>
        <v>0.1261464657065203</v>
      </c>
      <c r="X209" s="108">
        <f>(Yield_Originals!$I209*Yield_Originals!X$1)/Yield_Originals!$K209</f>
        <v>0.12908010444388124</v>
      </c>
      <c r="Y209" s="108"/>
      <c r="Z209"/>
      <c r="AA209"/>
      <c r="AB209"/>
    </row>
    <row r="210" spans="1:28" x14ac:dyDescent="0.25">
      <c r="A210" s="70" t="s">
        <v>1095</v>
      </c>
      <c r="B210" s="70">
        <v>1</v>
      </c>
      <c r="C210" t="s">
        <v>243</v>
      </c>
      <c r="D210" t="s">
        <v>1104</v>
      </c>
      <c r="E210" s="70">
        <v>1</v>
      </c>
      <c r="F210" s="110">
        <f>Yield_Originals!G210</f>
        <v>0.15292146531850001</v>
      </c>
      <c r="G210" s="102">
        <v>0.15292146531850001</v>
      </c>
      <c r="H210" s="102">
        <v>0.15292146531850001</v>
      </c>
      <c r="I210" s="102">
        <f>+(Yield_Originals!H210+Yield_Originals!J210)/2</f>
        <v>0.15646073265925001</v>
      </c>
      <c r="J210" s="102">
        <v>0.16</v>
      </c>
      <c r="K210" s="103">
        <v>2</v>
      </c>
      <c r="L210" s="104"/>
      <c r="M210" s="104"/>
      <c r="N210" s="104"/>
      <c r="O210" s="104"/>
      <c r="P210" s="105">
        <f>(Yield_Originals!$H210*Yield_Originals!P$1)/Yield_Originals!$K210</f>
        <v>0.10322198908998752</v>
      </c>
      <c r="Q210" s="105">
        <f>(Yield_Originals!$H210*Yield_Originals!Q$1)/Yield_Originals!$K210</f>
        <v>0.10608926656470939</v>
      </c>
      <c r="R210" s="105">
        <f>(Yield_Originals!$H210*Yield_Originals!R$1)/Yield_Originals!$K210</f>
        <v>0.10895654403943128</v>
      </c>
      <c r="S210" s="105">
        <f>(Yield_Originals!$H210*Yield_Originals!S$1)/Yield_Originals!$K210</f>
        <v>0.11182382151415315</v>
      </c>
      <c r="T210" s="107">
        <f>(Yield_Originals!$I210*Yield_Originals!T$1)/Yield_Originals!$K210</f>
        <v>0.11734554949443754</v>
      </c>
      <c r="U210" s="107">
        <f>(Yield_Originals!$I210*Yield_Originals!U$1)/Yield_Originals!$K210</f>
        <v>0.12027918823179845</v>
      </c>
      <c r="V210" s="107">
        <f>(Yield_Originals!$I210*Yield_Originals!V$1)/Yield_Originals!$K210</f>
        <v>0.12321282696915939</v>
      </c>
      <c r="W210" s="107">
        <f>(Yield_Originals!$I210*Yield_Originals!W$1)/Yield_Originals!$K210</f>
        <v>0.1261464657065203</v>
      </c>
      <c r="X210" s="108">
        <f>(Yield_Originals!$I210*Yield_Originals!X$1)/Yield_Originals!$K210</f>
        <v>0.12908010444388124</v>
      </c>
      <c r="Y210" s="108"/>
      <c r="Z210"/>
      <c r="AA210"/>
      <c r="AB210"/>
    </row>
    <row r="211" spans="1:28" x14ac:dyDescent="0.25">
      <c r="A211" s="70" t="s">
        <v>1095</v>
      </c>
      <c r="B211" s="70">
        <v>1</v>
      </c>
      <c r="C211" t="s">
        <v>403</v>
      </c>
      <c r="D211" t="s">
        <v>1107</v>
      </c>
      <c r="E211" s="70">
        <v>1</v>
      </c>
      <c r="F211" s="110">
        <f>Yield_Originals!G211</f>
        <v>0.15292146531850001</v>
      </c>
      <c r="G211" s="102">
        <v>0.15292146531850001</v>
      </c>
      <c r="H211" s="102">
        <v>0.15292146531850001</v>
      </c>
      <c r="I211" s="102">
        <f>+(Yield_Originals!H211+Yield_Originals!J211)/2</f>
        <v>0.15646073265925001</v>
      </c>
      <c r="J211" s="102">
        <v>0.16</v>
      </c>
      <c r="K211" s="103">
        <v>2</v>
      </c>
      <c r="L211" s="104"/>
      <c r="M211" s="104"/>
      <c r="N211" s="104"/>
      <c r="O211" s="104"/>
      <c r="P211" s="105">
        <f>(Yield_Originals!$H211*Yield_Originals!P$1)/Yield_Originals!$K211</f>
        <v>0.10322198908998752</v>
      </c>
      <c r="Q211" s="105">
        <f>(Yield_Originals!$H211*Yield_Originals!Q$1)/Yield_Originals!$K211</f>
        <v>0.10608926656470939</v>
      </c>
      <c r="R211" s="105">
        <f>(Yield_Originals!$H211*Yield_Originals!R$1)/Yield_Originals!$K211</f>
        <v>0.10895654403943128</v>
      </c>
      <c r="S211" s="105">
        <f>(Yield_Originals!$H211*Yield_Originals!S$1)/Yield_Originals!$K211</f>
        <v>0.11182382151415315</v>
      </c>
      <c r="T211" s="107">
        <f>(Yield_Originals!$I211*Yield_Originals!T$1)/Yield_Originals!$K211</f>
        <v>0.11734554949443754</v>
      </c>
      <c r="U211" s="107">
        <f>(Yield_Originals!$I211*Yield_Originals!U$1)/Yield_Originals!$K211</f>
        <v>0.12027918823179845</v>
      </c>
      <c r="V211" s="107">
        <f>(Yield_Originals!$I211*Yield_Originals!V$1)/Yield_Originals!$K211</f>
        <v>0.12321282696915939</v>
      </c>
      <c r="W211" s="107">
        <f>(Yield_Originals!$I211*Yield_Originals!W$1)/Yield_Originals!$K211</f>
        <v>0.1261464657065203</v>
      </c>
      <c r="X211" s="108">
        <f>(Yield_Originals!$I211*Yield_Originals!X$1)/Yield_Originals!$K211</f>
        <v>0.12908010444388124</v>
      </c>
      <c r="Y211" s="108"/>
      <c r="Z211"/>
      <c r="AA211"/>
      <c r="AB211"/>
    </row>
    <row r="212" spans="1:28" x14ac:dyDescent="0.25">
      <c r="A212" s="70" t="s">
        <v>1095</v>
      </c>
      <c r="B212" s="70">
        <v>1</v>
      </c>
      <c r="C212" t="s">
        <v>244</v>
      </c>
      <c r="D212" t="s">
        <v>1107</v>
      </c>
      <c r="E212" s="70">
        <v>1</v>
      </c>
      <c r="F212" s="110">
        <f>Yield_Originals!G212</f>
        <v>0.15292146531850001</v>
      </c>
      <c r="G212" s="102">
        <v>0.15292146531850001</v>
      </c>
      <c r="H212" s="102">
        <v>0.15292146531850001</v>
      </c>
      <c r="I212" s="102">
        <f>+(Yield_Originals!H212+Yield_Originals!J212)/2</f>
        <v>0.15646073265925001</v>
      </c>
      <c r="J212" s="102">
        <v>0.16</v>
      </c>
      <c r="K212" s="103">
        <v>2</v>
      </c>
      <c r="L212" s="104"/>
      <c r="M212" s="104"/>
      <c r="N212" s="104"/>
      <c r="O212" s="104"/>
      <c r="P212" s="105">
        <f>(Yield_Originals!$H212*Yield_Originals!P$1)/Yield_Originals!$K212</f>
        <v>0.10322198908998752</v>
      </c>
      <c r="Q212" s="105">
        <f>(Yield_Originals!$H212*Yield_Originals!Q$1)/Yield_Originals!$K212</f>
        <v>0.10608926656470939</v>
      </c>
      <c r="R212" s="105">
        <f>(Yield_Originals!$H212*Yield_Originals!R$1)/Yield_Originals!$K212</f>
        <v>0.10895654403943128</v>
      </c>
      <c r="S212" s="105">
        <f>(Yield_Originals!$H212*Yield_Originals!S$1)/Yield_Originals!$K212</f>
        <v>0.11182382151415315</v>
      </c>
      <c r="T212" s="107">
        <f>(Yield_Originals!$I212*Yield_Originals!T$1)/Yield_Originals!$K212</f>
        <v>0.11734554949443754</v>
      </c>
      <c r="U212" s="107">
        <f>(Yield_Originals!$I212*Yield_Originals!U$1)/Yield_Originals!$K212</f>
        <v>0.12027918823179845</v>
      </c>
      <c r="V212" s="107">
        <f>(Yield_Originals!$I212*Yield_Originals!V$1)/Yield_Originals!$K212</f>
        <v>0.12321282696915939</v>
      </c>
      <c r="W212" s="107">
        <f>(Yield_Originals!$I212*Yield_Originals!W$1)/Yield_Originals!$K212</f>
        <v>0.1261464657065203</v>
      </c>
      <c r="X212" s="108">
        <f>(Yield_Originals!$I212*Yield_Originals!X$1)/Yield_Originals!$K212</f>
        <v>0.12908010444388124</v>
      </c>
      <c r="Y212" s="108"/>
      <c r="Z212"/>
      <c r="AA212"/>
      <c r="AB212"/>
    </row>
    <row r="213" spans="1:28" x14ac:dyDescent="0.25">
      <c r="A213" s="70" t="s">
        <v>1095</v>
      </c>
      <c r="B213" s="70">
        <v>1</v>
      </c>
      <c r="C213" t="s">
        <v>1022</v>
      </c>
      <c r="D213" t="s">
        <v>1115</v>
      </c>
      <c r="E213" s="70">
        <v>1</v>
      </c>
      <c r="F213" s="110">
        <f>Yield_Originals!G213</f>
        <v>0.15292146531850001</v>
      </c>
      <c r="G213" s="102">
        <v>0.15292146531850001</v>
      </c>
      <c r="H213" s="102">
        <v>0.15292146531850001</v>
      </c>
      <c r="I213" s="102">
        <f>+(Yield_Originals!H213+Yield_Originals!J213)/2</f>
        <v>0.15646073265925001</v>
      </c>
      <c r="J213" s="102">
        <v>0.16</v>
      </c>
      <c r="K213" s="103">
        <v>2</v>
      </c>
      <c r="L213" s="104">
        <f>(Yield_Originals!$G213*Yield_Originals!L$1)/Yield_Originals!$K213</f>
        <v>9.175287919110002E-2</v>
      </c>
      <c r="M213" s="104">
        <f>(Yield_Originals!$G213*Yield_Originals!M$1)/Yield_Originals!$K213</f>
        <v>9.4620156665821881E-2</v>
      </c>
      <c r="N213" s="104">
        <f>(Yield_Originals!$G213*Yield_Originals!N$1)/Yield_Originals!$K213</f>
        <v>9.7487434140543769E-2</v>
      </c>
      <c r="O213" s="104">
        <f>(Yield_Originals!$G213*Yield_Originals!O$1)/Yield_Originals!$K213</f>
        <v>0.10035471161526564</v>
      </c>
      <c r="P213" s="105">
        <f>(Yield_Originals!$H213*Yield_Originals!P$1)/Yield_Originals!$K213</f>
        <v>0.10322198908998752</v>
      </c>
      <c r="Q213" s="105">
        <f>(Yield_Originals!$H213*Yield_Originals!Q$1)/Yield_Originals!$K213</f>
        <v>0.10608926656470939</v>
      </c>
      <c r="R213" s="105">
        <f>(Yield_Originals!$H213*Yield_Originals!R$1)/Yield_Originals!$K213</f>
        <v>0.10895654403943128</v>
      </c>
      <c r="S213" s="105">
        <f>(Yield_Originals!$H213*Yield_Originals!S$1)/Yield_Originals!$K213</f>
        <v>0.11182382151415315</v>
      </c>
      <c r="T213" s="107">
        <f>(Yield_Originals!$I213*Yield_Originals!T$1)/Yield_Originals!$K213</f>
        <v>0.11734554949443754</v>
      </c>
      <c r="U213" s="107">
        <f>(Yield_Originals!$I213*Yield_Originals!U$1)/Yield_Originals!$K213</f>
        <v>0.12027918823179845</v>
      </c>
      <c r="V213" s="107">
        <f>(Yield_Originals!$I213*Yield_Originals!V$1)/Yield_Originals!$K213</f>
        <v>0.12321282696915939</v>
      </c>
      <c r="W213" s="107">
        <f>(Yield_Originals!$I213*Yield_Originals!W$1)/Yield_Originals!$K213</f>
        <v>0.1261464657065203</v>
      </c>
      <c r="X213" s="108">
        <f>(Yield_Originals!$I213*Yield_Originals!X$1)/Yield_Originals!$K213</f>
        <v>0.12908010444388124</v>
      </c>
      <c r="Y213" s="108"/>
      <c r="Z213"/>
      <c r="AA213"/>
      <c r="AB213"/>
    </row>
    <row r="214" spans="1:28" x14ac:dyDescent="0.25">
      <c r="A214" s="70" t="s">
        <v>1095</v>
      </c>
      <c r="B214" s="70">
        <v>1</v>
      </c>
      <c r="C214" t="s">
        <v>245</v>
      </c>
      <c r="D214" t="s">
        <v>1117</v>
      </c>
      <c r="E214" s="70">
        <v>1</v>
      </c>
      <c r="F214" s="110">
        <f>Yield_Originals!G214</f>
        <v>0.15292146531850001</v>
      </c>
      <c r="G214" s="102">
        <v>0.15292146531850001</v>
      </c>
      <c r="H214" s="102">
        <v>0.15292146531850001</v>
      </c>
      <c r="I214" s="102">
        <f>+(Yield_Originals!H214+Yield_Originals!J214)/2</f>
        <v>0.15646073265925001</v>
      </c>
      <c r="J214" s="102">
        <v>0.16</v>
      </c>
      <c r="K214" s="103">
        <v>2</v>
      </c>
      <c r="L214" s="104">
        <f>(Yield_Originals!$G214*Yield_Originals!L$1)/Yield_Originals!$K214</f>
        <v>9.175287919110002E-2</v>
      </c>
      <c r="M214" s="104">
        <f>(Yield_Originals!$G214*Yield_Originals!M$1)/Yield_Originals!$K214</f>
        <v>9.4620156665821881E-2</v>
      </c>
      <c r="N214" s="104">
        <f>(Yield_Originals!$G214*Yield_Originals!N$1)/Yield_Originals!$K214</f>
        <v>9.7487434140543769E-2</v>
      </c>
      <c r="O214" s="104">
        <f>(Yield_Originals!$G214*Yield_Originals!O$1)/Yield_Originals!$K214</f>
        <v>0.10035471161526564</v>
      </c>
      <c r="P214" s="105">
        <f>(Yield_Originals!$H214*Yield_Originals!P$1)/Yield_Originals!$K214</f>
        <v>0.10322198908998752</v>
      </c>
      <c r="Q214" s="105">
        <f>(Yield_Originals!$H214*Yield_Originals!Q$1)/Yield_Originals!$K214</f>
        <v>0.10608926656470939</v>
      </c>
      <c r="R214" s="105">
        <f>(Yield_Originals!$H214*Yield_Originals!R$1)/Yield_Originals!$K214</f>
        <v>0.10895654403943128</v>
      </c>
      <c r="S214" s="105">
        <f>(Yield_Originals!$H214*Yield_Originals!S$1)/Yield_Originals!$K214</f>
        <v>0.11182382151415315</v>
      </c>
      <c r="T214" s="107">
        <f>(Yield_Originals!$I214*Yield_Originals!T$1)/Yield_Originals!$K214</f>
        <v>0.11734554949443754</v>
      </c>
      <c r="U214" s="107">
        <f>(Yield_Originals!$I214*Yield_Originals!U$1)/Yield_Originals!$K214</f>
        <v>0.12027918823179845</v>
      </c>
      <c r="V214" s="107">
        <f>(Yield_Originals!$I214*Yield_Originals!V$1)/Yield_Originals!$K214</f>
        <v>0.12321282696915939</v>
      </c>
      <c r="W214" s="107">
        <f>(Yield_Originals!$I214*Yield_Originals!W$1)/Yield_Originals!$K214</f>
        <v>0.1261464657065203</v>
      </c>
      <c r="X214" s="108">
        <f>(Yield_Originals!$I214*Yield_Originals!X$1)/Yield_Originals!$K214</f>
        <v>0.12908010444388124</v>
      </c>
      <c r="Y214" s="108"/>
      <c r="Z214"/>
      <c r="AA214"/>
      <c r="AB214"/>
    </row>
    <row r="215" spans="1:28" x14ac:dyDescent="0.25">
      <c r="A215" s="70" t="s">
        <v>1095</v>
      </c>
      <c r="B215" s="70">
        <v>1</v>
      </c>
      <c r="C215" t="s">
        <v>1029</v>
      </c>
      <c r="D215" t="s">
        <v>1113</v>
      </c>
      <c r="E215" s="70">
        <v>1</v>
      </c>
      <c r="F215" s="110">
        <f>Yield_Originals!G215</f>
        <v>0.15292146531850001</v>
      </c>
      <c r="G215" s="102">
        <v>0.15292146531850001</v>
      </c>
      <c r="H215" s="102">
        <v>0.15292146531850001</v>
      </c>
      <c r="I215" s="102">
        <f>+(Yield_Originals!H215+Yield_Originals!J215)/2</f>
        <v>0.15646073265925001</v>
      </c>
      <c r="J215" s="102">
        <v>0.16</v>
      </c>
      <c r="K215" s="103">
        <v>2</v>
      </c>
      <c r="L215" s="104">
        <f>(Yield_Originals!$G215*Yield_Originals!L$1)/Yield_Originals!$K215</f>
        <v>9.175287919110002E-2</v>
      </c>
      <c r="M215" s="104">
        <f>(Yield_Originals!$G215*Yield_Originals!M$1)/Yield_Originals!$K215</f>
        <v>9.4620156665821881E-2</v>
      </c>
      <c r="N215" s="104">
        <f>(Yield_Originals!$G215*Yield_Originals!N$1)/Yield_Originals!$K215</f>
        <v>9.7487434140543769E-2</v>
      </c>
      <c r="O215" s="104">
        <f>(Yield_Originals!$G215*Yield_Originals!O$1)/Yield_Originals!$K215</f>
        <v>0.10035471161526564</v>
      </c>
      <c r="P215" s="105">
        <f>(Yield_Originals!$H215*Yield_Originals!P$1)/Yield_Originals!$K215</f>
        <v>0.10322198908998752</v>
      </c>
      <c r="Q215" s="105">
        <f>(Yield_Originals!$H215*Yield_Originals!Q$1)/Yield_Originals!$K215</f>
        <v>0.10608926656470939</v>
      </c>
      <c r="R215" s="105">
        <f>(Yield_Originals!$H215*Yield_Originals!R$1)/Yield_Originals!$K215</f>
        <v>0.10895654403943128</v>
      </c>
      <c r="S215" s="105">
        <f>(Yield_Originals!$H215*Yield_Originals!S$1)/Yield_Originals!$K215</f>
        <v>0.11182382151415315</v>
      </c>
      <c r="T215" s="107">
        <f>(Yield_Originals!$I215*Yield_Originals!T$1)/Yield_Originals!$K215</f>
        <v>0.11734554949443754</v>
      </c>
      <c r="U215" s="107">
        <f>(Yield_Originals!$I215*Yield_Originals!U$1)/Yield_Originals!$K215</f>
        <v>0.12027918823179845</v>
      </c>
      <c r="V215" s="107">
        <f>(Yield_Originals!$I215*Yield_Originals!V$1)/Yield_Originals!$K215</f>
        <v>0.12321282696915939</v>
      </c>
      <c r="W215" s="107">
        <f>(Yield_Originals!$I215*Yield_Originals!W$1)/Yield_Originals!$K215</f>
        <v>0.1261464657065203</v>
      </c>
      <c r="X215" s="108">
        <f>(Yield_Originals!$I215*Yield_Originals!X$1)/Yield_Originals!$K215</f>
        <v>0.12908010444388124</v>
      </c>
      <c r="Y215" s="108"/>
      <c r="Z215"/>
      <c r="AA215"/>
      <c r="AB215"/>
    </row>
    <row r="216" spans="1:28" hidden="1" x14ac:dyDescent="0.25">
      <c r="A216" s="70" t="s">
        <v>1177</v>
      </c>
      <c r="B216" s="70" t="s">
        <v>1376</v>
      </c>
      <c r="C216" t="s">
        <v>132</v>
      </c>
      <c r="D216" t="s">
        <v>1176</v>
      </c>
      <c r="E216" s="70">
        <v>5</v>
      </c>
      <c r="F216" s="110">
        <f>Yield_Originals!G216</f>
        <v>0.9</v>
      </c>
      <c r="G216" s="111">
        <v>0.9</v>
      </c>
      <c r="H216" s="111">
        <v>0.9</v>
      </c>
      <c r="I216" s="111">
        <v>0.9</v>
      </c>
      <c r="J216" s="111">
        <v>0.9</v>
      </c>
      <c r="K216" s="103">
        <v>1</v>
      </c>
      <c r="L216" s="113">
        <f>(Yield_Originals!$G216*Yield_Originals!L$1)/Yield_Originals!$K216</f>
        <v>1.0800000000000003</v>
      </c>
      <c r="M216" s="113">
        <f>(Yield_Originals!$G216*Yield_Originals!M$1)/Yield_Originals!$K216</f>
        <v>1.11375</v>
      </c>
      <c r="N216" s="113"/>
      <c r="O216" s="113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hidden="1" x14ac:dyDescent="0.25">
      <c r="A217" s="67" t="s">
        <v>1177</v>
      </c>
      <c r="B217" s="67" t="s">
        <v>1376</v>
      </c>
      <c r="C217" s="39" t="s">
        <v>1034</v>
      </c>
      <c r="D217" s="39" t="s">
        <v>1210</v>
      </c>
      <c r="E217" s="67">
        <v>5</v>
      </c>
      <c r="F217" s="110">
        <f>Yield_Originals!G217</f>
        <v>0.9</v>
      </c>
      <c r="G217" s="111">
        <v>0.9</v>
      </c>
      <c r="H217" s="111">
        <v>0.9</v>
      </c>
      <c r="I217" s="111">
        <v>0.9</v>
      </c>
      <c r="J217" s="111">
        <v>0.9</v>
      </c>
      <c r="K217" s="103">
        <v>1</v>
      </c>
      <c r="L217" s="113"/>
      <c r="M217" s="113"/>
      <c r="N217" s="113"/>
      <c r="O217" s="113">
        <f>(Yield_Originals!$G217*Yield_Originals!O$1)/Yield_Originals!$K217</f>
        <v>1.1812500000000001</v>
      </c>
      <c r="P217" s="114">
        <f>(Yield_Originals!$H217*Yield_Originals!P$1)/Yield_Originals!$K217</f>
        <v>1.2150000000000001</v>
      </c>
      <c r="Q217" s="114">
        <f>(Yield_Originals!$H217*Yield_Originals!Q$1)/Yield_Originals!$K217</f>
        <v>1.2487500000000002</v>
      </c>
      <c r="R217" s="114">
        <f>(Yield_Originals!$H217*Yield_Originals!R$1)/Yield_Originals!$K217</f>
        <v>1.2825000000000002</v>
      </c>
      <c r="S217" s="73"/>
      <c r="T217" s="115"/>
      <c r="U217" s="115"/>
      <c r="V217" s="115"/>
      <c r="W217" s="115"/>
      <c r="X217" s="116"/>
      <c r="Y217" s="116"/>
      <c r="Z217" s="116"/>
      <c r="AA217" s="116"/>
      <c r="AB217" s="116"/>
    </row>
    <row r="218" spans="1:28" hidden="1" x14ac:dyDescent="0.25">
      <c r="A218" s="70" t="s">
        <v>1177</v>
      </c>
      <c r="B218" s="70" t="s">
        <v>1376</v>
      </c>
      <c r="C218" t="s">
        <v>1037</v>
      </c>
      <c r="D218" t="s">
        <v>1198</v>
      </c>
      <c r="E218" s="70">
        <v>2</v>
      </c>
      <c r="F218" s="110">
        <f>Yield_Originals!G218</f>
        <v>0.9</v>
      </c>
      <c r="G218" s="110">
        <v>0.9</v>
      </c>
      <c r="H218" s="110">
        <v>0.9</v>
      </c>
      <c r="I218" s="110">
        <v>0.9</v>
      </c>
      <c r="J218" s="110">
        <v>0.9</v>
      </c>
      <c r="K218" s="103">
        <v>1</v>
      </c>
      <c r="L218" s="104"/>
      <c r="M218" s="104"/>
      <c r="N218" s="104"/>
      <c r="O218" s="104">
        <f>(Yield_Originals!$G218*Yield_Originals!O$1)/Yield_Originals!$K218</f>
        <v>1.1812500000000001</v>
      </c>
      <c r="P218" s="105">
        <f>(Yield_Originals!$H218*Yield_Originals!P$1)/Yield_Originals!$K218</f>
        <v>1.2150000000000001</v>
      </c>
      <c r="Q218" s="105">
        <f>(Yield_Originals!$H218*Yield_Originals!Q$1)/Yield_Originals!$K218</f>
        <v>1.2487500000000002</v>
      </c>
      <c r="R218" s="105">
        <f>(Yield_Originals!$H218*Yield_Originals!R$1)/Yield_Originals!$K218</f>
        <v>1.2825000000000002</v>
      </c>
      <c r="S218"/>
      <c r="T218"/>
      <c r="U218"/>
      <c r="V218"/>
      <c r="W218"/>
      <c r="X218"/>
      <c r="Y218"/>
      <c r="Z218"/>
      <c r="AA218"/>
      <c r="AB218"/>
    </row>
    <row r="219" spans="1:28" hidden="1" x14ac:dyDescent="0.25">
      <c r="A219" s="70" t="s">
        <v>1177</v>
      </c>
      <c r="B219" s="70" t="s">
        <v>1376</v>
      </c>
      <c r="C219" t="s">
        <v>133</v>
      </c>
      <c r="D219" t="s">
        <v>1184</v>
      </c>
      <c r="E219" s="70">
        <v>1</v>
      </c>
      <c r="F219" s="110">
        <f>Yield_Originals!G219</f>
        <v>0.9</v>
      </c>
      <c r="G219" s="110">
        <v>0.9</v>
      </c>
      <c r="H219" s="110">
        <v>0.9</v>
      </c>
      <c r="I219" s="110">
        <v>0.9</v>
      </c>
      <c r="J219" s="110">
        <v>0.9</v>
      </c>
      <c r="K219" s="103">
        <v>1</v>
      </c>
      <c r="L219" s="104">
        <f>(Yield_Originals!$G219*Yield_Originals!L$1)/Yield_Originals!$K219</f>
        <v>1.0800000000000003</v>
      </c>
      <c r="M219" s="104">
        <f>(Yield_Originals!$G219*Yield_Originals!M$1)/Yield_Originals!$K219</f>
        <v>1.11375</v>
      </c>
      <c r="N219" s="104">
        <f>(Yield_Originals!$G219*Yield_Originals!N$1)/Yield_Originals!$K219</f>
        <v>1.1475000000000002</v>
      </c>
      <c r="O219" s="104">
        <f>(Yield_Originals!$G219*Yield_Originals!O$1)/Yield_Originals!$K219</f>
        <v>1.1812500000000001</v>
      </c>
      <c r="P219" s="105">
        <f>(Yield_Originals!$H219*Yield_Originals!P$1)/Yield_Originals!$K219</f>
        <v>1.2150000000000001</v>
      </c>
      <c r="Q219" s="105">
        <f>(Yield_Originals!$H219*Yield_Originals!Q$1)/Yield_Originals!$K219</f>
        <v>1.2487500000000002</v>
      </c>
      <c r="R219" s="105"/>
      <c r="S219" s="105"/>
      <c r="T219" s="107"/>
      <c r="U219" s="107"/>
      <c r="V219" s="107"/>
      <c r="W219" s="107"/>
      <c r="X219" s="108"/>
      <c r="Y219" s="108"/>
      <c r="Z219" s="108"/>
      <c r="AA219" s="108"/>
      <c r="AB219" s="108"/>
    </row>
    <row r="220" spans="1:28" hidden="1" x14ac:dyDescent="0.25">
      <c r="A220" s="70" t="s">
        <v>1177</v>
      </c>
      <c r="B220" s="70" t="s">
        <v>1376</v>
      </c>
      <c r="C220" t="s">
        <v>246</v>
      </c>
      <c r="D220" t="s">
        <v>1184</v>
      </c>
      <c r="E220" s="70">
        <v>1</v>
      </c>
      <c r="F220" s="110">
        <f>Yield_Originals!G220</f>
        <v>0.9</v>
      </c>
      <c r="G220" s="110">
        <v>0.9</v>
      </c>
      <c r="H220" s="110">
        <v>0.9</v>
      </c>
      <c r="I220" s="110">
        <v>0.9</v>
      </c>
      <c r="J220" s="110">
        <v>0.9</v>
      </c>
      <c r="K220" s="103">
        <v>1</v>
      </c>
      <c r="L220" s="104">
        <f>(Yield_Originals!$G220*Yield_Originals!L$1)/Yield_Originals!$K220</f>
        <v>1.0800000000000003</v>
      </c>
      <c r="M220" s="104">
        <f>(Yield_Originals!$G220*Yield_Originals!M$1)/Yield_Originals!$K220</f>
        <v>1.11375</v>
      </c>
      <c r="N220" s="104">
        <f>(Yield_Originals!$G220*Yield_Originals!N$1)/Yield_Originals!$K220</f>
        <v>1.1475000000000002</v>
      </c>
      <c r="O220" s="104">
        <f>(Yield_Originals!$G220*Yield_Originals!O$1)/Yield_Originals!$K220</f>
        <v>1.1812500000000001</v>
      </c>
      <c r="P220" s="105">
        <f>(Yield_Originals!$H220*Yield_Originals!P$1)/Yield_Originals!$K220</f>
        <v>1.2150000000000001</v>
      </c>
      <c r="Q220" s="105">
        <f>(Yield_Originals!$H220*Yield_Originals!Q$1)/Yield_Originals!$K220</f>
        <v>1.2487500000000002</v>
      </c>
      <c r="R220" s="105"/>
      <c r="S220" s="105"/>
      <c r="T220" s="107"/>
      <c r="U220" s="107"/>
      <c r="V220" s="107"/>
      <c r="W220" s="107"/>
      <c r="X220" s="108"/>
      <c r="Y220" s="108"/>
      <c r="Z220" s="108"/>
      <c r="AA220" s="108"/>
      <c r="AB220" s="108"/>
    </row>
    <row r="221" spans="1:28" hidden="1" x14ac:dyDescent="0.25">
      <c r="A221" s="70" t="s">
        <v>1177</v>
      </c>
      <c r="B221" s="70" t="s">
        <v>1376</v>
      </c>
      <c r="C221" t="s">
        <v>1044</v>
      </c>
      <c r="D221" t="s">
        <v>1201</v>
      </c>
      <c r="E221" s="70">
        <v>1</v>
      </c>
      <c r="F221" s="110">
        <f>Yield_Originals!G221</f>
        <v>0.9</v>
      </c>
      <c r="G221" s="110">
        <v>0.9</v>
      </c>
      <c r="H221" s="110">
        <v>0.9</v>
      </c>
      <c r="I221" s="110">
        <v>0.9</v>
      </c>
      <c r="J221" s="110">
        <v>0.9</v>
      </c>
      <c r="K221" s="103">
        <v>1</v>
      </c>
      <c r="L221" s="104">
        <f>(Yield_Originals!$G221*Yield_Originals!L$1)/Yield_Originals!$K221</f>
        <v>1.0800000000000003</v>
      </c>
      <c r="M221" s="104">
        <f>(Yield_Originals!$G221*Yield_Originals!M$1)/Yield_Originals!$K221</f>
        <v>1.11375</v>
      </c>
      <c r="N221" s="104">
        <f>(Yield_Originals!$G221*Yield_Originals!N$1)/Yield_Originals!$K221</f>
        <v>1.1475000000000002</v>
      </c>
      <c r="O221" s="104">
        <f>(Yield_Originals!$G221*Yield_Originals!O$1)/Yield_Originals!$K221</f>
        <v>1.1812500000000001</v>
      </c>
      <c r="P221" s="105">
        <f>(Yield_Originals!$H221*Yield_Originals!P$1)/Yield_Originals!$K221</f>
        <v>1.2150000000000001</v>
      </c>
      <c r="Q221" s="105">
        <f>(Yield_Originals!$H221*Yield_Originals!Q$1)/Yield_Originals!$K221</f>
        <v>1.2487500000000002</v>
      </c>
      <c r="R221" s="105"/>
      <c r="S221" s="105"/>
      <c r="T221" s="107"/>
      <c r="U221" s="107"/>
      <c r="V221" s="107"/>
      <c r="W221" s="107"/>
      <c r="X221" s="108"/>
      <c r="Y221" s="108"/>
      <c r="Z221" s="108"/>
      <c r="AA221" s="108"/>
      <c r="AB221" s="108"/>
    </row>
    <row r="222" spans="1:28" hidden="1" x14ac:dyDescent="0.25">
      <c r="A222" s="70" t="s">
        <v>1177</v>
      </c>
      <c r="B222" s="70" t="s">
        <v>1376</v>
      </c>
      <c r="C222" t="s">
        <v>1047</v>
      </c>
      <c r="D222" t="s">
        <v>1180</v>
      </c>
      <c r="E222" s="70">
        <v>1</v>
      </c>
      <c r="F222" s="110">
        <f>Yield_Originals!G222</f>
        <v>0.9</v>
      </c>
      <c r="G222" s="110">
        <v>0.9</v>
      </c>
      <c r="H222" s="110">
        <v>0.9</v>
      </c>
      <c r="I222" s="110">
        <v>0.9</v>
      </c>
      <c r="J222" s="110">
        <v>0.9</v>
      </c>
      <c r="K222" s="103">
        <v>1</v>
      </c>
      <c r="L222" s="104">
        <f>(Yield_Originals!$G222*Yield_Originals!L$1)/Yield_Originals!$K222</f>
        <v>1.0800000000000003</v>
      </c>
      <c r="M222" s="104">
        <f>(Yield_Originals!$G222*Yield_Originals!M$1)/Yield_Originals!$K222</f>
        <v>1.11375</v>
      </c>
      <c r="N222" s="104">
        <f>(Yield_Originals!$G222*Yield_Originals!N$1)/Yield_Originals!$K222</f>
        <v>1.1475000000000002</v>
      </c>
      <c r="O222" s="104">
        <f>(Yield_Originals!$G222*Yield_Originals!O$1)/Yield_Originals!$K222</f>
        <v>1.1812500000000001</v>
      </c>
      <c r="P222" s="105">
        <f>(Yield_Originals!$H222*Yield_Originals!P$1)/Yield_Originals!$K222</f>
        <v>1.2150000000000001</v>
      </c>
      <c r="Q222" s="105">
        <f>(Yield_Originals!$H222*Yield_Originals!Q$1)/Yield_Originals!$K222</f>
        <v>1.2487500000000002</v>
      </c>
      <c r="R222" s="105"/>
      <c r="S222" s="105"/>
      <c r="T222" s="107"/>
      <c r="U222" s="107"/>
      <c r="V222" s="107"/>
      <c r="W222" s="107"/>
      <c r="X222" s="108"/>
      <c r="Y222" s="108"/>
      <c r="Z222" s="108"/>
      <c r="AA222" s="108"/>
      <c r="AB222" s="108"/>
    </row>
    <row r="223" spans="1:28" hidden="1" x14ac:dyDescent="0.25">
      <c r="A223" s="70" t="s">
        <v>1177</v>
      </c>
      <c r="B223" s="70" t="s">
        <v>1376</v>
      </c>
      <c r="C223" t="s">
        <v>411</v>
      </c>
      <c r="D223" t="s">
        <v>1191</v>
      </c>
      <c r="E223" s="70">
        <v>1</v>
      </c>
      <c r="F223" s="110">
        <f>Yield_Originals!G223</f>
        <v>0.9</v>
      </c>
      <c r="G223" s="110">
        <v>0.9</v>
      </c>
      <c r="H223" s="110">
        <v>0.9</v>
      </c>
      <c r="I223" s="110">
        <v>0.9</v>
      </c>
      <c r="J223" s="110">
        <v>0.9</v>
      </c>
      <c r="K223" s="103">
        <v>1</v>
      </c>
      <c r="L223" s="104">
        <f>(Yield_Originals!$G223*Yield_Originals!L$1)/Yield_Originals!$K223</f>
        <v>1.0800000000000003</v>
      </c>
      <c r="M223" s="104">
        <f>(Yield_Originals!$G223*Yield_Originals!M$1)/Yield_Originals!$K223</f>
        <v>1.11375</v>
      </c>
      <c r="N223" s="104">
        <f>(Yield_Originals!$G223*Yield_Originals!N$1)/Yield_Originals!$K223</f>
        <v>1.1475000000000002</v>
      </c>
      <c r="O223" s="104">
        <f>(Yield_Originals!$G223*Yield_Originals!O$1)/Yield_Originals!$K223</f>
        <v>1.1812500000000001</v>
      </c>
      <c r="P223" s="105">
        <f>(Yield_Originals!$H223*Yield_Originals!P$1)/Yield_Originals!$K223</f>
        <v>1.2150000000000001</v>
      </c>
      <c r="Q223" s="105">
        <f>(Yield_Originals!$H223*Yield_Originals!Q$1)/Yield_Originals!$K223</f>
        <v>1.2487500000000002</v>
      </c>
      <c r="R223" s="105"/>
      <c r="S223" s="105"/>
      <c r="T223" s="107"/>
      <c r="U223" s="107"/>
      <c r="V223" s="107"/>
      <c r="W223" s="107"/>
      <c r="X223" s="108"/>
      <c r="Y223" s="108"/>
      <c r="Z223" s="108"/>
      <c r="AA223" s="108"/>
      <c r="AB223" s="108"/>
    </row>
    <row r="224" spans="1:28" hidden="1" x14ac:dyDescent="0.25">
      <c r="A224" s="70" t="s">
        <v>1177</v>
      </c>
      <c r="B224" s="70" t="s">
        <v>1376</v>
      </c>
      <c r="C224" t="s">
        <v>1052</v>
      </c>
      <c r="D224" t="s">
        <v>1191</v>
      </c>
      <c r="E224" s="70">
        <v>1</v>
      </c>
      <c r="F224" s="110">
        <f>Yield_Originals!G224</f>
        <v>0.9</v>
      </c>
      <c r="G224" s="110">
        <v>0.9</v>
      </c>
      <c r="H224" s="110">
        <v>0.9</v>
      </c>
      <c r="I224" s="110">
        <v>0.9</v>
      </c>
      <c r="J224" s="110">
        <v>0.9</v>
      </c>
      <c r="K224" s="103">
        <v>1</v>
      </c>
      <c r="L224" s="104">
        <f>(Yield_Originals!$G224*Yield_Originals!L$1)/Yield_Originals!$K224</f>
        <v>1.0800000000000003</v>
      </c>
      <c r="M224" s="104">
        <f>(Yield_Originals!$G224*Yield_Originals!M$1)/Yield_Originals!$K224</f>
        <v>1.11375</v>
      </c>
      <c r="N224" s="104">
        <f>(Yield_Originals!$G224*Yield_Originals!N$1)/Yield_Originals!$K224</f>
        <v>1.1475000000000002</v>
      </c>
      <c r="O224" s="104">
        <f>(Yield_Originals!$G224*Yield_Originals!O$1)/Yield_Originals!$K224</f>
        <v>1.1812500000000001</v>
      </c>
      <c r="P224" s="105">
        <f>(Yield_Originals!$H224*Yield_Originals!P$1)/Yield_Originals!$K224</f>
        <v>1.2150000000000001</v>
      </c>
      <c r="Q224" s="105">
        <f>(Yield_Originals!$H224*Yield_Originals!Q$1)/Yield_Originals!$K224</f>
        <v>1.2487500000000002</v>
      </c>
      <c r="R224" s="105"/>
      <c r="S224" s="105"/>
      <c r="T224" s="107"/>
      <c r="U224" s="107"/>
      <c r="V224" s="107"/>
      <c r="W224" s="107"/>
      <c r="X224" s="108"/>
      <c r="Y224" s="108"/>
      <c r="Z224" s="108"/>
      <c r="AA224" s="108"/>
      <c r="AB224" s="108"/>
    </row>
    <row r="225" spans="1:28" hidden="1" x14ac:dyDescent="0.25">
      <c r="A225" s="70" t="s">
        <v>1177</v>
      </c>
      <c r="B225" s="70" t="s">
        <v>1376</v>
      </c>
      <c r="C225" t="s">
        <v>1056</v>
      </c>
      <c r="D225" t="s">
        <v>1208</v>
      </c>
      <c r="E225" s="70">
        <v>1</v>
      </c>
      <c r="F225" s="110">
        <f>Yield_Originals!G225</f>
        <v>0.9</v>
      </c>
      <c r="G225" s="110">
        <v>0.9</v>
      </c>
      <c r="H225" s="110">
        <v>0.9</v>
      </c>
      <c r="I225" s="110">
        <v>0.9</v>
      </c>
      <c r="J225" s="110">
        <v>0.9</v>
      </c>
      <c r="K225" s="103">
        <v>1</v>
      </c>
      <c r="L225" s="104"/>
      <c r="M225" s="104"/>
      <c r="N225" s="104"/>
      <c r="O225" s="104">
        <f>(Yield_Originals!$G225*Yield_Originals!O$1)/Yield_Originals!$K225</f>
        <v>1.1812500000000001</v>
      </c>
      <c r="P225" s="105">
        <f>(Yield_Originals!$H225*Yield_Originals!P$1)/Yield_Originals!$K225</f>
        <v>1.2150000000000001</v>
      </c>
      <c r="Q225" s="105">
        <f>(Yield_Originals!$H225*Yield_Originals!Q$1)/Yield_Originals!$K225</f>
        <v>1.2487500000000002</v>
      </c>
      <c r="R225" s="105">
        <f>(Yield_Originals!$H225*Yield_Originals!R$1)/Yield_Originals!$K225</f>
        <v>1.2825000000000002</v>
      </c>
      <c r="S225" s="105"/>
      <c r="T225" s="107"/>
      <c r="U225" s="107"/>
      <c r="V225" s="107"/>
      <c r="W225" s="107"/>
      <c r="X225" s="108"/>
      <c r="Y225" s="108"/>
      <c r="Z225" s="108"/>
      <c r="AA225" s="108"/>
      <c r="AB225" s="108"/>
    </row>
    <row r="226" spans="1:28" hidden="1" x14ac:dyDescent="0.25">
      <c r="A226" s="70" t="s">
        <v>1177</v>
      </c>
      <c r="B226" s="70" t="s">
        <v>1376</v>
      </c>
      <c r="C226" t="s">
        <v>248</v>
      </c>
      <c r="D226" t="s">
        <v>1182</v>
      </c>
      <c r="E226" s="70">
        <v>1</v>
      </c>
      <c r="F226" s="110">
        <f>Yield_Originals!G226</f>
        <v>0.9</v>
      </c>
      <c r="G226" s="110">
        <v>0.9</v>
      </c>
      <c r="H226" s="110">
        <v>0.9</v>
      </c>
      <c r="I226" s="110">
        <v>0.9</v>
      </c>
      <c r="J226" s="110">
        <v>0.9</v>
      </c>
      <c r="K226" s="103">
        <v>1</v>
      </c>
      <c r="L226" s="104">
        <f>(Yield_Originals!$G226*Yield_Originals!L$1)/Yield_Originals!$K226</f>
        <v>1.0800000000000003</v>
      </c>
      <c r="M226" s="104">
        <f>(Yield_Originals!$G226*Yield_Originals!M$1)/Yield_Originals!$K226</f>
        <v>1.11375</v>
      </c>
      <c r="N226" s="104">
        <f>(Yield_Originals!$G226*Yield_Originals!N$1)/Yield_Originals!$K226</f>
        <v>1.1475000000000002</v>
      </c>
      <c r="O226" s="104">
        <f>(Yield_Originals!$G226*Yield_Originals!O$1)/Yield_Originals!$K226</f>
        <v>1.1812500000000001</v>
      </c>
      <c r="P226" s="105">
        <f>(Yield_Originals!$H226*Yield_Originals!P$1)/Yield_Originals!$K226</f>
        <v>1.2150000000000001</v>
      </c>
      <c r="Q226" s="105">
        <f>(Yield_Originals!$H226*Yield_Originals!Q$1)/Yield_Originals!$K226</f>
        <v>1.2487500000000002</v>
      </c>
      <c r="R226" s="105"/>
      <c r="S226" s="105"/>
      <c r="T226" s="107"/>
      <c r="U226" s="107"/>
      <c r="V226" s="107"/>
      <c r="W226" s="107"/>
      <c r="X226" s="108"/>
      <c r="Y226" s="108"/>
      <c r="Z226" s="108"/>
      <c r="AA226" s="108"/>
      <c r="AB226" s="108"/>
    </row>
    <row r="227" spans="1:28" hidden="1" x14ac:dyDescent="0.25">
      <c r="A227" s="70" t="s">
        <v>1177</v>
      </c>
      <c r="B227" s="70" t="s">
        <v>1376</v>
      </c>
      <c r="C227" t="s">
        <v>416</v>
      </c>
      <c r="D227" t="s">
        <v>1191</v>
      </c>
      <c r="E227" s="70">
        <v>1</v>
      </c>
      <c r="F227" s="110">
        <f>Yield_Originals!G227</f>
        <v>0.9</v>
      </c>
      <c r="G227" s="110">
        <v>0.9</v>
      </c>
      <c r="H227" s="110">
        <v>0.9</v>
      </c>
      <c r="I227" s="110">
        <v>0.9</v>
      </c>
      <c r="J227" s="110">
        <v>0.9</v>
      </c>
      <c r="K227" s="103">
        <v>1</v>
      </c>
      <c r="L227" s="104">
        <f>(Yield_Originals!$G227*Yield_Originals!L$1)/Yield_Originals!$K227</f>
        <v>1.0800000000000003</v>
      </c>
      <c r="M227" s="104">
        <f>(Yield_Originals!$G227*Yield_Originals!M$1)/Yield_Originals!$K227</f>
        <v>1.11375</v>
      </c>
      <c r="N227" s="104">
        <f>(Yield_Originals!$G227*Yield_Originals!N$1)/Yield_Originals!$K227</f>
        <v>1.1475000000000002</v>
      </c>
      <c r="O227" s="104">
        <f>(Yield_Originals!$G227*Yield_Originals!O$1)/Yield_Originals!$K227</f>
        <v>1.1812500000000001</v>
      </c>
      <c r="P227" s="105">
        <f>(Yield_Originals!$H227*Yield_Originals!P$1)/Yield_Originals!$K227</f>
        <v>1.2150000000000001</v>
      </c>
      <c r="Q227" s="105">
        <f>(Yield_Originals!$H227*Yield_Originals!Q$1)/Yield_Originals!$K227</f>
        <v>1.2487500000000002</v>
      </c>
      <c r="R227" s="105"/>
      <c r="S227" s="105"/>
      <c r="T227" s="107"/>
      <c r="U227" s="107"/>
      <c r="V227" s="107"/>
      <c r="W227" s="107"/>
      <c r="X227" s="108"/>
      <c r="Y227" s="108"/>
      <c r="Z227" s="108"/>
      <c r="AA227" s="108"/>
      <c r="AB227" s="108"/>
    </row>
    <row r="228" spans="1:28" hidden="1" x14ac:dyDescent="0.25">
      <c r="A228" s="70" t="s">
        <v>1177</v>
      </c>
      <c r="B228" s="70" t="s">
        <v>1376</v>
      </c>
      <c r="C228" t="s">
        <v>1063</v>
      </c>
      <c r="D228" t="s">
        <v>1191</v>
      </c>
      <c r="E228" s="70">
        <v>1</v>
      </c>
      <c r="F228" s="110">
        <f>Yield_Originals!G228</f>
        <v>0.9</v>
      </c>
      <c r="G228" s="110">
        <v>0.9</v>
      </c>
      <c r="H228" s="110">
        <v>0.9</v>
      </c>
      <c r="I228" s="110">
        <v>0.9</v>
      </c>
      <c r="J228" s="110">
        <v>0.9</v>
      </c>
      <c r="K228" s="103">
        <v>1</v>
      </c>
      <c r="L228" s="104">
        <f>(Yield_Originals!$G228*Yield_Originals!L$1)/Yield_Originals!$K228</f>
        <v>1.0800000000000003</v>
      </c>
      <c r="M228" s="104">
        <f>(Yield_Originals!$G228*Yield_Originals!M$1)/Yield_Originals!$K228</f>
        <v>1.11375</v>
      </c>
      <c r="N228" s="104">
        <f>(Yield_Originals!$G228*Yield_Originals!N$1)/Yield_Originals!$K228</f>
        <v>1.1475000000000002</v>
      </c>
      <c r="O228" s="104">
        <f>(Yield_Originals!$G228*Yield_Originals!O$1)/Yield_Originals!$K228</f>
        <v>1.1812500000000001</v>
      </c>
      <c r="P228" s="105">
        <f>(Yield_Originals!$H228*Yield_Originals!P$1)/Yield_Originals!$K228</f>
        <v>1.2150000000000001</v>
      </c>
      <c r="Q228" s="105">
        <f>(Yield_Originals!$H228*Yield_Originals!Q$1)/Yield_Originals!$K228</f>
        <v>1.2487500000000002</v>
      </c>
      <c r="R228" s="105"/>
      <c r="S228" s="105"/>
      <c r="T228" s="107"/>
      <c r="U228" s="107"/>
      <c r="V228" s="107"/>
      <c r="W228" s="107"/>
      <c r="X228" s="108"/>
      <c r="Y228" s="108"/>
      <c r="Z228" s="108"/>
      <c r="AA228" s="108"/>
      <c r="AB228" s="108"/>
    </row>
    <row r="229" spans="1:28" hidden="1" x14ac:dyDescent="0.25">
      <c r="A229" s="70" t="s">
        <v>1177</v>
      </c>
      <c r="B229" s="70" t="s">
        <v>1376</v>
      </c>
      <c r="C229" t="s">
        <v>418</v>
      </c>
      <c r="D229" t="s">
        <v>1204</v>
      </c>
      <c r="E229" s="70">
        <v>1</v>
      </c>
      <c r="F229" s="110">
        <f>Yield_Originals!G229</f>
        <v>0.9</v>
      </c>
      <c r="G229" s="110">
        <v>0.9</v>
      </c>
      <c r="H229" s="110">
        <v>0.9</v>
      </c>
      <c r="I229" s="110">
        <v>0.9</v>
      </c>
      <c r="J229" s="110">
        <v>0.9</v>
      </c>
      <c r="K229" s="103">
        <v>1</v>
      </c>
      <c r="L229" s="104">
        <f>(Yield_Originals!$G229*Yield_Originals!L$1)/Yield_Originals!$K229</f>
        <v>1.0800000000000003</v>
      </c>
      <c r="M229" s="104">
        <f>(Yield_Originals!$G229*Yield_Originals!M$1)/Yield_Originals!$K229</f>
        <v>1.11375</v>
      </c>
      <c r="N229" s="104">
        <f>(Yield_Originals!$G229*Yield_Originals!N$1)/Yield_Originals!$K229</f>
        <v>1.1475000000000002</v>
      </c>
      <c r="O229" s="104">
        <f>(Yield_Originals!$G229*Yield_Originals!O$1)/Yield_Originals!$K229</f>
        <v>1.1812500000000001</v>
      </c>
      <c r="P229" s="105">
        <f>(Yield_Originals!$H229*Yield_Originals!P$1)/Yield_Originals!$K229</f>
        <v>1.2150000000000001</v>
      </c>
      <c r="Q229" s="105">
        <f>(Yield_Originals!$H229*Yield_Originals!Q$1)/Yield_Originals!$K229</f>
        <v>1.2487500000000002</v>
      </c>
      <c r="R229" s="105"/>
      <c r="S229" s="105"/>
      <c r="T229" s="107"/>
      <c r="U229" s="107"/>
      <c r="V229" s="107"/>
      <c r="W229" s="107"/>
      <c r="X229" s="108"/>
      <c r="Y229" s="108"/>
      <c r="Z229" s="108"/>
      <c r="AA229" s="108"/>
      <c r="AB229" s="108"/>
    </row>
    <row r="230" spans="1:28" hidden="1" x14ac:dyDescent="0.25">
      <c r="A230" s="70" t="s">
        <v>1177</v>
      </c>
      <c r="B230" s="70" t="s">
        <v>1376</v>
      </c>
      <c r="C230" t="s">
        <v>1068</v>
      </c>
      <c r="D230" t="s">
        <v>1206</v>
      </c>
      <c r="E230" s="70">
        <v>1</v>
      </c>
      <c r="F230" s="110">
        <f>Yield_Originals!G230</f>
        <v>0.9</v>
      </c>
      <c r="G230" s="110">
        <v>0.9</v>
      </c>
      <c r="H230" s="110">
        <v>0.9</v>
      </c>
      <c r="I230" s="110">
        <v>0.9</v>
      </c>
      <c r="J230" s="110">
        <v>0.9</v>
      </c>
      <c r="K230" s="103">
        <v>1</v>
      </c>
      <c r="L230" s="104">
        <f>(Yield_Originals!$G230*Yield_Originals!L$1)/Yield_Originals!$K230</f>
        <v>1.0800000000000003</v>
      </c>
      <c r="M230" s="104">
        <f>(Yield_Originals!$G230*Yield_Originals!M$1)/Yield_Originals!$K230</f>
        <v>1.11375</v>
      </c>
      <c r="N230" s="104">
        <f>(Yield_Originals!$G230*Yield_Originals!N$1)/Yield_Originals!$K230</f>
        <v>1.1475000000000002</v>
      </c>
      <c r="O230" s="104">
        <f>(Yield_Originals!$G230*Yield_Originals!O$1)/Yield_Originals!$K230</f>
        <v>1.1812500000000001</v>
      </c>
      <c r="P230" s="105">
        <f>(Yield_Originals!$H230*Yield_Originals!P$1)/Yield_Originals!$K230</f>
        <v>1.2150000000000001</v>
      </c>
      <c r="Q230" s="105">
        <f>(Yield_Originals!$H230*Yield_Originals!Q$1)/Yield_Originals!$K230</f>
        <v>1.2487500000000002</v>
      </c>
      <c r="R230" s="105"/>
      <c r="S230" s="105"/>
      <c r="T230" s="107"/>
      <c r="U230" s="107"/>
      <c r="V230" s="107"/>
      <c r="W230" s="107"/>
      <c r="X230" s="108"/>
      <c r="Y230" s="108"/>
      <c r="Z230" s="108"/>
      <c r="AA230" s="108"/>
      <c r="AB230" s="108"/>
    </row>
    <row r="231" spans="1:28" hidden="1" x14ac:dyDescent="0.25">
      <c r="A231" s="70" t="s">
        <v>1177</v>
      </c>
      <c r="B231" s="70" t="s">
        <v>1376</v>
      </c>
      <c r="C231" t="s">
        <v>136</v>
      </c>
      <c r="D231" t="s">
        <v>1187</v>
      </c>
      <c r="E231" s="70">
        <v>1</v>
      </c>
      <c r="F231" s="110">
        <f>Yield_Originals!G231</f>
        <v>0.9</v>
      </c>
      <c r="G231" s="110">
        <v>0.9</v>
      </c>
      <c r="H231" s="110">
        <v>0.9</v>
      </c>
      <c r="I231" s="110">
        <v>0.9</v>
      </c>
      <c r="J231" s="110">
        <v>0.9</v>
      </c>
      <c r="K231" s="103">
        <v>1</v>
      </c>
      <c r="L231" s="104"/>
      <c r="M231" s="104"/>
      <c r="N231" s="104"/>
      <c r="O231" s="104"/>
      <c r="P231" s="105">
        <f>(Yield_Originals!$H231*Yield_Originals!P$1)/Yield_Originals!$K231</f>
        <v>1.2150000000000001</v>
      </c>
      <c r="Q231" s="105">
        <f>(Yield_Originals!$H231*Yield_Originals!Q$1)/Yield_Originals!$K231</f>
        <v>1.2487500000000002</v>
      </c>
      <c r="R231" s="105">
        <f>(Yield_Originals!$H231*Yield_Originals!R$1)/Yield_Originals!$K231</f>
        <v>1.2825000000000002</v>
      </c>
      <c r="S231" s="105">
        <f>(Yield_Originals!$H231*Yield_Originals!S$1)/Yield_Originals!$K231</f>
        <v>1.3162500000000004</v>
      </c>
      <c r="T231" s="107">
        <f>(Yield_Originals!$I231*Yield_Originals!T$1)/Yield_Originals!$K231</f>
        <v>1.3500000000000005</v>
      </c>
      <c r="U231" s="107">
        <f>(Yield_Originals!$I231*Yield_Originals!U$1)/Yield_Originals!$K231</f>
        <v>1.38375</v>
      </c>
      <c r="V231" s="107">
        <f>(Yield_Originals!$I231*Yield_Originals!V$1)/Yield_Originals!$K231</f>
        <v>1.4175000000000002</v>
      </c>
      <c r="W231" s="107">
        <f>(Yield_Originals!$I231*Yield_Originals!W$1)/Yield_Originals!$K231</f>
        <v>1.4512499999999999</v>
      </c>
      <c r="X231" s="108"/>
      <c r="Y231" s="108"/>
      <c r="Z231" s="108"/>
      <c r="AA231" s="108"/>
      <c r="AB231" s="108"/>
    </row>
    <row r="232" spans="1:28" hidden="1" x14ac:dyDescent="0.25">
      <c r="A232" s="70" t="s">
        <v>1177</v>
      </c>
      <c r="B232" s="70" t="s">
        <v>1376</v>
      </c>
      <c r="C232" t="s">
        <v>250</v>
      </c>
      <c r="D232" t="s">
        <v>1187</v>
      </c>
      <c r="E232" s="70">
        <v>1</v>
      </c>
      <c r="F232" s="110">
        <f>Yield_Originals!G232</f>
        <v>0.9</v>
      </c>
      <c r="G232" s="110">
        <v>0.9</v>
      </c>
      <c r="H232" s="110">
        <v>0.9</v>
      </c>
      <c r="I232" s="110">
        <v>0.9</v>
      </c>
      <c r="J232" s="110">
        <v>0.9</v>
      </c>
      <c r="K232" s="103">
        <v>1</v>
      </c>
      <c r="L232" s="104"/>
      <c r="M232" s="104"/>
      <c r="N232" s="104"/>
      <c r="O232" s="104"/>
      <c r="P232" s="105">
        <f>(Yield_Originals!$H232*Yield_Originals!P$1)/Yield_Originals!$K232</f>
        <v>1.2150000000000001</v>
      </c>
      <c r="Q232" s="105">
        <f>(Yield_Originals!$H232*Yield_Originals!Q$1)/Yield_Originals!$K232</f>
        <v>1.2487500000000002</v>
      </c>
      <c r="R232" s="105">
        <f>(Yield_Originals!$H232*Yield_Originals!R$1)/Yield_Originals!$K232</f>
        <v>1.2825000000000002</v>
      </c>
      <c r="S232" s="105">
        <f>(Yield_Originals!$H232*Yield_Originals!S$1)/Yield_Originals!$K232</f>
        <v>1.3162500000000004</v>
      </c>
      <c r="T232" s="107">
        <f>(Yield_Originals!$I232*Yield_Originals!T$1)/Yield_Originals!$K232</f>
        <v>1.3500000000000005</v>
      </c>
      <c r="U232" s="107">
        <f>(Yield_Originals!$I232*Yield_Originals!U$1)/Yield_Originals!$K232</f>
        <v>1.38375</v>
      </c>
      <c r="V232" s="107">
        <f>(Yield_Originals!$I232*Yield_Originals!V$1)/Yield_Originals!$K232</f>
        <v>1.4175000000000002</v>
      </c>
      <c r="W232" s="107">
        <f>(Yield_Originals!$I232*Yield_Originals!W$1)/Yield_Originals!$K232</f>
        <v>1.4512499999999999</v>
      </c>
      <c r="X232" s="108"/>
      <c r="Y232" s="108"/>
      <c r="Z232" s="108"/>
      <c r="AA232" s="108"/>
      <c r="AB232" s="108"/>
    </row>
    <row r="233" spans="1:28" x14ac:dyDescent="0.25">
      <c r="A233" s="70" t="s">
        <v>1262</v>
      </c>
      <c r="B233" s="70">
        <v>2</v>
      </c>
      <c r="C233" s="99" t="s">
        <v>421</v>
      </c>
      <c r="D233" s="99" t="s">
        <v>1269</v>
      </c>
      <c r="E233" s="100">
        <v>23</v>
      </c>
      <c r="F233" s="110">
        <f>Yield_Originals!G233</f>
        <v>0.41</v>
      </c>
      <c r="G233" s="102">
        <v>0.41</v>
      </c>
      <c r="H233" s="102">
        <v>0.41</v>
      </c>
      <c r="I233" s="102">
        <v>0.41</v>
      </c>
      <c r="J233" s="102">
        <v>0.41</v>
      </c>
      <c r="K233" s="103">
        <v>1</v>
      </c>
      <c r="L233" s="104">
        <f>(Yield_Originals!$G233*Yield_Originals!L$1)/Yield_Originals!$K233</f>
        <v>0.49200000000000005</v>
      </c>
      <c r="M233" s="104">
        <f>(Yield_Originals!$G233*Yield_Originals!M$1)/Yield_Originals!$K233</f>
        <v>0.50737500000000002</v>
      </c>
      <c r="N233" s="104">
        <f>(Yield_Originals!$G233*Yield_Originals!N$1)/Yield_Originals!$K233</f>
        <v>0.52275000000000005</v>
      </c>
      <c r="O233" s="104">
        <f>(Yield_Originals!$G233*Yield_Originals!O$1)/Yield_Originals!$K233</f>
        <v>0.53812500000000008</v>
      </c>
      <c r="P233" s="105">
        <f>(Yield_Originals!$H233*Yield_Originals!P$1)/Yield_Originals!$K233</f>
        <v>0.55349999999999999</v>
      </c>
      <c r="Q233" s="105">
        <f>(Yield_Originals!$H233*Yield_Originals!Q$1)/Yield_Originals!$K233</f>
        <v>0.56887500000000002</v>
      </c>
      <c r="R233" s="105">
        <f>(Yield_Originals!$H233*Yield_Originals!R$1)/Yield_Originals!$K233</f>
        <v>0.58425000000000005</v>
      </c>
      <c r="S233" s="105">
        <f>(Yield_Originals!$H233*Yield_Originals!S$1)/Yield_Originals!$K233</f>
        <v>0.59962500000000007</v>
      </c>
      <c r="T233" s="107">
        <f>(Yield_Originals!$I233*Yield_Originals!T$1)/Yield_Originals!$K233</f>
        <v>0.6150000000000001</v>
      </c>
      <c r="U233" s="107">
        <f>(Yield_Originals!$I233*Yield_Originals!U$1)/Yield_Originals!$K233</f>
        <v>0.63037500000000002</v>
      </c>
      <c r="V233" s="107">
        <f>(Yield_Originals!$I233*Yield_Originals!V$1)/Yield_Originals!$K233</f>
        <v>0.64575000000000005</v>
      </c>
      <c r="W233" s="107">
        <f>(Yield_Originals!$I233*Yield_Originals!W$1)/Yield_Originals!$K233</f>
        <v>0.66112499999999985</v>
      </c>
      <c r="X233" s="108">
        <f>(Yield_Originals!$I233*Yield_Originals!X$1)/Yield_Originals!$K233</f>
        <v>0.67649999999999988</v>
      </c>
      <c r="Y233" s="108">
        <f>(Yield_Originals!$I233*Yield_Originals!Y$1)/Yield_Originals!$K233</f>
        <v>0.6918749999999998</v>
      </c>
      <c r="Z233"/>
      <c r="AA233"/>
      <c r="AB233"/>
    </row>
    <row r="234" spans="1:28" x14ac:dyDescent="0.25">
      <c r="A234" s="70" t="s">
        <v>1262</v>
      </c>
      <c r="B234" s="70">
        <v>2</v>
      </c>
      <c r="C234" s="99" t="s">
        <v>1077</v>
      </c>
      <c r="D234" s="99" t="s">
        <v>1269</v>
      </c>
      <c r="E234" s="100">
        <v>23</v>
      </c>
      <c r="F234" s="110">
        <f>Yield_Originals!G234</f>
        <v>0.41</v>
      </c>
      <c r="G234" s="102">
        <v>0.41</v>
      </c>
      <c r="H234" s="102">
        <v>0.41</v>
      </c>
      <c r="I234" s="102">
        <v>0.41</v>
      </c>
      <c r="J234" s="102">
        <v>0.41</v>
      </c>
      <c r="K234" s="103">
        <v>1</v>
      </c>
      <c r="L234" s="104">
        <f>(Yield_Originals!$G234*Yield_Originals!L$1)/Yield_Originals!$K234</f>
        <v>0.49200000000000005</v>
      </c>
      <c r="M234" s="104">
        <f>(Yield_Originals!$G234*Yield_Originals!M$1)/Yield_Originals!$K234</f>
        <v>0.50737500000000002</v>
      </c>
      <c r="N234" s="104">
        <f>(Yield_Originals!$G234*Yield_Originals!N$1)/Yield_Originals!$K234</f>
        <v>0.52275000000000005</v>
      </c>
      <c r="O234" s="104">
        <f>(Yield_Originals!$G234*Yield_Originals!O$1)/Yield_Originals!$K234</f>
        <v>0.53812500000000008</v>
      </c>
      <c r="P234" s="105">
        <f>(Yield_Originals!$H234*Yield_Originals!P$1)/Yield_Originals!$K234</f>
        <v>0.55349999999999999</v>
      </c>
      <c r="Q234" s="105">
        <f>(Yield_Originals!$H234*Yield_Originals!Q$1)/Yield_Originals!$K234</f>
        <v>0.56887500000000002</v>
      </c>
      <c r="R234" s="105">
        <f>(Yield_Originals!$H234*Yield_Originals!R$1)/Yield_Originals!$K234</f>
        <v>0.58425000000000005</v>
      </c>
      <c r="S234" s="105">
        <f>(Yield_Originals!$H234*Yield_Originals!S$1)/Yield_Originals!$K234</f>
        <v>0.59962500000000007</v>
      </c>
      <c r="T234" s="107">
        <f>(Yield_Originals!$I234*Yield_Originals!T$1)/Yield_Originals!$K234</f>
        <v>0.6150000000000001</v>
      </c>
      <c r="U234" s="107">
        <f>(Yield_Originals!$I234*Yield_Originals!U$1)/Yield_Originals!$K234</f>
        <v>0.63037500000000002</v>
      </c>
      <c r="V234" s="107">
        <f>(Yield_Originals!$I234*Yield_Originals!V$1)/Yield_Originals!$K234</f>
        <v>0.64575000000000005</v>
      </c>
      <c r="W234" s="107">
        <f>(Yield_Originals!$I234*Yield_Originals!W$1)/Yield_Originals!$K234</f>
        <v>0.66112499999999985</v>
      </c>
      <c r="X234" s="108">
        <f>(Yield_Originals!$I234*Yield_Originals!X$1)/Yield_Originals!$K234</f>
        <v>0.67649999999999988</v>
      </c>
      <c r="Y234" s="108">
        <f>(Yield_Originals!$I234*Yield_Originals!Y$1)/Yield_Originals!$K234</f>
        <v>0.6918749999999998</v>
      </c>
      <c r="Z234"/>
      <c r="AA234"/>
      <c r="AB234"/>
    </row>
    <row r="235" spans="1:28" x14ac:dyDescent="0.25">
      <c r="A235" s="70" t="s">
        <v>1262</v>
      </c>
      <c r="B235" s="70">
        <v>2</v>
      </c>
      <c r="C235" s="99" t="s">
        <v>137</v>
      </c>
      <c r="D235" s="99" t="s">
        <v>1261</v>
      </c>
      <c r="E235" s="100">
        <v>23</v>
      </c>
      <c r="F235" s="110">
        <f>Yield_Originals!G235</f>
        <v>0.41</v>
      </c>
      <c r="G235" s="102">
        <v>0.41</v>
      </c>
      <c r="H235" s="102">
        <v>0.41</v>
      </c>
      <c r="I235" s="102">
        <v>0.41</v>
      </c>
      <c r="J235" s="102">
        <v>0.41</v>
      </c>
      <c r="K235" s="103">
        <v>1</v>
      </c>
      <c r="L235" s="104">
        <f>(Yield_Originals!$G235*Yield_Originals!L$1)/Yield_Originals!$K235</f>
        <v>0.49200000000000005</v>
      </c>
      <c r="M235" s="104">
        <f>(Yield_Originals!$G235*Yield_Originals!M$1)/Yield_Originals!$K235</f>
        <v>0.50737500000000002</v>
      </c>
      <c r="N235" s="104">
        <f>(Yield_Originals!$G235*Yield_Originals!N$1)/Yield_Originals!$K235</f>
        <v>0.52275000000000005</v>
      </c>
      <c r="O235" s="104">
        <f>(Yield_Originals!$G235*Yield_Originals!O$1)/Yield_Originals!$K235</f>
        <v>0.53812500000000008</v>
      </c>
      <c r="P235" s="105">
        <f>(Yield_Originals!$H235*Yield_Originals!P$1)/Yield_Originals!$K235</f>
        <v>0.55349999999999999</v>
      </c>
      <c r="Q235" s="105">
        <f>(Yield_Originals!$H235*Yield_Originals!Q$1)/Yield_Originals!$K235</f>
        <v>0.56887500000000002</v>
      </c>
      <c r="R235" s="105">
        <f>(Yield_Originals!$H235*Yield_Originals!R$1)/Yield_Originals!$K235</f>
        <v>0.58425000000000005</v>
      </c>
      <c r="S235" s="105">
        <f>(Yield_Originals!$H235*Yield_Originals!S$1)/Yield_Originals!$K235</f>
        <v>0.59962500000000007</v>
      </c>
      <c r="T235" s="107">
        <f>(Yield_Originals!$I235*Yield_Originals!T$1)/Yield_Originals!$K235</f>
        <v>0.6150000000000001</v>
      </c>
      <c r="U235" s="107">
        <f>(Yield_Originals!$I235*Yield_Originals!U$1)/Yield_Originals!$K235</f>
        <v>0.63037500000000002</v>
      </c>
      <c r="V235" s="107">
        <f>(Yield_Originals!$I235*Yield_Originals!V$1)/Yield_Originals!$K235</f>
        <v>0.64575000000000005</v>
      </c>
      <c r="W235" s="107">
        <f>(Yield_Originals!$I235*Yield_Originals!W$1)/Yield_Originals!$K235</f>
        <v>0.66112499999999985</v>
      </c>
      <c r="X235" s="108">
        <f>(Yield_Originals!$I235*Yield_Originals!X$1)/Yield_Originals!$K235</f>
        <v>0.67649999999999988</v>
      </c>
      <c r="Y235" s="108">
        <f>(Yield_Originals!$I235*Yield_Originals!Y$1)/Yield_Originals!$K235</f>
        <v>0.6918749999999998</v>
      </c>
      <c r="Z235"/>
      <c r="AA235"/>
      <c r="AB235"/>
    </row>
    <row r="236" spans="1:28" x14ac:dyDescent="0.25">
      <c r="A236" s="70" t="s">
        <v>1262</v>
      </c>
      <c r="B236" s="70">
        <v>2</v>
      </c>
      <c r="C236" s="99" t="s">
        <v>251</v>
      </c>
      <c r="D236" s="99" t="s">
        <v>1261</v>
      </c>
      <c r="E236" s="100">
        <v>23</v>
      </c>
      <c r="F236" s="110">
        <f>Yield_Originals!G236</f>
        <v>0.41</v>
      </c>
      <c r="G236" s="102">
        <v>0.41</v>
      </c>
      <c r="H236" s="102">
        <v>0.41</v>
      </c>
      <c r="I236" s="102">
        <v>0.41</v>
      </c>
      <c r="J236" s="102">
        <v>0.41</v>
      </c>
      <c r="K236" s="103">
        <v>1</v>
      </c>
      <c r="L236" s="104">
        <f>(Yield_Originals!$G236*Yield_Originals!L$1)/Yield_Originals!$K236</f>
        <v>0.49200000000000005</v>
      </c>
      <c r="M236" s="104">
        <f>(Yield_Originals!$G236*Yield_Originals!M$1)/Yield_Originals!$K236</f>
        <v>0.50737500000000002</v>
      </c>
      <c r="N236" s="104">
        <f>(Yield_Originals!$G236*Yield_Originals!N$1)/Yield_Originals!$K236</f>
        <v>0.52275000000000005</v>
      </c>
      <c r="O236" s="104">
        <f>(Yield_Originals!$G236*Yield_Originals!O$1)/Yield_Originals!$K236</f>
        <v>0.53812500000000008</v>
      </c>
      <c r="P236" s="105">
        <f>(Yield_Originals!$H236*Yield_Originals!P$1)/Yield_Originals!$K236</f>
        <v>0.55349999999999999</v>
      </c>
      <c r="Q236" s="105">
        <f>(Yield_Originals!$H236*Yield_Originals!Q$1)/Yield_Originals!$K236</f>
        <v>0.56887500000000002</v>
      </c>
      <c r="R236" s="105">
        <f>(Yield_Originals!$H236*Yield_Originals!R$1)/Yield_Originals!$K236</f>
        <v>0.58425000000000005</v>
      </c>
      <c r="S236" s="105">
        <f>(Yield_Originals!$H236*Yield_Originals!S$1)/Yield_Originals!$K236</f>
        <v>0.59962500000000007</v>
      </c>
      <c r="T236" s="107">
        <f>(Yield_Originals!$I236*Yield_Originals!T$1)/Yield_Originals!$K236</f>
        <v>0.6150000000000001</v>
      </c>
      <c r="U236" s="107">
        <f>(Yield_Originals!$I236*Yield_Originals!U$1)/Yield_Originals!$K236</f>
        <v>0.63037500000000002</v>
      </c>
      <c r="V236" s="107">
        <f>(Yield_Originals!$I236*Yield_Originals!V$1)/Yield_Originals!$K236</f>
        <v>0.64575000000000005</v>
      </c>
      <c r="W236" s="107">
        <f>(Yield_Originals!$I236*Yield_Originals!W$1)/Yield_Originals!$K236</f>
        <v>0.66112499999999985</v>
      </c>
      <c r="X236" s="108">
        <f>(Yield_Originals!$I236*Yield_Originals!X$1)/Yield_Originals!$K236</f>
        <v>0.67649999999999988</v>
      </c>
      <c r="Y236" s="108">
        <f>(Yield_Originals!$I236*Yield_Originals!Y$1)/Yield_Originals!$K236</f>
        <v>0.6918749999999998</v>
      </c>
      <c r="Z236"/>
      <c r="AA236"/>
      <c r="AB236"/>
    </row>
    <row r="237" spans="1:28" x14ac:dyDescent="0.25">
      <c r="A237" s="70" t="s">
        <v>1262</v>
      </c>
      <c r="B237" s="70">
        <v>2</v>
      </c>
      <c r="C237" s="99" t="s">
        <v>1085</v>
      </c>
      <c r="D237" s="99" t="s">
        <v>1266</v>
      </c>
      <c r="E237" s="100">
        <v>23</v>
      </c>
      <c r="F237" s="110">
        <f>Yield_Originals!G237</f>
        <v>0.41</v>
      </c>
      <c r="G237" s="102">
        <v>0.41</v>
      </c>
      <c r="H237" s="102">
        <v>0.41</v>
      </c>
      <c r="I237" s="102">
        <v>0.41</v>
      </c>
      <c r="J237" s="102">
        <v>0.41</v>
      </c>
      <c r="K237" s="103">
        <v>1</v>
      </c>
      <c r="L237" s="104">
        <f>(Yield_Originals!$G237*Yield_Originals!L$1)/Yield_Originals!$K237</f>
        <v>0.49200000000000005</v>
      </c>
      <c r="M237" s="104">
        <f>(Yield_Originals!$G237*Yield_Originals!M$1)/Yield_Originals!$K237</f>
        <v>0.50737500000000002</v>
      </c>
      <c r="N237" s="104">
        <f>(Yield_Originals!$G237*Yield_Originals!N$1)/Yield_Originals!$K237</f>
        <v>0.52275000000000005</v>
      </c>
      <c r="O237" s="104">
        <f>(Yield_Originals!$G237*Yield_Originals!O$1)/Yield_Originals!$K237</f>
        <v>0.53812500000000008</v>
      </c>
      <c r="P237" s="105">
        <f>(Yield_Originals!$H237*Yield_Originals!P$1)/Yield_Originals!$K237</f>
        <v>0.55349999999999999</v>
      </c>
      <c r="Q237" s="105">
        <f>(Yield_Originals!$H237*Yield_Originals!Q$1)/Yield_Originals!$K237</f>
        <v>0.56887500000000002</v>
      </c>
      <c r="R237" s="105">
        <f>(Yield_Originals!$H237*Yield_Originals!R$1)/Yield_Originals!$K237</f>
        <v>0.58425000000000005</v>
      </c>
      <c r="S237" s="105">
        <f>(Yield_Originals!$H237*Yield_Originals!S$1)/Yield_Originals!$K237</f>
        <v>0.59962500000000007</v>
      </c>
      <c r="T237" s="107">
        <f>(Yield_Originals!$I237*Yield_Originals!T$1)/Yield_Originals!$K237</f>
        <v>0.6150000000000001</v>
      </c>
      <c r="U237" s="107">
        <f>(Yield_Originals!$I237*Yield_Originals!U$1)/Yield_Originals!$K237</f>
        <v>0.63037500000000002</v>
      </c>
      <c r="V237" s="107">
        <f>(Yield_Originals!$I237*Yield_Originals!V$1)/Yield_Originals!$K237</f>
        <v>0.64575000000000005</v>
      </c>
      <c r="W237" s="107">
        <f>(Yield_Originals!$I237*Yield_Originals!W$1)/Yield_Originals!$K237</f>
        <v>0.66112499999999985</v>
      </c>
      <c r="X237" s="108">
        <f>(Yield_Originals!$I237*Yield_Originals!X$1)/Yield_Originals!$K237</f>
        <v>0.67649999999999988</v>
      </c>
      <c r="Y237" s="108">
        <f>(Yield_Originals!$I237*Yield_Originals!Y$1)/Yield_Originals!$K237</f>
        <v>0.6918749999999998</v>
      </c>
      <c r="Z237"/>
      <c r="AA237"/>
      <c r="AB237"/>
    </row>
    <row r="238" spans="1:28" hidden="1" x14ac:dyDescent="0.25">
      <c r="A238" s="70" t="s">
        <v>1120</v>
      </c>
      <c r="B238" s="70" t="s">
        <v>1377</v>
      </c>
      <c r="C238" t="s">
        <v>1087</v>
      </c>
      <c r="D238" t="s">
        <v>1124</v>
      </c>
      <c r="E238" s="70">
        <v>3</v>
      </c>
      <c r="F238" s="110">
        <f>Yield_Originals!G238</f>
        <v>0.9</v>
      </c>
      <c r="G238" s="111">
        <v>0.9</v>
      </c>
      <c r="H238" s="111">
        <v>0.9</v>
      </c>
      <c r="I238" s="111">
        <v>0.9</v>
      </c>
      <c r="J238" s="111">
        <v>0.9</v>
      </c>
      <c r="K238" s="103">
        <v>1</v>
      </c>
      <c r="L238" s="104">
        <f>(Yield_Originals!$G238*Yield_Originals!L$1)/Yield_Originals!$K238</f>
        <v>1.0800000000000003</v>
      </c>
      <c r="M238" s="104">
        <f>(Yield_Originals!$G238*Yield_Originals!M$1)/Yield_Originals!$K238</f>
        <v>1.11375</v>
      </c>
      <c r="N238" s="104">
        <f>(Yield_Originals!$G238*Yield_Originals!N$1)/Yield_Originals!$K238</f>
        <v>1.1475000000000002</v>
      </c>
      <c r="O238" s="104">
        <f>(Yield_Originals!$G238*Yield_Originals!O$1)/Yield_Originals!$K238</f>
        <v>1.1812500000000001</v>
      </c>
      <c r="P238" s="105">
        <f>(Yield_Originals!$H238*Yield_Originals!P$1)/Yield_Originals!$K238</f>
        <v>1.2150000000000001</v>
      </c>
      <c r="Q238" s="105">
        <f>(Yield_Originals!$H238*Yield_Originals!Q$1)/Yield_Originals!$K238</f>
        <v>1.2487500000000002</v>
      </c>
      <c r="R238" s="105">
        <f>(Yield_Originals!$H238*Yield_Originals!R$1)/Yield_Originals!$K238</f>
        <v>1.2825000000000002</v>
      </c>
      <c r="S238" s="105">
        <f>(Yield_Originals!$H238*Yield_Originals!S$1)/Yield_Originals!$K238</f>
        <v>1.3162500000000004</v>
      </c>
      <c r="T238" s="107">
        <f>(Yield_Originals!$I238*Yield_Originals!T$1)/Yield_Originals!$K238</f>
        <v>1.3500000000000005</v>
      </c>
      <c r="U238" s="107">
        <f>(Yield_Originals!$I238*Yield_Originals!U$1)/Yield_Originals!$K238</f>
        <v>1.38375</v>
      </c>
      <c r="V238" s="107">
        <f>(Yield_Originals!$I238*Yield_Originals!V$1)/Yield_Originals!$K238</f>
        <v>1.4175000000000002</v>
      </c>
      <c r="W238" s="107">
        <f>(Yield_Originals!$I238*Yield_Originals!W$1)/Yield_Originals!$K238</f>
        <v>1.4512499999999999</v>
      </c>
      <c r="X238"/>
      <c r="Y238"/>
      <c r="Z238"/>
      <c r="AA238"/>
      <c r="AB238"/>
    </row>
    <row r="239" spans="1:28" hidden="1" x14ac:dyDescent="0.25">
      <c r="A239" s="70" t="s">
        <v>1120</v>
      </c>
      <c r="B239" s="70" t="s">
        <v>1376</v>
      </c>
      <c r="C239" t="s">
        <v>138</v>
      </c>
      <c r="D239" t="s">
        <v>1119</v>
      </c>
      <c r="E239" s="70">
        <v>3</v>
      </c>
      <c r="F239" s="110">
        <f>Yield_Originals!G239</f>
        <v>0.9</v>
      </c>
      <c r="G239" s="111">
        <v>0.9</v>
      </c>
      <c r="H239" s="111">
        <v>0.9</v>
      </c>
      <c r="I239" s="111">
        <v>0.9</v>
      </c>
      <c r="J239" s="111">
        <v>0.9</v>
      </c>
      <c r="K239" s="103">
        <v>1</v>
      </c>
      <c r="L239" s="104">
        <f>(Yield_Originals!$G239*Yield_Originals!L$1)/Yield_Originals!$K239</f>
        <v>1.0800000000000003</v>
      </c>
      <c r="M239" s="104">
        <f>(Yield_Originals!$G239*Yield_Originals!M$1)/Yield_Originals!$K239</f>
        <v>1.11375</v>
      </c>
      <c r="N239" s="104">
        <f>(Yield_Originals!$G239*Yield_Originals!N$1)/Yield_Originals!$K239</f>
        <v>1.1475000000000002</v>
      </c>
      <c r="O239" s="104">
        <f>(Yield_Originals!$G239*Yield_Originals!O$1)/Yield_Originals!$K239</f>
        <v>1.1812500000000001</v>
      </c>
      <c r="P239" s="105">
        <f>(Yield_Originals!$H239*Yield_Originals!P$1)/Yield_Originals!$K239</f>
        <v>1.2150000000000001</v>
      </c>
      <c r="Q239" s="105">
        <f>(Yield_Originals!$H239*Yield_Originals!Q$1)/Yield_Originals!$K239</f>
        <v>1.2487500000000002</v>
      </c>
      <c r="R239" s="105">
        <f>(Yield_Originals!$H239*Yield_Originals!R$1)/Yield_Originals!$K239</f>
        <v>1.2825000000000002</v>
      </c>
      <c r="S239" s="105">
        <f>(Yield_Originals!$H239*Yield_Originals!S$1)/Yield_Originals!$K239</f>
        <v>1.3162500000000004</v>
      </c>
      <c r="T239" s="107">
        <f>(Yield_Originals!$I239*Yield_Originals!T$1)/Yield_Originals!$K239</f>
        <v>1.3500000000000005</v>
      </c>
      <c r="U239" s="107">
        <f>(Yield_Originals!$I239*Yield_Originals!U$1)/Yield_Originals!$K239</f>
        <v>1.38375</v>
      </c>
      <c r="V239" s="107">
        <f>(Yield_Originals!$I239*Yield_Originals!V$1)/Yield_Originals!$K239</f>
        <v>1.4175000000000002</v>
      </c>
      <c r="W239" s="107">
        <f>(Yield_Originals!$I239*Yield_Originals!W$1)/Yield_Originals!$K239</f>
        <v>1.4512499999999999</v>
      </c>
      <c r="X239"/>
      <c r="Y239"/>
      <c r="Z239"/>
      <c r="AA239"/>
      <c r="AB239"/>
    </row>
    <row r="240" spans="1:28" hidden="1" x14ac:dyDescent="0.25">
      <c r="A240" s="70" t="s">
        <v>1120</v>
      </c>
      <c r="B240" s="70" t="s">
        <v>1376</v>
      </c>
      <c r="C240" t="s">
        <v>139</v>
      </c>
      <c r="D240" t="s">
        <v>1119</v>
      </c>
      <c r="E240" s="70">
        <v>3</v>
      </c>
      <c r="F240" s="110">
        <f>Yield_Originals!G240</f>
        <v>0.9</v>
      </c>
      <c r="G240" s="111">
        <v>0.9</v>
      </c>
      <c r="H240" s="111">
        <v>0.9</v>
      </c>
      <c r="I240" s="111">
        <v>0.9</v>
      </c>
      <c r="J240" s="111">
        <v>0.9</v>
      </c>
      <c r="K240" s="103">
        <v>1</v>
      </c>
      <c r="L240" s="104">
        <f>(Yield_Originals!$G240*Yield_Originals!L$1)/Yield_Originals!$K240</f>
        <v>1.0800000000000003</v>
      </c>
      <c r="M240" s="104">
        <f>(Yield_Originals!$G240*Yield_Originals!M$1)/Yield_Originals!$K240</f>
        <v>1.11375</v>
      </c>
      <c r="N240" s="104">
        <f>(Yield_Originals!$G240*Yield_Originals!N$1)/Yield_Originals!$K240</f>
        <v>1.1475000000000002</v>
      </c>
      <c r="O240" s="104">
        <f>(Yield_Originals!$G240*Yield_Originals!O$1)/Yield_Originals!$K240</f>
        <v>1.1812500000000001</v>
      </c>
      <c r="P240" s="105">
        <f>(Yield_Originals!$H240*Yield_Originals!P$1)/Yield_Originals!$K240</f>
        <v>1.2150000000000001</v>
      </c>
      <c r="Q240" s="105">
        <f>(Yield_Originals!$H240*Yield_Originals!Q$1)/Yield_Originals!$K240</f>
        <v>1.2487500000000002</v>
      </c>
      <c r="R240" s="105">
        <f>(Yield_Originals!$H240*Yield_Originals!R$1)/Yield_Originals!$K240</f>
        <v>1.2825000000000002</v>
      </c>
      <c r="S240" s="105">
        <f>(Yield_Originals!$H240*Yield_Originals!S$1)/Yield_Originals!$K240</f>
        <v>1.3162500000000004</v>
      </c>
      <c r="T240" s="107">
        <f>(Yield_Originals!$I240*Yield_Originals!T$1)/Yield_Originals!$K240</f>
        <v>1.3500000000000005</v>
      </c>
      <c r="U240" s="107">
        <f>(Yield_Originals!$I240*Yield_Originals!U$1)/Yield_Originals!$K240</f>
        <v>1.38375</v>
      </c>
      <c r="V240" s="107">
        <f>(Yield_Originals!$I240*Yield_Originals!V$1)/Yield_Originals!$K240</f>
        <v>1.4175000000000002</v>
      </c>
      <c r="W240" s="107">
        <f>(Yield_Originals!$I240*Yield_Originals!W$1)/Yield_Originals!$K240</f>
        <v>1.4512499999999999</v>
      </c>
      <c r="X240"/>
      <c r="Y240"/>
      <c r="Z240"/>
      <c r="AA240"/>
      <c r="AB240"/>
    </row>
    <row r="241" spans="1:28" hidden="1" x14ac:dyDescent="0.25">
      <c r="A241" s="70" t="s">
        <v>1120</v>
      </c>
      <c r="B241" s="70" t="s">
        <v>1376</v>
      </c>
      <c r="C241" t="s">
        <v>252</v>
      </c>
      <c r="D241" t="s">
        <v>1119</v>
      </c>
      <c r="E241" s="70">
        <v>3</v>
      </c>
      <c r="F241" s="110">
        <f>Yield_Originals!G241</f>
        <v>0.9</v>
      </c>
      <c r="G241" s="111">
        <v>0.9</v>
      </c>
      <c r="H241" s="111">
        <v>0.9</v>
      </c>
      <c r="I241" s="111">
        <v>0.9</v>
      </c>
      <c r="J241" s="111">
        <v>0.9</v>
      </c>
      <c r="K241" s="103">
        <v>1</v>
      </c>
      <c r="L241" s="104">
        <f>(Yield_Originals!$G241*Yield_Originals!L$1)/Yield_Originals!$K241</f>
        <v>1.0800000000000003</v>
      </c>
      <c r="M241" s="104">
        <f>(Yield_Originals!$G241*Yield_Originals!M$1)/Yield_Originals!$K241</f>
        <v>1.11375</v>
      </c>
      <c r="N241" s="104">
        <f>(Yield_Originals!$G241*Yield_Originals!N$1)/Yield_Originals!$K241</f>
        <v>1.1475000000000002</v>
      </c>
      <c r="O241" s="104">
        <f>(Yield_Originals!$G241*Yield_Originals!O$1)/Yield_Originals!$K241</f>
        <v>1.1812500000000001</v>
      </c>
      <c r="P241" s="105">
        <f>(Yield_Originals!$H241*Yield_Originals!P$1)/Yield_Originals!$K241</f>
        <v>1.2150000000000001</v>
      </c>
      <c r="Q241" s="105">
        <f>(Yield_Originals!$H241*Yield_Originals!Q$1)/Yield_Originals!$K241</f>
        <v>1.2487500000000002</v>
      </c>
      <c r="R241" s="105">
        <f>(Yield_Originals!$H241*Yield_Originals!R$1)/Yield_Originals!$K241</f>
        <v>1.2825000000000002</v>
      </c>
      <c r="S241" s="105">
        <f>(Yield_Originals!$H241*Yield_Originals!S$1)/Yield_Originals!$K241</f>
        <v>1.3162500000000004</v>
      </c>
      <c r="T241" s="107">
        <f>(Yield_Originals!$I241*Yield_Originals!T$1)/Yield_Originals!$K241</f>
        <v>1.3500000000000005</v>
      </c>
      <c r="U241" s="107">
        <f>(Yield_Originals!$I241*Yield_Originals!U$1)/Yield_Originals!$K241</f>
        <v>1.38375</v>
      </c>
      <c r="V241" s="107">
        <f>(Yield_Originals!$I241*Yield_Originals!V$1)/Yield_Originals!$K241</f>
        <v>1.4175000000000002</v>
      </c>
      <c r="W241" s="107">
        <f>(Yield_Originals!$I241*Yield_Originals!W$1)/Yield_Originals!$K241</f>
        <v>1.4512499999999999</v>
      </c>
      <c r="X241"/>
      <c r="Y241"/>
      <c r="Z241"/>
      <c r="AA241"/>
      <c r="AB241"/>
    </row>
    <row r="242" spans="1:28" hidden="1" x14ac:dyDescent="0.25">
      <c r="A242" s="70" t="s">
        <v>1120</v>
      </c>
      <c r="B242" s="70" t="s">
        <v>1376</v>
      </c>
      <c r="C242" t="s">
        <v>1098</v>
      </c>
      <c r="D242" t="s">
        <v>1119</v>
      </c>
      <c r="E242" s="70">
        <v>3</v>
      </c>
      <c r="F242" s="110">
        <f>Yield_Originals!G242</f>
        <v>0.9</v>
      </c>
      <c r="G242" s="111">
        <v>0.9</v>
      </c>
      <c r="H242" s="111">
        <v>0.9</v>
      </c>
      <c r="I242" s="111">
        <v>0.9</v>
      </c>
      <c r="J242" s="111">
        <v>0.9</v>
      </c>
      <c r="K242" s="103">
        <v>1</v>
      </c>
      <c r="L242" s="104">
        <f>(Yield_Originals!$G242*Yield_Originals!L$1)/Yield_Originals!$K242</f>
        <v>1.0800000000000003</v>
      </c>
      <c r="M242" s="104">
        <f>(Yield_Originals!$G242*Yield_Originals!M$1)/Yield_Originals!$K242</f>
        <v>1.11375</v>
      </c>
      <c r="N242" s="104">
        <f>(Yield_Originals!$G242*Yield_Originals!N$1)/Yield_Originals!$K242</f>
        <v>1.1475000000000002</v>
      </c>
      <c r="O242" s="104">
        <f>(Yield_Originals!$G242*Yield_Originals!O$1)/Yield_Originals!$K242</f>
        <v>1.1812500000000001</v>
      </c>
      <c r="P242" s="105">
        <f>(Yield_Originals!$H242*Yield_Originals!P$1)/Yield_Originals!$K242</f>
        <v>1.2150000000000001</v>
      </c>
      <c r="Q242" s="105">
        <f>(Yield_Originals!$H242*Yield_Originals!Q$1)/Yield_Originals!$K242</f>
        <v>1.2487500000000002</v>
      </c>
      <c r="R242" s="105">
        <f>(Yield_Originals!$H242*Yield_Originals!R$1)/Yield_Originals!$K242</f>
        <v>1.2825000000000002</v>
      </c>
      <c r="S242" s="105">
        <f>(Yield_Originals!$H242*Yield_Originals!S$1)/Yield_Originals!$K242</f>
        <v>1.3162500000000004</v>
      </c>
      <c r="T242" s="107">
        <f>(Yield_Originals!$I242*Yield_Originals!T$1)/Yield_Originals!$K242</f>
        <v>1.3500000000000005</v>
      </c>
      <c r="U242" s="107">
        <f>(Yield_Originals!$I242*Yield_Originals!U$1)/Yield_Originals!$K242</f>
        <v>1.38375</v>
      </c>
      <c r="V242" s="107">
        <f>(Yield_Originals!$I242*Yield_Originals!V$1)/Yield_Originals!$K242</f>
        <v>1.4175000000000002</v>
      </c>
      <c r="W242" s="107">
        <f>(Yield_Originals!$I242*Yield_Originals!W$1)/Yield_Originals!$K242</f>
        <v>1.4512499999999999</v>
      </c>
      <c r="X242"/>
      <c r="Y242"/>
      <c r="Z242"/>
      <c r="AA242"/>
      <c r="AB242"/>
    </row>
    <row r="243" spans="1:28" hidden="1" x14ac:dyDescent="0.25">
      <c r="A243" s="70" t="s">
        <v>1120</v>
      </c>
      <c r="B243" s="70" t="s">
        <v>1376</v>
      </c>
      <c r="C243" t="s">
        <v>1101</v>
      </c>
      <c r="D243" t="s">
        <v>1119</v>
      </c>
      <c r="E243" s="70">
        <v>3</v>
      </c>
      <c r="F243" s="110">
        <f>Yield_Originals!G243</f>
        <v>0.9</v>
      </c>
      <c r="G243" s="111">
        <v>0.9</v>
      </c>
      <c r="H243" s="111">
        <v>0.9</v>
      </c>
      <c r="I243" s="111">
        <v>0.9</v>
      </c>
      <c r="J243" s="111">
        <v>0.9</v>
      </c>
      <c r="K243" s="103">
        <v>1</v>
      </c>
      <c r="L243" s="104">
        <f>(Yield_Originals!$G243*Yield_Originals!L$1)/Yield_Originals!$K243</f>
        <v>1.0800000000000003</v>
      </c>
      <c r="M243" s="104">
        <f>(Yield_Originals!$G243*Yield_Originals!M$1)/Yield_Originals!$K243</f>
        <v>1.11375</v>
      </c>
      <c r="N243" s="104">
        <f>(Yield_Originals!$G243*Yield_Originals!N$1)/Yield_Originals!$K243</f>
        <v>1.1475000000000002</v>
      </c>
      <c r="O243" s="104">
        <f>(Yield_Originals!$G243*Yield_Originals!O$1)/Yield_Originals!$K243</f>
        <v>1.1812500000000001</v>
      </c>
      <c r="P243" s="105">
        <f>(Yield_Originals!$H243*Yield_Originals!P$1)/Yield_Originals!$K243</f>
        <v>1.2150000000000001</v>
      </c>
      <c r="Q243" s="105">
        <f>(Yield_Originals!$H243*Yield_Originals!Q$1)/Yield_Originals!$K243</f>
        <v>1.2487500000000002</v>
      </c>
      <c r="R243" s="105">
        <f>(Yield_Originals!$H243*Yield_Originals!R$1)/Yield_Originals!$K243</f>
        <v>1.2825000000000002</v>
      </c>
      <c r="S243" s="105">
        <f>(Yield_Originals!$H243*Yield_Originals!S$1)/Yield_Originals!$K243</f>
        <v>1.3162500000000004</v>
      </c>
      <c r="T243" s="107">
        <f>(Yield_Originals!$I243*Yield_Originals!T$1)/Yield_Originals!$K243</f>
        <v>1.3500000000000005</v>
      </c>
      <c r="U243" s="107">
        <f>(Yield_Originals!$I243*Yield_Originals!U$1)/Yield_Originals!$K243</f>
        <v>1.38375</v>
      </c>
      <c r="V243" s="107">
        <f>(Yield_Originals!$I243*Yield_Originals!V$1)/Yield_Originals!$K243</f>
        <v>1.4175000000000002</v>
      </c>
      <c r="W243" s="107">
        <f>(Yield_Originals!$I243*Yield_Originals!W$1)/Yield_Originals!$K243</f>
        <v>1.4512499999999999</v>
      </c>
      <c r="X243"/>
      <c r="Y243"/>
      <c r="Z243"/>
      <c r="AA243"/>
      <c r="AB243"/>
    </row>
    <row r="244" spans="1:28" x14ac:dyDescent="0.25">
      <c r="A244" s="70" t="s">
        <v>1024</v>
      </c>
      <c r="B244" s="70">
        <v>3</v>
      </c>
      <c r="C244" s="99" t="s">
        <v>140</v>
      </c>
      <c r="D244" s="99" t="s">
        <v>1149</v>
      </c>
      <c r="E244" s="100">
        <v>26</v>
      </c>
      <c r="F244" s="110">
        <f>Yield_Originals!G244</f>
        <v>0.14811298896966099</v>
      </c>
      <c r="G244" s="102">
        <v>0.14811298896966099</v>
      </c>
      <c r="H244" s="102">
        <v>0.14811298896966099</v>
      </c>
      <c r="I244" s="102">
        <f>+(Yield_Originals!H244+Yield_Originals!J244)/2</f>
        <v>0.1540564944848305</v>
      </c>
      <c r="J244" s="102">
        <v>0.16</v>
      </c>
      <c r="K244" s="103">
        <v>2</v>
      </c>
      <c r="L244" s="104">
        <f>(Yield_Originals!$G244*Yield_Originals!L$1)/Yield_Originals!$K244</f>
        <v>8.8867793381796609E-2</v>
      </c>
      <c r="M244" s="104">
        <f>(Yield_Originals!$G244*Yield_Originals!M$1)/Yield_Originals!$K244</f>
        <v>9.1644911924977743E-2</v>
      </c>
      <c r="N244" s="104">
        <f>(Yield_Originals!$G244*Yield_Originals!N$1)/Yield_Originals!$K244</f>
        <v>9.4422030468158891E-2</v>
      </c>
      <c r="O244" s="104">
        <f>(Yield_Originals!$G244*Yield_Originals!O$1)/Yield_Originals!$K244</f>
        <v>9.7199149011340039E-2</v>
      </c>
      <c r="P244" s="105">
        <f>(Yield_Originals!$H244*Yield_Originals!P$1)/Yield_Originals!$K244</f>
        <v>9.9976267554521173E-2</v>
      </c>
      <c r="Q244" s="105">
        <f>(Yield_Originals!$H244*Yield_Originals!Q$1)/Yield_Originals!$K244</f>
        <v>0.10275338609770232</v>
      </c>
      <c r="R244" s="105">
        <f>(Yield_Originals!$H244*Yield_Originals!R$1)/Yield_Originals!$K244</f>
        <v>0.10553050464088348</v>
      </c>
      <c r="S244" s="105">
        <f>(Yield_Originals!$H244*Yield_Originals!S$1)/Yield_Originals!$K244</f>
        <v>0.10830762318406463</v>
      </c>
      <c r="T244" s="107"/>
      <c r="U244" s="107"/>
      <c r="V244" s="107"/>
      <c r="W244" s="107"/>
      <c r="X244" s="108"/>
      <c r="Y244" s="108"/>
      <c r="Z244"/>
      <c r="AA244"/>
      <c r="AB244"/>
    </row>
    <row r="245" spans="1:28" x14ac:dyDescent="0.25">
      <c r="A245" s="70" t="s">
        <v>1024</v>
      </c>
      <c r="B245" s="70">
        <v>3</v>
      </c>
      <c r="C245" s="99" t="s">
        <v>140</v>
      </c>
      <c r="D245" s="99" t="s">
        <v>1149</v>
      </c>
      <c r="E245" s="100">
        <v>30</v>
      </c>
      <c r="F245" s="110">
        <f>Yield_Originals!G245</f>
        <v>0.14811298896966099</v>
      </c>
      <c r="G245" s="102">
        <v>0.14811298896966099</v>
      </c>
      <c r="H245" s="102">
        <v>0.14811298896966099</v>
      </c>
      <c r="I245" s="102">
        <f>+(Yield_Originals!H245+Yield_Originals!J245)/2</f>
        <v>0.1540564944848305</v>
      </c>
      <c r="J245" s="102">
        <v>0.16</v>
      </c>
      <c r="K245" s="103">
        <v>2</v>
      </c>
      <c r="L245" s="104">
        <f>(Yield_Originals!$G245*Yield_Originals!L$1)/Yield_Originals!$K245</f>
        <v>8.8867793381796609E-2</v>
      </c>
      <c r="M245" s="104">
        <f>(Yield_Originals!$G245*Yield_Originals!M$1)/Yield_Originals!$K245</f>
        <v>9.1644911924977743E-2</v>
      </c>
      <c r="N245" s="104">
        <f>(Yield_Originals!$G245*Yield_Originals!N$1)/Yield_Originals!$K245</f>
        <v>9.4422030468158891E-2</v>
      </c>
      <c r="O245" s="104">
        <f>(Yield_Originals!$G245*Yield_Originals!O$1)/Yield_Originals!$K245</f>
        <v>9.7199149011340039E-2</v>
      </c>
      <c r="P245" s="105">
        <f>(Yield_Originals!$H245*Yield_Originals!P$1)/Yield_Originals!$K245</f>
        <v>9.9976267554521173E-2</v>
      </c>
      <c r="Q245" s="105">
        <f>(Yield_Originals!$H245*Yield_Originals!Q$1)/Yield_Originals!$K245</f>
        <v>0.10275338609770232</v>
      </c>
      <c r="R245" s="105">
        <f>(Yield_Originals!$H245*Yield_Originals!R$1)/Yield_Originals!$K245</f>
        <v>0.10553050464088348</v>
      </c>
      <c r="S245" s="105">
        <f>(Yield_Originals!$H245*Yield_Originals!S$1)/Yield_Originals!$K245</f>
        <v>0.10830762318406463</v>
      </c>
      <c r="T245" s="107"/>
      <c r="U245" s="107"/>
      <c r="V245" s="107"/>
      <c r="W245" s="107"/>
      <c r="X245" s="108"/>
      <c r="Y245" s="108"/>
      <c r="Z245"/>
      <c r="AA245"/>
      <c r="AB245"/>
    </row>
    <row r="246" spans="1:28" x14ac:dyDescent="0.25">
      <c r="A246" s="70" t="s">
        <v>1024</v>
      </c>
      <c r="B246" s="70">
        <v>3</v>
      </c>
      <c r="C246" s="99" t="s">
        <v>140</v>
      </c>
      <c r="D246" s="99" t="s">
        <v>1149</v>
      </c>
      <c r="E246" s="100">
        <v>31</v>
      </c>
      <c r="F246" s="110">
        <f>Yield_Originals!G246</f>
        <v>0.14811298896966099</v>
      </c>
      <c r="G246" s="102">
        <v>0.14811298896966099</v>
      </c>
      <c r="H246" s="102">
        <v>0.14811298896966099</v>
      </c>
      <c r="I246" s="102">
        <f>+(Yield_Originals!H246+Yield_Originals!J246)/2</f>
        <v>0.1540564944848305</v>
      </c>
      <c r="J246" s="102">
        <v>0.16</v>
      </c>
      <c r="K246" s="103">
        <v>2</v>
      </c>
      <c r="L246" s="104">
        <f>(Yield_Originals!$G246*Yield_Originals!L$1)/Yield_Originals!$K246</f>
        <v>8.8867793381796609E-2</v>
      </c>
      <c r="M246" s="104">
        <f>(Yield_Originals!$G246*Yield_Originals!M$1)/Yield_Originals!$K246</f>
        <v>9.1644911924977743E-2</v>
      </c>
      <c r="N246" s="104">
        <f>(Yield_Originals!$G246*Yield_Originals!N$1)/Yield_Originals!$K246</f>
        <v>9.4422030468158891E-2</v>
      </c>
      <c r="O246" s="104">
        <f>(Yield_Originals!$G246*Yield_Originals!O$1)/Yield_Originals!$K246</f>
        <v>9.7199149011340039E-2</v>
      </c>
      <c r="P246" s="105">
        <f>(Yield_Originals!$H246*Yield_Originals!P$1)/Yield_Originals!$K246</f>
        <v>9.9976267554521173E-2</v>
      </c>
      <c r="Q246" s="105">
        <f>(Yield_Originals!$H246*Yield_Originals!Q$1)/Yield_Originals!$K246</f>
        <v>0.10275338609770232</v>
      </c>
      <c r="R246" s="105">
        <f>(Yield_Originals!$H246*Yield_Originals!R$1)/Yield_Originals!$K246</f>
        <v>0.10553050464088348</v>
      </c>
      <c r="S246" s="105">
        <f>(Yield_Originals!$H246*Yield_Originals!S$1)/Yield_Originals!$K246</f>
        <v>0.10830762318406463</v>
      </c>
      <c r="T246" s="107"/>
      <c r="U246" s="107"/>
      <c r="V246" s="107"/>
      <c r="W246" s="107"/>
      <c r="X246" s="108"/>
      <c r="Y246" s="108"/>
      <c r="Z246"/>
      <c r="AA246"/>
      <c r="AB246"/>
    </row>
    <row r="247" spans="1:28" x14ac:dyDescent="0.25">
      <c r="A247" s="70" t="s">
        <v>1024</v>
      </c>
      <c r="B247" s="70">
        <v>3</v>
      </c>
      <c r="C247" t="s">
        <v>140</v>
      </c>
      <c r="D247" t="s">
        <v>1149</v>
      </c>
      <c r="E247" s="100">
        <v>1</v>
      </c>
      <c r="F247" s="110">
        <f>Yield_Originals!G247</f>
        <v>0.14811298896966099</v>
      </c>
      <c r="G247" s="102">
        <v>0.14811298896966099</v>
      </c>
      <c r="H247" s="102">
        <v>0.14811298896966099</v>
      </c>
      <c r="I247" s="102">
        <f>+(Yield_Originals!H247+Yield_Originals!J247)/2</f>
        <v>0.1540564944848305</v>
      </c>
      <c r="J247" s="102">
        <v>0.16</v>
      </c>
      <c r="K247" s="103">
        <v>2</v>
      </c>
      <c r="L247" s="104">
        <f>(Yield_Originals!$G247*Yield_Originals!L$1)/Yield_Originals!$K247</f>
        <v>8.8867793381796609E-2</v>
      </c>
      <c r="M247" s="104">
        <f>(Yield_Originals!$G247*Yield_Originals!M$1)/Yield_Originals!$K247</f>
        <v>9.1644911924977743E-2</v>
      </c>
      <c r="N247" s="104">
        <f>(Yield_Originals!$G247*Yield_Originals!N$1)/Yield_Originals!$K247</f>
        <v>9.4422030468158891E-2</v>
      </c>
      <c r="O247" s="104">
        <f>(Yield_Originals!$G247*Yield_Originals!O$1)/Yield_Originals!$K247</f>
        <v>9.7199149011340039E-2</v>
      </c>
      <c r="P247" s="105">
        <f>(Yield_Originals!$H247*Yield_Originals!P$1)/Yield_Originals!$K247</f>
        <v>9.9976267554521173E-2</v>
      </c>
      <c r="Q247" s="105">
        <f>(Yield_Originals!$H247*Yield_Originals!Q$1)/Yield_Originals!$K247</f>
        <v>0.10275338609770232</v>
      </c>
      <c r="R247" s="105">
        <f>(Yield_Originals!$H247*Yield_Originals!R$1)/Yield_Originals!$K247</f>
        <v>0.10553050464088348</v>
      </c>
      <c r="S247" s="105">
        <f>(Yield_Originals!$H247*Yield_Originals!S$1)/Yield_Originals!$K247</f>
        <v>0.10830762318406463</v>
      </c>
      <c r="T247" s="107"/>
      <c r="U247" s="107"/>
      <c r="V247" s="107"/>
      <c r="W247" s="107"/>
      <c r="X247" s="108"/>
      <c r="Y247" s="108"/>
      <c r="Z247"/>
      <c r="AA247"/>
      <c r="AB247"/>
    </row>
    <row r="248" spans="1:28" x14ac:dyDescent="0.25">
      <c r="A248" s="70" t="s">
        <v>1024</v>
      </c>
      <c r="B248" s="70">
        <v>3</v>
      </c>
      <c r="C248" t="s">
        <v>140</v>
      </c>
      <c r="D248" t="s">
        <v>1149</v>
      </c>
      <c r="E248" s="100">
        <v>2</v>
      </c>
      <c r="F248" s="110">
        <f>Yield_Originals!G248</f>
        <v>0.14811298896966099</v>
      </c>
      <c r="G248" s="102">
        <v>0.14811298896966099</v>
      </c>
      <c r="H248" s="102">
        <v>0.14811298896966099</v>
      </c>
      <c r="I248" s="102">
        <f>+(Yield_Originals!H248+Yield_Originals!J248)/2</f>
        <v>0.1540564944848305</v>
      </c>
      <c r="J248" s="102">
        <v>0.16</v>
      </c>
      <c r="K248" s="103">
        <v>2</v>
      </c>
      <c r="L248" s="104">
        <f>(Yield_Originals!$G248*Yield_Originals!L$1)/Yield_Originals!$K248</f>
        <v>8.8867793381796609E-2</v>
      </c>
      <c r="M248" s="104">
        <f>(Yield_Originals!$G248*Yield_Originals!M$1)/Yield_Originals!$K248</f>
        <v>9.1644911924977743E-2</v>
      </c>
      <c r="N248" s="104">
        <f>(Yield_Originals!$G248*Yield_Originals!N$1)/Yield_Originals!$K248</f>
        <v>9.4422030468158891E-2</v>
      </c>
      <c r="O248" s="104">
        <f>(Yield_Originals!$G248*Yield_Originals!O$1)/Yield_Originals!$K248</f>
        <v>9.7199149011340039E-2</v>
      </c>
      <c r="P248" s="105">
        <f>(Yield_Originals!$H248*Yield_Originals!P$1)/Yield_Originals!$K248</f>
        <v>9.9976267554521173E-2</v>
      </c>
      <c r="Q248" s="105">
        <f>(Yield_Originals!$H248*Yield_Originals!Q$1)/Yield_Originals!$K248</f>
        <v>0.10275338609770232</v>
      </c>
      <c r="R248" s="105">
        <f>(Yield_Originals!$H248*Yield_Originals!R$1)/Yield_Originals!$K248</f>
        <v>0.10553050464088348</v>
      </c>
      <c r="S248" s="105">
        <f>(Yield_Originals!$H248*Yield_Originals!S$1)/Yield_Originals!$K248</f>
        <v>0.10830762318406463</v>
      </c>
      <c r="T248" s="107"/>
      <c r="U248" s="107"/>
      <c r="V248" s="107"/>
      <c r="W248" s="107"/>
      <c r="X248" s="108"/>
      <c r="Y248" s="108"/>
      <c r="Z248"/>
      <c r="AA248"/>
      <c r="AB248"/>
    </row>
    <row r="249" spans="1:28" x14ac:dyDescent="0.25">
      <c r="A249" s="70" t="s">
        <v>1024</v>
      </c>
      <c r="B249" s="70">
        <v>3</v>
      </c>
      <c r="C249" s="99" t="s">
        <v>253</v>
      </c>
      <c r="D249" s="99" t="s">
        <v>1149</v>
      </c>
      <c r="E249" s="100">
        <v>26</v>
      </c>
      <c r="F249" s="110">
        <f>Yield_Originals!G249</f>
        <v>0.14811298896966099</v>
      </c>
      <c r="G249" s="102">
        <v>0.14811298896966099</v>
      </c>
      <c r="H249" s="102">
        <v>0.14811298896966099</v>
      </c>
      <c r="I249" s="102">
        <f>+(Yield_Originals!H249+Yield_Originals!J249)/2</f>
        <v>0.1540564944848305</v>
      </c>
      <c r="J249" s="102">
        <v>0.16</v>
      </c>
      <c r="K249" s="103">
        <v>2</v>
      </c>
      <c r="L249" s="104">
        <f>(Yield_Originals!$G249*Yield_Originals!L$1)/Yield_Originals!$K249</f>
        <v>8.8867793381796609E-2</v>
      </c>
      <c r="M249" s="104">
        <f>(Yield_Originals!$G249*Yield_Originals!M$1)/Yield_Originals!$K249</f>
        <v>9.1644911924977743E-2</v>
      </c>
      <c r="N249" s="104">
        <f>(Yield_Originals!$G249*Yield_Originals!N$1)/Yield_Originals!$K249</f>
        <v>9.4422030468158891E-2</v>
      </c>
      <c r="O249" s="104">
        <f>(Yield_Originals!$G249*Yield_Originals!O$1)/Yield_Originals!$K249</f>
        <v>9.7199149011340039E-2</v>
      </c>
      <c r="P249" s="105">
        <f>(Yield_Originals!$H249*Yield_Originals!P$1)/Yield_Originals!$K249</f>
        <v>9.9976267554521173E-2</v>
      </c>
      <c r="Q249" s="105">
        <f>(Yield_Originals!$H249*Yield_Originals!Q$1)/Yield_Originals!$K249</f>
        <v>0.10275338609770232</v>
      </c>
      <c r="R249" s="105">
        <f>(Yield_Originals!$H249*Yield_Originals!R$1)/Yield_Originals!$K249</f>
        <v>0.10553050464088348</v>
      </c>
      <c r="S249" s="105">
        <f>(Yield_Originals!$H249*Yield_Originals!S$1)/Yield_Originals!$K249</f>
        <v>0.10830762318406463</v>
      </c>
      <c r="T249" s="107"/>
      <c r="U249" s="107"/>
      <c r="V249" s="107"/>
      <c r="W249" s="107"/>
      <c r="X249" s="108"/>
      <c r="Y249" s="108"/>
      <c r="Z249"/>
      <c r="AA249"/>
      <c r="AB249"/>
    </row>
    <row r="250" spans="1:28" x14ac:dyDescent="0.25">
      <c r="A250" s="70" t="s">
        <v>1024</v>
      </c>
      <c r="B250" s="70">
        <v>3</v>
      </c>
      <c r="C250" s="99" t="s">
        <v>253</v>
      </c>
      <c r="D250" s="99" t="s">
        <v>1149</v>
      </c>
      <c r="E250" s="100">
        <v>30</v>
      </c>
      <c r="F250" s="110">
        <f>Yield_Originals!G250</f>
        <v>0.14811298896966099</v>
      </c>
      <c r="G250" s="102">
        <v>0.14811298896966099</v>
      </c>
      <c r="H250" s="102">
        <v>0.14811298896966099</v>
      </c>
      <c r="I250" s="102">
        <f>+(Yield_Originals!H250+Yield_Originals!J250)/2</f>
        <v>0.1540564944848305</v>
      </c>
      <c r="J250" s="102">
        <v>0.16</v>
      </c>
      <c r="K250" s="103">
        <v>2</v>
      </c>
      <c r="L250" s="104">
        <f>(Yield_Originals!$G250*Yield_Originals!L$1)/Yield_Originals!$K250</f>
        <v>8.8867793381796609E-2</v>
      </c>
      <c r="M250" s="104">
        <f>(Yield_Originals!$G250*Yield_Originals!M$1)/Yield_Originals!$K250</f>
        <v>9.1644911924977743E-2</v>
      </c>
      <c r="N250" s="104">
        <f>(Yield_Originals!$G250*Yield_Originals!N$1)/Yield_Originals!$K250</f>
        <v>9.4422030468158891E-2</v>
      </c>
      <c r="O250" s="104">
        <f>(Yield_Originals!$G250*Yield_Originals!O$1)/Yield_Originals!$K250</f>
        <v>9.7199149011340039E-2</v>
      </c>
      <c r="P250" s="105">
        <f>(Yield_Originals!$H250*Yield_Originals!P$1)/Yield_Originals!$K250</f>
        <v>9.9976267554521173E-2</v>
      </c>
      <c r="Q250" s="105">
        <f>(Yield_Originals!$H250*Yield_Originals!Q$1)/Yield_Originals!$K250</f>
        <v>0.10275338609770232</v>
      </c>
      <c r="R250" s="105">
        <f>(Yield_Originals!$H250*Yield_Originals!R$1)/Yield_Originals!$K250</f>
        <v>0.10553050464088348</v>
      </c>
      <c r="S250" s="105">
        <f>(Yield_Originals!$H250*Yield_Originals!S$1)/Yield_Originals!$K250</f>
        <v>0.10830762318406463</v>
      </c>
      <c r="T250" s="107"/>
      <c r="U250" s="107"/>
      <c r="V250" s="107"/>
      <c r="W250" s="107"/>
      <c r="X250" s="108"/>
      <c r="Y250" s="108"/>
      <c r="Z250"/>
      <c r="AA250"/>
      <c r="AB250"/>
    </row>
    <row r="251" spans="1:28" x14ac:dyDescent="0.25">
      <c r="A251" s="70" t="s">
        <v>1024</v>
      </c>
      <c r="B251" s="70">
        <v>3</v>
      </c>
      <c r="C251" s="99" t="s">
        <v>253</v>
      </c>
      <c r="D251" s="99" t="s">
        <v>1149</v>
      </c>
      <c r="E251" s="100">
        <v>31</v>
      </c>
      <c r="F251" s="110">
        <f>Yield_Originals!G251</f>
        <v>0.14811298896966099</v>
      </c>
      <c r="G251" s="102">
        <v>0.14811298896966099</v>
      </c>
      <c r="H251" s="102">
        <v>0.14811298896966099</v>
      </c>
      <c r="I251" s="102">
        <f>+(Yield_Originals!H251+Yield_Originals!J251)/2</f>
        <v>0.1540564944848305</v>
      </c>
      <c r="J251" s="102">
        <v>0.16</v>
      </c>
      <c r="K251" s="103">
        <v>2</v>
      </c>
      <c r="L251" s="104">
        <f>(Yield_Originals!$G251*Yield_Originals!L$1)/Yield_Originals!$K251</f>
        <v>8.8867793381796609E-2</v>
      </c>
      <c r="M251" s="104">
        <f>(Yield_Originals!$G251*Yield_Originals!M$1)/Yield_Originals!$K251</f>
        <v>9.1644911924977743E-2</v>
      </c>
      <c r="N251" s="104">
        <f>(Yield_Originals!$G251*Yield_Originals!N$1)/Yield_Originals!$K251</f>
        <v>9.4422030468158891E-2</v>
      </c>
      <c r="O251" s="104">
        <f>(Yield_Originals!$G251*Yield_Originals!O$1)/Yield_Originals!$K251</f>
        <v>9.7199149011340039E-2</v>
      </c>
      <c r="P251" s="105">
        <f>(Yield_Originals!$H251*Yield_Originals!P$1)/Yield_Originals!$K251</f>
        <v>9.9976267554521173E-2</v>
      </c>
      <c r="Q251" s="105">
        <f>(Yield_Originals!$H251*Yield_Originals!Q$1)/Yield_Originals!$K251</f>
        <v>0.10275338609770232</v>
      </c>
      <c r="R251" s="105">
        <f>(Yield_Originals!$H251*Yield_Originals!R$1)/Yield_Originals!$K251</f>
        <v>0.10553050464088348</v>
      </c>
      <c r="S251" s="105">
        <f>(Yield_Originals!$H251*Yield_Originals!S$1)/Yield_Originals!$K251</f>
        <v>0.10830762318406463</v>
      </c>
      <c r="T251" s="107"/>
      <c r="U251" s="107"/>
      <c r="V251" s="107"/>
      <c r="W251" s="107"/>
      <c r="X251" s="108"/>
      <c r="Y251" s="108"/>
      <c r="Z251"/>
      <c r="AA251"/>
      <c r="AB251"/>
    </row>
    <row r="252" spans="1:28" x14ac:dyDescent="0.25">
      <c r="A252" s="70" t="s">
        <v>1024</v>
      </c>
      <c r="B252" s="70">
        <v>3</v>
      </c>
      <c r="C252" t="s">
        <v>253</v>
      </c>
      <c r="D252" t="s">
        <v>1149</v>
      </c>
      <c r="E252" s="100">
        <v>1</v>
      </c>
      <c r="F252" s="110">
        <f>Yield_Originals!G252</f>
        <v>0.14811298896966099</v>
      </c>
      <c r="G252" s="102">
        <v>0.14811298896966099</v>
      </c>
      <c r="H252" s="102">
        <v>0.14811298896966099</v>
      </c>
      <c r="I252" s="102">
        <f>+(Yield_Originals!H252+Yield_Originals!J252)/2</f>
        <v>0.1540564944848305</v>
      </c>
      <c r="J252" s="102">
        <v>0.16</v>
      </c>
      <c r="K252" s="103">
        <v>2</v>
      </c>
      <c r="L252" s="104">
        <f>(Yield_Originals!$G252*Yield_Originals!L$1)/Yield_Originals!$K252</f>
        <v>8.8867793381796609E-2</v>
      </c>
      <c r="M252" s="104">
        <f>(Yield_Originals!$G252*Yield_Originals!M$1)/Yield_Originals!$K252</f>
        <v>9.1644911924977743E-2</v>
      </c>
      <c r="N252" s="104">
        <f>(Yield_Originals!$G252*Yield_Originals!N$1)/Yield_Originals!$K252</f>
        <v>9.4422030468158891E-2</v>
      </c>
      <c r="O252" s="104">
        <f>(Yield_Originals!$G252*Yield_Originals!O$1)/Yield_Originals!$K252</f>
        <v>9.7199149011340039E-2</v>
      </c>
      <c r="P252" s="105">
        <f>(Yield_Originals!$H252*Yield_Originals!P$1)/Yield_Originals!$K252</f>
        <v>9.9976267554521173E-2</v>
      </c>
      <c r="Q252" s="105">
        <f>(Yield_Originals!$H252*Yield_Originals!Q$1)/Yield_Originals!$K252</f>
        <v>0.10275338609770232</v>
      </c>
      <c r="R252" s="105">
        <f>(Yield_Originals!$H252*Yield_Originals!R$1)/Yield_Originals!$K252</f>
        <v>0.10553050464088348</v>
      </c>
      <c r="S252" s="105">
        <f>(Yield_Originals!$H252*Yield_Originals!S$1)/Yield_Originals!$K252</f>
        <v>0.10830762318406463</v>
      </c>
      <c r="T252" s="107"/>
      <c r="U252" s="107"/>
      <c r="V252" s="107"/>
      <c r="W252" s="107"/>
      <c r="X252" s="108"/>
      <c r="Y252" s="108"/>
      <c r="Z252"/>
      <c r="AA252"/>
      <c r="AB252"/>
    </row>
    <row r="253" spans="1:28" x14ac:dyDescent="0.25">
      <c r="A253" s="70" t="s">
        <v>1024</v>
      </c>
      <c r="B253" s="70">
        <v>3</v>
      </c>
      <c r="C253" t="s">
        <v>253</v>
      </c>
      <c r="D253" t="s">
        <v>1149</v>
      </c>
      <c r="E253" s="100">
        <v>2</v>
      </c>
      <c r="F253" s="110">
        <f>Yield_Originals!G253</f>
        <v>0.14811298896966099</v>
      </c>
      <c r="G253" s="102">
        <v>0.14811298896966099</v>
      </c>
      <c r="H253" s="102">
        <v>0.14811298896966099</v>
      </c>
      <c r="I253" s="102">
        <f>+(Yield_Originals!H253+Yield_Originals!J253)/2</f>
        <v>0.1540564944848305</v>
      </c>
      <c r="J253" s="102">
        <v>0.16</v>
      </c>
      <c r="K253" s="103">
        <v>2</v>
      </c>
      <c r="L253" s="104">
        <f>(Yield_Originals!$G253*Yield_Originals!L$1)/Yield_Originals!$K253</f>
        <v>8.8867793381796609E-2</v>
      </c>
      <c r="M253" s="104">
        <f>(Yield_Originals!$G253*Yield_Originals!M$1)/Yield_Originals!$K253</f>
        <v>9.1644911924977743E-2</v>
      </c>
      <c r="N253" s="104">
        <f>(Yield_Originals!$G253*Yield_Originals!N$1)/Yield_Originals!$K253</f>
        <v>9.4422030468158891E-2</v>
      </c>
      <c r="O253" s="104">
        <f>(Yield_Originals!$G253*Yield_Originals!O$1)/Yield_Originals!$K253</f>
        <v>9.7199149011340039E-2</v>
      </c>
      <c r="P253" s="105">
        <f>(Yield_Originals!$H253*Yield_Originals!P$1)/Yield_Originals!$K253</f>
        <v>9.9976267554521173E-2</v>
      </c>
      <c r="Q253" s="105">
        <f>(Yield_Originals!$H253*Yield_Originals!Q$1)/Yield_Originals!$K253</f>
        <v>0.10275338609770232</v>
      </c>
      <c r="R253" s="105">
        <f>(Yield_Originals!$H253*Yield_Originals!R$1)/Yield_Originals!$K253</f>
        <v>0.10553050464088348</v>
      </c>
      <c r="S253" s="105">
        <f>(Yield_Originals!$H253*Yield_Originals!S$1)/Yield_Originals!$K253</f>
        <v>0.10830762318406463</v>
      </c>
      <c r="T253" s="107"/>
      <c r="U253" s="107"/>
      <c r="V253" s="107"/>
      <c r="W253" s="107"/>
      <c r="X253" s="108"/>
      <c r="Y253" s="108"/>
      <c r="Z253"/>
      <c r="AA253"/>
      <c r="AB253"/>
    </row>
    <row r="254" spans="1:28" x14ac:dyDescent="0.25">
      <c r="A254" s="109" t="s">
        <v>1024</v>
      </c>
      <c r="B254" s="70">
        <v>3</v>
      </c>
      <c r="C254" s="57" t="s">
        <v>427</v>
      </c>
      <c r="D254" s="57" t="s">
        <v>1023</v>
      </c>
      <c r="E254" s="100">
        <v>26</v>
      </c>
      <c r="F254" s="102">
        <v>0.14200308363967801</v>
      </c>
      <c r="G254" s="102">
        <v>0.14200308363967801</v>
      </c>
      <c r="H254" s="102">
        <f>+(Yield_Originals!I254+Yield_Originals!G254)/2</f>
        <v>0.13793956115311001</v>
      </c>
      <c r="I254" s="102">
        <v>0.13387603866654199</v>
      </c>
      <c r="J254" s="102">
        <v>0.13659047120213799</v>
      </c>
      <c r="K254" s="103">
        <v>2</v>
      </c>
      <c r="L254" s="104">
        <f>(Yield_Originals!$G254*Yield_Originals!L$1)/Yield_Originals!$K254</f>
        <v>8.5201850183806813E-2</v>
      </c>
      <c r="M254" s="104">
        <f>(Yield_Originals!$G254*Yield_Originals!M$1)/Yield_Originals!$K254</f>
        <v>8.7864408002050767E-2</v>
      </c>
      <c r="N254" s="104">
        <f>(Yield_Originals!$G254*Yield_Originals!N$1)/Yield_Originals!$K254</f>
        <v>9.0526965820294736E-2</v>
      </c>
      <c r="O254" s="104">
        <f>(Yield_Originals!$G254*Yield_Originals!O$1)/Yield_Originals!$K254</f>
        <v>9.3189523638538704E-2</v>
      </c>
      <c r="P254" s="105">
        <f>(Yield_Originals!$H254*Yield_Originals!P$1)/Yield_Originals!$K254</f>
        <v>9.3109203778349262E-2</v>
      </c>
      <c r="Q254" s="105">
        <f>(Yield_Originals!$H254*Yield_Originals!Q$1)/Yield_Originals!$K254</f>
        <v>9.5695570549970077E-2</v>
      </c>
      <c r="R254" s="105">
        <f>(Yield_Originals!$H254*Yield_Originals!R$1)/Yield_Originals!$K254</f>
        <v>9.8281937321590906E-2</v>
      </c>
      <c r="S254" s="105">
        <f>(Yield_Originals!$H254*Yield_Originals!S$1)/Yield_Originals!$K254</f>
        <v>0.10086830409321172</v>
      </c>
      <c r="T254" s="107">
        <f>(Yield_Originals!$I254*Yield_Originals!T$1)/Yield_Originals!$K254</f>
        <v>0.10040702899990653</v>
      </c>
      <c r="U254" s="107">
        <f>(Yield_Originals!$I254*Yield_Originals!U$1)/Yield_Originals!$K254</f>
        <v>0.10291720472490416</v>
      </c>
      <c r="V254" s="107">
        <f>(Yield_Originals!$I254*Yield_Originals!V$1)/Yield_Originals!$K254</f>
        <v>0.10542738044990183</v>
      </c>
      <c r="W254" s="107">
        <f>(Yield_Originals!$I254*Yield_Originals!W$1)/Yield_Originals!$K254</f>
        <v>0.10793755617489947</v>
      </c>
      <c r="X254" s="108">
        <f>(Yield_Originals!$J254*Yield_Originals!X$1)/Yield_Originals!$K254</f>
        <v>0.11268713874176384</v>
      </c>
      <c r="Y254" s="108">
        <f>(Yield_Originals!$J254*Yield_Originals!Y$1)/Yield_Originals!$K254</f>
        <v>0.1152482100768039</v>
      </c>
      <c r="Z254" s="108">
        <f>(Yield_Originals!$J254*Yield_Originals!Z$1)/Yield_Originals!$K254</f>
        <v>0.11780928141184399</v>
      </c>
      <c r="AA254" s="108">
        <f>(Yield_Originals!$J254*Yield_Originals!AA$1)/Yield_Originals!$K254</f>
        <v>0.12037035274688405</v>
      </c>
      <c r="AB254" s="108">
        <f>(Yield_Originals!$J254*Yield_Originals!AB$1)/Yield_Originals!$K254</f>
        <v>0.12293142408192415</v>
      </c>
    </row>
    <row r="255" spans="1:28" x14ac:dyDescent="0.25">
      <c r="A255" s="109" t="s">
        <v>1024</v>
      </c>
      <c r="B255" s="70">
        <v>3</v>
      </c>
      <c r="C255" s="57" t="s">
        <v>427</v>
      </c>
      <c r="D255" s="57" t="s">
        <v>1023</v>
      </c>
      <c r="E255" s="100">
        <v>30</v>
      </c>
      <c r="F255" s="102">
        <v>0.14200308363967801</v>
      </c>
      <c r="G255" s="102">
        <v>0.14200308363967801</v>
      </c>
      <c r="H255" s="102">
        <f>+(Yield_Originals!I255+Yield_Originals!G255)/2</f>
        <v>0.13793956115311001</v>
      </c>
      <c r="I255" s="102">
        <v>0.13387603866654199</v>
      </c>
      <c r="J255" s="102">
        <v>0.13659047120213799</v>
      </c>
      <c r="K255" s="103">
        <v>2</v>
      </c>
      <c r="L255" s="104">
        <f>(Yield_Originals!$G255*Yield_Originals!L$1)/Yield_Originals!$K255</f>
        <v>8.5201850183806813E-2</v>
      </c>
      <c r="M255" s="104">
        <f>(Yield_Originals!$G255*Yield_Originals!M$1)/Yield_Originals!$K255</f>
        <v>8.7864408002050767E-2</v>
      </c>
      <c r="N255" s="104">
        <f>(Yield_Originals!$G255*Yield_Originals!N$1)/Yield_Originals!$K255</f>
        <v>9.0526965820294736E-2</v>
      </c>
      <c r="O255" s="104">
        <f>(Yield_Originals!$G255*Yield_Originals!O$1)/Yield_Originals!$K255</f>
        <v>9.3189523638538704E-2</v>
      </c>
      <c r="P255" s="105">
        <f>(Yield_Originals!$H255*Yield_Originals!P$1)/Yield_Originals!$K255</f>
        <v>9.3109203778349262E-2</v>
      </c>
      <c r="Q255" s="105">
        <f>(Yield_Originals!$H255*Yield_Originals!Q$1)/Yield_Originals!$K255</f>
        <v>9.5695570549970077E-2</v>
      </c>
      <c r="R255" s="105">
        <f>(Yield_Originals!$H255*Yield_Originals!R$1)/Yield_Originals!$K255</f>
        <v>9.8281937321590906E-2</v>
      </c>
      <c r="S255" s="105">
        <f>(Yield_Originals!$H255*Yield_Originals!S$1)/Yield_Originals!$K255</f>
        <v>0.10086830409321172</v>
      </c>
      <c r="T255" s="107">
        <f>(Yield_Originals!$I255*Yield_Originals!T$1)/Yield_Originals!$K255</f>
        <v>0.10040702899990653</v>
      </c>
      <c r="U255" s="107">
        <f>(Yield_Originals!$I255*Yield_Originals!U$1)/Yield_Originals!$K255</f>
        <v>0.10291720472490416</v>
      </c>
      <c r="V255" s="107">
        <f>(Yield_Originals!$I255*Yield_Originals!V$1)/Yield_Originals!$K255</f>
        <v>0.10542738044990183</v>
      </c>
      <c r="W255" s="107">
        <f>(Yield_Originals!$I255*Yield_Originals!W$1)/Yield_Originals!$K255</f>
        <v>0.10793755617489947</v>
      </c>
      <c r="X255" s="108">
        <f>(Yield_Originals!$J255*Yield_Originals!X$1)/Yield_Originals!$K255</f>
        <v>0.11268713874176384</v>
      </c>
      <c r="Y255" s="108">
        <f>(Yield_Originals!$J255*Yield_Originals!Y$1)/Yield_Originals!$K255</f>
        <v>0.1152482100768039</v>
      </c>
      <c r="Z255" s="108">
        <f>(Yield_Originals!$J255*Yield_Originals!Z$1)/Yield_Originals!$K255</f>
        <v>0.11780928141184399</v>
      </c>
      <c r="AA255" s="108">
        <f>(Yield_Originals!$J255*Yield_Originals!AA$1)/Yield_Originals!$K255</f>
        <v>0.12037035274688405</v>
      </c>
      <c r="AB255" s="108">
        <f>(Yield_Originals!$J255*Yield_Originals!AB$1)/Yield_Originals!$K255</f>
        <v>0.12293142408192415</v>
      </c>
    </row>
    <row r="256" spans="1:28" x14ac:dyDescent="0.25">
      <c r="A256" s="109" t="s">
        <v>1024</v>
      </c>
      <c r="B256" s="70">
        <v>3</v>
      </c>
      <c r="C256" s="57" t="s">
        <v>427</v>
      </c>
      <c r="D256" s="57" t="s">
        <v>1023</v>
      </c>
      <c r="E256" s="100">
        <v>31</v>
      </c>
      <c r="F256" s="102">
        <v>0.14200308363967801</v>
      </c>
      <c r="G256" s="102">
        <v>0.14200308363967801</v>
      </c>
      <c r="H256" s="102">
        <f>+(Yield_Originals!I256+Yield_Originals!G256)/2</f>
        <v>0.13793956115311001</v>
      </c>
      <c r="I256" s="102">
        <v>0.13387603866654199</v>
      </c>
      <c r="J256" s="102">
        <v>0.13659047120213799</v>
      </c>
      <c r="K256" s="103">
        <v>2</v>
      </c>
      <c r="L256" s="104">
        <f>(Yield_Originals!$G256*Yield_Originals!L$1)/Yield_Originals!$K256</f>
        <v>8.5201850183806813E-2</v>
      </c>
      <c r="M256" s="104">
        <f>(Yield_Originals!$G256*Yield_Originals!M$1)/Yield_Originals!$K256</f>
        <v>8.7864408002050767E-2</v>
      </c>
      <c r="N256" s="104">
        <f>(Yield_Originals!$G256*Yield_Originals!N$1)/Yield_Originals!$K256</f>
        <v>9.0526965820294736E-2</v>
      </c>
      <c r="O256" s="104">
        <f>(Yield_Originals!$G256*Yield_Originals!O$1)/Yield_Originals!$K256</f>
        <v>9.3189523638538704E-2</v>
      </c>
      <c r="P256" s="105">
        <f>(Yield_Originals!$H256*Yield_Originals!P$1)/Yield_Originals!$K256</f>
        <v>9.3109203778349262E-2</v>
      </c>
      <c r="Q256" s="105">
        <f>(Yield_Originals!$H256*Yield_Originals!Q$1)/Yield_Originals!$K256</f>
        <v>9.5695570549970077E-2</v>
      </c>
      <c r="R256" s="105">
        <f>(Yield_Originals!$H256*Yield_Originals!R$1)/Yield_Originals!$K256</f>
        <v>9.8281937321590906E-2</v>
      </c>
      <c r="S256" s="105">
        <f>(Yield_Originals!$H256*Yield_Originals!S$1)/Yield_Originals!$K256</f>
        <v>0.10086830409321172</v>
      </c>
      <c r="T256" s="107">
        <f>(Yield_Originals!$I256*Yield_Originals!T$1)/Yield_Originals!$K256</f>
        <v>0.10040702899990653</v>
      </c>
      <c r="U256" s="107">
        <f>(Yield_Originals!$I256*Yield_Originals!U$1)/Yield_Originals!$K256</f>
        <v>0.10291720472490416</v>
      </c>
      <c r="V256" s="107">
        <f>(Yield_Originals!$I256*Yield_Originals!V$1)/Yield_Originals!$K256</f>
        <v>0.10542738044990183</v>
      </c>
      <c r="W256" s="107">
        <f>(Yield_Originals!$I256*Yield_Originals!W$1)/Yield_Originals!$K256</f>
        <v>0.10793755617489947</v>
      </c>
      <c r="X256" s="108">
        <f>(Yield_Originals!$J256*Yield_Originals!X$1)/Yield_Originals!$K256</f>
        <v>0.11268713874176384</v>
      </c>
      <c r="Y256" s="108">
        <f>(Yield_Originals!$J256*Yield_Originals!Y$1)/Yield_Originals!$K256</f>
        <v>0.1152482100768039</v>
      </c>
      <c r="Z256" s="108">
        <f>(Yield_Originals!$J256*Yield_Originals!Z$1)/Yield_Originals!$K256</f>
        <v>0.11780928141184399</v>
      </c>
      <c r="AA256" s="108">
        <f>(Yield_Originals!$J256*Yield_Originals!AA$1)/Yield_Originals!$K256</f>
        <v>0.12037035274688405</v>
      </c>
      <c r="AB256" s="108">
        <f>(Yield_Originals!$J256*Yield_Originals!AB$1)/Yield_Originals!$K256</f>
        <v>0.12293142408192415</v>
      </c>
    </row>
    <row r="257" spans="1:28" x14ac:dyDescent="0.25">
      <c r="A257" s="70" t="s">
        <v>1024</v>
      </c>
      <c r="B257" s="70">
        <v>3</v>
      </c>
      <c r="C257" s="99" t="s">
        <v>1109</v>
      </c>
      <c r="D257" s="99" t="s">
        <v>1155</v>
      </c>
      <c r="E257" s="100">
        <v>26</v>
      </c>
      <c r="F257" s="110">
        <f>Yield_Originals!G257</f>
        <v>0.14811298896966099</v>
      </c>
      <c r="G257" s="102">
        <v>0.14811298896966099</v>
      </c>
      <c r="H257" s="102">
        <v>0.14811298896966099</v>
      </c>
      <c r="I257" s="102">
        <f>+(Yield_Originals!H257+Yield_Originals!J257)/2</f>
        <v>0.1540564944848305</v>
      </c>
      <c r="J257" s="102">
        <v>0.16</v>
      </c>
      <c r="K257" s="103">
        <v>2</v>
      </c>
      <c r="L257" s="104">
        <f>(Yield_Originals!$G257*Yield_Originals!L$1)/Yield_Originals!$K257</f>
        <v>8.8867793381796609E-2</v>
      </c>
      <c r="M257" s="104">
        <f>(Yield_Originals!$G257*Yield_Originals!M$1)/Yield_Originals!$K257</f>
        <v>9.1644911924977743E-2</v>
      </c>
      <c r="N257" s="104">
        <f>(Yield_Originals!$G257*Yield_Originals!N$1)/Yield_Originals!$K257</f>
        <v>9.4422030468158891E-2</v>
      </c>
      <c r="O257" s="104">
        <f>(Yield_Originals!$G257*Yield_Originals!O$1)/Yield_Originals!$K257</f>
        <v>9.7199149011340039E-2</v>
      </c>
      <c r="P257" s="105">
        <f>(Yield_Originals!$H257*Yield_Originals!P$1)/Yield_Originals!$K257</f>
        <v>9.9976267554521173E-2</v>
      </c>
      <c r="Q257" s="105">
        <f>(Yield_Originals!$H257*Yield_Originals!Q$1)/Yield_Originals!$K257</f>
        <v>0.10275338609770232</v>
      </c>
      <c r="R257" s="105">
        <f>(Yield_Originals!$H257*Yield_Originals!R$1)/Yield_Originals!$K257</f>
        <v>0.10553050464088348</v>
      </c>
      <c r="S257" s="105">
        <f>(Yield_Originals!$H257*Yield_Originals!S$1)/Yield_Originals!$K257</f>
        <v>0.10830762318406463</v>
      </c>
      <c r="T257" s="107">
        <f>(Yield_Originals!$I257*Yield_Originals!T$1)/Yield_Originals!$K257</f>
        <v>0.1155423708636229</v>
      </c>
      <c r="U257" s="107">
        <f>(Yield_Originals!$I257*Yield_Originals!U$1)/Yield_Originals!$K257</f>
        <v>0.11843093013521346</v>
      </c>
      <c r="V257" s="107">
        <f>(Yield_Originals!$I257*Yield_Originals!V$1)/Yield_Originals!$K257</f>
        <v>0.12131948940680402</v>
      </c>
      <c r="W257" s="107">
        <f>(Yield_Originals!$I257*Yield_Originals!W$1)/Yield_Originals!$K257</f>
        <v>0.12420804867839458</v>
      </c>
      <c r="X257" s="108">
        <f>(Yield_Originals!$I257*Yield_Originals!X$1)/Yield_Originals!$K257</f>
        <v>0.12709660794998515</v>
      </c>
      <c r="Y257" s="108">
        <f>(Yield_Originals!$I257*Yield_Originals!Y$1)/Yield_Originals!$K257</f>
        <v>0.12998516722157569</v>
      </c>
      <c r="Z257"/>
      <c r="AA257"/>
      <c r="AB257"/>
    </row>
    <row r="258" spans="1:28" x14ac:dyDescent="0.25">
      <c r="A258" s="70" t="s">
        <v>1024</v>
      </c>
      <c r="B258" s="70">
        <v>3</v>
      </c>
      <c r="C258" s="99" t="s">
        <v>1109</v>
      </c>
      <c r="D258" s="99" t="s">
        <v>1155</v>
      </c>
      <c r="E258" s="100">
        <v>30</v>
      </c>
      <c r="F258" s="110">
        <f>Yield_Originals!G258</f>
        <v>0.14811298896966099</v>
      </c>
      <c r="G258" s="102">
        <v>0.14811298896966099</v>
      </c>
      <c r="H258" s="102">
        <v>0.14811298896966099</v>
      </c>
      <c r="I258" s="102">
        <f>+(Yield_Originals!H258+Yield_Originals!J258)/2</f>
        <v>0.1540564944848305</v>
      </c>
      <c r="J258" s="102">
        <v>0.16</v>
      </c>
      <c r="K258" s="103">
        <v>2</v>
      </c>
      <c r="L258" s="104">
        <f>(Yield_Originals!$G258*Yield_Originals!L$1)/Yield_Originals!$K258</f>
        <v>8.8867793381796609E-2</v>
      </c>
      <c r="M258" s="104">
        <f>(Yield_Originals!$G258*Yield_Originals!M$1)/Yield_Originals!$K258</f>
        <v>9.1644911924977743E-2</v>
      </c>
      <c r="N258" s="104">
        <f>(Yield_Originals!$G258*Yield_Originals!N$1)/Yield_Originals!$K258</f>
        <v>9.4422030468158891E-2</v>
      </c>
      <c r="O258" s="104">
        <f>(Yield_Originals!$G258*Yield_Originals!O$1)/Yield_Originals!$K258</f>
        <v>9.7199149011340039E-2</v>
      </c>
      <c r="P258" s="105">
        <f>(Yield_Originals!$H258*Yield_Originals!P$1)/Yield_Originals!$K258</f>
        <v>9.9976267554521173E-2</v>
      </c>
      <c r="Q258" s="105">
        <f>(Yield_Originals!$H258*Yield_Originals!Q$1)/Yield_Originals!$K258</f>
        <v>0.10275338609770232</v>
      </c>
      <c r="R258" s="105">
        <f>(Yield_Originals!$H258*Yield_Originals!R$1)/Yield_Originals!$K258</f>
        <v>0.10553050464088348</v>
      </c>
      <c r="S258" s="105">
        <f>(Yield_Originals!$H258*Yield_Originals!S$1)/Yield_Originals!$K258</f>
        <v>0.10830762318406463</v>
      </c>
      <c r="T258" s="107">
        <f>(Yield_Originals!$I258*Yield_Originals!T$1)/Yield_Originals!$K258</f>
        <v>0.1155423708636229</v>
      </c>
      <c r="U258" s="107">
        <f>(Yield_Originals!$I258*Yield_Originals!U$1)/Yield_Originals!$K258</f>
        <v>0.11843093013521346</v>
      </c>
      <c r="V258" s="107">
        <f>(Yield_Originals!$I258*Yield_Originals!V$1)/Yield_Originals!$K258</f>
        <v>0.12131948940680402</v>
      </c>
      <c r="W258" s="107">
        <f>(Yield_Originals!$I258*Yield_Originals!W$1)/Yield_Originals!$K258</f>
        <v>0.12420804867839458</v>
      </c>
      <c r="X258" s="108">
        <f>(Yield_Originals!$I258*Yield_Originals!X$1)/Yield_Originals!$K258</f>
        <v>0.12709660794998515</v>
      </c>
      <c r="Y258" s="108">
        <f>(Yield_Originals!$I258*Yield_Originals!Y$1)/Yield_Originals!$K258</f>
        <v>0.12998516722157569</v>
      </c>
      <c r="Z258"/>
      <c r="AA258"/>
      <c r="AB258"/>
    </row>
    <row r="259" spans="1:28" x14ac:dyDescent="0.25">
      <c r="A259" s="70" t="s">
        <v>1024</v>
      </c>
      <c r="B259" s="70">
        <v>3</v>
      </c>
      <c r="C259" s="99" t="s">
        <v>1109</v>
      </c>
      <c r="D259" s="99" t="s">
        <v>1155</v>
      </c>
      <c r="E259" s="100">
        <v>31</v>
      </c>
      <c r="F259" s="110">
        <f>Yield_Originals!G259</f>
        <v>0.14811298896966099</v>
      </c>
      <c r="G259" s="102">
        <v>0.14811298896966099</v>
      </c>
      <c r="H259" s="102">
        <v>0.14811298896966099</v>
      </c>
      <c r="I259" s="102">
        <f>+(Yield_Originals!H259+Yield_Originals!J259)/2</f>
        <v>0.1540564944848305</v>
      </c>
      <c r="J259" s="102">
        <v>0.16</v>
      </c>
      <c r="K259" s="103">
        <v>2</v>
      </c>
      <c r="L259" s="104">
        <f>(Yield_Originals!$G259*Yield_Originals!L$1)/Yield_Originals!$K259</f>
        <v>8.8867793381796609E-2</v>
      </c>
      <c r="M259" s="104">
        <f>(Yield_Originals!$G259*Yield_Originals!M$1)/Yield_Originals!$K259</f>
        <v>9.1644911924977743E-2</v>
      </c>
      <c r="N259" s="104">
        <f>(Yield_Originals!$G259*Yield_Originals!N$1)/Yield_Originals!$K259</f>
        <v>9.4422030468158891E-2</v>
      </c>
      <c r="O259" s="104">
        <f>(Yield_Originals!$G259*Yield_Originals!O$1)/Yield_Originals!$K259</f>
        <v>9.7199149011340039E-2</v>
      </c>
      <c r="P259" s="105">
        <f>(Yield_Originals!$H259*Yield_Originals!P$1)/Yield_Originals!$K259</f>
        <v>9.9976267554521173E-2</v>
      </c>
      <c r="Q259" s="105">
        <f>(Yield_Originals!$H259*Yield_Originals!Q$1)/Yield_Originals!$K259</f>
        <v>0.10275338609770232</v>
      </c>
      <c r="R259" s="105">
        <f>(Yield_Originals!$H259*Yield_Originals!R$1)/Yield_Originals!$K259</f>
        <v>0.10553050464088348</v>
      </c>
      <c r="S259" s="105">
        <f>(Yield_Originals!$H259*Yield_Originals!S$1)/Yield_Originals!$K259</f>
        <v>0.10830762318406463</v>
      </c>
      <c r="T259" s="107">
        <f>(Yield_Originals!$I259*Yield_Originals!T$1)/Yield_Originals!$K259</f>
        <v>0.1155423708636229</v>
      </c>
      <c r="U259" s="107">
        <f>(Yield_Originals!$I259*Yield_Originals!U$1)/Yield_Originals!$K259</f>
        <v>0.11843093013521346</v>
      </c>
      <c r="V259" s="107">
        <f>(Yield_Originals!$I259*Yield_Originals!V$1)/Yield_Originals!$K259</f>
        <v>0.12131948940680402</v>
      </c>
      <c r="W259" s="107">
        <f>(Yield_Originals!$I259*Yield_Originals!W$1)/Yield_Originals!$K259</f>
        <v>0.12420804867839458</v>
      </c>
      <c r="X259" s="108">
        <f>(Yield_Originals!$I259*Yield_Originals!X$1)/Yield_Originals!$K259</f>
        <v>0.12709660794998515</v>
      </c>
      <c r="Y259" s="108">
        <f>(Yield_Originals!$I259*Yield_Originals!Y$1)/Yield_Originals!$K259</f>
        <v>0.12998516722157569</v>
      </c>
      <c r="Z259"/>
      <c r="AA259"/>
      <c r="AB259"/>
    </row>
    <row r="260" spans="1:28" x14ac:dyDescent="0.25">
      <c r="A260" s="70" t="s">
        <v>1024</v>
      </c>
      <c r="B260" s="70">
        <v>3</v>
      </c>
      <c r="C260" s="99" t="s">
        <v>141</v>
      </c>
      <c r="D260" s="99" t="s">
        <v>1134</v>
      </c>
      <c r="E260" s="100">
        <v>26</v>
      </c>
      <c r="F260" s="110">
        <f>Yield_Originals!G260</f>
        <v>0.14811298896966099</v>
      </c>
      <c r="G260" s="102">
        <v>0.14811298896966099</v>
      </c>
      <c r="H260" s="102">
        <v>0.14811298896966099</v>
      </c>
      <c r="I260" s="102">
        <f>+(Yield_Originals!H260+Yield_Originals!J260)/2</f>
        <v>0.1540564944848305</v>
      </c>
      <c r="J260" s="102">
        <v>0.16</v>
      </c>
      <c r="K260" s="103">
        <v>2</v>
      </c>
      <c r="L260" s="104"/>
      <c r="M260" s="104"/>
      <c r="N260" s="104"/>
      <c r="O260" s="104"/>
      <c r="P260" s="105">
        <f>(Yield_Originals!$H260*Yield_Originals!P$1)/Yield_Originals!$K260</f>
        <v>9.9976267554521173E-2</v>
      </c>
      <c r="Q260" s="105">
        <f>(Yield_Originals!$H260*Yield_Originals!Q$1)/Yield_Originals!$K260</f>
        <v>0.10275338609770232</v>
      </c>
      <c r="R260" s="105">
        <f>(Yield_Originals!$H260*Yield_Originals!R$1)/Yield_Originals!$K260</f>
        <v>0.10553050464088348</v>
      </c>
      <c r="S260" s="105">
        <f>(Yield_Originals!$H260*Yield_Originals!S$1)/Yield_Originals!$K260</f>
        <v>0.10830762318406463</v>
      </c>
      <c r="T260" s="107">
        <f>(Yield_Originals!$I260*Yield_Originals!T$1)/Yield_Originals!$K260</f>
        <v>0.1155423708636229</v>
      </c>
      <c r="U260" s="107">
        <f>(Yield_Originals!$I260*Yield_Originals!U$1)/Yield_Originals!$K260</f>
        <v>0.11843093013521346</v>
      </c>
      <c r="V260" s="107">
        <f>(Yield_Originals!$I260*Yield_Originals!V$1)/Yield_Originals!$K260</f>
        <v>0.12131948940680402</v>
      </c>
      <c r="W260" s="107">
        <f>(Yield_Originals!$I260*Yield_Originals!W$1)/Yield_Originals!$K260</f>
        <v>0.12420804867839458</v>
      </c>
      <c r="X260" s="108">
        <f>(Yield_Originals!$I260*Yield_Originals!X$1)/Yield_Originals!$K260</f>
        <v>0.12709660794998515</v>
      </c>
      <c r="Y260" s="108">
        <f>(Yield_Originals!$I260*Yield_Originals!Y$1)/Yield_Originals!$K260</f>
        <v>0.12998516722157569</v>
      </c>
      <c r="Z260"/>
      <c r="AA260"/>
      <c r="AB260"/>
    </row>
    <row r="261" spans="1:28" x14ac:dyDescent="0.25">
      <c r="A261" s="70" t="s">
        <v>1024</v>
      </c>
      <c r="B261" s="70">
        <v>3</v>
      </c>
      <c r="C261" s="99" t="s">
        <v>141</v>
      </c>
      <c r="D261" s="99" t="s">
        <v>1134</v>
      </c>
      <c r="E261" s="100">
        <v>30</v>
      </c>
      <c r="F261" s="110">
        <f>Yield_Originals!G261</f>
        <v>0.14811298896966099</v>
      </c>
      <c r="G261" s="102">
        <v>0.14811298896966099</v>
      </c>
      <c r="H261" s="102">
        <v>0.14811298896966099</v>
      </c>
      <c r="I261" s="102">
        <f>+(Yield_Originals!H261+Yield_Originals!J261)/2</f>
        <v>0.1540564944848305</v>
      </c>
      <c r="J261" s="102">
        <v>0.16</v>
      </c>
      <c r="K261" s="103">
        <v>2</v>
      </c>
      <c r="L261" s="104"/>
      <c r="M261" s="104"/>
      <c r="N261" s="104"/>
      <c r="O261" s="104"/>
      <c r="P261" s="105">
        <f>(Yield_Originals!$H261*Yield_Originals!P$1)/Yield_Originals!$K261</f>
        <v>9.9976267554521173E-2</v>
      </c>
      <c r="Q261" s="105">
        <f>(Yield_Originals!$H261*Yield_Originals!Q$1)/Yield_Originals!$K261</f>
        <v>0.10275338609770232</v>
      </c>
      <c r="R261" s="105">
        <f>(Yield_Originals!$H261*Yield_Originals!R$1)/Yield_Originals!$K261</f>
        <v>0.10553050464088348</v>
      </c>
      <c r="S261" s="105">
        <f>(Yield_Originals!$H261*Yield_Originals!S$1)/Yield_Originals!$K261</f>
        <v>0.10830762318406463</v>
      </c>
      <c r="T261" s="107">
        <f>(Yield_Originals!$I261*Yield_Originals!T$1)/Yield_Originals!$K261</f>
        <v>0.1155423708636229</v>
      </c>
      <c r="U261" s="107">
        <f>(Yield_Originals!$I261*Yield_Originals!U$1)/Yield_Originals!$K261</f>
        <v>0.11843093013521346</v>
      </c>
      <c r="V261" s="107">
        <f>(Yield_Originals!$I261*Yield_Originals!V$1)/Yield_Originals!$K261</f>
        <v>0.12131948940680402</v>
      </c>
      <c r="W261" s="107">
        <f>(Yield_Originals!$I261*Yield_Originals!W$1)/Yield_Originals!$K261</f>
        <v>0.12420804867839458</v>
      </c>
      <c r="X261" s="108">
        <f>(Yield_Originals!$I261*Yield_Originals!X$1)/Yield_Originals!$K261</f>
        <v>0.12709660794998515</v>
      </c>
      <c r="Y261" s="108">
        <f>(Yield_Originals!$I261*Yield_Originals!Y$1)/Yield_Originals!$K261</f>
        <v>0.12998516722157569</v>
      </c>
      <c r="Z261"/>
      <c r="AA261"/>
      <c r="AB261"/>
    </row>
    <row r="262" spans="1:28" x14ac:dyDescent="0.25">
      <c r="A262" s="70" t="s">
        <v>1024</v>
      </c>
      <c r="B262" s="70">
        <v>3</v>
      </c>
      <c r="C262" s="99" t="s">
        <v>141</v>
      </c>
      <c r="D262" s="99" t="s">
        <v>1134</v>
      </c>
      <c r="E262" s="100">
        <v>31</v>
      </c>
      <c r="F262" s="110">
        <f>Yield_Originals!G262</f>
        <v>0.14811298896966099</v>
      </c>
      <c r="G262" s="102">
        <v>0.14811298896966099</v>
      </c>
      <c r="H262" s="102">
        <v>0.14811298896966099</v>
      </c>
      <c r="I262" s="102">
        <f>+(Yield_Originals!H262+Yield_Originals!J262)/2</f>
        <v>0.1540564944848305</v>
      </c>
      <c r="J262" s="102">
        <v>0.16</v>
      </c>
      <c r="K262" s="103">
        <v>2</v>
      </c>
      <c r="L262" s="104"/>
      <c r="M262" s="104"/>
      <c r="N262" s="104"/>
      <c r="O262" s="104"/>
      <c r="P262" s="105">
        <f>(Yield_Originals!$H262*Yield_Originals!P$1)/Yield_Originals!$K262</f>
        <v>9.9976267554521173E-2</v>
      </c>
      <c r="Q262" s="105">
        <f>(Yield_Originals!$H262*Yield_Originals!Q$1)/Yield_Originals!$K262</f>
        <v>0.10275338609770232</v>
      </c>
      <c r="R262" s="105">
        <f>(Yield_Originals!$H262*Yield_Originals!R$1)/Yield_Originals!$K262</f>
        <v>0.10553050464088348</v>
      </c>
      <c r="S262" s="105">
        <f>(Yield_Originals!$H262*Yield_Originals!S$1)/Yield_Originals!$K262</f>
        <v>0.10830762318406463</v>
      </c>
      <c r="T262" s="107">
        <f>(Yield_Originals!$I262*Yield_Originals!T$1)/Yield_Originals!$K262</f>
        <v>0.1155423708636229</v>
      </c>
      <c r="U262" s="107">
        <f>(Yield_Originals!$I262*Yield_Originals!U$1)/Yield_Originals!$K262</f>
        <v>0.11843093013521346</v>
      </c>
      <c r="V262" s="107">
        <f>(Yield_Originals!$I262*Yield_Originals!V$1)/Yield_Originals!$K262</f>
        <v>0.12131948940680402</v>
      </c>
      <c r="W262" s="107">
        <f>(Yield_Originals!$I262*Yield_Originals!W$1)/Yield_Originals!$K262</f>
        <v>0.12420804867839458</v>
      </c>
      <c r="X262" s="108">
        <f>(Yield_Originals!$I262*Yield_Originals!X$1)/Yield_Originals!$K262</f>
        <v>0.12709660794998515</v>
      </c>
      <c r="Y262" s="108">
        <f>(Yield_Originals!$I262*Yield_Originals!Y$1)/Yield_Originals!$K262</f>
        <v>0.12998516722157569</v>
      </c>
      <c r="Z262"/>
      <c r="AA262"/>
      <c r="AB262"/>
    </row>
    <row r="263" spans="1:28" x14ac:dyDescent="0.25">
      <c r="A263" s="70" t="s">
        <v>1024</v>
      </c>
      <c r="B263" s="70">
        <v>3</v>
      </c>
      <c r="C263" s="99" t="s">
        <v>254</v>
      </c>
      <c r="D263" s="99" t="s">
        <v>1134</v>
      </c>
      <c r="E263" s="100">
        <v>26</v>
      </c>
      <c r="F263" s="110">
        <f>Yield_Originals!G263</f>
        <v>0.14811298896966099</v>
      </c>
      <c r="G263" s="102">
        <v>0.14811298896966099</v>
      </c>
      <c r="H263" s="102">
        <v>0.14811298896966099</v>
      </c>
      <c r="I263" s="102">
        <f>+(Yield_Originals!H263+Yield_Originals!J263)/2</f>
        <v>0.1540564944848305</v>
      </c>
      <c r="J263" s="102">
        <v>0.16</v>
      </c>
      <c r="K263" s="103">
        <v>2</v>
      </c>
      <c r="L263" s="104"/>
      <c r="M263" s="104"/>
      <c r="N263" s="104"/>
      <c r="O263" s="104"/>
      <c r="P263" s="105">
        <f>(Yield_Originals!$H263*Yield_Originals!P$1)/Yield_Originals!$K263</f>
        <v>9.9976267554521173E-2</v>
      </c>
      <c r="Q263" s="105">
        <f>(Yield_Originals!$H263*Yield_Originals!Q$1)/Yield_Originals!$K263</f>
        <v>0.10275338609770232</v>
      </c>
      <c r="R263" s="105">
        <f>(Yield_Originals!$H263*Yield_Originals!R$1)/Yield_Originals!$K263</f>
        <v>0.10553050464088348</v>
      </c>
      <c r="S263" s="105">
        <f>(Yield_Originals!$H263*Yield_Originals!S$1)/Yield_Originals!$K263</f>
        <v>0.10830762318406463</v>
      </c>
      <c r="T263" s="107">
        <f>(Yield_Originals!$I263*Yield_Originals!T$1)/Yield_Originals!$K263</f>
        <v>0.1155423708636229</v>
      </c>
      <c r="U263" s="107">
        <f>(Yield_Originals!$I263*Yield_Originals!U$1)/Yield_Originals!$K263</f>
        <v>0.11843093013521346</v>
      </c>
      <c r="V263" s="107">
        <f>(Yield_Originals!$I263*Yield_Originals!V$1)/Yield_Originals!$K263</f>
        <v>0.12131948940680402</v>
      </c>
      <c r="W263" s="107">
        <f>(Yield_Originals!$I263*Yield_Originals!W$1)/Yield_Originals!$K263</f>
        <v>0.12420804867839458</v>
      </c>
      <c r="X263" s="108">
        <f>(Yield_Originals!$I263*Yield_Originals!X$1)/Yield_Originals!$K263</f>
        <v>0.12709660794998515</v>
      </c>
      <c r="Y263" s="108">
        <f>(Yield_Originals!$I263*Yield_Originals!Y$1)/Yield_Originals!$K263</f>
        <v>0.12998516722157569</v>
      </c>
      <c r="Z263"/>
      <c r="AA263"/>
      <c r="AB263"/>
    </row>
    <row r="264" spans="1:28" x14ac:dyDescent="0.25">
      <c r="A264" s="70" t="s">
        <v>1024</v>
      </c>
      <c r="B264" s="70">
        <v>3</v>
      </c>
      <c r="C264" s="99" t="s">
        <v>254</v>
      </c>
      <c r="D264" s="99" t="s">
        <v>1134</v>
      </c>
      <c r="E264" s="100">
        <v>30</v>
      </c>
      <c r="F264" s="110">
        <f>Yield_Originals!G264</f>
        <v>0.14811298896966099</v>
      </c>
      <c r="G264" s="102">
        <v>0.14811298896966099</v>
      </c>
      <c r="H264" s="102">
        <v>0.14811298896966099</v>
      </c>
      <c r="I264" s="102">
        <f>+(Yield_Originals!H264+Yield_Originals!J264)/2</f>
        <v>0.1540564944848305</v>
      </c>
      <c r="J264" s="102">
        <v>0.16</v>
      </c>
      <c r="K264" s="103">
        <v>2</v>
      </c>
      <c r="L264" s="104"/>
      <c r="M264" s="104"/>
      <c r="N264" s="104"/>
      <c r="O264" s="104"/>
      <c r="P264" s="105">
        <f>(Yield_Originals!$H264*Yield_Originals!P$1)/Yield_Originals!$K264</f>
        <v>9.9976267554521173E-2</v>
      </c>
      <c r="Q264" s="105">
        <f>(Yield_Originals!$H264*Yield_Originals!Q$1)/Yield_Originals!$K264</f>
        <v>0.10275338609770232</v>
      </c>
      <c r="R264" s="105">
        <f>(Yield_Originals!$H264*Yield_Originals!R$1)/Yield_Originals!$K264</f>
        <v>0.10553050464088348</v>
      </c>
      <c r="S264" s="105">
        <f>(Yield_Originals!$H264*Yield_Originals!S$1)/Yield_Originals!$K264</f>
        <v>0.10830762318406463</v>
      </c>
      <c r="T264" s="107">
        <f>(Yield_Originals!$I264*Yield_Originals!T$1)/Yield_Originals!$K264</f>
        <v>0.1155423708636229</v>
      </c>
      <c r="U264" s="107">
        <f>(Yield_Originals!$I264*Yield_Originals!U$1)/Yield_Originals!$K264</f>
        <v>0.11843093013521346</v>
      </c>
      <c r="V264" s="107">
        <f>(Yield_Originals!$I264*Yield_Originals!V$1)/Yield_Originals!$K264</f>
        <v>0.12131948940680402</v>
      </c>
      <c r="W264" s="107">
        <f>(Yield_Originals!$I264*Yield_Originals!W$1)/Yield_Originals!$K264</f>
        <v>0.12420804867839458</v>
      </c>
      <c r="X264" s="108">
        <f>(Yield_Originals!$I264*Yield_Originals!X$1)/Yield_Originals!$K264</f>
        <v>0.12709660794998515</v>
      </c>
      <c r="Y264" s="108">
        <f>(Yield_Originals!$I264*Yield_Originals!Y$1)/Yield_Originals!$K264</f>
        <v>0.12998516722157569</v>
      </c>
      <c r="Z264"/>
      <c r="AA264"/>
      <c r="AB264"/>
    </row>
    <row r="265" spans="1:28" x14ac:dyDescent="0.25">
      <c r="A265" s="70" t="s">
        <v>1024</v>
      </c>
      <c r="B265" s="70">
        <v>3</v>
      </c>
      <c r="C265" s="99" t="s">
        <v>254</v>
      </c>
      <c r="D265" s="99" t="s">
        <v>1134</v>
      </c>
      <c r="E265" s="100">
        <v>31</v>
      </c>
      <c r="F265" s="110">
        <f>Yield_Originals!G265</f>
        <v>0.14811298896966099</v>
      </c>
      <c r="G265" s="102">
        <v>0.14811298896966099</v>
      </c>
      <c r="H265" s="102">
        <v>0.14811298896966099</v>
      </c>
      <c r="I265" s="102">
        <f>+(Yield_Originals!H265+Yield_Originals!J265)/2</f>
        <v>0.1540564944848305</v>
      </c>
      <c r="J265" s="102">
        <v>0.16</v>
      </c>
      <c r="K265" s="103">
        <v>2</v>
      </c>
      <c r="L265" s="104"/>
      <c r="M265" s="104"/>
      <c r="N265" s="104"/>
      <c r="O265" s="104"/>
      <c r="P265" s="105">
        <f>(Yield_Originals!$H265*Yield_Originals!P$1)/Yield_Originals!$K265</f>
        <v>9.9976267554521173E-2</v>
      </c>
      <c r="Q265" s="105">
        <f>(Yield_Originals!$H265*Yield_Originals!Q$1)/Yield_Originals!$K265</f>
        <v>0.10275338609770232</v>
      </c>
      <c r="R265" s="105">
        <f>(Yield_Originals!$H265*Yield_Originals!R$1)/Yield_Originals!$K265</f>
        <v>0.10553050464088348</v>
      </c>
      <c r="S265" s="105">
        <f>(Yield_Originals!$H265*Yield_Originals!S$1)/Yield_Originals!$K265</f>
        <v>0.10830762318406463</v>
      </c>
      <c r="T265" s="107">
        <f>(Yield_Originals!$I265*Yield_Originals!T$1)/Yield_Originals!$K265</f>
        <v>0.1155423708636229</v>
      </c>
      <c r="U265" s="107">
        <f>(Yield_Originals!$I265*Yield_Originals!U$1)/Yield_Originals!$K265</f>
        <v>0.11843093013521346</v>
      </c>
      <c r="V265" s="107">
        <f>(Yield_Originals!$I265*Yield_Originals!V$1)/Yield_Originals!$K265</f>
        <v>0.12131948940680402</v>
      </c>
      <c r="W265" s="107">
        <f>(Yield_Originals!$I265*Yield_Originals!W$1)/Yield_Originals!$K265</f>
        <v>0.12420804867839458</v>
      </c>
      <c r="X265" s="108">
        <f>(Yield_Originals!$I265*Yield_Originals!X$1)/Yield_Originals!$K265</f>
        <v>0.12709660794998515</v>
      </c>
      <c r="Y265" s="108">
        <f>(Yield_Originals!$I265*Yield_Originals!Y$1)/Yield_Originals!$K265</f>
        <v>0.12998516722157569</v>
      </c>
      <c r="Z265"/>
      <c r="AA265"/>
      <c r="AB265"/>
    </row>
    <row r="266" spans="1:28" x14ac:dyDescent="0.25">
      <c r="A266" s="70" t="s">
        <v>1024</v>
      </c>
      <c r="B266" s="70">
        <v>3</v>
      </c>
      <c r="C266" s="99" t="s">
        <v>142</v>
      </c>
      <c r="D266" s="99" t="s">
        <v>1138</v>
      </c>
      <c r="E266" s="100">
        <v>26</v>
      </c>
      <c r="F266" s="110">
        <f>Yield_Originals!G266</f>
        <v>0.14811298896966099</v>
      </c>
      <c r="G266" s="102">
        <v>0.14811298896966099</v>
      </c>
      <c r="H266" s="102">
        <v>0.14811298896966099</v>
      </c>
      <c r="I266" s="102">
        <f>+(Yield_Originals!H266+Yield_Originals!J266)/2</f>
        <v>0.1540564944848305</v>
      </c>
      <c r="J266" s="102">
        <v>0.16</v>
      </c>
      <c r="K266" s="103">
        <v>2</v>
      </c>
      <c r="L266" s="104"/>
      <c r="M266" s="104"/>
      <c r="N266" s="104"/>
      <c r="O266" s="104"/>
      <c r="P266" s="105">
        <f>(Yield_Originals!$H266*Yield_Originals!P$1)/Yield_Originals!$K266</f>
        <v>9.9976267554521173E-2</v>
      </c>
      <c r="Q266" s="105">
        <f>(Yield_Originals!$H266*Yield_Originals!Q$1)/Yield_Originals!$K266</f>
        <v>0.10275338609770232</v>
      </c>
      <c r="R266" s="105">
        <f>(Yield_Originals!$H266*Yield_Originals!R$1)/Yield_Originals!$K266</f>
        <v>0.10553050464088348</v>
      </c>
      <c r="S266" s="105">
        <f>(Yield_Originals!$H266*Yield_Originals!S$1)/Yield_Originals!$K266</f>
        <v>0.10830762318406463</v>
      </c>
      <c r="T266" s="107">
        <f>(Yield_Originals!$I266*Yield_Originals!T$1)/Yield_Originals!$K266</f>
        <v>0.1155423708636229</v>
      </c>
      <c r="U266" s="107">
        <f>(Yield_Originals!$I266*Yield_Originals!U$1)/Yield_Originals!$K266</f>
        <v>0.11843093013521346</v>
      </c>
      <c r="V266" s="107">
        <f>(Yield_Originals!$I266*Yield_Originals!V$1)/Yield_Originals!$K266</f>
        <v>0.12131948940680402</v>
      </c>
      <c r="W266" s="107">
        <f>(Yield_Originals!$I266*Yield_Originals!W$1)/Yield_Originals!$K266</f>
        <v>0.12420804867839458</v>
      </c>
      <c r="X266" s="108">
        <f>(Yield_Originals!$I266*Yield_Originals!X$1)/Yield_Originals!$K266</f>
        <v>0.12709660794998515</v>
      </c>
      <c r="Y266" s="108">
        <f>(Yield_Originals!$I266*Yield_Originals!Y$1)/Yield_Originals!$K266</f>
        <v>0.12998516722157569</v>
      </c>
      <c r="Z266"/>
      <c r="AA266"/>
      <c r="AB266"/>
    </row>
    <row r="267" spans="1:28" x14ac:dyDescent="0.25">
      <c r="A267" s="70" t="s">
        <v>1024</v>
      </c>
      <c r="B267" s="70">
        <v>3</v>
      </c>
      <c r="C267" s="99" t="s">
        <v>142</v>
      </c>
      <c r="D267" s="99" t="s">
        <v>1138</v>
      </c>
      <c r="E267" s="100">
        <v>30</v>
      </c>
      <c r="F267" s="110">
        <f>Yield_Originals!G267</f>
        <v>0.14811298896966099</v>
      </c>
      <c r="G267" s="102">
        <v>0.14811298896966099</v>
      </c>
      <c r="H267" s="102">
        <v>0.14811298896966099</v>
      </c>
      <c r="I267" s="102">
        <f>+(Yield_Originals!H267+Yield_Originals!J267)/2</f>
        <v>0.1540564944848305</v>
      </c>
      <c r="J267" s="102">
        <v>0.16</v>
      </c>
      <c r="K267" s="103">
        <v>2</v>
      </c>
      <c r="L267" s="104"/>
      <c r="M267" s="104"/>
      <c r="N267" s="104"/>
      <c r="O267" s="104"/>
      <c r="P267" s="105">
        <f>(Yield_Originals!$H267*Yield_Originals!P$1)/Yield_Originals!$K267</f>
        <v>9.9976267554521173E-2</v>
      </c>
      <c r="Q267" s="105">
        <f>(Yield_Originals!$H267*Yield_Originals!Q$1)/Yield_Originals!$K267</f>
        <v>0.10275338609770232</v>
      </c>
      <c r="R267" s="105">
        <f>(Yield_Originals!$H267*Yield_Originals!R$1)/Yield_Originals!$K267</f>
        <v>0.10553050464088348</v>
      </c>
      <c r="S267" s="105">
        <f>(Yield_Originals!$H267*Yield_Originals!S$1)/Yield_Originals!$K267</f>
        <v>0.10830762318406463</v>
      </c>
      <c r="T267" s="107">
        <f>(Yield_Originals!$I267*Yield_Originals!T$1)/Yield_Originals!$K267</f>
        <v>0.1155423708636229</v>
      </c>
      <c r="U267" s="107">
        <f>(Yield_Originals!$I267*Yield_Originals!U$1)/Yield_Originals!$K267</f>
        <v>0.11843093013521346</v>
      </c>
      <c r="V267" s="107">
        <f>(Yield_Originals!$I267*Yield_Originals!V$1)/Yield_Originals!$K267</f>
        <v>0.12131948940680402</v>
      </c>
      <c r="W267" s="107">
        <f>(Yield_Originals!$I267*Yield_Originals!W$1)/Yield_Originals!$K267</f>
        <v>0.12420804867839458</v>
      </c>
      <c r="X267" s="108">
        <f>(Yield_Originals!$I267*Yield_Originals!X$1)/Yield_Originals!$K267</f>
        <v>0.12709660794998515</v>
      </c>
      <c r="Y267" s="108">
        <f>(Yield_Originals!$I267*Yield_Originals!Y$1)/Yield_Originals!$K267</f>
        <v>0.12998516722157569</v>
      </c>
      <c r="Z267"/>
      <c r="AA267"/>
      <c r="AB267"/>
    </row>
    <row r="268" spans="1:28" x14ac:dyDescent="0.25">
      <c r="A268" s="70" t="s">
        <v>1024</v>
      </c>
      <c r="B268" s="70">
        <v>3</v>
      </c>
      <c r="C268" s="99" t="s">
        <v>142</v>
      </c>
      <c r="D268" s="99" t="s">
        <v>1138</v>
      </c>
      <c r="E268" s="100">
        <v>31</v>
      </c>
      <c r="F268" s="110">
        <f>Yield_Originals!G268</f>
        <v>0.14811298896966099</v>
      </c>
      <c r="G268" s="102">
        <v>0.14811298896966099</v>
      </c>
      <c r="H268" s="102">
        <v>0.14811298896966099</v>
      </c>
      <c r="I268" s="102">
        <f>+(Yield_Originals!H268+Yield_Originals!J268)/2</f>
        <v>0.1540564944848305</v>
      </c>
      <c r="J268" s="102">
        <v>0.16</v>
      </c>
      <c r="K268" s="103">
        <v>2</v>
      </c>
      <c r="L268" s="104"/>
      <c r="M268" s="104"/>
      <c r="N268" s="104"/>
      <c r="O268" s="104"/>
      <c r="P268" s="105">
        <f>(Yield_Originals!$H268*Yield_Originals!P$1)/Yield_Originals!$K268</f>
        <v>9.9976267554521173E-2</v>
      </c>
      <c r="Q268" s="105">
        <f>(Yield_Originals!$H268*Yield_Originals!Q$1)/Yield_Originals!$K268</f>
        <v>0.10275338609770232</v>
      </c>
      <c r="R268" s="105">
        <f>(Yield_Originals!$H268*Yield_Originals!R$1)/Yield_Originals!$K268</f>
        <v>0.10553050464088348</v>
      </c>
      <c r="S268" s="105">
        <f>(Yield_Originals!$H268*Yield_Originals!S$1)/Yield_Originals!$K268</f>
        <v>0.10830762318406463</v>
      </c>
      <c r="T268" s="107">
        <f>(Yield_Originals!$I268*Yield_Originals!T$1)/Yield_Originals!$K268</f>
        <v>0.1155423708636229</v>
      </c>
      <c r="U268" s="107">
        <f>(Yield_Originals!$I268*Yield_Originals!U$1)/Yield_Originals!$K268</f>
        <v>0.11843093013521346</v>
      </c>
      <c r="V268" s="107">
        <f>(Yield_Originals!$I268*Yield_Originals!V$1)/Yield_Originals!$K268</f>
        <v>0.12131948940680402</v>
      </c>
      <c r="W268" s="107">
        <f>(Yield_Originals!$I268*Yield_Originals!W$1)/Yield_Originals!$K268</f>
        <v>0.12420804867839458</v>
      </c>
      <c r="X268" s="108">
        <f>(Yield_Originals!$I268*Yield_Originals!X$1)/Yield_Originals!$K268</f>
        <v>0.12709660794998515</v>
      </c>
      <c r="Y268" s="108">
        <f>(Yield_Originals!$I268*Yield_Originals!Y$1)/Yield_Originals!$K268</f>
        <v>0.12998516722157569</v>
      </c>
      <c r="Z268"/>
      <c r="AA268"/>
      <c r="AB268"/>
    </row>
    <row r="269" spans="1:28" x14ac:dyDescent="0.25">
      <c r="A269" s="70" t="s">
        <v>1024</v>
      </c>
      <c r="B269" s="70">
        <v>3</v>
      </c>
      <c r="C269" s="99" t="s">
        <v>255</v>
      </c>
      <c r="D269" s="99" t="s">
        <v>1140</v>
      </c>
      <c r="E269" s="100">
        <v>26</v>
      </c>
      <c r="F269" s="110">
        <f>Yield_Originals!G269</f>
        <v>0.14811298896966099</v>
      </c>
      <c r="G269" s="102">
        <v>0.14811298896966099</v>
      </c>
      <c r="H269" s="102">
        <v>0.14811298896966099</v>
      </c>
      <c r="I269" s="102">
        <f>+(Yield_Originals!H269+Yield_Originals!J269)/2</f>
        <v>0.1540564944848305</v>
      </c>
      <c r="J269" s="102">
        <v>0.16</v>
      </c>
      <c r="K269" s="103">
        <v>2</v>
      </c>
      <c r="L269" s="104"/>
      <c r="M269" s="104"/>
      <c r="N269" s="104"/>
      <c r="O269" s="104"/>
      <c r="P269" s="105">
        <f>(Yield_Originals!$H269*Yield_Originals!P$1)/Yield_Originals!$K269</f>
        <v>9.9976267554521173E-2</v>
      </c>
      <c r="Q269" s="105">
        <f>(Yield_Originals!$H269*Yield_Originals!Q$1)/Yield_Originals!$K269</f>
        <v>0.10275338609770232</v>
      </c>
      <c r="R269" s="105">
        <f>(Yield_Originals!$H269*Yield_Originals!R$1)/Yield_Originals!$K269</f>
        <v>0.10553050464088348</v>
      </c>
      <c r="S269" s="105">
        <f>(Yield_Originals!$H269*Yield_Originals!S$1)/Yield_Originals!$K269</f>
        <v>0.10830762318406463</v>
      </c>
      <c r="T269" s="107">
        <f>(Yield_Originals!$I269*Yield_Originals!T$1)/Yield_Originals!$K269</f>
        <v>0.1155423708636229</v>
      </c>
      <c r="U269" s="107">
        <f>(Yield_Originals!$I269*Yield_Originals!U$1)/Yield_Originals!$K269</f>
        <v>0.11843093013521346</v>
      </c>
      <c r="V269" s="107">
        <f>(Yield_Originals!$I269*Yield_Originals!V$1)/Yield_Originals!$K269</f>
        <v>0.12131948940680402</v>
      </c>
      <c r="W269" s="107">
        <f>(Yield_Originals!$I269*Yield_Originals!W$1)/Yield_Originals!$K269</f>
        <v>0.12420804867839458</v>
      </c>
      <c r="X269" s="108">
        <f>(Yield_Originals!$I269*Yield_Originals!X$1)/Yield_Originals!$K269</f>
        <v>0.12709660794998515</v>
      </c>
      <c r="Y269" s="108">
        <f>(Yield_Originals!$I269*Yield_Originals!Y$1)/Yield_Originals!$K269</f>
        <v>0.12998516722157569</v>
      </c>
      <c r="Z269"/>
      <c r="AA269"/>
      <c r="AB269"/>
    </row>
    <row r="270" spans="1:28" x14ac:dyDescent="0.25">
      <c r="A270" s="70" t="s">
        <v>1024</v>
      </c>
      <c r="B270" s="70">
        <v>3</v>
      </c>
      <c r="C270" s="99" t="s">
        <v>255</v>
      </c>
      <c r="D270" s="99" t="s">
        <v>1140</v>
      </c>
      <c r="E270" s="100">
        <v>30</v>
      </c>
      <c r="F270" s="110">
        <f>Yield_Originals!G270</f>
        <v>0.14811298896966099</v>
      </c>
      <c r="G270" s="102">
        <v>0.14811298896966099</v>
      </c>
      <c r="H270" s="102">
        <v>0.14811298896966099</v>
      </c>
      <c r="I270" s="102">
        <f>+(Yield_Originals!H270+Yield_Originals!J270)/2</f>
        <v>0.1540564944848305</v>
      </c>
      <c r="J270" s="102">
        <v>0.16</v>
      </c>
      <c r="K270" s="103">
        <v>2</v>
      </c>
      <c r="L270" s="104"/>
      <c r="M270" s="104"/>
      <c r="N270" s="104"/>
      <c r="O270" s="104"/>
      <c r="P270" s="105">
        <f>(Yield_Originals!$H270*Yield_Originals!P$1)/Yield_Originals!$K270</f>
        <v>9.9976267554521173E-2</v>
      </c>
      <c r="Q270" s="105">
        <f>(Yield_Originals!$H270*Yield_Originals!Q$1)/Yield_Originals!$K270</f>
        <v>0.10275338609770232</v>
      </c>
      <c r="R270" s="105">
        <f>(Yield_Originals!$H270*Yield_Originals!R$1)/Yield_Originals!$K270</f>
        <v>0.10553050464088348</v>
      </c>
      <c r="S270" s="105">
        <f>(Yield_Originals!$H270*Yield_Originals!S$1)/Yield_Originals!$K270</f>
        <v>0.10830762318406463</v>
      </c>
      <c r="T270" s="107">
        <f>(Yield_Originals!$I270*Yield_Originals!T$1)/Yield_Originals!$K270</f>
        <v>0.1155423708636229</v>
      </c>
      <c r="U270" s="107">
        <f>(Yield_Originals!$I270*Yield_Originals!U$1)/Yield_Originals!$K270</f>
        <v>0.11843093013521346</v>
      </c>
      <c r="V270" s="107">
        <f>(Yield_Originals!$I270*Yield_Originals!V$1)/Yield_Originals!$K270</f>
        <v>0.12131948940680402</v>
      </c>
      <c r="W270" s="107">
        <f>(Yield_Originals!$I270*Yield_Originals!W$1)/Yield_Originals!$K270</f>
        <v>0.12420804867839458</v>
      </c>
      <c r="X270" s="108">
        <f>(Yield_Originals!$I270*Yield_Originals!X$1)/Yield_Originals!$K270</f>
        <v>0.12709660794998515</v>
      </c>
      <c r="Y270" s="108">
        <f>(Yield_Originals!$I270*Yield_Originals!Y$1)/Yield_Originals!$K270</f>
        <v>0.12998516722157569</v>
      </c>
      <c r="Z270"/>
      <c r="AA270"/>
      <c r="AB270"/>
    </row>
    <row r="271" spans="1:28" x14ac:dyDescent="0.25">
      <c r="A271" s="70" t="s">
        <v>1024</v>
      </c>
      <c r="B271" s="70">
        <v>3</v>
      </c>
      <c r="C271" s="99" t="s">
        <v>255</v>
      </c>
      <c r="D271" s="99" t="s">
        <v>1140</v>
      </c>
      <c r="E271" s="100">
        <v>31</v>
      </c>
      <c r="F271" s="110">
        <f>Yield_Originals!G271</f>
        <v>0.14811298896966099</v>
      </c>
      <c r="G271" s="102">
        <v>0.14811298896966099</v>
      </c>
      <c r="H271" s="102">
        <v>0.14811298896966099</v>
      </c>
      <c r="I271" s="102">
        <f>+(Yield_Originals!H271+Yield_Originals!J271)/2</f>
        <v>0.1540564944848305</v>
      </c>
      <c r="J271" s="102">
        <v>0.16</v>
      </c>
      <c r="K271" s="103">
        <v>2</v>
      </c>
      <c r="L271" s="104"/>
      <c r="M271" s="104"/>
      <c r="N271" s="104"/>
      <c r="O271" s="104"/>
      <c r="P271" s="105">
        <f>(Yield_Originals!$H271*Yield_Originals!P$1)/Yield_Originals!$K271</f>
        <v>9.9976267554521173E-2</v>
      </c>
      <c r="Q271" s="105">
        <f>(Yield_Originals!$H271*Yield_Originals!Q$1)/Yield_Originals!$K271</f>
        <v>0.10275338609770232</v>
      </c>
      <c r="R271" s="105">
        <f>(Yield_Originals!$H271*Yield_Originals!R$1)/Yield_Originals!$K271</f>
        <v>0.10553050464088348</v>
      </c>
      <c r="S271" s="105">
        <f>(Yield_Originals!$H271*Yield_Originals!S$1)/Yield_Originals!$K271</f>
        <v>0.10830762318406463</v>
      </c>
      <c r="T271" s="107">
        <f>(Yield_Originals!$I271*Yield_Originals!T$1)/Yield_Originals!$K271</f>
        <v>0.1155423708636229</v>
      </c>
      <c r="U271" s="107">
        <f>(Yield_Originals!$I271*Yield_Originals!U$1)/Yield_Originals!$K271</f>
        <v>0.11843093013521346</v>
      </c>
      <c r="V271" s="107">
        <f>(Yield_Originals!$I271*Yield_Originals!V$1)/Yield_Originals!$K271</f>
        <v>0.12131948940680402</v>
      </c>
      <c r="W271" s="107">
        <f>(Yield_Originals!$I271*Yield_Originals!W$1)/Yield_Originals!$K271</f>
        <v>0.12420804867839458</v>
      </c>
      <c r="X271" s="108">
        <f>(Yield_Originals!$I271*Yield_Originals!X$1)/Yield_Originals!$K271</f>
        <v>0.12709660794998515</v>
      </c>
      <c r="Y271" s="108">
        <f>(Yield_Originals!$I271*Yield_Originals!Y$1)/Yield_Originals!$K271</f>
        <v>0.12998516722157569</v>
      </c>
      <c r="Z271"/>
      <c r="AA271"/>
      <c r="AB271"/>
    </row>
    <row r="272" spans="1:28" x14ac:dyDescent="0.25">
      <c r="A272" s="70" t="s">
        <v>1024</v>
      </c>
      <c r="B272" s="70">
        <v>3</v>
      </c>
      <c r="C272" s="99" t="s">
        <v>431</v>
      </c>
      <c r="D272" s="99" t="s">
        <v>1144</v>
      </c>
      <c r="E272" s="100">
        <v>26</v>
      </c>
      <c r="F272" s="110">
        <f>Yield_Originals!G272</f>
        <v>0.14811298896966099</v>
      </c>
      <c r="G272" s="102">
        <v>0.14811298896966099</v>
      </c>
      <c r="H272" s="102">
        <v>0.14811298896966099</v>
      </c>
      <c r="I272" s="102">
        <f>+(Yield_Originals!H272+Yield_Originals!J272)/2</f>
        <v>0.1540564944848305</v>
      </c>
      <c r="J272" s="102">
        <v>0.16</v>
      </c>
      <c r="K272" s="103">
        <v>2</v>
      </c>
      <c r="L272" s="104"/>
      <c r="M272" s="104"/>
      <c r="N272" s="104"/>
      <c r="O272" s="104"/>
      <c r="P272" s="105">
        <f>(Yield_Originals!$H272*Yield_Originals!P$1)/Yield_Originals!$K272</f>
        <v>9.9976267554521173E-2</v>
      </c>
      <c r="Q272" s="105">
        <f>(Yield_Originals!$H272*Yield_Originals!Q$1)/Yield_Originals!$K272</f>
        <v>0.10275338609770232</v>
      </c>
      <c r="R272" s="105">
        <f>(Yield_Originals!$H272*Yield_Originals!R$1)/Yield_Originals!$K272</f>
        <v>0.10553050464088348</v>
      </c>
      <c r="S272" s="105">
        <f>(Yield_Originals!$H272*Yield_Originals!S$1)/Yield_Originals!$K272</f>
        <v>0.10830762318406463</v>
      </c>
      <c r="T272" s="107">
        <f>(Yield_Originals!$I272*Yield_Originals!T$1)/Yield_Originals!$K272</f>
        <v>0.1155423708636229</v>
      </c>
      <c r="U272" s="107">
        <f>(Yield_Originals!$I272*Yield_Originals!U$1)/Yield_Originals!$K272</f>
        <v>0.11843093013521346</v>
      </c>
      <c r="V272" s="107">
        <f>(Yield_Originals!$I272*Yield_Originals!V$1)/Yield_Originals!$K272</f>
        <v>0.12131948940680402</v>
      </c>
      <c r="W272" s="107">
        <f>(Yield_Originals!$I272*Yield_Originals!W$1)/Yield_Originals!$K272</f>
        <v>0.12420804867839458</v>
      </c>
      <c r="X272" s="108">
        <f>(Yield_Originals!$I272*Yield_Originals!X$1)/Yield_Originals!$K272</f>
        <v>0.12709660794998515</v>
      </c>
      <c r="Y272" s="108">
        <f>(Yield_Originals!$I272*Yield_Originals!Y$1)/Yield_Originals!$K272</f>
        <v>0.12998516722157569</v>
      </c>
      <c r="Z272"/>
      <c r="AA272"/>
      <c r="AB272"/>
    </row>
    <row r="273" spans="1:28" x14ac:dyDescent="0.25">
      <c r="A273" s="70" t="s">
        <v>1024</v>
      </c>
      <c r="B273" s="70">
        <v>3</v>
      </c>
      <c r="C273" s="99" t="s">
        <v>431</v>
      </c>
      <c r="D273" s="99" t="s">
        <v>1144</v>
      </c>
      <c r="E273" s="100">
        <v>30</v>
      </c>
      <c r="F273" s="110">
        <f>Yield_Originals!G273</f>
        <v>0.14811298896966099</v>
      </c>
      <c r="G273" s="102">
        <v>0.14811298896966099</v>
      </c>
      <c r="H273" s="102">
        <v>0.14811298896966099</v>
      </c>
      <c r="I273" s="102">
        <f>+(Yield_Originals!H273+Yield_Originals!J273)/2</f>
        <v>0.1540564944848305</v>
      </c>
      <c r="J273" s="102">
        <v>0.16</v>
      </c>
      <c r="K273" s="103">
        <v>2</v>
      </c>
      <c r="L273" s="104"/>
      <c r="M273" s="104"/>
      <c r="N273" s="104"/>
      <c r="O273" s="104"/>
      <c r="P273" s="105">
        <f>(Yield_Originals!$H273*Yield_Originals!P$1)/Yield_Originals!$K273</f>
        <v>9.9976267554521173E-2</v>
      </c>
      <c r="Q273" s="105">
        <f>(Yield_Originals!$H273*Yield_Originals!Q$1)/Yield_Originals!$K273</f>
        <v>0.10275338609770232</v>
      </c>
      <c r="R273" s="105">
        <f>(Yield_Originals!$H273*Yield_Originals!R$1)/Yield_Originals!$K273</f>
        <v>0.10553050464088348</v>
      </c>
      <c r="S273" s="105">
        <f>(Yield_Originals!$H273*Yield_Originals!S$1)/Yield_Originals!$K273</f>
        <v>0.10830762318406463</v>
      </c>
      <c r="T273" s="107">
        <f>(Yield_Originals!$I273*Yield_Originals!T$1)/Yield_Originals!$K273</f>
        <v>0.1155423708636229</v>
      </c>
      <c r="U273" s="107">
        <f>(Yield_Originals!$I273*Yield_Originals!U$1)/Yield_Originals!$K273</f>
        <v>0.11843093013521346</v>
      </c>
      <c r="V273" s="107">
        <f>(Yield_Originals!$I273*Yield_Originals!V$1)/Yield_Originals!$K273</f>
        <v>0.12131948940680402</v>
      </c>
      <c r="W273" s="107">
        <f>(Yield_Originals!$I273*Yield_Originals!W$1)/Yield_Originals!$K273</f>
        <v>0.12420804867839458</v>
      </c>
      <c r="X273" s="108">
        <f>(Yield_Originals!$I273*Yield_Originals!X$1)/Yield_Originals!$K273</f>
        <v>0.12709660794998515</v>
      </c>
      <c r="Y273" s="108">
        <f>(Yield_Originals!$I273*Yield_Originals!Y$1)/Yield_Originals!$K273</f>
        <v>0.12998516722157569</v>
      </c>
      <c r="Z273"/>
      <c r="AA273"/>
      <c r="AB273"/>
    </row>
    <row r="274" spans="1:28" x14ac:dyDescent="0.25">
      <c r="A274" s="70" t="s">
        <v>1024</v>
      </c>
      <c r="B274" s="70">
        <v>3</v>
      </c>
      <c r="C274" s="99" t="s">
        <v>431</v>
      </c>
      <c r="D274" s="99" t="s">
        <v>1144</v>
      </c>
      <c r="E274" s="100">
        <v>31</v>
      </c>
      <c r="F274" s="110">
        <f>Yield_Originals!G274</f>
        <v>0.14811298896966099</v>
      </c>
      <c r="G274" s="102">
        <v>0.14811298896966099</v>
      </c>
      <c r="H274" s="102">
        <v>0.14811298896966099</v>
      </c>
      <c r="I274" s="102">
        <f>+(Yield_Originals!H274+Yield_Originals!J274)/2</f>
        <v>0.1540564944848305</v>
      </c>
      <c r="J274" s="102">
        <v>0.16</v>
      </c>
      <c r="K274" s="103">
        <v>2</v>
      </c>
      <c r="L274" s="104"/>
      <c r="M274" s="104"/>
      <c r="N274" s="104"/>
      <c r="O274" s="104"/>
      <c r="P274" s="105">
        <f>(Yield_Originals!$H274*Yield_Originals!P$1)/Yield_Originals!$K274</f>
        <v>9.9976267554521173E-2</v>
      </c>
      <c r="Q274" s="105">
        <f>(Yield_Originals!$H274*Yield_Originals!Q$1)/Yield_Originals!$K274</f>
        <v>0.10275338609770232</v>
      </c>
      <c r="R274" s="105">
        <f>(Yield_Originals!$H274*Yield_Originals!R$1)/Yield_Originals!$K274</f>
        <v>0.10553050464088348</v>
      </c>
      <c r="S274" s="105">
        <f>(Yield_Originals!$H274*Yield_Originals!S$1)/Yield_Originals!$K274</f>
        <v>0.10830762318406463</v>
      </c>
      <c r="T274" s="107">
        <f>(Yield_Originals!$I274*Yield_Originals!T$1)/Yield_Originals!$K274</f>
        <v>0.1155423708636229</v>
      </c>
      <c r="U274" s="107">
        <f>(Yield_Originals!$I274*Yield_Originals!U$1)/Yield_Originals!$K274</f>
        <v>0.11843093013521346</v>
      </c>
      <c r="V274" s="107">
        <f>(Yield_Originals!$I274*Yield_Originals!V$1)/Yield_Originals!$K274</f>
        <v>0.12131948940680402</v>
      </c>
      <c r="W274" s="107">
        <f>(Yield_Originals!$I274*Yield_Originals!W$1)/Yield_Originals!$K274</f>
        <v>0.12420804867839458</v>
      </c>
      <c r="X274" s="108">
        <f>(Yield_Originals!$I274*Yield_Originals!X$1)/Yield_Originals!$K274</f>
        <v>0.12709660794998515</v>
      </c>
      <c r="Y274" s="108">
        <f>(Yield_Originals!$I274*Yield_Originals!Y$1)/Yield_Originals!$K274</f>
        <v>0.12998516722157569</v>
      </c>
      <c r="Z274"/>
      <c r="AA274"/>
      <c r="AB274"/>
    </row>
    <row r="275" spans="1:28" x14ac:dyDescent="0.25">
      <c r="A275" s="70" t="s">
        <v>1024</v>
      </c>
      <c r="B275" s="70">
        <v>3</v>
      </c>
      <c r="C275" s="99" t="s">
        <v>256</v>
      </c>
      <c r="D275" s="99" t="s">
        <v>1144</v>
      </c>
      <c r="E275" s="100">
        <v>26</v>
      </c>
      <c r="F275" s="110">
        <f>Yield_Originals!G275</f>
        <v>0.14811298896966099</v>
      </c>
      <c r="G275" s="102">
        <v>0.14811298896966099</v>
      </c>
      <c r="H275" s="102">
        <v>0.14811298896966099</v>
      </c>
      <c r="I275" s="102">
        <f>+(Yield_Originals!H275+Yield_Originals!J275)/2</f>
        <v>0.1540564944848305</v>
      </c>
      <c r="J275" s="102">
        <v>0.16</v>
      </c>
      <c r="K275" s="103">
        <v>2</v>
      </c>
      <c r="L275" s="104"/>
      <c r="M275" s="104"/>
      <c r="N275" s="104"/>
      <c r="O275" s="104"/>
      <c r="P275" s="105">
        <f>(Yield_Originals!$H275*Yield_Originals!P$1)/Yield_Originals!$K275</f>
        <v>9.9976267554521173E-2</v>
      </c>
      <c r="Q275" s="105">
        <f>(Yield_Originals!$H275*Yield_Originals!Q$1)/Yield_Originals!$K275</f>
        <v>0.10275338609770232</v>
      </c>
      <c r="R275" s="105">
        <f>(Yield_Originals!$H275*Yield_Originals!R$1)/Yield_Originals!$K275</f>
        <v>0.10553050464088348</v>
      </c>
      <c r="S275" s="105">
        <f>(Yield_Originals!$H275*Yield_Originals!S$1)/Yield_Originals!$K275</f>
        <v>0.10830762318406463</v>
      </c>
      <c r="T275" s="107">
        <f>(Yield_Originals!$I275*Yield_Originals!T$1)/Yield_Originals!$K275</f>
        <v>0.1155423708636229</v>
      </c>
      <c r="U275" s="107">
        <f>(Yield_Originals!$I275*Yield_Originals!U$1)/Yield_Originals!$K275</f>
        <v>0.11843093013521346</v>
      </c>
      <c r="V275" s="107">
        <f>(Yield_Originals!$I275*Yield_Originals!V$1)/Yield_Originals!$K275</f>
        <v>0.12131948940680402</v>
      </c>
      <c r="W275" s="107">
        <f>(Yield_Originals!$I275*Yield_Originals!W$1)/Yield_Originals!$K275</f>
        <v>0.12420804867839458</v>
      </c>
      <c r="X275" s="108">
        <f>(Yield_Originals!$I275*Yield_Originals!X$1)/Yield_Originals!$K275</f>
        <v>0.12709660794998515</v>
      </c>
      <c r="Y275" s="108">
        <f>(Yield_Originals!$I275*Yield_Originals!Y$1)/Yield_Originals!$K275</f>
        <v>0.12998516722157569</v>
      </c>
      <c r="Z275"/>
      <c r="AA275"/>
      <c r="AB275"/>
    </row>
    <row r="276" spans="1:28" x14ac:dyDescent="0.25">
      <c r="A276" s="70" t="s">
        <v>1024</v>
      </c>
      <c r="B276" s="70">
        <v>3</v>
      </c>
      <c r="C276" s="99" t="s">
        <v>256</v>
      </c>
      <c r="D276" s="99" t="s">
        <v>1144</v>
      </c>
      <c r="E276" s="100">
        <v>30</v>
      </c>
      <c r="F276" s="110">
        <f>Yield_Originals!G276</f>
        <v>0.14811298896966099</v>
      </c>
      <c r="G276" s="102">
        <v>0.14811298896966099</v>
      </c>
      <c r="H276" s="102">
        <v>0.14811298896966099</v>
      </c>
      <c r="I276" s="102">
        <f>+(Yield_Originals!H276+Yield_Originals!J276)/2</f>
        <v>0.1540564944848305</v>
      </c>
      <c r="J276" s="102">
        <v>0.16</v>
      </c>
      <c r="K276" s="103">
        <v>2</v>
      </c>
      <c r="L276" s="104">
        <f>(Yield_Originals!$G276*Yield_Originals!L$1)/Yield_Originals!$K276</f>
        <v>8.8867793381796609E-2</v>
      </c>
      <c r="M276" s="104">
        <f>(Yield_Originals!$G276*Yield_Originals!M$1)/Yield_Originals!$K276</f>
        <v>9.1644911924977743E-2</v>
      </c>
      <c r="N276" s="104">
        <f>(Yield_Originals!$G276*Yield_Originals!N$1)/Yield_Originals!$K276</f>
        <v>9.4422030468158891E-2</v>
      </c>
      <c r="O276" s="104">
        <f>(Yield_Originals!$G276*Yield_Originals!O$1)/Yield_Originals!$K276</f>
        <v>9.7199149011340039E-2</v>
      </c>
      <c r="P276" s="105">
        <f>(Yield_Originals!$H276*Yield_Originals!P$1)/Yield_Originals!$K276</f>
        <v>9.9976267554521173E-2</v>
      </c>
      <c r="Q276" s="105">
        <f>(Yield_Originals!$H276*Yield_Originals!Q$1)/Yield_Originals!$K276</f>
        <v>0.10275338609770232</v>
      </c>
      <c r="R276" s="105">
        <f>(Yield_Originals!$H276*Yield_Originals!R$1)/Yield_Originals!$K276</f>
        <v>0.10553050464088348</v>
      </c>
      <c r="S276" s="105">
        <f>(Yield_Originals!$H276*Yield_Originals!S$1)/Yield_Originals!$K276</f>
        <v>0.10830762318406463</v>
      </c>
      <c r="T276" s="107">
        <f>(Yield_Originals!$I276*Yield_Originals!T$1)/Yield_Originals!$K276</f>
        <v>0.1155423708636229</v>
      </c>
      <c r="U276" s="107">
        <f>(Yield_Originals!$I276*Yield_Originals!U$1)/Yield_Originals!$K276</f>
        <v>0.11843093013521346</v>
      </c>
      <c r="V276" s="107">
        <f>(Yield_Originals!$I276*Yield_Originals!V$1)/Yield_Originals!$K276</f>
        <v>0.12131948940680402</v>
      </c>
      <c r="W276" s="107">
        <f>(Yield_Originals!$I276*Yield_Originals!W$1)/Yield_Originals!$K276</f>
        <v>0.12420804867839458</v>
      </c>
      <c r="X276" s="108">
        <f>(Yield_Originals!$I276*Yield_Originals!X$1)/Yield_Originals!$K276</f>
        <v>0.12709660794998515</v>
      </c>
      <c r="Y276" s="108">
        <f>(Yield_Originals!$I276*Yield_Originals!Y$1)/Yield_Originals!$K276</f>
        <v>0.12998516722157569</v>
      </c>
      <c r="Z276"/>
      <c r="AA276"/>
      <c r="AB276"/>
    </row>
    <row r="277" spans="1:28" x14ac:dyDescent="0.25">
      <c r="A277" s="70" t="s">
        <v>1024</v>
      </c>
      <c r="B277" s="70">
        <v>3</v>
      </c>
      <c r="C277" s="99" t="s">
        <v>256</v>
      </c>
      <c r="D277" s="99" t="s">
        <v>1144</v>
      </c>
      <c r="E277" s="100">
        <v>31</v>
      </c>
      <c r="F277" s="110">
        <f>Yield_Originals!G277</f>
        <v>0.14811298896966099</v>
      </c>
      <c r="G277" s="102">
        <v>0.14811298896966099</v>
      </c>
      <c r="H277" s="102">
        <v>0.14811298896966099</v>
      </c>
      <c r="I277" s="102">
        <f>+(Yield_Originals!H277+Yield_Originals!J277)/2</f>
        <v>0.1540564944848305</v>
      </c>
      <c r="J277" s="102">
        <v>0.16</v>
      </c>
      <c r="K277" s="103">
        <v>2</v>
      </c>
      <c r="L277" s="104"/>
      <c r="M277" s="104"/>
      <c r="N277" s="104"/>
      <c r="O277" s="104"/>
      <c r="P277" s="105">
        <f>(Yield_Originals!$H277*Yield_Originals!P$1)/Yield_Originals!$K277</f>
        <v>9.9976267554521173E-2</v>
      </c>
      <c r="Q277" s="105">
        <f>(Yield_Originals!$H277*Yield_Originals!Q$1)/Yield_Originals!$K277</f>
        <v>0.10275338609770232</v>
      </c>
      <c r="R277" s="105">
        <f>(Yield_Originals!$H277*Yield_Originals!R$1)/Yield_Originals!$K277</f>
        <v>0.10553050464088348</v>
      </c>
      <c r="S277" s="105">
        <f>(Yield_Originals!$H277*Yield_Originals!S$1)/Yield_Originals!$K277</f>
        <v>0.10830762318406463</v>
      </c>
      <c r="T277" s="107">
        <f>(Yield_Originals!$I277*Yield_Originals!T$1)/Yield_Originals!$K277</f>
        <v>0.1155423708636229</v>
      </c>
      <c r="U277" s="107">
        <f>(Yield_Originals!$I277*Yield_Originals!U$1)/Yield_Originals!$K277</f>
        <v>0.11843093013521346</v>
      </c>
      <c r="V277" s="107">
        <f>(Yield_Originals!$I277*Yield_Originals!V$1)/Yield_Originals!$K277</f>
        <v>0.12131948940680402</v>
      </c>
      <c r="W277" s="107">
        <f>(Yield_Originals!$I277*Yield_Originals!W$1)/Yield_Originals!$K277</f>
        <v>0.12420804867839458</v>
      </c>
      <c r="X277" s="108">
        <f>(Yield_Originals!$I277*Yield_Originals!X$1)/Yield_Originals!$K277</f>
        <v>0.12709660794998515</v>
      </c>
      <c r="Y277" s="108">
        <f>(Yield_Originals!$I277*Yield_Originals!Y$1)/Yield_Originals!$K277</f>
        <v>0.12998516722157569</v>
      </c>
      <c r="Z277"/>
      <c r="AA277"/>
      <c r="AB277"/>
    </row>
    <row r="278" spans="1:28" x14ac:dyDescent="0.25">
      <c r="A278" s="70" t="s">
        <v>1120</v>
      </c>
      <c r="B278" s="70">
        <v>3</v>
      </c>
      <c r="C278" t="s">
        <v>143</v>
      </c>
      <c r="D278" t="s">
        <v>1130</v>
      </c>
      <c r="E278" s="70">
        <v>3</v>
      </c>
      <c r="F278" s="110">
        <f>Yield_Originals!G278</f>
        <v>0.13</v>
      </c>
      <c r="G278" s="111">
        <v>0.13</v>
      </c>
      <c r="H278" s="111">
        <v>0.13</v>
      </c>
      <c r="I278" s="111">
        <v>0.13</v>
      </c>
      <c r="J278" s="111">
        <v>0.13</v>
      </c>
      <c r="K278" s="103">
        <v>1</v>
      </c>
      <c r="L278" s="104">
        <f>(Yield_Originals!$G278*Yield_Originals!L$1)/Yield_Originals!$K278</f>
        <v>0.15600000000000003</v>
      </c>
      <c r="M278" s="104">
        <f>(Yield_Originals!$G278*Yield_Originals!M$1)/Yield_Originals!$K278</f>
        <v>0.16087500000000002</v>
      </c>
      <c r="N278" s="104">
        <f>(Yield_Originals!$G278*Yield_Originals!N$1)/Yield_Originals!$K278</f>
        <v>0.16575000000000004</v>
      </c>
      <c r="O278" s="104">
        <f>(Yield_Originals!$G278*Yield_Originals!O$1)/Yield_Originals!$K278</f>
        <v>0.17062500000000003</v>
      </c>
      <c r="P278" s="105">
        <f>(Yield_Originals!$H278*Yield_Originals!P$1)/Yield_Originals!$K278</f>
        <v>0.17550000000000002</v>
      </c>
      <c r="Q278" s="105">
        <f>(Yield_Originals!$H278*Yield_Originals!Q$1)/Yield_Originals!$K278</f>
        <v>0.18037500000000004</v>
      </c>
      <c r="R278" s="105">
        <f>(Yield_Originals!$H278*Yield_Originals!R$1)/Yield_Originals!$K278</f>
        <v>0.18525000000000005</v>
      </c>
      <c r="S278" s="105">
        <f>(Yield_Originals!$H278*Yield_Originals!S$1)/Yield_Originals!$K278</f>
        <v>0.19012500000000004</v>
      </c>
      <c r="T278" s="107">
        <f>(Yield_Originals!$I278*Yield_Originals!T$1)/Yield_Originals!$K278</f>
        <v>0.19500000000000006</v>
      </c>
      <c r="U278" s="107">
        <f>(Yield_Originals!$I278*Yield_Originals!U$1)/Yield_Originals!$K278</f>
        <v>0.19987500000000002</v>
      </c>
      <c r="V278" s="107">
        <f>(Yield_Originals!$I278*Yield_Originals!V$1)/Yield_Originals!$K278</f>
        <v>0.20475000000000004</v>
      </c>
      <c r="W278" s="107">
        <f>(Yield_Originals!$I278*Yield_Originals!W$1)/Yield_Originals!$K278</f>
        <v>0.20962499999999998</v>
      </c>
      <c r="X278"/>
      <c r="Y278"/>
      <c r="Z278"/>
      <c r="AA278"/>
      <c r="AB278"/>
    </row>
    <row r="279" spans="1:28" x14ac:dyDescent="0.25">
      <c r="A279" s="70" t="s">
        <v>1120</v>
      </c>
      <c r="B279" s="70">
        <v>3</v>
      </c>
      <c r="C279" t="s">
        <v>257</v>
      </c>
      <c r="D279" t="s">
        <v>1132</v>
      </c>
      <c r="E279" s="70">
        <v>3</v>
      </c>
      <c r="F279" s="110">
        <f>Yield_Originals!G279</f>
        <v>0.13</v>
      </c>
      <c r="G279" s="111">
        <v>0.13</v>
      </c>
      <c r="H279" s="111">
        <v>0.13</v>
      </c>
      <c r="I279" s="111">
        <v>0.13</v>
      </c>
      <c r="J279" s="111">
        <v>0.13</v>
      </c>
      <c r="K279" s="103">
        <v>1</v>
      </c>
      <c r="L279" s="104">
        <f>(Yield_Originals!$G279*Yield_Originals!L$1)/Yield_Originals!$K279</f>
        <v>0.15600000000000003</v>
      </c>
      <c r="M279" s="104">
        <f>(Yield_Originals!$G279*Yield_Originals!M$1)/Yield_Originals!$K279</f>
        <v>0.16087500000000002</v>
      </c>
      <c r="N279" s="104">
        <f>(Yield_Originals!$G279*Yield_Originals!N$1)/Yield_Originals!$K279</f>
        <v>0.16575000000000004</v>
      </c>
      <c r="O279" s="104">
        <f>(Yield_Originals!$G279*Yield_Originals!O$1)/Yield_Originals!$K279</f>
        <v>0.17062500000000003</v>
      </c>
      <c r="P279" s="105">
        <f>(Yield_Originals!$H279*Yield_Originals!P$1)/Yield_Originals!$K279</f>
        <v>0.17550000000000002</v>
      </c>
      <c r="Q279" s="105">
        <f>(Yield_Originals!$H279*Yield_Originals!Q$1)/Yield_Originals!$K279</f>
        <v>0.18037500000000004</v>
      </c>
      <c r="R279" s="105">
        <f>(Yield_Originals!$H279*Yield_Originals!R$1)/Yield_Originals!$K279</f>
        <v>0.18525000000000005</v>
      </c>
      <c r="S279" s="105">
        <f>(Yield_Originals!$H279*Yield_Originals!S$1)/Yield_Originals!$K279</f>
        <v>0.19012500000000004</v>
      </c>
      <c r="T279" s="107">
        <f>(Yield_Originals!$I279*Yield_Originals!T$1)/Yield_Originals!$K279</f>
        <v>0.19500000000000006</v>
      </c>
      <c r="U279" s="107">
        <f>(Yield_Originals!$I279*Yield_Originals!U$1)/Yield_Originals!$K279</f>
        <v>0.19987500000000002</v>
      </c>
      <c r="V279" s="107">
        <f>(Yield_Originals!$I279*Yield_Originals!V$1)/Yield_Originals!$K279</f>
        <v>0.20475000000000004</v>
      </c>
      <c r="W279" s="107">
        <f>(Yield_Originals!$I279*Yield_Originals!W$1)/Yield_Originals!$K279</f>
        <v>0.20962499999999998</v>
      </c>
      <c r="X279"/>
      <c r="Y279"/>
      <c r="Z279"/>
      <c r="AA279"/>
      <c r="AB279"/>
    </row>
    <row r="280" spans="1:28" x14ac:dyDescent="0.25">
      <c r="A280" s="70" t="s">
        <v>1024</v>
      </c>
      <c r="B280" s="70">
        <v>3</v>
      </c>
      <c r="C280" s="99" t="s">
        <v>258</v>
      </c>
      <c r="D280" s="99" t="s">
        <v>1161</v>
      </c>
      <c r="E280" s="100">
        <v>26</v>
      </c>
      <c r="F280" s="110">
        <f>Yield_Originals!G280</f>
        <v>0.14811298896966099</v>
      </c>
      <c r="G280" s="102">
        <v>0.14811298896966099</v>
      </c>
      <c r="H280" s="102">
        <v>0.14811298896966099</v>
      </c>
      <c r="I280" s="102">
        <f>+(Yield_Originals!H280+Yield_Originals!J280)/2</f>
        <v>0.1540564944848305</v>
      </c>
      <c r="J280" s="102">
        <v>0.16</v>
      </c>
      <c r="K280" s="103">
        <v>2</v>
      </c>
      <c r="L280" s="104"/>
      <c r="M280" s="104"/>
      <c r="N280" s="104"/>
      <c r="O280" s="104"/>
      <c r="P280" s="105">
        <f>(Yield_Originals!$H280*Yield_Originals!P$1)/Yield_Originals!$K280</f>
        <v>9.9976267554521173E-2</v>
      </c>
      <c r="Q280" s="105">
        <f>(Yield_Originals!$H280*Yield_Originals!Q$1)/Yield_Originals!$K280</f>
        <v>0.10275338609770232</v>
      </c>
      <c r="R280" s="105">
        <f>(Yield_Originals!$H280*Yield_Originals!R$1)/Yield_Originals!$K280</f>
        <v>0.10553050464088348</v>
      </c>
      <c r="S280" s="105">
        <f>(Yield_Originals!$H280*Yield_Originals!S$1)/Yield_Originals!$K280</f>
        <v>0.10830762318406463</v>
      </c>
      <c r="T280" s="107">
        <f>(Yield_Originals!$I280*Yield_Originals!T$1)/Yield_Originals!$K280</f>
        <v>0.1155423708636229</v>
      </c>
      <c r="U280" s="107">
        <f>(Yield_Originals!$I280*Yield_Originals!U$1)/Yield_Originals!$K280</f>
        <v>0.11843093013521346</v>
      </c>
      <c r="V280" s="107">
        <f>(Yield_Originals!$I280*Yield_Originals!V$1)/Yield_Originals!$K280</f>
        <v>0.12131948940680402</v>
      </c>
      <c r="W280" s="107">
        <f>(Yield_Originals!$I280*Yield_Originals!W$1)/Yield_Originals!$K280</f>
        <v>0.12420804867839458</v>
      </c>
      <c r="X280" s="108">
        <f>(Yield_Originals!$I280*Yield_Originals!X$1)/Yield_Originals!$K280</f>
        <v>0.12709660794998515</v>
      </c>
      <c r="Y280" s="108">
        <f>(Yield_Originals!$I280*Yield_Originals!Y$1)/Yield_Originals!$K280</f>
        <v>0.12998516722157569</v>
      </c>
      <c r="Z280"/>
      <c r="AA280"/>
      <c r="AB280"/>
    </row>
    <row r="281" spans="1:28" x14ac:dyDescent="0.25">
      <c r="A281" s="70" t="s">
        <v>1024</v>
      </c>
      <c r="B281" s="70">
        <v>3</v>
      </c>
      <c r="C281" s="99" t="s">
        <v>258</v>
      </c>
      <c r="D281" s="99" t="s">
        <v>1161</v>
      </c>
      <c r="E281" s="100">
        <v>30</v>
      </c>
      <c r="F281" s="110">
        <f>Yield_Originals!G281</f>
        <v>0.14811298896966099</v>
      </c>
      <c r="G281" s="102">
        <v>0.14811298896966099</v>
      </c>
      <c r="H281" s="102">
        <v>0.14811298896966099</v>
      </c>
      <c r="I281" s="102">
        <f>+(Yield_Originals!H281+Yield_Originals!J281)/2</f>
        <v>0.1540564944848305</v>
      </c>
      <c r="J281" s="102">
        <v>0.16</v>
      </c>
      <c r="K281" s="103">
        <v>2</v>
      </c>
      <c r="L281" s="104">
        <f>(Yield_Originals!$G281*Yield_Originals!L$1)/Yield_Originals!$K281</f>
        <v>8.8867793381796609E-2</v>
      </c>
      <c r="M281" s="104">
        <f>(Yield_Originals!$G281*Yield_Originals!M$1)/Yield_Originals!$K281</f>
        <v>9.1644911924977743E-2</v>
      </c>
      <c r="N281" s="104">
        <f>(Yield_Originals!$G281*Yield_Originals!N$1)/Yield_Originals!$K281</f>
        <v>9.4422030468158891E-2</v>
      </c>
      <c r="O281" s="104">
        <f>(Yield_Originals!$G281*Yield_Originals!O$1)/Yield_Originals!$K281</f>
        <v>9.7199149011340039E-2</v>
      </c>
      <c r="P281" s="105">
        <f>(Yield_Originals!$H281*Yield_Originals!P$1)/Yield_Originals!$K281</f>
        <v>9.9976267554521173E-2</v>
      </c>
      <c r="Q281" s="105">
        <f>(Yield_Originals!$H281*Yield_Originals!Q$1)/Yield_Originals!$K281</f>
        <v>0.10275338609770232</v>
      </c>
      <c r="R281" s="105">
        <f>(Yield_Originals!$H281*Yield_Originals!R$1)/Yield_Originals!$K281</f>
        <v>0.10553050464088348</v>
      </c>
      <c r="S281" s="105">
        <f>(Yield_Originals!$H281*Yield_Originals!S$1)/Yield_Originals!$K281</f>
        <v>0.10830762318406463</v>
      </c>
      <c r="T281" s="107">
        <f>(Yield_Originals!$I281*Yield_Originals!T$1)/Yield_Originals!$K281</f>
        <v>0.1155423708636229</v>
      </c>
      <c r="U281" s="107">
        <f>(Yield_Originals!$I281*Yield_Originals!U$1)/Yield_Originals!$K281</f>
        <v>0.11843093013521346</v>
      </c>
      <c r="V281" s="107">
        <f>(Yield_Originals!$I281*Yield_Originals!V$1)/Yield_Originals!$K281</f>
        <v>0.12131948940680402</v>
      </c>
      <c r="W281" s="107">
        <f>(Yield_Originals!$I281*Yield_Originals!W$1)/Yield_Originals!$K281</f>
        <v>0.12420804867839458</v>
      </c>
      <c r="X281" s="108">
        <f>(Yield_Originals!$I281*Yield_Originals!X$1)/Yield_Originals!$K281</f>
        <v>0.12709660794998515</v>
      </c>
      <c r="Y281" s="108">
        <f>(Yield_Originals!$I281*Yield_Originals!Y$1)/Yield_Originals!$K281</f>
        <v>0.12998516722157569</v>
      </c>
      <c r="Z281"/>
      <c r="AA281"/>
      <c r="AB281"/>
    </row>
    <row r="282" spans="1:28" x14ac:dyDescent="0.25">
      <c r="A282" s="70" t="s">
        <v>1024</v>
      </c>
      <c r="B282" s="70">
        <v>3</v>
      </c>
      <c r="C282" s="99" t="s">
        <v>258</v>
      </c>
      <c r="D282" s="99" t="s">
        <v>1161</v>
      </c>
      <c r="E282" s="100">
        <v>31</v>
      </c>
      <c r="F282" s="110">
        <f>Yield_Originals!G282</f>
        <v>0.14811298896966099</v>
      </c>
      <c r="G282" s="102">
        <v>0.14811298896966099</v>
      </c>
      <c r="H282" s="102">
        <v>0.14811298896966099</v>
      </c>
      <c r="I282" s="102">
        <f>+(Yield_Originals!H282+Yield_Originals!J282)/2</f>
        <v>0.1540564944848305</v>
      </c>
      <c r="J282" s="102">
        <v>0.16</v>
      </c>
      <c r="K282" s="103">
        <v>2</v>
      </c>
      <c r="L282" s="104"/>
      <c r="M282" s="104"/>
      <c r="N282" s="104"/>
      <c r="O282" s="104"/>
      <c r="P282" s="105"/>
      <c r="Q282" s="105"/>
      <c r="R282" s="105"/>
      <c r="S282" s="105"/>
      <c r="T282" s="107"/>
      <c r="U282" s="107"/>
      <c r="V282" s="107"/>
      <c r="W282" s="107"/>
      <c r="X282" s="108"/>
      <c r="Y282" s="108"/>
      <c r="Z282" s="108"/>
      <c r="AA282" s="108">
        <f>(Yield_Originals!$I282*Yield_Originals!AA$1)/Yield_Originals!$K282</f>
        <v>0.13576228576475682</v>
      </c>
      <c r="AB282" s="108">
        <f>(Yield_Originals!$I282*Yield_Originals!AB$1)/Yield_Originals!$K282</f>
        <v>0.13865084503634739</v>
      </c>
    </row>
    <row r="283" spans="1:28" x14ac:dyDescent="0.25">
      <c r="A283" s="70" t="s">
        <v>1024</v>
      </c>
      <c r="B283" s="70">
        <v>3</v>
      </c>
      <c r="C283" s="99" t="s">
        <v>1127</v>
      </c>
      <c r="D283" s="99" t="s">
        <v>1153</v>
      </c>
      <c r="E283" s="100">
        <v>26</v>
      </c>
      <c r="F283" s="110">
        <f>Yield_Originals!G283</f>
        <v>0.14811298896966099</v>
      </c>
      <c r="G283" s="102">
        <v>0.14811298896966099</v>
      </c>
      <c r="H283" s="102">
        <v>0.14811298896966099</v>
      </c>
      <c r="I283" s="102">
        <f>+(Yield_Originals!H283+Yield_Originals!J283)/2</f>
        <v>0.1540564944848305</v>
      </c>
      <c r="J283" s="102">
        <v>0.16</v>
      </c>
      <c r="K283" s="103">
        <v>2</v>
      </c>
      <c r="L283" s="104"/>
      <c r="M283" s="104"/>
      <c r="N283" s="104"/>
      <c r="O283" s="104"/>
      <c r="P283" s="105">
        <f>(Yield_Originals!$H283*Yield_Originals!P$1)/Yield_Originals!$K283</f>
        <v>9.9976267554521173E-2</v>
      </c>
      <c r="Q283" s="105">
        <f>(Yield_Originals!$H283*Yield_Originals!Q$1)/Yield_Originals!$K283</f>
        <v>0.10275338609770232</v>
      </c>
      <c r="R283" s="105">
        <f>(Yield_Originals!$H283*Yield_Originals!R$1)/Yield_Originals!$K283</f>
        <v>0.10553050464088348</v>
      </c>
      <c r="S283" s="105">
        <f>(Yield_Originals!$H283*Yield_Originals!S$1)/Yield_Originals!$K283</f>
        <v>0.10830762318406463</v>
      </c>
      <c r="T283" s="107">
        <f>(Yield_Originals!$I283*Yield_Originals!T$1)/Yield_Originals!$K283</f>
        <v>0.1155423708636229</v>
      </c>
      <c r="U283" s="107">
        <f>(Yield_Originals!$I283*Yield_Originals!U$1)/Yield_Originals!$K283</f>
        <v>0.11843093013521346</v>
      </c>
      <c r="V283" s="107">
        <f>(Yield_Originals!$I283*Yield_Originals!V$1)/Yield_Originals!$K283</f>
        <v>0.12131948940680402</v>
      </c>
      <c r="W283" s="107">
        <f>(Yield_Originals!$I283*Yield_Originals!W$1)/Yield_Originals!$K283</f>
        <v>0.12420804867839458</v>
      </c>
      <c r="X283" s="108">
        <f>(Yield_Originals!$I283*Yield_Originals!X$1)/Yield_Originals!$K283</f>
        <v>0.12709660794998515</v>
      </c>
      <c r="Y283" s="108">
        <f>(Yield_Originals!$I283*Yield_Originals!Y$1)/Yield_Originals!$K283</f>
        <v>0.12998516722157569</v>
      </c>
      <c r="Z283"/>
      <c r="AA283"/>
      <c r="AB283"/>
    </row>
    <row r="284" spans="1:28" x14ac:dyDescent="0.25">
      <c r="A284" s="70" t="s">
        <v>1024</v>
      </c>
      <c r="B284" s="70">
        <v>3</v>
      </c>
      <c r="C284" s="99" t="s">
        <v>1127</v>
      </c>
      <c r="D284" s="99" t="s">
        <v>1153</v>
      </c>
      <c r="E284" s="100">
        <v>30</v>
      </c>
      <c r="F284" s="110">
        <f>Yield_Originals!G284</f>
        <v>0.14811298896966099</v>
      </c>
      <c r="G284" s="102">
        <v>0.14811298896966099</v>
      </c>
      <c r="H284" s="102">
        <v>0.14811298896966099</v>
      </c>
      <c r="I284" s="102">
        <f>+(Yield_Originals!H284+Yield_Originals!J284)/2</f>
        <v>0.1540564944848305</v>
      </c>
      <c r="J284" s="102">
        <v>0.16</v>
      </c>
      <c r="K284" s="103">
        <v>2</v>
      </c>
      <c r="L284" s="104"/>
      <c r="M284" s="104"/>
      <c r="N284" s="104"/>
      <c r="O284" s="104"/>
      <c r="P284" s="105"/>
      <c r="Q284" s="105"/>
      <c r="R284" s="105"/>
      <c r="S284" s="105"/>
      <c r="T284" s="107">
        <f>(Yield_Originals!$I284*Yield_Originals!T$1)/Yield_Originals!$K284</f>
        <v>0.1155423708636229</v>
      </c>
      <c r="U284" s="107">
        <f>(Yield_Originals!$I284*Yield_Originals!U$1)/Yield_Originals!$K284</f>
        <v>0.11843093013521346</v>
      </c>
      <c r="V284" s="107">
        <f>(Yield_Originals!$I284*Yield_Originals!V$1)/Yield_Originals!$K284</f>
        <v>0.12131948940680402</v>
      </c>
      <c r="W284" s="107">
        <f>(Yield_Originals!$I284*Yield_Originals!W$1)/Yield_Originals!$K284</f>
        <v>0.12420804867839458</v>
      </c>
      <c r="X284" s="108">
        <f>(Yield_Originals!$I284*Yield_Originals!X$1)/Yield_Originals!$K284</f>
        <v>0.12709660794998515</v>
      </c>
      <c r="Y284" s="108">
        <f>(Yield_Originals!$I284*Yield_Originals!Y$1)/Yield_Originals!$K284</f>
        <v>0.12998516722157569</v>
      </c>
      <c r="Z284"/>
      <c r="AA284"/>
      <c r="AB284"/>
    </row>
    <row r="285" spans="1:28" x14ac:dyDescent="0.25">
      <c r="A285" s="70" t="s">
        <v>1024</v>
      </c>
      <c r="B285" s="70">
        <v>3</v>
      </c>
      <c r="C285" s="99" t="s">
        <v>1127</v>
      </c>
      <c r="D285" s="99" t="s">
        <v>1153</v>
      </c>
      <c r="E285" s="100">
        <v>31</v>
      </c>
      <c r="F285" s="110">
        <f>Yield_Originals!G285</f>
        <v>0.14811298896966099</v>
      </c>
      <c r="G285" s="102">
        <v>0.14811298896966099</v>
      </c>
      <c r="H285" s="102">
        <v>0.14811298896966099</v>
      </c>
      <c r="I285" s="102">
        <f>+(Yield_Originals!H285+Yield_Originals!J285)/2</f>
        <v>0.1540564944848305</v>
      </c>
      <c r="J285" s="102">
        <v>0.16</v>
      </c>
      <c r="K285" s="103">
        <v>2</v>
      </c>
      <c r="L285" s="104"/>
      <c r="M285" s="104"/>
      <c r="N285" s="104"/>
      <c r="O285" s="104"/>
      <c r="P285" s="105">
        <f>(Yield_Originals!$H285*Yield_Originals!P$1)/Yield_Originals!$K285</f>
        <v>9.9976267554521173E-2</v>
      </c>
      <c r="Q285" s="105">
        <f>(Yield_Originals!$H285*Yield_Originals!Q$1)/Yield_Originals!$K285</f>
        <v>0.10275338609770232</v>
      </c>
      <c r="R285" s="105">
        <f>(Yield_Originals!$H285*Yield_Originals!R$1)/Yield_Originals!$K285</f>
        <v>0.10553050464088348</v>
      </c>
      <c r="S285" s="105">
        <f>(Yield_Originals!$H285*Yield_Originals!S$1)/Yield_Originals!$K285</f>
        <v>0.10830762318406463</v>
      </c>
      <c r="T285" s="107">
        <f>(Yield_Originals!$I285*Yield_Originals!T$1)/Yield_Originals!$K285</f>
        <v>0.1155423708636229</v>
      </c>
      <c r="U285" s="107">
        <f>(Yield_Originals!$I285*Yield_Originals!U$1)/Yield_Originals!$K285</f>
        <v>0.11843093013521346</v>
      </c>
      <c r="V285" s="107">
        <f>(Yield_Originals!$I285*Yield_Originals!V$1)/Yield_Originals!$K285</f>
        <v>0.12131948940680402</v>
      </c>
      <c r="W285" s="107">
        <f>(Yield_Originals!$I285*Yield_Originals!W$1)/Yield_Originals!$K285</f>
        <v>0.12420804867839458</v>
      </c>
      <c r="X285" s="108">
        <f>(Yield_Originals!$I285*Yield_Originals!X$1)/Yield_Originals!$K285</f>
        <v>0.12709660794998515</v>
      </c>
      <c r="Y285" s="108">
        <f>(Yield_Originals!$I285*Yield_Originals!Y$1)/Yield_Originals!$K285</f>
        <v>0.12998516722157569</v>
      </c>
      <c r="Z285"/>
      <c r="AA285"/>
      <c r="AB285"/>
    </row>
    <row r="286" spans="1:28" x14ac:dyDescent="0.25">
      <c r="A286" s="70" t="s">
        <v>1024</v>
      </c>
      <c r="B286" s="70">
        <v>3</v>
      </c>
      <c r="C286" s="99" t="s">
        <v>1129</v>
      </c>
      <c r="D286" s="99" t="s">
        <v>1142</v>
      </c>
      <c r="E286" s="100">
        <v>26</v>
      </c>
      <c r="F286" s="110">
        <f>Yield_Originals!G286</f>
        <v>0.14811298896966099</v>
      </c>
      <c r="G286" s="102">
        <v>0.14811298896966099</v>
      </c>
      <c r="H286" s="102">
        <v>0.14811298896966099</v>
      </c>
      <c r="I286" s="102">
        <f>+(Yield_Originals!H286+Yield_Originals!J286)/2</f>
        <v>0.1540564944848305</v>
      </c>
      <c r="J286" s="102">
        <v>0.16</v>
      </c>
      <c r="K286" s="103">
        <v>2</v>
      </c>
      <c r="L286" s="104">
        <f>(Yield_Originals!$G286*Yield_Originals!L$1)/Yield_Originals!$K286</f>
        <v>8.8867793381796609E-2</v>
      </c>
      <c r="M286" s="104">
        <f>(Yield_Originals!$G286*Yield_Originals!M$1)/Yield_Originals!$K286</f>
        <v>9.1644911924977743E-2</v>
      </c>
      <c r="N286" s="104">
        <f>(Yield_Originals!$G286*Yield_Originals!N$1)/Yield_Originals!$K286</f>
        <v>9.4422030468158891E-2</v>
      </c>
      <c r="O286" s="104">
        <f>(Yield_Originals!$G286*Yield_Originals!O$1)/Yield_Originals!$K286</f>
        <v>9.7199149011340039E-2</v>
      </c>
      <c r="P286" s="105">
        <f>(Yield_Originals!$H286*Yield_Originals!P$1)/Yield_Originals!$K286</f>
        <v>9.9976267554521173E-2</v>
      </c>
      <c r="Q286" s="105">
        <f>(Yield_Originals!$H286*Yield_Originals!Q$1)/Yield_Originals!$K286</f>
        <v>0.10275338609770232</v>
      </c>
      <c r="R286" s="105">
        <f>(Yield_Originals!$H286*Yield_Originals!R$1)/Yield_Originals!$K286</f>
        <v>0.10553050464088348</v>
      </c>
      <c r="S286" s="105">
        <f>(Yield_Originals!$H286*Yield_Originals!S$1)/Yield_Originals!$K286</f>
        <v>0.10830762318406463</v>
      </c>
      <c r="T286" s="107"/>
      <c r="U286" s="107"/>
      <c r="V286" s="107"/>
      <c r="W286" s="107"/>
      <c r="X286" s="108"/>
      <c r="Y286" s="108"/>
      <c r="Z286"/>
      <c r="AA286"/>
      <c r="AB286"/>
    </row>
    <row r="287" spans="1:28" x14ac:dyDescent="0.25">
      <c r="A287" s="70" t="s">
        <v>1024</v>
      </c>
      <c r="B287" s="70">
        <v>3</v>
      </c>
      <c r="C287" s="99" t="s">
        <v>1129</v>
      </c>
      <c r="D287" s="99" t="s">
        <v>1142</v>
      </c>
      <c r="E287" s="100">
        <v>30</v>
      </c>
      <c r="F287" s="110">
        <f>Yield_Originals!G287</f>
        <v>0.14811298896966099</v>
      </c>
      <c r="G287" s="102">
        <v>0.14811298896966099</v>
      </c>
      <c r="H287" s="102">
        <v>0.14811298896966099</v>
      </c>
      <c r="I287" s="102">
        <f>+(Yield_Originals!H287+Yield_Originals!J287)/2</f>
        <v>0.1540564944848305</v>
      </c>
      <c r="J287" s="102">
        <v>0.16</v>
      </c>
      <c r="K287" s="103">
        <v>2</v>
      </c>
      <c r="L287" s="104">
        <f>(Yield_Originals!$G287*Yield_Originals!L$1)/Yield_Originals!$K287</f>
        <v>8.8867793381796609E-2</v>
      </c>
      <c r="M287" s="104">
        <f>(Yield_Originals!$G287*Yield_Originals!M$1)/Yield_Originals!$K287</f>
        <v>9.1644911924977743E-2</v>
      </c>
      <c r="N287" s="104">
        <f>(Yield_Originals!$G287*Yield_Originals!N$1)/Yield_Originals!$K287</f>
        <v>9.4422030468158891E-2</v>
      </c>
      <c r="O287" s="104">
        <f>(Yield_Originals!$G287*Yield_Originals!O$1)/Yield_Originals!$K287</f>
        <v>9.7199149011340039E-2</v>
      </c>
      <c r="P287" s="105">
        <f>(Yield_Originals!$H287*Yield_Originals!P$1)/Yield_Originals!$K287</f>
        <v>9.9976267554521173E-2</v>
      </c>
      <c r="Q287" s="105">
        <f>(Yield_Originals!$H287*Yield_Originals!Q$1)/Yield_Originals!$K287</f>
        <v>0.10275338609770232</v>
      </c>
      <c r="R287" s="105">
        <f>(Yield_Originals!$H287*Yield_Originals!R$1)/Yield_Originals!$K287</f>
        <v>0.10553050464088348</v>
      </c>
      <c r="S287" s="105">
        <f>(Yield_Originals!$H287*Yield_Originals!S$1)/Yield_Originals!$K287</f>
        <v>0.10830762318406463</v>
      </c>
      <c r="T287" s="107"/>
      <c r="U287" s="107"/>
      <c r="V287" s="107"/>
      <c r="W287" s="107"/>
      <c r="X287" s="108"/>
      <c r="Y287" s="108"/>
      <c r="Z287"/>
      <c r="AA287"/>
      <c r="AB287"/>
    </row>
    <row r="288" spans="1:28" x14ac:dyDescent="0.25">
      <c r="A288" s="70" t="s">
        <v>1024</v>
      </c>
      <c r="B288" s="70">
        <v>3</v>
      </c>
      <c r="C288" s="99" t="s">
        <v>1129</v>
      </c>
      <c r="D288" s="99" t="s">
        <v>1142</v>
      </c>
      <c r="E288" s="100">
        <v>31</v>
      </c>
      <c r="F288" s="110">
        <f>Yield_Originals!G288</f>
        <v>0.14811298896966099</v>
      </c>
      <c r="G288" s="102">
        <v>0.14811298896966099</v>
      </c>
      <c r="H288" s="102">
        <v>0.14811298896966099</v>
      </c>
      <c r="I288" s="102">
        <f>+(Yield_Originals!H288+Yield_Originals!J288)/2</f>
        <v>0.1540564944848305</v>
      </c>
      <c r="J288" s="102">
        <v>0.16</v>
      </c>
      <c r="K288" s="103">
        <v>2</v>
      </c>
      <c r="L288" s="104">
        <f>(Yield_Originals!$G288*Yield_Originals!L$1)/Yield_Originals!$K288</f>
        <v>8.8867793381796609E-2</v>
      </c>
      <c r="M288" s="104">
        <f>(Yield_Originals!$G288*Yield_Originals!M$1)/Yield_Originals!$K288</f>
        <v>9.1644911924977743E-2</v>
      </c>
      <c r="N288" s="104">
        <f>(Yield_Originals!$G288*Yield_Originals!N$1)/Yield_Originals!$K288</f>
        <v>9.4422030468158891E-2</v>
      </c>
      <c r="O288" s="104">
        <f>(Yield_Originals!$G288*Yield_Originals!O$1)/Yield_Originals!$K288</f>
        <v>9.7199149011340039E-2</v>
      </c>
      <c r="P288" s="105">
        <f>(Yield_Originals!$H288*Yield_Originals!P$1)/Yield_Originals!$K288</f>
        <v>9.9976267554521173E-2</v>
      </c>
      <c r="Q288" s="105">
        <f>(Yield_Originals!$H288*Yield_Originals!Q$1)/Yield_Originals!$K288</f>
        <v>0.10275338609770232</v>
      </c>
      <c r="R288" s="105">
        <f>(Yield_Originals!$H288*Yield_Originals!R$1)/Yield_Originals!$K288</f>
        <v>0.10553050464088348</v>
      </c>
      <c r="S288" s="105">
        <f>(Yield_Originals!$H288*Yield_Originals!S$1)/Yield_Originals!$K288</f>
        <v>0.10830762318406463</v>
      </c>
      <c r="T288" s="107"/>
      <c r="U288" s="107"/>
      <c r="V288" s="107"/>
      <c r="W288" s="107"/>
      <c r="X288" s="108"/>
      <c r="Y288" s="108"/>
      <c r="Z288"/>
      <c r="AA288"/>
      <c r="AB288"/>
    </row>
    <row r="289" spans="1:28" x14ac:dyDescent="0.25">
      <c r="A289" s="70" t="s">
        <v>1024</v>
      </c>
      <c r="B289" s="70">
        <v>3</v>
      </c>
      <c r="C289" t="s">
        <v>1129</v>
      </c>
      <c r="D289" t="s">
        <v>1142</v>
      </c>
      <c r="E289" s="100">
        <v>1</v>
      </c>
      <c r="F289" s="110">
        <f>Yield_Originals!G289</f>
        <v>0.14811298896966099</v>
      </c>
      <c r="G289" s="102">
        <v>0.14811298896966099</v>
      </c>
      <c r="H289" s="102">
        <v>0.14811298896966099</v>
      </c>
      <c r="I289" s="102">
        <f>+(Yield_Originals!H289+Yield_Originals!J289)/2</f>
        <v>0.1540564944848305</v>
      </c>
      <c r="J289" s="102">
        <v>0.16</v>
      </c>
      <c r="K289" s="103">
        <v>2</v>
      </c>
      <c r="L289" s="104">
        <f>(Yield_Originals!$G289*Yield_Originals!L$1)/Yield_Originals!$K289</f>
        <v>8.8867793381796609E-2</v>
      </c>
      <c r="M289" s="104">
        <f>(Yield_Originals!$G289*Yield_Originals!M$1)/Yield_Originals!$K289</f>
        <v>9.1644911924977743E-2</v>
      </c>
      <c r="N289" s="104">
        <f>(Yield_Originals!$G289*Yield_Originals!N$1)/Yield_Originals!$K289</f>
        <v>9.4422030468158891E-2</v>
      </c>
      <c r="O289" s="104">
        <f>(Yield_Originals!$G289*Yield_Originals!O$1)/Yield_Originals!$K289</f>
        <v>9.7199149011340039E-2</v>
      </c>
      <c r="P289" s="105">
        <f>(Yield_Originals!$H289*Yield_Originals!P$1)/Yield_Originals!$K289</f>
        <v>9.9976267554521173E-2</v>
      </c>
      <c r="Q289" s="105">
        <f>(Yield_Originals!$H289*Yield_Originals!Q$1)/Yield_Originals!$K289</f>
        <v>0.10275338609770232</v>
      </c>
      <c r="R289" s="105">
        <f>(Yield_Originals!$H289*Yield_Originals!R$1)/Yield_Originals!$K289</f>
        <v>0.10553050464088348</v>
      </c>
      <c r="S289" s="105">
        <f>(Yield_Originals!$H289*Yield_Originals!S$1)/Yield_Originals!$K289</f>
        <v>0.10830762318406463</v>
      </c>
      <c r="T289" s="107"/>
      <c r="U289" s="107"/>
      <c r="V289" s="107"/>
      <c r="W289" s="107"/>
      <c r="X289" s="108"/>
      <c r="Y289" s="108"/>
      <c r="Z289"/>
      <c r="AA289"/>
      <c r="AB289"/>
    </row>
    <row r="290" spans="1:28" x14ac:dyDescent="0.25">
      <c r="A290" s="70" t="s">
        <v>1024</v>
      </c>
      <c r="B290" s="70">
        <v>3</v>
      </c>
      <c r="C290" t="s">
        <v>1129</v>
      </c>
      <c r="D290" t="s">
        <v>1142</v>
      </c>
      <c r="E290" s="100">
        <v>2</v>
      </c>
      <c r="F290" s="110">
        <f>Yield_Originals!G290</f>
        <v>0.14811298896966099</v>
      </c>
      <c r="G290" s="102">
        <v>0.14811298896966099</v>
      </c>
      <c r="H290" s="102">
        <v>0.14811298896966099</v>
      </c>
      <c r="I290" s="102">
        <f>+(Yield_Originals!H290+Yield_Originals!J290)/2</f>
        <v>0.1540564944848305</v>
      </c>
      <c r="J290" s="102">
        <v>0.16</v>
      </c>
      <c r="K290" s="103">
        <v>2</v>
      </c>
      <c r="L290" s="104">
        <f>(Yield_Originals!$G290*Yield_Originals!L$1)/Yield_Originals!$K290</f>
        <v>8.8867793381796609E-2</v>
      </c>
      <c r="M290" s="104">
        <f>(Yield_Originals!$G290*Yield_Originals!M$1)/Yield_Originals!$K290</f>
        <v>9.1644911924977743E-2</v>
      </c>
      <c r="N290" s="104">
        <f>(Yield_Originals!$G290*Yield_Originals!N$1)/Yield_Originals!$K290</f>
        <v>9.4422030468158891E-2</v>
      </c>
      <c r="O290" s="104">
        <f>(Yield_Originals!$G290*Yield_Originals!O$1)/Yield_Originals!$K290</f>
        <v>9.7199149011340039E-2</v>
      </c>
      <c r="P290" s="105">
        <f>(Yield_Originals!$H290*Yield_Originals!P$1)/Yield_Originals!$K290</f>
        <v>9.9976267554521173E-2</v>
      </c>
      <c r="Q290" s="105">
        <f>(Yield_Originals!$H290*Yield_Originals!Q$1)/Yield_Originals!$K290</f>
        <v>0.10275338609770232</v>
      </c>
      <c r="R290" s="105">
        <f>(Yield_Originals!$H290*Yield_Originals!R$1)/Yield_Originals!$K290</f>
        <v>0.10553050464088348</v>
      </c>
      <c r="S290" s="105">
        <f>(Yield_Originals!$H290*Yield_Originals!S$1)/Yield_Originals!$K290</f>
        <v>0.10830762318406463</v>
      </c>
      <c r="T290" s="107"/>
      <c r="U290" s="107"/>
      <c r="V290" s="107"/>
      <c r="W290" s="107"/>
      <c r="X290" s="108"/>
      <c r="Y290" s="108"/>
      <c r="Z290"/>
      <c r="AA290"/>
      <c r="AB290"/>
    </row>
    <row r="291" spans="1:28" x14ac:dyDescent="0.25">
      <c r="A291" s="70" t="s">
        <v>1024</v>
      </c>
      <c r="B291" s="70">
        <v>3</v>
      </c>
      <c r="C291" s="99" t="s">
        <v>436</v>
      </c>
      <c r="D291" s="99" t="s">
        <v>1157</v>
      </c>
      <c r="E291" s="100">
        <v>26</v>
      </c>
      <c r="F291" s="110">
        <f>Yield_Originals!G291</f>
        <v>0.14811298896966099</v>
      </c>
      <c r="G291" s="102">
        <v>0.14811298896966099</v>
      </c>
      <c r="H291" s="102">
        <v>0.14811298896966099</v>
      </c>
      <c r="I291" s="102">
        <f>+(Yield_Originals!H291+Yield_Originals!J291)/2</f>
        <v>0.1540564944848305</v>
      </c>
      <c r="J291" s="102">
        <v>0.16</v>
      </c>
      <c r="K291" s="103">
        <v>2</v>
      </c>
      <c r="L291" s="104">
        <f>(Yield_Originals!$G291*Yield_Originals!L$1)/Yield_Originals!$K291</f>
        <v>8.8867793381796609E-2</v>
      </c>
      <c r="M291" s="104">
        <f>(Yield_Originals!$G291*Yield_Originals!M$1)/Yield_Originals!$K291</f>
        <v>9.1644911924977743E-2</v>
      </c>
      <c r="N291" s="104"/>
      <c r="O291" s="104"/>
      <c r="P291" s="105"/>
      <c r="Q291" s="105"/>
      <c r="R291" s="105"/>
      <c r="S291" s="105"/>
      <c r="T291" s="107"/>
      <c r="U291" s="107"/>
      <c r="V291" s="107"/>
      <c r="W291" s="107"/>
      <c r="X291" s="108"/>
      <c r="Y291" s="108"/>
      <c r="Z291"/>
      <c r="AA291"/>
      <c r="AB291"/>
    </row>
    <row r="292" spans="1:28" x14ac:dyDescent="0.25">
      <c r="A292" s="70" t="s">
        <v>1024</v>
      </c>
      <c r="B292" s="70">
        <v>3</v>
      </c>
      <c r="C292" s="99" t="s">
        <v>436</v>
      </c>
      <c r="D292" s="99" t="s">
        <v>1157</v>
      </c>
      <c r="E292" s="100">
        <v>30</v>
      </c>
      <c r="F292" s="110">
        <f>Yield_Originals!G292</f>
        <v>0.14811298896966099</v>
      </c>
      <c r="G292" s="102">
        <v>0.14811298896966099</v>
      </c>
      <c r="H292" s="102">
        <v>0.14811298896966099</v>
      </c>
      <c r="I292" s="102">
        <f>+(Yield_Originals!H292+Yield_Originals!J292)/2</f>
        <v>0.1540564944848305</v>
      </c>
      <c r="J292" s="102">
        <v>0.16</v>
      </c>
      <c r="K292" s="103">
        <v>2</v>
      </c>
      <c r="L292" s="104">
        <f>(Yield_Originals!$G292*Yield_Originals!L$1)/Yield_Originals!$K292</f>
        <v>8.8867793381796609E-2</v>
      </c>
      <c r="M292" s="104">
        <f>(Yield_Originals!$G292*Yield_Originals!M$1)/Yield_Originals!$K292</f>
        <v>9.1644911924977743E-2</v>
      </c>
      <c r="N292" s="104"/>
      <c r="O292" s="104"/>
      <c r="P292" s="105"/>
      <c r="Q292" s="105"/>
      <c r="R292" s="105"/>
      <c r="S292" s="105"/>
      <c r="T292" s="107"/>
      <c r="U292" s="107"/>
      <c r="V292" s="107"/>
      <c r="W292" s="107"/>
      <c r="X292" s="108"/>
      <c r="Y292" s="108"/>
      <c r="Z292"/>
      <c r="AA292"/>
      <c r="AB292"/>
    </row>
    <row r="293" spans="1:28" x14ac:dyDescent="0.25">
      <c r="A293" s="70" t="s">
        <v>1024</v>
      </c>
      <c r="B293" s="70">
        <v>3</v>
      </c>
      <c r="C293" s="99" t="s">
        <v>436</v>
      </c>
      <c r="D293" s="99" t="s">
        <v>1157</v>
      </c>
      <c r="E293" s="100">
        <v>31</v>
      </c>
      <c r="F293" s="110">
        <f>Yield_Originals!G293</f>
        <v>0.14811298896966099</v>
      </c>
      <c r="G293" s="102">
        <v>0.14811298896966099</v>
      </c>
      <c r="H293" s="102">
        <v>0.14811298896966099</v>
      </c>
      <c r="I293" s="102">
        <f>+(Yield_Originals!H293+Yield_Originals!J293)/2</f>
        <v>0.1540564944848305</v>
      </c>
      <c r="J293" s="102">
        <v>0.16</v>
      </c>
      <c r="K293" s="103">
        <v>2</v>
      </c>
      <c r="L293" s="104">
        <f>(Yield_Originals!$G293*Yield_Originals!L$1)/Yield_Originals!$K293</f>
        <v>8.8867793381796609E-2</v>
      </c>
      <c r="M293" s="104">
        <f>(Yield_Originals!$G293*Yield_Originals!M$1)/Yield_Originals!$K293</f>
        <v>9.1644911924977743E-2</v>
      </c>
      <c r="N293" s="104"/>
      <c r="O293" s="104"/>
      <c r="P293" s="105"/>
      <c r="Q293" s="105"/>
      <c r="R293" s="105"/>
      <c r="S293" s="105"/>
      <c r="T293" s="107"/>
      <c r="U293" s="107"/>
      <c r="V293" s="107"/>
      <c r="W293" s="107">
        <f>(Yield_Originals!$I293*Yield_Originals!W$1)/Yield_Originals!$K293</f>
        <v>0.12420804867839458</v>
      </c>
      <c r="X293" s="108">
        <f>(Yield_Originals!$I293*Yield_Originals!X$1)/Yield_Originals!$K293</f>
        <v>0.12709660794998515</v>
      </c>
      <c r="Y293" s="108">
        <f>(Yield_Originals!$I293*Yield_Originals!Y$1)/Yield_Originals!$K293</f>
        <v>0.12998516722157569</v>
      </c>
      <c r="Z293"/>
      <c r="AA293"/>
      <c r="AB293"/>
    </row>
    <row r="294" spans="1:28" x14ac:dyDescent="0.25">
      <c r="A294" s="70" t="s">
        <v>1024</v>
      </c>
      <c r="B294" s="70">
        <v>3</v>
      </c>
      <c r="C294" s="99" t="s">
        <v>259</v>
      </c>
      <c r="D294" s="99" t="s">
        <v>1157</v>
      </c>
      <c r="E294" s="100">
        <v>26</v>
      </c>
      <c r="F294" s="110">
        <f>Yield_Originals!G294</f>
        <v>0.14811298896966099</v>
      </c>
      <c r="G294" s="102">
        <v>0.14811298896966099</v>
      </c>
      <c r="H294" s="102">
        <v>0.14811298896966099</v>
      </c>
      <c r="I294" s="102">
        <f>+(Yield_Originals!H294+Yield_Originals!J294)/2</f>
        <v>0.1540564944848305</v>
      </c>
      <c r="J294" s="102">
        <v>0.16</v>
      </c>
      <c r="K294" s="103">
        <v>2</v>
      </c>
      <c r="L294" s="104">
        <f>(Yield_Originals!$G294*Yield_Originals!L$1)/Yield_Originals!$K294</f>
        <v>8.8867793381796609E-2</v>
      </c>
      <c r="M294" s="104">
        <f>(Yield_Originals!$G294*Yield_Originals!M$1)/Yield_Originals!$K294</f>
        <v>9.1644911924977743E-2</v>
      </c>
      <c r="N294" s="104"/>
      <c r="O294" s="104"/>
      <c r="P294" s="105"/>
      <c r="Q294" s="105"/>
      <c r="R294" s="105"/>
      <c r="S294" s="105"/>
      <c r="T294" s="107"/>
      <c r="U294" s="107"/>
      <c r="V294" s="107"/>
      <c r="W294" s="107"/>
      <c r="X294" s="108"/>
      <c r="Y294" s="108"/>
      <c r="Z294"/>
      <c r="AA294"/>
      <c r="AB294"/>
    </row>
    <row r="295" spans="1:28" x14ac:dyDescent="0.25">
      <c r="A295" s="70" t="s">
        <v>1024</v>
      </c>
      <c r="B295" s="70">
        <v>3</v>
      </c>
      <c r="C295" s="99" t="s">
        <v>259</v>
      </c>
      <c r="D295" s="99" t="s">
        <v>1157</v>
      </c>
      <c r="E295" s="100">
        <v>30</v>
      </c>
      <c r="F295" s="110">
        <f>Yield_Originals!G295</f>
        <v>0.14811298896966099</v>
      </c>
      <c r="G295" s="102">
        <v>0.14811298896966099</v>
      </c>
      <c r="H295" s="102">
        <v>0.14811298896966099</v>
      </c>
      <c r="I295" s="102">
        <f>+(Yield_Originals!H295+Yield_Originals!J295)/2</f>
        <v>0.1540564944848305</v>
      </c>
      <c r="J295" s="102">
        <v>0.16</v>
      </c>
      <c r="K295" s="103">
        <v>2</v>
      </c>
      <c r="L295" s="104">
        <f>(Yield_Originals!$G295*Yield_Originals!L$1)/Yield_Originals!$K295</f>
        <v>8.8867793381796609E-2</v>
      </c>
      <c r="M295" s="104">
        <f>(Yield_Originals!$G295*Yield_Originals!M$1)/Yield_Originals!$K295</f>
        <v>9.1644911924977743E-2</v>
      </c>
      <c r="N295" s="104"/>
      <c r="O295" s="104"/>
      <c r="P295" s="105"/>
      <c r="Q295" s="105"/>
      <c r="R295" s="105"/>
      <c r="S295" s="105"/>
      <c r="T295" s="107"/>
      <c r="U295" s="107"/>
      <c r="V295" s="107"/>
      <c r="W295" s="107"/>
      <c r="X295" s="108"/>
      <c r="Y295" s="108"/>
      <c r="Z295"/>
      <c r="AA295"/>
      <c r="AB295"/>
    </row>
    <row r="296" spans="1:28" x14ac:dyDescent="0.25">
      <c r="A296" s="70" t="s">
        <v>1024</v>
      </c>
      <c r="B296" s="70">
        <v>3</v>
      </c>
      <c r="C296" s="99" t="s">
        <v>259</v>
      </c>
      <c r="D296" s="99" t="s">
        <v>1157</v>
      </c>
      <c r="E296" s="100">
        <v>31</v>
      </c>
      <c r="F296" s="110">
        <f>Yield_Originals!G296</f>
        <v>0.14811298896966099</v>
      </c>
      <c r="G296" s="102">
        <v>0.14811298896966099</v>
      </c>
      <c r="H296" s="102">
        <v>0.14811298896966099</v>
      </c>
      <c r="I296" s="102">
        <f>+(Yield_Originals!H296+Yield_Originals!J296)/2</f>
        <v>0.1540564944848305</v>
      </c>
      <c r="J296" s="102">
        <v>0.16</v>
      </c>
      <c r="K296" s="103">
        <v>2</v>
      </c>
      <c r="L296" s="104">
        <f>(Yield_Originals!$G296*Yield_Originals!L$1)/Yield_Originals!$K296</f>
        <v>8.8867793381796609E-2</v>
      </c>
      <c r="M296" s="104">
        <f>(Yield_Originals!$G296*Yield_Originals!M$1)/Yield_Originals!$K296</f>
        <v>9.1644911924977743E-2</v>
      </c>
      <c r="N296" s="104"/>
      <c r="O296" s="104"/>
      <c r="P296" s="105"/>
      <c r="Q296" s="105"/>
      <c r="R296" s="105"/>
      <c r="S296" s="105"/>
      <c r="T296" s="107"/>
      <c r="U296" s="107"/>
      <c r="V296" s="107"/>
      <c r="W296" s="107">
        <f>(Yield_Originals!$I296*Yield_Originals!W$1)/Yield_Originals!$K296</f>
        <v>0.12420804867839458</v>
      </c>
      <c r="X296" s="108">
        <f>(Yield_Originals!$I296*Yield_Originals!X$1)/Yield_Originals!$K296</f>
        <v>0.12709660794998515</v>
      </c>
      <c r="Y296" s="108">
        <f>(Yield_Originals!$I296*Yield_Originals!Y$1)/Yield_Originals!$K296</f>
        <v>0.12998516722157569</v>
      </c>
      <c r="Z296" s="108"/>
      <c r="AA296" s="108"/>
      <c r="AB296" s="108"/>
    </row>
    <row r="297" spans="1:28" x14ac:dyDescent="0.25">
      <c r="A297" s="70" t="s">
        <v>1165</v>
      </c>
      <c r="B297" s="72">
        <v>2</v>
      </c>
      <c r="C297" s="99" t="s">
        <v>1136</v>
      </c>
      <c r="D297" s="99" t="s">
        <v>1174</v>
      </c>
      <c r="E297" s="100">
        <v>1</v>
      </c>
      <c r="F297" s="110">
        <f>Yield_Originals!G297</f>
        <v>0.120350988019851</v>
      </c>
      <c r="G297" s="102">
        <v>0.120350988019851</v>
      </c>
      <c r="H297" s="102">
        <v>0.120350988019851</v>
      </c>
      <c r="I297" s="102">
        <v>0.120350988019851</v>
      </c>
      <c r="J297" s="102">
        <v>0.120350988019851</v>
      </c>
      <c r="K297" s="103">
        <v>1</v>
      </c>
      <c r="L297" s="104">
        <f>(Yield_Originals!$G297*Yield_Originals!L$1)/Yield_Originals!$K297</f>
        <v>0.14442118562382122</v>
      </c>
      <c r="M297" s="104">
        <f>(Yield_Originals!$G297*Yield_Originals!M$1)/Yield_Originals!$K297</f>
        <v>0.14893434767456562</v>
      </c>
      <c r="N297" s="104">
        <f>(Yield_Originals!$G297*Yield_Originals!N$1)/Yield_Originals!$K297</f>
        <v>0.15344750972531004</v>
      </c>
      <c r="O297" s="104">
        <f>(Yield_Originals!$G297*Yield_Originals!O$1)/Yield_Originals!$K297</f>
        <v>0.15796067177605447</v>
      </c>
      <c r="P297" s="105">
        <f>(Yield_Originals!$H297*Yield_Originals!P$1)/Yield_Originals!$K297</f>
        <v>0.16247383382679886</v>
      </c>
      <c r="Q297" s="105">
        <f>(Yield_Originals!$H297*Yield_Originals!Q$1)/Yield_Originals!$K297</f>
        <v>0.16698699587754329</v>
      </c>
      <c r="R297" s="105">
        <f>(Yield_Originals!$H297*Yield_Originals!R$1)/Yield_Originals!$K297</f>
        <v>0.17150015792828771</v>
      </c>
      <c r="S297" s="105">
        <f>(Yield_Originals!$H297*Yield_Originals!S$1)/Yield_Originals!$K297</f>
        <v>0.17601331997903213</v>
      </c>
      <c r="T297" s="107">
        <f>(Yield_Originals!$I297*Yield_Originals!T$1)/Yield_Originals!$K297</f>
        <v>0.18052648202977656</v>
      </c>
      <c r="U297" s="107">
        <f>(Yield_Originals!$I297*Yield_Originals!U$1)/Yield_Originals!$K297</f>
        <v>0.18503964408052093</v>
      </c>
      <c r="V297" s="107">
        <f>(Yield_Originals!$I297*Yield_Originals!V$1)/Yield_Originals!$K297</f>
        <v>0.18955280613126535</v>
      </c>
      <c r="W297" s="107">
        <f>(Yield_Originals!$I297*Yield_Originals!W$1)/Yield_Originals!$K297</f>
        <v>0.19406596818200972</v>
      </c>
      <c r="X297" s="108">
        <f>(Yield_Originals!$I297*Yield_Originals!X$1)/Yield_Originals!$K297</f>
        <v>0.19857913023275414</v>
      </c>
      <c r="Y297" s="108">
        <f>(Yield_Originals!$I297*Yield_Originals!Y$1)/Yield_Originals!$K297</f>
        <v>0.20309229228349851</v>
      </c>
      <c r="Z297"/>
      <c r="AA297"/>
      <c r="AB297"/>
    </row>
    <row r="298" spans="1:28" x14ac:dyDescent="0.25">
      <c r="A298" s="70" t="s">
        <v>1165</v>
      </c>
      <c r="B298" s="72">
        <v>2</v>
      </c>
      <c r="C298" s="99" t="s">
        <v>438</v>
      </c>
      <c r="D298" s="99" t="s">
        <v>1170</v>
      </c>
      <c r="E298" s="100">
        <v>1</v>
      </c>
      <c r="F298" s="110">
        <f>Yield_Originals!G298</f>
        <v>0.120350988019851</v>
      </c>
      <c r="G298" s="102">
        <v>0.120350988019851</v>
      </c>
      <c r="H298" s="102">
        <v>0.120350988019851</v>
      </c>
      <c r="I298" s="102">
        <v>0.120350988019851</v>
      </c>
      <c r="J298" s="102">
        <v>0.120350988019851</v>
      </c>
      <c r="K298" s="103">
        <v>1</v>
      </c>
      <c r="L298" s="104">
        <f>(Yield_Originals!$G298*Yield_Originals!L$1)/Yield_Originals!$K298</f>
        <v>0.14442118562382122</v>
      </c>
      <c r="M298" s="104">
        <f>(Yield_Originals!$G298*Yield_Originals!M$1)/Yield_Originals!$K298</f>
        <v>0.14893434767456562</v>
      </c>
      <c r="N298" s="104">
        <f>(Yield_Originals!$G298*Yield_Originals!N$1)/Yield_Originals!$K298</f>
        <v>0.15344750972531004</v>
      </c>
      <c r="O298" s="104">
        <f>(Yield_Originals!$G298*Yield_Originals!O$1)/Yield_Originals!$K298</f>
        <v>0.15796067177605447</v>
      </c>
      <c r="P298" s="105">
        <f>(Yield_Originals!$H298*Yield_Originals!P$1)/Yield_Originals!$K298</f>
        <v>0.16247383382679886</v>
      </c>
      <c r="Q298" s="105">
        <f>(Yield_Originals!$H298*Yield_Originals!Q$1)/Yield_Originals!$K298</f>
        <v>0.16698699587754329</v>
      </c>
      <c r="R298" s="105">
        <f>(Yield_Originals!$H298*Yield_Originals!R$1)/Yield_Originals!$K298</f>
        <v>0.17150015792828771</v>
      </c>
      <c r="S298" s="105">
        <f>(Yield_Originals!$H298*Yield_Originals!S$1)/Yield_Originals!$K298</f>
        <v>0.17601331997903213</v>
      </c>
      <c r="T298" s="107">
        <f>(Yield_Originals!$I298*Yield_Originals!T$1)/Yield_Originals!$K298</f>
        <v>0.18052648202977656</v>
      </c>
      <c r="U298" s="107"/>
      <c r="V298" s="107"/>
      <c r="W298" s="107"/>
      <c r="X298" s="108"/>
      <c r="Y298" s="108"/>
      <c r="Z298"/>
      <c r="AA298"/>
      <c r="AB298"/>
    </row>
    <row r="299" spans="1:28" x14ac:dyDescent="0.25">
      <c r="A299" s="70" t="s">
        <v>1165</v>
      </c>
      <c r="B299" s="72">
        <v>2</v>
      </c>
      <c r="C299" s="99" t="s">
        <v>260</v>
      </c>
      <c r="D299" s="99" t="s">
        <v>1170</v>
      </c>
      <c r="E299" s="100">
        <v>1</v>
      </c>
      <c r="F299" s="110">
        <f>Yield_Originals!G299</f>
        <v>0.120350988019851</v>
      </c>
      <c r="G299" s="102">
        <v>0.120350988019851</v>
      </c>
      <c r="H299" s="102">
        <v>0.120350988019851</v>
      </c>
      <c r="I299" s="102">
        <v>0.120350988019851</v>
      </c>
      <c r="J299" s="102">
        <v>0.120350988019851</v>
      </c>
      <c r="K299" s="103">
        <v>1</v>
      </c>
      <c r="L299" s="104">
        <f>(Yield_Originals!$G299*Yield_Originals!L$1)/Yield_Originals!$K299</f>
        <v>0.14442118562382122</v>
      </c>
      <c r="M299" s="104">
        <f>(Yield_Originals!$G299*Yield_Originals!M$1)/Yield_Originals!$K299</f>
        <v>0.14893434767456562</v>
      </c>
      <c r="N299" s="104">
        <f>(Yield_Originals!$G299*Yield_Originals!N$1)/Yield_Originals!$K299</f>
        <v>0.15344750972531004</v>
      </c>
      <c r="O299" s="104">
        <f>(Yield_Originals!$G299*Yield_Originals!O$1)/Yield_Originals!$K299</f>
        <v>0.15796067177605447</v>
      </c>
      <c r="P299" s="105">
        <f>(Yield_Originals!$H299*Yield_Originals!P$1)/Yield_Originals!$K299</f>
        <v>0.16247383382679886</v>
      </c>
      <c r="Q299" s="105">
        <f>(Yield_Originals!$H299*Yield_Originals!Q$1)/Yield_Originals!$K299</f>
        <v>0.16698699587754329</v>
      </c>
      <c r="R299" s="105">
        <f>(Yield_Originals!$H299*Yield_Originals!R$1)/Yield_Originals!$K299</f>
        <v>0.17150015792828771</v>
      </c>
      <c r="S299" s="105">
        <f>(Yield_Originals!$H299*Yield_Originals!S$1)/Yield_Originals!$K299</f>
        <v>0.17601331997903213</v>
      </c>
      <c r="T299" s="107">
        <f>(Yield_Originals!$I299*Yield_Originals!T$1)/Yield_Originals!$K299</f>
        <v>0.18052648202977656</v>
      </c>
      <c r="U299" s="107"/>
      <c r="V299" s="107"/>
      <c r="W299" s="107"/>
      <c r="X299" s="108"/>
      <c r="Y299" s="108"/>
      <c r="Z299"/>
      <c r="AA299"/>
      <c r="AB299"/>
    </row>
    <row r="300" spans="1:28" x14ac:dyDescent="0.25">
      <c r="A300" s="70" t="s">
        <v>1165</v>
      </c>
      <c r="B300" s="72">
        <v>2</v>
      </c>
      <c r="C300" s="99" t="s">
        <v>144</v>
      </c>
      <c r="D300" s="99" t="s">
        <v>1165</v>
      </c>
      <c r="E300" s="100">
        <v>1</v>
      </c>
      <c r="F300" s="110">
        <f>Yield_Originals!G300</f>
        <v>0.120350988019851</v>
      </c>
      <c r="G300" s="102">
        <v>0.120350988019851</v>
      </c>
      <c r="H300" s="102">
        <v>0.120350988019851</v>
      </c>
      <c r="I300" s="102">
        <v>0.120350988019851</v>
      </c>
      <c r="J300" s="102">
        <v>0.120350988019851</v>
      </c>
      <c r="K300" s="103">
        <v>1</v>
      </c>
      <c r="L300" s="104">
        <f>(Yield_Originals!$G300*Yield_Originals!L$1)/Yield_Originals!$K300</f>
        <v>0.14442118562382122</v>
      </c>
      <c r="M300" s="104">
        <f>(Yield_Originals!$G300*Yield_Originals!M$1)/Yield_Originals!$K300</f>
        <v>0.14893434767456562</v>
      </c>
      <c r="N300" s="104">
        <f>(Yield_Originals!$G300*Yield_Originals!N$1)/Yield_Originals!$K300</f>
        <v>0.15344750972531004</v>
      </c>
      <c r="O300" s="104">
        <f>(Yield_Originals!$G300*Yield_Originals!O$1)/Yield_Originals!$K300</f>
        <v>0.15796067177605447</v>
      </c>
      <c r="P300" s="105">
        <f>(Yield_Originals!$H300*Yield_Originals!P$1)/Yield_Originals!$K300</f>
        <v>0.16247383382679886</v>
      </c>
      <c r="Q300" s="105">
        <f>(Yield_Originals!$H300*Yield_Originals!Q$1)/Yield_Originals!$K300</f>
        <v>0.16698699587754329</v>
      </c>
      <c r="R300" s="105">
        <f>(Yield_Originals!$H300*Yield_Originals!R$1)/Yield_Originals!$K300</f>
        <v>0.17150015792828771</v>
      </c>
      <c r="S300" s="105">
        <f>(Yield_Originals!$H300*Yield_Originals!S$1)/Yield_Originals!$K300</f>
        <v>0.17601331997903213</v>
      </c>
      <c r="T300" s="107">
        <f>(Yield_Originals!$I300*Yield_Originals!T$1)/Yield_Originals!$K300</f>
        <v>0.18052648202977656</v>
      </c>
      <c r="U300" s="107">
        <f>(Yield_Originals!$I300*Yield_Originals!U$1)/Yield_Originals!$K300</f>
        <v>0.18503964408052093</v>
      </c>
      <c r="V300" s="107">
        <f>(Yield_Originals!$I300*Yield_Originals!V$1)/Yield_Originals!$K300</f>
        <v>0.18955280613126535</v>
      </c>
      <c r="W300" s="107">
        <f>(Yield_Originals!$I300*Yield_Originals!W$1)/Yield_Originals!$K300</f>
        <v>0.19406596818200972</v>
      </c>
      <c r="X300" s="108">
        <f>(Yield_Originals!$I300*Yield_Originals!X$1)/Yield_Originals!$K300</f>
        <v>0.19857913023275414</v>
      </c>
      <c r="Y300" s="108">
        <f>(Yield_Originals!$I300*Yield_Originals!Y$1)/Yield_Originals!$K300</f>
        <v>0.20309229228349851</v>
      </c>
      <c r="Z300"/>
      <c r="AA300"/>
      <c r="AB300"/>
    </row>
    <row r="301" spans="1:28" x14ac:dyDescent="0.25">
      <c r="A301" s="70" t="s">
        <v>1165</v>
      </c>
      <c r="B301" s="72">
        <v>2</v>
      </c>
      <c r="C301" s="99" t="s">
        <v>261</v>
      </c>
      <c r="D301" s="99" t="s">
        <v>1165</v>
      </c>
      <c r="E301" s="100">
        <v>1</v>
      </c>
      <c r="F301" s="110">
        <f>Yield_Originals!G301</f>
        <v>0.120350988019851</v>
      </c>
      <c r="G301" s="102">
        <v>0.120350988019851</v>
      </c>
      <c r="H301" s="102">
        <v>0.120350988019851</v>
      </c>
      <c r="I301" s="102">
        <v>0.120350988019851</v>
      </c>
      <c r="J301" s="102">
        <v>0.120350988019851</v>
      </c>
      <c r="K301" s="103">
        <v>1</v>
      </c>
      <c r="L301" s="104">
        <f>(Yield_Originals!$G301*Yield_Originals!L$1)/Yield_Originals!$K301</f>
        <v>0.14442118562382122</v>
      </c>
      <c r="M301" s="104">
        <f>(Yield_Originals!$G301*Yield_Originals!M$1)/Yield_Originals!$K301</f>
        <v>0.14893434767456562</v>
      </c>
      <c r="N301" s="104">
        <f>(Yield_Originals!$G301*Yield_Originals!N$1)/Yield_Originals!$K301</f>
        <v>0.15344750972531004</v>
      </c>
      <c r="O301" s="104">
        <f>(Yield_Originals!$G301*Yield_Originals!O$1)/Yield_Originals!$K301</f>
        <v>0.15796067177605447</v>
      </c>
      <c r="P301" s="105">
        <f>(Yield_Originals!$H301*Yield_Originals!P$1)/Yield_Originals!$K301</f>
        <v>0.16247383382679886</v>
      </c>
      <c r="Q301" s="105">
        <f>(Yield_Originals!$H301*Yield_Originals!Q$1)/Yield_Originals!$K301</f>
        <v>0.16698699587754329</v>
      </c>
      <c r="R301" s="105">
        <f>(Yield_Originals!$H301*Yield_Originals!R$1)/Yield_Originals!$K301</f>
        <v>0.17150015792828771</v>
      </c>
      <c r="S301" s="105">
        <f>(Yield_Originals!$H301*Yield_Originals!S$1)/Yield_Originals!$K301</f>
        <v>0.17601331997903213</v>
      </c>
      <c r="T301" s="107">
        <f>(Yield_Originals!$I301*Yield_Originals!T$1)/Yield_Originals!$K301</f>
        <v>0.18052648202977656</v>
      </c>
      <c r="U301" s="107">
        <f>(Yield_Originals!$I301*Yield_Originals!U$1)/Yield_Originals!$K301</f>
        <v>0.18503964408052093</v>
      </c>
      <c r="V301" s="107">
        <f>(Yield_Originals!$I301*Yield_Originals!V$1)/Yield_Originals!$K301</f>
        <v>0.18955280613126535</v>
      </c>
      <c r="W301" s="107">
        <f>(Yield_Originals!$I301*Yield_Originals!W$1)/Yield_Originals!$K301</f>
        <v>0.19406596818200972</v>
      </c>
      <c r="X301" s="108">
        <f>(Yield_Originals!$I301*Yield_Originals!X$1)/Yield_Originals!$K301</f>
        <v>0.19857913023275414</v>
      </c>
      <c r="Y301" s="108">
        <f>(Yield_Originals!$I301*Yield_Originals!Y$1)/Yield_Originals!$K301</f>
        <v>0.20309229228349851</v>
      </c>
      <c r="Z301"/>
      <c r="AA301"/>
      <c r="AB301"/>
    </row>
    <row r="302" spans="1:28" x14ac:dyDescent="0.25">
      <c r="A302" s="70" t="s">
        <v>1165</v>
      </c>
      <c r="B302" s="72">
        <v>2</v>
      </c>
      <c r="C302" s="99" t="s">
        <v>1146</v>
      </c>
      <c r="D302" s="99" t="s">
        <v>1164</v>
      </c>
      <c r="E302" s="100">
        <v>1</v>
      </c>
      <c r="F302" s="110">
        <f>Yield_Originals!G302</f>
        <v>0.120350988019851</v>
      </c>
      <c r="G302" s="102">
        <v>0.120350988019851</v>
      </c>
      <c r="H302" s="102">
        <v>0.120350988019851</v>
      </c>
      <c r="I302" s="102">
        <v>0.120350988019851</v>
      </c>
      <c r="J302" s="102">
        <v>0.120350988019851</v>
      </c>
      <c r="K302" s="103">
        <v>1</v>
      </c>
      <c r="L302" s="104">
        <f>(Yield_Originals!$G302*Yield_Originals!L$1)/Yield_Originals!$K302</f>
        <v>0.14442118562382122</v>
      </c>
      <c r="M302" s="104">
        <f>(Yield_Originals!$G302*Yield_Originals!M$1)/Yield_Originals!$K302</f>
        <v>0.14893434767456562</v>
      </c>
      <c r="N302" s="104">
        <f>(Yield_Originals!$G302*Yield_Originals!N$1)/Yield_Originals!$K302</f>
        <v>0.15344750972531004</v>
      </c>
      <c r="O302" s="104">
        <f>(Yield_Originals!$G302*Yield_Originals!O$1)/Yield_Originals!$K302</f>
        <v>0.15796067177605447</v>
      </c>
      <c r="P302" s="105">
        <f>(Yield_Originals!$H302*Yield_Originals!P$1)/Yield_Originals!$K302</f>
        <v>0.16247383382679886</v>
      </c>
      <c r="Q302" s="105">
        <f>(Yield_Originals!$H302*Yield_Originals!Q$1)/Yield_Originals!$K302</f>
        <v>0.16698699587754329</v>
      </c>
      <c r="R302" s="105">
        <f>(Yield_Originals!$H302*Yield_Originals!R$1)/Yield_Originals!$K302</f>
        <v>0.17150015792828771</v>
      </c>
      <c r="S302" s="105">
        <f>(Yield_Originals!$H302*Yield_Originals!S$1)/Yield_Originals!$K302</f>
        <v>0.17601331997903213</v>
      </c>
      <c r="T302" s="107">
        <f>(Yield_Originals!$I302*Yield_Originals!T$1)/Yield_Originals!$K302</f>
        <v>0.18052648202977656</v>
      </c>
      <c r="U302" s="107">
        <f>(Yield_Originals!$I302*Yield_Originals!U$1)/Yield_Originals!$K302</f>
        <v>0.18503964408052093</v>
      </c>
      <c r="V302" s="107">
        <f>(Yield_Originals!$I302*Yield_Originals!V$1)/Yield_Originals!$K302</f>
        <v>0.18955280613126535</v>
      </c>
      <c r="W302" s="107">
        <f>(Yield_Originals!$I302*Yield_Originals!W$1)/Yield_Originals!$K302</f>
        <v>0.19406596818200972</v>
      </c>
      <c r="X302" s="108">
        <f>(Yield_Originals!$I302*Yield_Originals!X$1)/Yield_Originals!$K302</f>
        <v>0.19857913023275414</v>
      </c>
      <c r="Y302" s="108">
        <f>(Yield_Originals!$I302*Yield_Originals!Y$1)/Yield_Originals!$K302</f>
        <v>0.20309229228349851</v>
      </c>
      <c r="Z302"/>
      <c r="AA302"/>
      <c r="AB302"/>
    </row>
    <row r="303" spans="1:28" x14ac:dyDescent="0.25">
      <c r="A303" s="70" t="s">
        <v>1378</v>
      </c>
      <c r="B303" s="70">
        <v>3</v>
      </c>
      <c r="C303" s="99" t="s">
        <v>1148</v>
      </c>
      <c r="D303" s="99" t="s">
        <v>1233</v>
      </c>
      <c r="E303" s="100">
        <v>25</v>
      </c>
      <c r="F303" s="110">
        <f>Yield_Originals!G303</f>
        <v>0.36399999999999999</v>
      </c>
      <c r="G303" s="102">
        <v>0.36399999999999999</v>
      </c>
      <c r="H303" s="102">
        <v>0.36399999999999999</v>
      </c>
      <c r="I303" s="102">
        <f>+(Yield_Originals!H303+Yield_Originals!J303)/2</f>
        <v>0.38700000000000001</v>
      </c>
      <c r="J303" s="102">
        <v>0.41</v>
      </c>
      <c r="K303" s="103">
        <v>2</v>
      </c>
      <c r="L303" s="104"/>
      <c r="M303" s="104"/>
      <c r="N303" s="104"/>
      <c r="O303" s="104"/>
      <c r="P303" s="105"/>
      <c r="Q303" s="105"/>
      <c r="R303" s="105"/>
      <c r="S303" s="105"/>
      <c r="T303" s="107"/>
      <c r="U303" s="107">
        <f>(Yield_Originals!$I303*Yield_Originals!U$1)/Yield_Originals!$K303</f>
        <v>0.29750625000000003</v>
      </c>
      <c r="V303" s="107">
        <f>(Yield_Originals!$I303*Yield_Originals!V$1)/Yield_Originals!$K303</f>
        <v>0.30476250000000005</v>
      </c>
      <c r="W303" s="107">
        <f>(Yield_Originals!$I303*Yield_Originals!W$1)/Yield_Originals!$K303</f>
        <v>0.31201874999999996</v>
      </c>
      <c r="X303" s="108">
        <f>(Yield_Originals!$I303*Yield_Originals!X$1)/Yield_Originals!$K303</f>
        <v>0.31927499999999998</v>
      </c>
      <c r="Y303" s="108">
        <f>(Yield_Originals!$I303*Yield_Originals!Y$1)/Yield_Originals!$K303</f>
        <v>0.32653124999999994</v>
      </c>
      <c r="Z303"/>
      <c r="AA303"/>
      <c r="AB303"/>
    </row>
    <row r="304" spans="1:28" x14ac:dyDescent="0.25">
      <c r="A304" s="70" t="s">
        <v>1378</v>
      </c>
      <c r="B304" s="70">
        <v>3</v>
      </c>
      <c r="C304" s="99" t="s">
        <v>1151</v>
      </c>
      <c r="D304" s="99" t="s">
        <v>1216</v>
      </c>
      <c r="E304" s="100">
        <v>25</v>
      </c>
      <c r="F304" s="110">
        <f>Yield_Originals!G304</f>
        <v>0.36399999999999999</v>
      </c>
      <c r="G304" s="102">
        <v>0.36399999999999999</v>
      </c>
      <c r="H304" s="102">
        <v>0.36399999999999999</v>
      </c>
      <c r="I304" s="102">
        <f>+(Yield_Originals!H304+Yield_Originals!J304)/2</f>
        <v>0.38700000000000001</v>
      </c>
      <c r="J304" s="102">
        <v>0.41</v>
      </c>
      <c r="K304" s="103">
        <v>2</v>
      </c>
      <c r="L304" s="104">
        <f>(Yield_Originals!$G304*Yield_Originals!L$1)/Yield_Originals!$K304</f>
        <v>0.21840000000000004</v>
      </c>
      <c r="M304" s="104">
        <f>(Yield_Originals!$G304*Yield_Originals!M$1)/Yield_Originals!$K304</f>
        <v>0.22522500000000001</v>
      </c>
      <c r="N304" s="104">
        <f>(Yield_Originals!$G304*Yield_Originals!N$1)/Yield_Originals!$K304</f>
        <v>0.23205000000000001</v>
      </c>
      <c r="O304" s="104">
        <f>(Yield_Originals!$G304*Yield_Originals!O$1)/Yield_Originals!$K304</f>
        <v>0.23887500000000003</v>
      </c>
      <c r="P304" s="105">
        <f>(Yield_Originals!$H304*Yield_Originals!P$1)/Yield_Originals!$K304</f>
        <v>0.2457</v>
      </c>
      <c r="Q304" s="105">
        <f>(Yield_Originals!$H304*Yield_Originals!Q$1)/Yield_Originals!$K304</f>
        <v>0.252525</v>
      </c>
      <c r="R304" s="105">
        <f>(Yield_Originals!$H304*Yield_Originals!R$1)/Yield_Originals!$K304</f>
        <v>0.25935000000000002</v>
      </c>
      <c r="S304" s="105">
        <f>(Yield_Originals!$H304*Yield_Originals!S$1)/Yield_Originals!$K304</f>
        <v>0.26617500000000005</v>
      </c>
      <c r="T304" s="107">
        <f>(Yield_Originals!$I304*Yield_Originals!T$1)/Yield_Originals!$K304</f>
        <v>0.29025000000000012</v>
      </c>
      <c r="U304" s="107">
        <f>(Yield_Originals!$I304*Yield_Originals!U$1)/Yield_Originals!$K304</f>
        <v>0.29750625000000003</v>
      </c>
      <c r="V304" s="107">
        <f>(Yield_Originals!$I304*Yield_Originals!V$1)/Yield_Originals!$K304</f>
        <v>0.30476250000000005</v>
      </c>
      <c r="W304" s="107">
        <f>(Yield_Originals!$I304*Yield_Originals!W$1)/Yield_Originals!$K304</f>
        <v>0.31201874999999996</v>
      </c>
      <c r="X304" s="108">
        <f>(Yield_Originals!$I304*Yield_Originals!X$1)/Yield_Originals!$K304</f>
        <v>0.31927499999999998</v>
      </c>
      <c r="Y304" s="108">
        <f>(Yield_Originals!$I304*Yield_Originals!Y$1)/Yield_Originals!$K304</f>
        <v>0.32653124999999994</v>
      </c>
      <c r="Z304"/>
      <c r="AA304"/>
      <c r="AB304"/>
    </row>
    <row r="305" spans="1:28" x14ac:dyDescent="0.25">
      <c r="A305" s="70" t="s">
        <v>1378</v>
      </c>
      <c r="B305" s="70">
        <v>3</v>
      </c>
      <c r="C305" s="99" t="s">
        <v>145</v>
      </c>
      <c r="D305" s="99" t="s">
        <v>1219</v>
      </c>
      <c r="E305" s="100">
        <v>25</v>
      </c>
      <c r="F305" s="110">
        <f>Yield_Originals!G305</f>
        <v>0.36399999999999999</v>
      </c>
      <c r="G305" s="102">
        <v>0.36399999999999999</v>
      </c>
      <c r="H305" s="102">
        <v>0.36399999999999999</v>
      </c>
      <c r="I305" s="102">
        <f>+(Yield_Originals!H305+Yield_Originals!J305)/2</f>
        <v>0.38700000000000001</v>
      </c>
      <c r="J305" s="102">
        <v>0.41</v>
      </c>
      <c r="K305" s="103">
        <v>2</v>
      </c>
      <c r="L305" s="104"/>
      <c r="M305" s="104">
        <f>(Yield_Originals!$G305*Yield_Originals!M$1)/Yield_Originals!$K305</f>
        <v>0.22522500000000001</v>
      </c>
      <c r="N305" s="104">
        <f>(Yield_Originals!$G305*Yield_Originals!N$1)/Yield_Originals!$K305</f>
        <v>0.23205000000000001</v>
      </c>
      <c r="O305" s="104">
        <f>(Yield_Originals!$G305*Yield_Originals!O$1)/Yield_Originals!$K305</f>
        <v>0.23887500000000003</v>
      </c>
      <c r="P305" s="105">
        <f>(Yield_Originals!$H305*Yield_Originals!P$1)/Yield_Originals!$K305</f>
        <v>0.2457</v>
      </c>
      <c r="Q305" s="105">
        <f>(Yield_Originals!$H305*Yield_Originals!Q$1)/Yield_Originals!$K305</f>
        <v>0.252525</v>
      </c>
      <c r="R305" s="105">
        <f>(Yield_Originals!$H305*Yield_Originals!R$1)/Yield_Originals!$K305</f>
        <v>0.25935000000000002</v>
      </c>
      <c r="S305" s="105">
        <f>(Yield_Originals!$H305*Yield_Originals!S$1)/Yield_Originals!$K305</f>
        <v>0.26617500000000005</v>
      </c>
      <c r="T305" s="107"/>
      <c r="U305" s="107"/>
      <c r="V305" s="107"/>
      <c r="W305" s="107"/>
      <c r="X305" s="108"/>
      <c r="Y305" s="108"/>
      <c r="Z305"/>
      <c r="AA305"/>
      <c r="AB305"/>
    </row>
    <row r="306" spans="1:28" x14ac:dyDescent="0.25">
      <c r="A306" s="70" t="s">
        <v>1378</v>
      </c>
      <c r="B306" s="70">
        <v>3</v>
      </c>
      <c r="C306" s="99" t="s">
        <v>262</v>
      </c>
      <c r="D306" s="99" t="s">
        <v>1219</v>
      </c>
      <c r="E306" s="100">
        <v>25</v>
      </c>
      <c r="F306" s="110">
        <f>Yield_Originals!G306</f>
        <v>0.36399999999999999</v>
      </c>
      <c r="G306" s="102">
        <v>0.36399999999999999</v>
      </c>
      <c r="H306" s="102">
        <v>0.36399999999999999</v>
      </c>
      <c r="I306" s="102">
        <f>+(Yield_Originals!H306+Yield_Originals!J306)/2</f>
        <v>0.38700000000000001</v>
      </c>
      <c r="J306" s="102">
        <v>0.41</v>
      </c>
      <c r="K306" s="103">
        <v>2</v>
      </c>
      <c r="L306" s="104"/>
      <c r="M306" s="104">
        <f>(Yield_Originals!$G306*Yield_Originals!M$1)/Yield_Originals!$K306</f>
        <v>0.22522500000000001</v>
      </c>
      <c r="N306" s="104">
        <f>(Yield_Originals!$G306*Yield_Originals!N$1)/Yield_Originals!$K306</f>
        <v>0.23205000000000001</v>
      </c>
      <c r="O306" s="104">
        <f>(Yield_Originals!$G306*Yield_Originals!O$1)/Yield_Originals!$K306</f>
        <v>0.23887500000000003</v>
      </c>
      <c r="P306" s="105">
        <f>(Yield_Originals!$H306*Yield_Originals!P$1)/Yield_Originals!$K306</f>
        <v>0.2457</v>
      </c>
      <c r="Q306" s="105">
        <f>(Yield_Originals!$H306*Yield_Originals!Q$1)/Yield_Originals!$K306</f>
        <v>0.252525</v>
      </c>
      <c r="R306" s="105">
        <f>(Yield_Originals!$H306*Yield_Originals!R$1)/Yield_Originals!$K306</f>
        <v>0.25935000000000002</v>
      </c>
      <c r="S306" s="105">
        <f>(Yield_Originals!$H306*Yield_Originals!S$1)/Yield_Originals!$K306</f>
        <v>0.26617500000000005</v>
      </c>
      <c r="T306" s="107"/>
      <c r="U306" s="107"/>
      <c r="V306" s="107"/>
      <c r="W306" s="107"/>
      <c r="X306" s="108"/>
      <c r="Y306" s="108"/>
      <c r="Z306"/>
      <c r="AA306"/>
      <c r="AB306"/>
    </row>
    <row r="307" spans="1:28" x14ac:dyDescent="0.25">
      <c r="A307" s="70" t="s">
        <v>1378</v>
      </c>
      <c r="B307" s="70">
        <v>3</v>
      </c>
      <c r="C307" s="99" t="s">
        <v>146</v>
      </c>
      <c r="D307" s="99" t="s">
        <v>1222</v>
      </c>
      <c r="E307" s="100">
        <v>25</v>
      </c>
      <c r="F307" s="110">
        <f>Yield_Originals!G307</f>
        <v>0.36399999999999999</v>
      </c>
      <c r="G307" s="102">
        <v>0.36399999999999999</v>
      </c>
      <c r="H307" s="102">
        <v>0.36399999999999999</v>
      </c>
      <c r="I307" s="102">
        <f>+(Yield_Originals!H307+Yield_Originals!J307)/2</f>
        <v>0.38700000000000001</v>
      </c>
      <c r="J307" s="102">
        <v>0.41</v>
      </c>
      <c r="K307" s="103">
        <v>2</v>
      </c>
      <c r="L307" s="104"/>
      <c r="M307" s="104">
        <f>(Yield_Originals!$G307*Yield_Originals!M$1)/Yield_Originals!$K307</f>
        <v>0.22522500000000001</v>
      </c>
      <c r="N307" s="104">
        <f>(Yield_Originals!$G307*Yield_Originals!N$1)/Yield_Originals!$K307</f>
        <v>0.23205000000000001</v>
      </c>
      <c r="O307" s="104">
        <f>(Yield_Originals!$G307*Yield_Originals!O$1)/Yield_Originals!$K307</f>
        <v>0.23887500000000003</v>
      </c>
      <c r="P307" s="105">
        <f>(Yield_Originals!$H307*Yield_Originals!P$1)/Yield_Originals!$K307</f>
        <v>0.2457</v>
      </c>
      <c r="Q307" s="105">
        <f>(Yield_Originals!$H307*Yield_Originals!Q$1)/Yield_Originals!$K307</f>
        <v>0.252525</v>
      </c>
      <c r="R307" s="105">
        <f>(Yield_Originals!$H307*Yield_Originals!R$1)/Yield_Originals!$K307</f>
        <v>0.25935000000000002</v>
      </c>
      <c r="S307" s="105">
        <f>(Yield_Originals!$H307*Yield_Originals!S$1)/Yield_Originals!$K307</f>
        <v>0.26617500000000005</v>
      </c>
      <c r="T307" s="107"/>
      <c r="U307" s="107"/>
      <c r="V307" s="107"/>
      <c r="W307" s="107"/>
      <c r="X307" s="108"/>
      <c r="Y307" s="108"/>
      <c r="Z307"/>
      <c r="AA307"/>
      <c r="AB307"/>
    </row>
    <row r="308" spans="1:28" x14ac:dyDescent="0.25">
      <c r="A308" s="70" t="s">
        <v>1378</v>
      </c>
      <c r="B308" s="70">
        <v>3</v>
      </c>
      <c r="C308" s="99" t="s">
        <v>263</v>
      </c>
      <c r="D308" s="99" t="s">
        <v>1225</v>
      </c>
      <c r="E308" s="100">
        <v>25</v>
      </c>
      <c r="F308" s="110">
        <f>Yield_Originals!G308</f>
        <v>0.36399999999999999</v>
      </c>
      <c r="G308" s="102">
        <v>0.36399999999999999</v>
      </c>
      <c r="H308" s="102">
        <v>0.36399999999999999</v>
      </c>
      <c r="I308" s="102">
        <f>+(Yield_Originals!H308+Yield_Originals!J308)/2</f>
        <v>0.38700000000000001</v>
      </c>
      <c r="J308" s="102">
        <v>0.41</v>
      </c>
      <c r="K308" s="103">
        <v>2</v>
      </c>
      <c r="L308" s="104"/>
      <c r="M308" s="104">
        <f>(Yield_Originals!$G308*Yield_Originals!M$1)/Yield_Originals!$K308</f>
        <v>0.22522500000000001</v>
      </c>
      <c r="N308" s="104">
        <f>(Yield_Originals!$G308*Yield_Originals!N$1)/Yield_Originals!$K308</f>
        <v>0.23205000000000001</v>
      </c>
      <c r="O308" s="104">
        <f>(Yield_Originals!$G308*Yield_Originals!O$1)/Yield_Originals!$K308</f>
        <v>0.23887500000000003</v>
      </c>
      <c r="P308" s="105">
        <f>(Yield_Originals!$H308*Yield_Originals!P$1)/Yield_Originals!$K308</f>
        <v>0.2457</v>
      </c>
      <c r="Q308" s="105">
        <f>(Yield_Originals!$H308*Yield_Originals!Q$1)/Yield_Originals!$K308</f>
        <v>0.252525</v>
      </c>
      <c r="R308" s="105">
        <f>(Yield_Originals!$H308*Yield_Originals!R$1)/Yield_Originals!$K308</f>
        <v>0.25935000000000002</v>
      </c>
      <c r="S308" s="105">
        <f>(Yield_Originals!$H308*Yield_Originals!S$1)/Yield_Originals!$K308</f>
        <v>0.26617500000000005</v>
      </c>
      <c r="T308" s="107"/>
      <c r="U308" s="107"/>
      <c r="V308" s="107"/>
      <c r="W308" s="107"/>
      <c r="X308" s="108"/>
      <c r="Y308" s="108"/>
      <c r="Z308"/>
      <c r="AA308"/>
      <c r="AB308"/>
    </row>
    <row r="309" spans="1:28" x14ac:dyDescent="0.25">
      <c r="A309" s="70" t="s">
        <v>1378</v>
      </c>
      <c r="B309" s="70">
        <v>3</v>
      </c>
      <c r="C309" s="99" t="s">
        <v>1160</v>
      </c>
      <c r="D309" s="99" t="s">
        <v>1239</v>
      </c>
      <c r="E309" s="100">
        <v>25</v>
      </c>
      <c r="F309" s="110">
        <f>Yield_Originals!G309</f>
        <v>0.36399999999999999</v>
      </c>
      <c r="G309" s="102">
        <v>0.36399999999999999</v>
      </c>
      <c r="H309" s="102">
        <v>0.36399999999999999</v>
      </c>
      <c r="I309" s="102">
        <f>+(Yield_Originals!H309+Yield_Originals!J309)/2</f>
        <v>0.38700000000000001</v>
      </c>
      <c r="J309" s="102">
        <v>0.41</v>
      </c>
      <c r="K309" s="103">
        <v>2</v>
      </c>
      <c r="L309" s="104"/>
      <c r="M309" s="104">
        <f>(Yield_Originals!$G309*Yield_Originals!M$1)/Yield_Originals!$K309</f>
        <v>0.22522500000000001</v>
      </c>
      <c r="N309" s="104">
        <f>(Yield_Originals!$G309*Yield_Originals!N$1)/Yield_Originals!$K309</f>
        <v>0.23205000000000001</v>
      </c>
      <c r="O309" s="104">
        <f>(Yield_Originals!$G309*Yield_Originals!O$1)/Yield_Originals!$K309</f>
        <v>0.23887500000000003</v>
      </c>
      <c r="P309" s="105">
        <f>(Yield_Originals!$H309*Yield_Originals!P$1)/Yield_Originals!$K309</f>
        <v>0.2457</v>
      </c>
      <c r="Q309" s="105">
        <f>(Yield_Originals!$H309*Yield_Originals!Q$1)/Yield_Originals!$K309</f>
        <v>0.252525</v>
      </c>
      <c r="R309" s="105">
        <f>(Yield_Originals!$H309*Yield_Originals!R$1)/Yield_Originals!$K309</f>
        <v>0.25935000000000002</v>
      </c>
      <c r="S309" s="105">
        <f>(Yield_Originals!$H309*Yield_Originals!S$1)/Yield_Originals!$K309</f>
        <v>0.26617500000000005</v>
      </c>
      <c r="T309" s="107"/>
      <c r="U309" s="107"/>
      <c r="V309" s="107"/>
      <c r="W309" s="107"/>
      <c r="X309" s="108"/>
      <c r="Y309" s="108"/>
      <c r="Z309"/>
      <c r="AA309"/>
      <c r="AB309"/>
    </row>
    <row r="310" spans="1:28" x14ac:dyDescent="0.25">
      <c r="A310" s="70" t="s">
        <v>1378</v>
      </c>
      <c r="B310" s="70">
        <v>3</v>
      </c>
      <c r="C310" s="99" t="s">
        <v>1163</v>
      </c>
      <c r="D310" s="99" t="s">
        <v>1237</v>
      </c>
      <c r="E310" s="100">
        <v>25</v>
      </c>
      <c r="F310" s="110">
        <f>Yield_Originals!G310</f>
        <v>0.36399999999999999</v>
      </c>
      <c r="G310" s="102">
        <v>0.36399999999999999</v>
      </c>
      <c r="H310" s="102">
        <v>0.36399999999999999</v>
      </c>
      <c r="I310" s="102">
        <f>+(Yield_Originals!H310+Yield_Originals!J310)/2</f>
        <v>0.38700000000000001</v>
      </c>
      <c r="J310" s="102">
        <v>0.41</v>
      </c>
      <c r="K310" s="103">
        <v>2</v>
      </c>
      <c r="L310" s="104"/>
      <c r="M310" s="104"/>
      <c r="N310" s="104"/>
      <c r="O310" s="104"/>
      <c r="P310" s="105"/>
      <c r="Q310" s="105">
        <f>(Yield_Originals!$H310*Yield_Originals!Q$1)/Yield_Originals!$K310</f>
        <v>0.252525</v>
      </c>
      <c r="R310" s="105">
        <f>(Yield_Originals!$H310*Yield_Originals!R$1)/Yield_Originals!$K310</f>
        <v>0.25935000000000002</v>
      </c>
      <c r="S310" s="105">
        <f>(Yield_Originals!$H310*Yield_Originals!S$1)/Yield_Originals!$K310</f>
        <v>0.26617500000000005</v>
      </c>
      <c r="T310" s="107"/>
      <c r="U310" s="107"/>
      <c r="V310" s="107"/>
      <c r="W310" s="107"/>
      <c r="X310" s="108"/>
      <c r="Y310" s="108"/>
      <c r="Z310"/>
      <c r="AA310"/>
      <c r="AB310"/>
    </row>
    <row r="311" spans="1:28" x14ac:dyDescent="0.25">
      <c r="A311" s="70" t="s">
        <v>1378</v>
      </c>
      <c r="B311" s="70">
        <v>3</v>
      </c>
      <c r="C311" s="99" t="s">
        <v>147</v>
      </c>
      <c r="D311" s="99" t="s">
        <v>1228</v>
      </c>
      <c r="E311" s="100">
        <v>25</v>
      </c>
      <c r="F311" s="110">
        <f>Yield_Originals!G311</f>
        <v>0.36399999999999999</v>
      </c>
      <c r="G311" s="102">
        <v>0.36399999999999999</v>
      </c>
      <c r="H311" s="102">
        <v>0.36399999999999999</v>
      </c>
      <c r="I311" s="102">
        <f>+(Yield_Originals!H311+Yield_Originals!J311)/2</f>
        <v>0.38700000000000001</v>
      </c>
      <c r="J311" s="102">
        <v>0.41</v>
      </c>
      <c r="K311" s="103">
        <v>2</v>
      </c>
      <c r="L311" s="104"/>
      <c r="M311" s="104"/>
      <c r="N311" s="104"/>
      <c r="O311" s="104"/>
      <c r="P311" s="105"/>
      <c r="Q311" s="105"/>
      <c r="R311" s="105">
        <f>(Yield_Originals!$H311*Yield_Originals!R$1)/Yield_Originals!$K311</f>
        <v>0.25935000000000002</v>
      </c>
      <c r="S311" s="105">
        <f>(Yield_Originals!$H311*Yield_Originals!S$1)/Yield_Originals!$K311</f>
        <v>0.26617500000000005</v>
      </c>
      <c r="T311" s="107">
        <f>(Yield_Originals!$I311*Yield_Originals!T$1)/Yield_Originals!$K311</f>
        <v>0.29025000000000012</v>
      </c>
      <c r="U311" s="107">
        <f>(Yield_Originals!$I311*Yield_Originals!U$1)/Yield_Originals!$K311</f>
        <v>0.29750625000000003</v>
      </c>
      <c r="V311" s="107">
        <f>(Yield_Originals!$I311*Yield_Originals!V$1)/Yield_Originals!$K311</f>
        <v>0.30476250000000005</v>
      </c>
      <c r="W311" s="107">
        <f>(Yield_Originals!$I311*Yield_Originals!W$1)/Yield_Originals!$K311</f>
        <v>0.31201874999999996</v>
      </c>
      <c r="X311" s="108">
        <f>(Yield_Originals!$I311*Yield_Originals!X$1)/Yield_Originals!$K311</f>
        <v>0.31927499999999998</v>
      </c>
      <c r="Y311" s="108">
        <f>(Yield_Originals!$I311*Yield_Originals!Y$1)/Yield_Originals!$K311</f>
        <v>0.32653124999999994</v>
      </c>
      <c r="Z311"/>
      <c r="AA311"/>
      <c r="AB311"/>
    </row>
    <row r="312" spans="1:28" x14ac:dyDescent="0.25">
      <c r="A312" s="70" t="s">
        <v>1378</v>
      </c>
      <c r="B312" s="70">
        <v>3</v>
      </c>
      <c r="C312" s="99" t="s">
        <v>264</v>
      </c>
      <c r="D312" s="99" t="s">
        <v>1228</v>
      </c>
      <c r="E312" s="100">
        <v>25</v>
      </c>
      <c r="F312" s="110">
        <f>Yield_Originals!G312</f>
        <v>0.36399999999999999</v>
      </c>
      <c r="G312" s="102">
        <v>0.36399999999999999</v>
      </c>
      <c r="H312" s="102">
        <v>0.36399999999999999</v>
      </c>
      <c r="I312" s="102">
        <f>+(Yield_Originals!H312+Yield_Originals!J312)/2</f>
        <v>0.38700000000000001</v>
      </c>
      <c r="J312" s="102">
        <v>0.41</v>
      </c>
      <c r="K312" s="103">
        <v>2</v>
      </c>
      <c r="L312" s="104"/>
      <c r="M312" s="104"/>
      <c r="N312" s="104"/>
      <c r="O312" s="104"/>
      <c r="P312" s="105"/>
      <c r="Q312" s="105"/>
      <c r="R312" s="105">
        <f>(Yield_Originals!$H312*Yield_Originals!R$1)/Yield_Originals!$K312</f>
        <v>0.25935000000000002</v>
      </c>
      <c r="S312" s="105">
        <f>(Yield_Originals!$H312*Yield_Originals!S$1)/Yield_Originals!$K312</f>
        <v>0.26617500000000005</v>
      </c>
      <c r="T312" s="107">
        <f>(Yield_Originals!$I312*Yield_Originals!T$1)/Yield_Originals!$K312</f>
        <v>0.29025000000000012</v>
      </c>
      <c r="U312" s="107">
        <f>(Yield_Originals!$I312*Yield_Originals!U$1)/Yield_Originals!$K312</f>
        <v>0.29750625000000003</v>
      </c>
      <c r="V312" s="107">
        <f>(Yield_Originals!$I312*Yield_Originals!V$1)/Yield_Originals!$K312</f>
        <v>0.30476250000000005</v>
      </c>
      <c r="W312" s="107">
        <f>(Yield_Originals!$I312*Yield_Originals!W$1)/Yield_Originals!$K312</f>
        <v>0.31201874999999996</v>
      </c>
      <c r="X312" s="108">
        <f>(Yield_Originals!$I312*Yield_Originals!X$1)/Yield_Originals!$K312</f>
        <v>0.31927499999999998</v>
      </c>
      <c r="Y312" s="108">
        <f>(Yield_Originals!$I312*Yield_Originals!Y$1)/Yield_Originals!$K312</f>
        <v>0.32653124999999994</v>
      </c>
      <c r="Z312"/>
      <c r="AA312"/>
      <c r="AB312"/>
    </row>
    <row r="313" spans="1:28" x14ac:dyDescent="0.25">
      <c r="A313" s="70" t="s">
        <v>1378</v>
      </c>
      <c r="B313" s="70">
        <v>3</v>
      </c>
      <c r="C313" s="99" t="s">
        <v>1169</v>
      </c>
      <c r="D313" s="99" t="s">
        <v>1235</v>
      </c>
      <c r="E313" s="100">
        <v>25</v>
      </c>
      <c r="F313" s="110">
        <f>Yield_Originals!G313</f>
        <v>0.36399999999999999</v>
      </c>
      <c r="G313" s="102">
        <v>0.36399999999999999</v>
      </c>
      <c r="H313" s="102">
        <v>0.36399999999999999</v>
      </c>
      <c r="I313" s="102">
        <f>+(Yield_Originals!H313+Yield_Originals!J313)/2</f>
        <v>0.38700000000000001</v>
      </c>
      <c r="J313" s="102">
        <v>0.41</v>
      </c>
      <c r="K313" s="103">
        <v>2</v>
      </c>
      <c r="L313" s="104"/>
      <c r="M313" s="104">
        <f>(Yield_Originals!$G313*Yield_Originals!M$1)/Yield_Originals!$K313</f>
        <v>0.22522500000000001</v>
      </c>
      <c r="N313" s="104">
        <f>(Yield_Originals!$G313*Yield_Originals!N$1)/Yield_Originals!$K313</f>
        <v>0.23205000000000001</v>
      </c>
      <c r="O313" s="104">
        <f>(Yield_Originals!$G313*Yield_Originals!O$1)/Yield_Originals!$K313</f>
        <v>0.23887500000000003</v>
      </c>
      <c r="P313" s="105">
        <f>(Yield_Originals!$H313*Yield_Originals!P$1)/Yield_Originals!$K313</f>
        <v>0.2457</v>
      </c>
      <c r="Q313" s="105">
        <f>(Yield_Originals!$H313*Yield_Originals!Q$1)/Yield_Originals!$K313</f>
        <v>0.252525</v>
      </c>
      <c r="R313" s="105">
        <f>(Yield_Originals!$H313*Yield_Originals!R$1)/Yield_Originals!$K313</f>
        <v>0.25935000000000002</v>
      </c>
      <c r="S313" s="105">
        <f>(Yield_Originals!$H313*Yield_Originals!S$1)/Yield_Originals!$K313</f>
        <v>0.26617500000000005</v>
      </c>
      <c r="T313" s="107"/>
      <c r="U313" s="107"/>
      <c r="V313" s="107"/>
      <c r="W313" s="107"/>
      <c r="X313" s="108"/>
      <c r="Y313" s="108"/>
      <c r="Z313"/>
      <c r="AA313"/>
      <c r="AB313"/>
    </row>
    <row r="314" spans="1:28" x14ac:dyDescent="0.25">
      <c r="A314" s="72" t="s">
        <v>1244</v>
      </c>
      <c r="B314" s="72">
        <v>2</v>
      </c>
      <c r="C314" s="99" t="s">
        <v>1172</v>
      </c>
      <c r="D314" s="99" t="s">
        <v>1243</v>
      </c>
      <c r="E314" s="100">
        <v>1</v>
      </c>
      <c r="F314" s="110">
        <f>Yield_Originals!G314</f>
        <v>0.27759472817133402</v>
      </c>
      <c r="G314" s="102">
        <v>0.27759472817133402</v>
      </c>
      <c r="H314" s="102">
        <v>0.27759472817133402</v>
      </c>
      <c r="I314" s="102">
        <f>+(Yield_Originals!H314+Yield_Originals!J314)/2</f>
        <v>0.28379736408566703</v>
      </c>
      <c r="J314" s="102">
        <v>0.28999999999999998</v>
      </c>
      <c r="K314" s="103">
        <v>2</v>
      </c>
      <c r="L314" s="104">
        <f>(Yield_Originals!$G314*Yield_Originals!L$1)/Yield_Originals!$K314</f>
        <v>0.16655683690280043</v>
      </c>
      <c r="M314" s="104">
        <f>(Yield_Originals!$G314*Yield_Originals!M$1)/Yield_Originals!$K314</f>
        <v>0.17176173805601294</v>
      </c>
      <c r="N314" s="104">
        <f>(Yield_Originals!$G314*Yield_Originals!N$1)/Yield_Originals!$K314</f>
        <v>0.17696663920922545</v>
      </c>
      <c r="O314" s="104">
        <f>(Yield_Originals!$G314*Yield_Originals!O$1)/Yield_Originals!$K314</f>
        <v>0.18217154036243799</v>
      </c>
      <c r="P314" s="105">
        <f>(Yield_Originals!$H314*Yield_Originals!P$1)/Yield_Originals!$K314</f>
        <v>0.18737644151565047</v>
      </c>
      <c r="Q314" s="105">
        <f>(Yield_Originals!$H314*Yield_Originals!Q$1)/Yield_Originals!$K314</f>
        <v>0.19258134266886301</v>
      </c>
      <c r="R314" s="105">
        <f>(Yield_Originals!$H314*Yield_Originals!R$1)/Yield_Originals!$K314</f>
        <v>0.19778624382207552</v>
      </c>
      <c r="S314" s="105">
        <f>(Yield_Originals!$H314*Yield_Originals!S$1)/Yield_Originals!$K314</f>
        <v>0.20299114497528806</v>
      </c>
      <c r="T314" s="107">
        <f>(Yield_Originals!$I314*Yield_Originals!T$1)/Yield_Originals!$K314</f>
        <v>0.21284802306425032</v>
      </c>
      <c r="U314" s="107">
        <f>(Yield_Originals!$I314*Yield_Originals!U$1)/Yield_Originals!$K314</f>
        <v>0.21816922364085653</v>
      </c>
      <c r="V314" s="107">
        <f>(Yield_Originals!$I314*Yield_Originals!V$1)/Yield_Originals!$K314</f>
        <v>0.22349042421746282</v>
      </c>
      <c r="W314" s="107">
        <f>(Yield_Originals!$I314*Yield_Originals!W$1)/Yield_Originals!$K314</f>
        <v>0.22881162479406902</v>
      </c>
      <c r="X314" s="108">
        <f>(Yield_Originals!$I314*Yield_Originals!X$1)/Yield_Originals!$K314</f>
        <v>0.23413282537067528</v>
      </c>
      <c r="Y314" s="108">
        <f>(Yield_Originals!$I314*Yield_Originals!Y$1)/Yield_Originals!$K314</f>
        <v>0.23945402594728149</v>
      </c>
      <c r="Z314"/>
      <c r="AA314"/>
      <c r="AB314"/>
    </row>
    <row r="315" spans="1:28" x14ac:dyDescent="0.25">
      <c r="A315" s="72" t="s">
        <v>1244</v>
      </c>
      <c r="B315" s="72">
        <v>2</v>
      </c>
      <c r="C315" s="99" t="s">
        <v>148</v>
      </c>
      <c r="D315" s="99" t="s">
        <v>1247</v>
      </c>
      <c r="E315" s="100">
        <v>1</v>
      </c>
      <c r="F315" s="110">
        <f>Yield_Originals!G315</f>
        <v>0.27759472817133402</v>
      </c>
      <c r="G315" s="102">
        <v>0.27759472817133402</v>
      </c>
      <c r="H315" s="102">
        <v>0.27759472817133402</v>
      </c>
      <c r="I315" s="102">
        <f>+(Yield_Originals!H315+Yield_Originals!J315)/2</f>
        <v>0.28379736408566703</v>
      </c>
      <c r="J315" s="102">
        <v>0.28999999999999998</v>
      </c>
      <c r="K315" s="103">
        <v>2</v>
      </c>
      <c r="L315" s="104">
        <f>(Yield_Originals!$G315*Yield_Originals!L$1)/Yield_Originals!$K315</f>
        <v>0.16655683690280043</v>
      </c>
      <c r="M315" s="104">
        <f>(Yield_Originals!$G315*Yield_Originals!M$1)/Yield_Originals!$K315</f>
        <v>0.17176173805601294</v>
      </c>
      <c r="N315" s="104">
        <f>(Yield_Originals!$G315*Yield_Originals!N$1)/Yield_Originals!$K315</f>
        <v>0.17696663920922545</v>
      </c>
      <c r="O315" s="104">
        <f>(Yield_Originals!$G315*Yield_Originals!O$1)/Yield_Originals!$K315</f>
        <v>0.18217154036243799</v>
      </c>
      <c r="P315" s="105">
        <f>(Yield_Originals!$H315*Yield_Originals!P$1)/Yield_Originals!$K315</f>
        <v>0.18737644151565047</v>
      </c>
      <c r="Q315" s="105"/>
      <c r="R315" s="105"/>
      <c r="S315" s="105"/>
      <c r="T315" s="107"/>
      <c r="U315" s="107"/>
      <c r="V315" s="107"/>
      <c r="W315" s="107"/>
      <c r="X315" s="108"/>
      <c r="Y315" s="108"/>
      <c r="Z315"/>
      <c r="AA315"/>
      <c r="AB315"/>
    </row>
    <row r="316" spans="1:28" x14ac:dyDescent="0.25">
      <c r="A316" s="72" t="s">
        <v>1244</v>
      </c>
      <c r="B316" s="72">
        <v>2</v>
      </c>
      <c r="C316" s="99" t="s">
        <v>265</v>
      </c>
      <c r="D316" s="99" t="s">
        <v>1247</v>
      </c>
      <c r="E316" s="100">
        <v>1</v>
      </c>
      <c r="F316" s="110">
        <f>Yield_Originals!G316</f>
        <v>0.27759472817133402</v>
      </c>
      <c r="G316" s="102">
        <v>0.27759472817133402</v>
      </c>
      <c r="H316" s="102">
        <v>0.27759472817133402</v>
      </c>
      <c r="I316" s="102">
        <f>+(Yield_Originals!H316+Yield_Originals!J316)/2</f>
        <v>0.28379736408566703</v>
      </c>
      <c r="J316" s="102">
        <v>0.28999999999999998</v>
      </c>
      <c r="K316" s="103">
        <v>2</v>
      </c>
      <c r="L316" s="104">
        <f>(Yield_Originals!$G316*Yield_Originals!L$1)/Yield_Originals!$K316</f>
        <v>0.16655683690280043</v>
      </c>
      <c r="M316" s="104">
        <f>(Yield_Originals!$G316*Yield_Originals!M$1)/Yield_Originals!$K316</f>
        <v>0.17176173805601294</v>
      </c>
      <c r="N316" s="104">
        <f>(Yield_Originals!$G316*Yield_Originals!N$1)/Yield_Originals!$K316</f>
        <v>0.17696663920922545</v>
      </c>
      <c r="O316" s="104">
        <f>(Yield_Originals!$G316*Yield_Originals!O$1)/Yield_Originals!$K316</f>
        <v>0.18217154036243799</v>
      </c>
      <c r="P316" s="105">
        <f>(Yield_Originals!$H316*Yield_Originals!P$1)/Yield_Originals!$K316</f>
        <v>0.18737644151565047</v>
      </c>
      <c r="Q316" s="105"/>
      <c r="R316" s="105"/>
      <c r="S316" s="105"/>
      <c r="T316" s="107"/>
      <c r="U316" s="107"/>
      <c r="V316" s="107"/>
      <c r="W316" s="107"/>
      <c r="X316" s="108"/>
      <c r="Y316" s="108"/>
      <c r="Z316"/>
      <c r="AA316"/>
      <c r="AB316"/>
    </row>
    <row r="317" spans="1:28" x14ac:dyDescent="0.25">
      <c r="A317" s="72" t="s">
        <v>1244</v>
      </c>
      <c r="B317" s="72">
        <v>2</v>
      </c>
      <c r="C317" s="99" t="s">
        <v>149</v>
      </c>
      <c r="D317" s="99" t="s">
        <v>1247</v>
      </c>
      <c r="E317" s="100">
        <v>1</v>
      </c>
      <c r="F317" s="110">
        <f>Yield_Originals!G317</f>
        <v>0.27759472817133402</v>
      </c>
      <c r="G317" s="102">
        <v>0.27759472817133402</v>
      </c>
      <c r="H317" s="102">
        <v>0.27759472817133402</v>
      </c>
      <c r="I317" s="102">
        <f>+(Yield_Originals!H317+Yield_Originals!J317)/2</f>
        <v>0.28379736408566703</v>
      </c>
      <c r="J317" s="102">
        <v>0.28999999999999998</v>
      </c>
      <c r="K317" s="103">
        <v>2</v>
      </c>
      <c r="L317" s="104">
        <f>(Yield_Originals!$G317*Yield_Originals!L$1)/Yield_Originals!$K317</f>
        <v>0.16655683690280043</v>
      </c>
      <c r="M317" s="104">
        <f>(Yield_Originals!$G317*Yield_Originals!M$1)/Yield_Originals!$K317</f>
        <v>0.17176173805601294</v>
      </c>
      <c r="N317" s="104">
        <f>(Yield_Originals!$G317*Yield_Originals!N$1)/Yield_Originals!$K317</f>
        <v>0.17696663920922545</v>
      </c>
      <c r="O317" s="104">
        <f>(Yield_Originals!$G317*Yield_Originals!O$1)/Yield_Originals!$K317</f>
        <v>0.18217154036243799</v>
      </c>
      <c r="P317" s="105">
        <f>(Yield_Originals!$H317*Yield_Originals!P$1)/Yield_Originals!$K317</f>
        <v>0.18737644151565047</v>
      </c>
      <c r="Q317" s="105"/>
      <c r="R317" s="105"/>
      <c r="S317" s="105"/>
      <c r="T317" s="107"/>
      <c r="U317" s="107"/>
      <c r="V317" s="107"/>
      <c r="W317" s="107"/>
      <c r="X317" s="108"/>
      <c r="Y317" s="108"/>
      <c r="Z317"/>
      <c r="AA317"/>
      <c r="AB317"/>
    </row>
    <row r="318" spans="1:28" x14ac:dyDescent="0.25">
      <c r="A318" s="72" t="s">
        <v>1244</v>
      </c>
      <c r="B318" s="72">
        <v>2</v>
      </c>
      <c r="C318" s="99" t="s">
        <v>150</v>
      </c>
      <c r="D318" s="99" t="s">
        <v>1251</v>
      </c>
      <c r="E318" s="100">
        <v>1</v>
      </c>
      <c r="F318" s="110">
        <f>Yield_Originals!G318</f>
        <v>0.27759472817133402</v>
      </c>
      <c r="G318" s="102">
        <v>0.27759472817133402</v>
      </c>
      <c r="H318" s="102">
        <v>0.27759472817133402</v>
      </c>
      <c r="I318" s="102">
        <f>+(Yield_Originals!H318+Yield_Originals!J318)/2</f>
        <v>0.28379736408566703</v>
      </c>
      <c r="J318" s="102">
        <v>0.28999999999999998</v>
      </c>
      <c r="K318" s="103">
        <v>2</v>
      </c>
      <c r="L318" s="104"/>
      <c r="M318" s="104"/>
      <c r="N318" s="104"/>
      <c r="O318" s="104"/>
      <c r="P318" s="105"/>
      <c r="Q318" s="105">
        <f>(Yield_Originals!$H318*Yield_Originals!Q$1)/Yield_Originals!$K318</f>
        <v>0.19258134266886301</v>
      </c>
      <c r="R318" s="105">
        <f>(Yield_Originals!$H318*Yield_Originals!R$1)/Yield_Originals!$K318</f>
        <v>0.19778624382207552</v>
      </c>
      <c r="S318" s="105">
        <f>(Yield_Originals!$H318*Yield_Originals!S$1)/Yield_Originals!$K318</f>
        <v>0.20299114497528806</v>
      </c>
      <c r="T318" s="107">
        <f>(Yield_Originals!$I318*Yield_Originals!T$1)/Yield_Originals!$K318</f>
        <v>0.21284802306425032</v>
      </c>
      <c r="U318" s="107">
        <f>(Yield_Originals!$I318*Yield_Originals!U$1)/Yield_Originals!$K318</f>
        <v>0.21816922364085653</v>
      </c>
      <c r="V318" s="107">
        <f>(Yield_Originals!$I318*Yield_Originals!V$1)/Yield_Originals!$K318</f>
        <v>0.22349042421746282</v>
      </c>
      <c r="W318" s="107">
        <f>(Yield_Originals!$I318*Yield_Originals!W$1)/Yield_Originals!$K318</f>
        <v>0.22881162479406902</v>
      </c>
      <c r="X318" s="108">
        <f>(Yield_Originals!$I318*Yield_Originals!X$1)/Yield_Originals!$K318</f>
        <v>0.23413282537067528</v>
      </c>
      <c r="Y318" s="108">
        <f>(Yield_Originals!$I318*Yield_Originals!Y$1)/Yield_Originals!$K318</f>
        <v>0.23945402594728149</v>
      </c>
      <c r="Z318"/>
      <c r="AA318"/>
      <c r="AB318"/>
    </row>
    <row r="319" spans="1:28" x14ac:dyDescent="0.25">
      <c r="A319" s="72" t="s">
        <v>1244</v>
      </c>
      <c r="B319" s="72">
        <v>2</v>
      </c>
      <c r="C319" s="99" t="s">
        <v>266</v>
      </c>
      <c r="D319" s="99" t="s">
        <v>1251</v>
      </c>
      <c r="E319" s="100">
        <v>1</v>
      </c>
      <c r="F319" s="110">
        <f>Yield_Originals!G319</f>
        <v>0.27759472817133402</v>
      </c>
      <c r="G319" s="102">
        <v>0.27759472817133402</v>
      </c>
      <c r="H319" s="102">
        <v>0.27759472817133402</v>
      </c>
      <c r="I319" s="102">
        <f>+(Yield_Originals!H319+Yield_Originals!J319)/2</f>
        <v>0.28379736408566703</v>
      </c>
      <c r="J319" s="102">
        <v>0.28999999999999998</v>
      </c>
      <c r="K319" s="103">
        <v>2</v>
      </c>
      <c r="L319" s="104"/>
      <c r="M319" s="104"/>
      <c r="N319" s="104"/>
      <c r="O319" s="104"/>
      <c r="P319" s="105"/>
      <c r="Q319" s="105">
        <f>(Yield_Originals!$H319*Yield_Originals!Q$1)/Yield_Originals!$K319</f>
        <v>0.19258134266886301</v>
      </c>
      <c r="R319" s="105">
        <f>(Yield_Originals!$H319*Yield_Originals!R$1)/Yield_Originals!$K319</f>
        <v>0.19778624382207552</v>
      </c>
      <c r="S319" s="105">
        <f>(Yield_Originals!$H319*Yield_Originals!S$1)/Yield_Originals!$K319</f>
        <v>0.20299114497528806</v>
      </c>
      <c r="T319" s="107">
        <f>(Yield_Originals!$I319*Yield_Originals!T$1)/Yield_Originals!$K319</f>
        <v>0.21284802306425032</v>
      </c>
      <c r="U319" s="107">
        <f>(Yield_Originals!$I319*Yield_Originals!U$1)/Yield_Originals!$K319</f>
        <v>0.21816922364085653</v>
      </c>
      <c r="V319" s="107">
        <f>(Yield_Originals!$I319*Yield_Originals!V$1)/Yield_Originals!$K319</f>
        <v>0.22349042421746282</v>
      </c>
      <c r="W319" s="107">
        <f>(Yield_Originals!$I319*Yield_Originals!W$1)/Yield_Originals!$K319</f>
        <v>0.22881162479406902</v>
      </c>
      <c r="X319" s="108">
        <f>(Yield_Originals!$I319*Yield_Originals!X$1)/Yield_Originals!$K319</f>
        <v>0.23413282537067528</v>
      </c>
      <c r="Y319" s="108">
        <f>(Yield_Originals!$I319*Yield_Originals!Y$1)/Yield_Originals!$K319</f>
        <v>0.23945402594728149</v>
      </c>
      <c r="Z319"/>
      <c r="AA319"/>
      <c r="AB319"/>
    </row>
    <row r="320" spans="1:28" x14ac:dyDescent="0.25">
      <c r="A320" s="72" t="s">
        <v>1244</v>
      </c>
      <c r="B320" s="72">
        <v>2</v>
      </c>
      <c r="C320" s="99" t="s">
        <v>151</v>
      </c>
      <c r="D320" s="99" t="s">
        <v>1251</v>
      </c>
      <c r="E320" s="100">
        <v>1</v>
      </c>
      <c r="F320" s="110">
        <f>Yield_Originals!G320</f>
        <v>0.27759472817133402</v>
      </c>
      <c r="G320" s="102">
        <v>0.27759472817133402</v>
      </c>
      <c r="H320" s="102">
        <v>0.27759472817133402</v>
      </c>
      <c r="I320" s="102">
        <f>+(Yield_Originals!H320+Yield_Originals!J320)/2</f>
        <v>0.28379736408566703</v>
      </c>
      <c r="J320" s="102">
        <v>0.28999999999999998</v>
      </c>
      <c r="K320" s="103">
        <v>2</v>
      </c>
      <c r="L320" s="104">
        <f>(Yield_Originals!$G320*Yield_Originals!L$1)/Yield_Originals!$K320</f>
        <v>0.16655683690280043</v>
      </c>
      <c r="M320" s="104">
        <f>(Yield_Originals!$G320*Yield_Originals!M$1)/Yield_Originals!$K320</f>
        <v>0.17176173805601294</v>
      </c>
      <c r="N320" s="104">
        <f>(Yield_Originals!$G320*Yield_Originals!N$1)/Yield_Originals!$K320</f>
        <v>0.17696663920922545</v>
      </c>
      <c r="O320" s="104">
        <f>(Yield_Originals!$G320*Yield_Originals!O$1)/Yield_Originals!$K320</f>
        <v>0.18217154036243799</v>
      </c>
      <c r="P320" s="105">
        <f>(Yield_Originals!$H320*Yield_Originals!P$1)/Yield_Originals!$K320</f>
        <v>0.18737644151565047</v>
      </c>
      <c r="Q320" s="105"/>
      <c r="R320" s="105"/>
      <c r="S320" s="105"/>
      <c r="T320" s="107"/>
      <c r="U320" s="107"/>
      <c r="V320" s="107"/>
      <c r="W320" s="107"/>
      <c r="X320" s="108"/>
      <c r="Y320" s="108"/>
      <c r="Z320"/>
      <c r="AA320"/>
      <c r="AB320"/>
    </row>
    <row r="321" spans="1:28" x14ac:dyDescent="0.25">
      <c r="A321" s="72" t="s">
        <v>1244</v>
      </c>
      <c r="B321" s="72">
        <v>2</v>
      </c>
      <c r="C321" s="99" t="s">
        <v>448</v>
      </c>
      <c r="D321" s="99" t="s">
        <v>1255</v>
      </c>
      <c r="E321" s="100">
        <v>1</v>
      </c>
      <c r="F321" s="110">
        <f>Yield_Originals!G321</f>
        <v>0.27759472817133402</v>
      </c>
      <c r="G321" s="102">
        <v>0.27759472817133402</v>
      </c>
      <c r="H321" s="102">
        <v>0.27759472817133402</v>
      </c>
      <c r="I321" s="102">
        <f>+(Yield_Originals!H321+Yield_Originals!J321)/2</f>
        <v>0.28379736408566703</v>
      </c>
      <c r="J321" s="102">
        <v>0.28999999999999998</v>
      </c>
      <c r="K321" s="103">
        <v>2</v>
      </c>
      <c r="L321" s="104"/>
      <c r="M321" s="104"/>
      <c r="N321" s="104"/>
      <c r="O321" s="104"/>
      <c r="P321" s="105"/>
      <c r="Q321" s="105">
        <f>(Yield_Originals!$H321*Yield_Originals!Q$1)/Yield_Originals!$K321</f>
        <v>0.19258134266886301</v>
      </c>
      <c r="R321" s="105">
        <f>(Yield_Originals!$H321*Yield_Originals!R$1)/Yield_Originals!$K321</f>
        <v>0.19778624382207552</v>
      </c>
      <c r="S321" s="105">
        <f>(Yield_Originals!$H321*Yield_Originals!S$1)/Yield_Originals!$K321</f>
        <v>0.20299114497528806</v>
      </c>
      <c r="T321" s="107">
        <f>(Yield_Originals!$I321*Yield_Originals!T$1)/Yield_Originals!$K321</f>
        <v>0.21284802306425032</v>
      </c>
      <c r="U321" s="107">
        <f>(Yield_Originals!$I321*Yield_Originals!U$1)/Yield_Originals!$K321</f>
        <v>0.21816922364085653</v>
      </c>
      <c r="V321" s="107">
        <f>(Yield_Originals!$I321*Yield_Originals!V$1)/Yield_Originals!$K321</f>
        <v>0.22349042421746282</v>
      </c>
      <c r="W321" s="107">
        <f>(Yield_Originals!$I321*Yield_Originals!W$1)/Yield_Originals!$K321</f>
        <v>0.22881162479406902</v>
      </c>
      <c r="X321" s="108">
        <f>(Yield_Originals!$I321*Yield_Originals!X$1)/Yield_Originals!$K321</f>
        <v>0.23413282537067528</v>
      </c>
      <c r="Y321" s="108">
        <f>(Yield_Originals!$I321*Yield_Originals!Y$1)/Yield_Originals!$K321</f>
        <v>0.23945402594728149</v>
      </c>
      <c r="Z321"/>
      <c r="AA321"/>
      <c r="AB321"/>
    </row>
    <row r="322" spans="1:28" x14ac:dyDescent="0.25">
      <c r="A322" s="72" t="s">
        <v>1244</v>
      </c>
      <c r="B322" s="72">
        <v>2</v>
      </c>
      <c r="C322" s="99" t="s">
        <v>267</v>
      </c>
      <c r="D322" s="99" t="s">
        <v>1255</v>
      </c>
      <c r="E322" s="100">
        <v>1</v>
      </c>
      <c r="F322" s="110">
        <f>Yield_Originals!G322</f>
        <v>0.27759472817133402</v>
      </c>
      <c r="G322" s="102">
        <v>0.27759472817133402</v>
      </c>
      <c r="H322" s="102">
        <v>0.27759472817133402</v>
      </c>
      <c r="I322" s="102">
        <f>+(Yield_Originals!H322+Yield_Originals!J322)/2</f>
        <v>0.28379736408566703</v>
      </c>
      <c r="J322" s="102">
        <v>0.28999999999999998</v>
      </c>
      <c r="K322" s="103">
        <v>2</v>
      </c>
      <c r="L322" s="104"/>
      <c r="M322" s="104"/>
      <c r="N322" s="104"/>
      <c r="O322" s="104"/>
      <c r="P322" s="105"/>
      <c r="Q322" s="105">
        <f>(Yield_Originals!$H322*Yield_Originals!Q$1)/Yield_Originals!$K322</f>
        <v>0.19258134266886301</v>
      </c>
      <c r="R322" s="105">
        <f>(Yield_Originals!$H322*Yield_Originals!R$1)/Yield_Originals!$K322</f>
        <v>0.19778624382207552</v>
      </c>
      <c r="S322" s="105">
        <f>(Yield_Originals!$H322*Yield_Originals!S$1)/Yield_Originals!$K322</f>
        <v>0.20299114497528806</v>
      </c>
      <c r="T322" s="107">
        <f>(Yield_Originals!$I322*Yield_Originals!T$1)/Yield_Originals!$K322</f>
        <v>0.21284802306425032</v>
      </c>
      <c r="U322" s="107">
        <f>(Yield_Originals!$I322*Yield_Originals!U$1)/Yield_Originals!$K322</f>
        <v>0.21816922364085653</v>
      </c>
      <c r="V322" s="107">
        <f>(Yield_Originals!$I322*Yield_Originals!V$1)/Yield_Originals!$K322</f>
        <v>0.22349042421746282</v>
      </c>
      <c r="W322" s="107">
        <f>(Yield_Originals!$I322*Yield_Originals!W$1)/Yield_Originals!$K322</f>
        <v>0.22881162479406902</v>
      </c>
      <c r="X322" s="108">
        <f>(Yield_Originals!$I322*Yield_Originals!X$1)/Yield_Originals!$K322</f>
        <v>0.23413282537067528</v>
      </c>
      <c r="Y322" s="108">
        <f>(Yield_Originals!$I322*Yield_Originals!Y$1)/Yield_Originals!$K322</f>
        <v>0.23945402594728149</v>
      </c>
      <c r="Z322"/>
      <c r="AA322"/>
      <c r="AB322"/>
    </row>
    <row r="323" spans="1:28" x14ac:dyDescent="0.25">
      <c r="A323" s="70" t="s">
        <v>1378</v>
      </c>
      <c r="B323" s="70">
        <v>3</v>
      </c>
      <c r="C323" s="99" t="s">
        <v>1190</v>
      </c>
      <c r="D323" s="99" t="s">
        <v>1241</v>
      </c>
      <c r="E323" s="100">
        <v>25</v>
      </c>
      <c r="F323" s="110">
        <f>Yield_Originals!G323</f>
        <v>0.36399999999999999</v>
      </c>
      <c r="G323" s="102">
        <v>0.36399999999999999</v>
      </c>
      <c r="H323" s="102">
        <v>0.36399999999999999</v>
      </c>
      <c r="I323" s="102">
        <f>+(Yield_Originals!H323+Yield_Originals!J323)/2</f>
        <v>0.38700000000000001</v>
      </c>
      <c r="J323" s="102">
        <v>0.41</v>
      </c>
      <c r="K323" s="103">
        <v>2</v>
      </c>
      <c r="L323" s="104"/>
      <c r="M323" s="104"/>
      <c r="N323" s="104"/>
      <c r="O323" s="104"/>
      <c r="P323" s="105"/>
      <c r="Q323" s="105"/>
      <c r="R323" s="105">
        <f>(Yield_Originals!$H323*Yield_Originals!R$1)/Yield_Originals!$K323</f>
        <v>0.25935000000000002</v>
      </c>
      <c r="S323" s="105">
        <f>(Yield_Originals!$H323*Yield_Originals!S$1)/Yield_Originals!$K323</f>
        <v>0.26617500000000005</v>
      </c>
      <c r="T323" s="107">
        <f>(Yield_Originals!$I323*Yield_Originals!T$1)/Yield_Originals!$K323</f>
        <v>0.29025000000000012</v>
      </c>
      <c r="U323" s="107">
        <f>(Yield_Originals!$I323*Yield_Originals!U$1)/Yield_Originals!$K323</f>
        <v>0.29750625000000003</v>
      </c>
      <c r="V323" s="107">
        <f>(Yield_Originals!$I323*Yield_Originals!V$1)/Yield_Originals!$K323</f>
        <v>0.30476250000000005</v>
      </c>
      <c r="W323" s="107">
        <f>(Yield_Originals!$I323*Yield_Originals!W$1)/Yield_Originals!$K323</f>
        <v>0.31201874999999996</v>
      </c>
      <c r="X323" s="108">
        <f>(Yield_Originals!$I323*Yield_Originals!X$1)/Yield_Originals!$K323</f>
        <v>0.31927499999999998</v>
      </c>
      <c r="Y323" s="108">
        <f>(Yield_Originals!$I323*Yield_Originals!Y$1)/Yield_Originals!$K323</f>
        <v>0.32653124999999994</v>
      </c>
      <c r="Z323"/>
      <c r="AA323"/>
      <c r="AB323"/>
    </row>
    <row r="324" spans="1:28" x14ac:dyDescent="0.25">
      <c r="A324" s="70" t="s">
        <v>1379</v>
      </c>
      <c r="B324" s="70">
        <v>3</v>
      </c>
      <c r="C324" s="99" t="s">
        <v>1193</v>
      </c>
      <c r="D324" s="99" t="s">
        <v>1273</v>
      </c>
      <c r="E324" s="100">
        <v>26</v>
      </c>
      <c r="F324" s="110">
        <f>Yield_Originals!G324</f>
        <v>0.21199999999999999</v>
      </c>
      <c r="G324" s="102">
        <v>0.21199999999999999</v>
      </c>
      <c r="H324" s="102">
        <v>0.21199999999999999</v>
      </c>
      <c r="I324" s="102">
        <f>+(Yield_Originals!H324+Yield_Originals!J324)/2</f>
        <v>0.23099999999999998</v>
      </c>
      <c r="J324" s="102">
        <v>0.25</v>
      </c>
      <c r="K324" s="103">
        <v>2</v>
      </c>
      <c r="L324" s="104">
        <f>(Yield_Originals!$G324*Yield_Originals!L$1)/Yield_Originals!$K324</f>
        <v>0.12720000000000001</v>
      </c>
      <c r="M324" s="104">
        <f>(Yield_Originals!$G324*Yield_Originals!M$1)/Yield_Originals!$K324</f>
        <v>0.13117500000000001</v>
      </c>
      <c r="N324" s="104">
        <f>(Yield_Originals!$G324*Yield_Originals!N$1)/Yield_Originals!$K324</f>
        <v>0.13515000000000002</v>
      </c>
      <c r="O324" s="104">
        <f>(Yield_Originals!$G324*Yield_Originals!O$1)/Yield_Originals!$K324</f>
        <v>0.13912500000000003</v>
      </c>
      <c r="P324" s="105">
        <f>(Yield_Originals!$H324*Yield_Originals!P$1)/Yield_Originals!$K324</f>
        <v>0.1431</v>
      </c>
      <c r="Q324" s="105">
        <f>(Yield_Originals!$H324*Yield_Originals!Q$1)/Yield_Originals!$K324</f>
        <v>0.14707500000000001</v>
      </c>
      <c r="R324" s="105">
        <f>(Yield_Originals!$H324*Yield_Originals!R$1)/Yield_Originals!$K324</f>
        <v>0.15105000000000002</v>
      </c>
      <c r="S324" s="105">
        <f>(Yield_Originals!$H324*Yield_Originals!S$1)/Yield_Originals!$K324</f>
        <v>0.15502500000000002</v>
      </c>
      <c r="T324" s="107">
        <f>(Yield_Originals!$I324*Yield_Originals!T$1)/Yield_Originals!$K324</f>
        <v>0.17325000000000004</v>
      </c>
      <c r="U324" s="107">
        <f>(Yield_Originals!$I324*Yield_Originals!U$1)/Yield_Originals!$K324</f>
        <v>0.17758125</v>
      </c>
      <c r="V324" s="107">
        <f>(Yield_Originals!$I324*Yield_Originals!V$1)/Yield_Originals!$K324</f>
        <v>0.1819125</v>
      </c>
      <c r="W324" s="107">
        <f>(Yield_Originals!$I324*Yield_Originals!W$1)/Yield_Originals!$K324</f>
        <v>0.18624374999999996</v>
      </c>
      <c r="X324" s="108">
        <f>(Yield_Originals!$I324*Yield_Originals!X$1)/Yield_Originals!$K324</f>
        <v>0.19057499999999997</v>
      </c>
      <c r="Y324" s="108">
        <f>(Yield_Originals!$I324*Yield_Originals!Y$1)/Yield_Originals!$K324</f>
        <v>0.19490624999999995</v>
      </c>
      <c r="Z324"/>
      <c r="AA324"/>
      <c r="AB324"/>
    </row>
    <row r="325" spans="1:28" x14ac:dyDescent="0.25">
      <c r="A325" s="70" t="s">
        <v>1379</v>
      </c>
      <c r="B325" s="70">
        <v>3</v>
      </c>
      <c r="C325" s="99" t="s">
        <v>152</v>
      </c>
      <c r="D325" s="99" t="s">
        <v>1276</v>
      </c>
      <c r="E325" s="100">
        <v>26</v>
      </c>
      <c r="F325" s="110">
        <f>Yield_Originals!G325</f>
        <v>0.21199999999999999</v>
      </c>
      <c r="G325" s="102">
        <v>0.21199999999999999</v>
      </c>
      <c r="H325" s="102">
        <v>0.21199999999999999</v>
      </c>
      <c r="I325" s="102">
        <f>+(Yield_Originals!H325+Yield_Originals!J325)/2</f>
        <v>0.23099999999999998</v>
      </c>
      <c r="J325" s="102">
        <v>0.25</v>
      </c>
      <c r="K325" s="103">
        <v>2</v>
      </c>
      <c r="L325" s="104"/>
      <c r="M325" s="104">
        <f>(Yield_Originals!$G325*Yield_Originals!M$1)/Yield_Originals!$K325</f>
        <v>0.13117500000000001</v>
      </c>
      <c r="N325" s="104">
        <f>(Yield_Originals!$G325*Yield_Originals!N$1)/Yield_Originals!$K325</f>
        <v>0.13515000000000002</v>
      </c>
      <c r="O325" s="104">
        <f>(Yield_Originals!$G325*Yield_Originals!O$1)/Yield_Originals!$K325</f>
        <v>0.13912500000000003</v>
      </c>
      <c r="P325" s="105">
        <f>(Yield_Originals!$H325*Yield_Originals!P$1)/Yield_Originals!$K325</f>
        <v>0.1431</v>
      </c>
      <c r="Q325" s="105">
        <f>(Yield_Originals!$H325*Yield_Originals!Q$1)/Yield_Originals!$K325</f>
        <v>0.14707500000000001</v>
      </c>
      <c r="R325" s="105">
        <f>(Yield_Originals!$H325*Yield_Originals!R$1)/Yield_Originals!$K325</f>
        <v>0.15105000000000002</v>
      </c>
      <c r="S325" s="105">
        <f>(Yield_Originals!$H325*Yield_Originals!S$1)/Yield_Originals!$K325</f>
        <v>0.15502500000000002</v>
      </c>
      <c r="T325" s="107"/>
      <c r="U325" s="107"/>
      <c r="V325" s="107"/>
      <c r="W325" s="107"/>
      <c r="X325" s="108"/>
      <c r="Y325" s="108"/>
      <c r="Z325"/>
      <c r="AA325"/>
      <c r="AB325"/>
    </row>
    <row r="326" spans="1:28" x14ac:dyDescent="0.25">
      <c r="A326" s="70" t="s">
        <v>1379</v>
      </c>
      <c r="B326" s="70">
        <v>3</v>
      </c>
      <c r="C326" t="s">
        <v>152</v>
      </c>
      <c r="D326" t="s">
        <v>1276</v>
      </c>
      <c r="E326" s="100">
        <v>1</v>
      </c>
      <c r="F326" s="110">
        <f>Yield_Originals!G326</f>
        <v>0.21199999999999999</v>
      </c>
      <c r="G326" s="102">
        <v>0.21199999999999999</v>
      </c>
      <c r="H326" s="102">
        <v>0.21199999999999999</v>
      </c>
      <c r="I326" s="102">
        <f>+(Yield_Originals!H326+Yield_Originals!J326)/2</f>
        <v>0.23099999999999998</v>
      </c>
      <c r="J326" s="102">
        <v>0.25</v>
      </c>
      <c r="K326" s="103">
        <v>2</v>
      </c>
      <c r="L326" s="104"/>
      <c r="M326" s="104">
        <f>(Yield_Originals!$G326*Yield_Originals!M$1)/Yield_Originals!$K326</f>
        <v>0.13117500000000001</v>
      </c>
      <c r="N326" s="104">
        <f>(Yield_Originals!$G326*Yield_Originals!N$1)/Yield_Originals!$K326</f>
        <v>0.13515000000000002</v>
      </c>
      <c r="O326" s="104">
        <f>(Yield_Originals!$G326*Yield_Originals!O$1)/Yield_Originals!$K326</f>
        <v>0.13912500000000003</v>
      </c>
      <c r="P326" s="105">
        <f>(Yield_Originals!$H326*Yield_Originals!P$1)/Yield_Originals!$K326</f>
        <v>0.1431</v>
      </c>
      <c r="Q326" s="105">
        <f>(Yield_Originals!$H326*Yield_Originals!Q$1)/Yield_Originals!$K326</f>
        <v>0.14707500000000001</v>
      </c>
      <c r="R326" s="105">
        <f>(Yield_Originals!$H326*Yield_Originals!R$1)/Yield_Originals!$K326</f>
        <v>0.15105000000000002</v>
      </c>
      <c r="S326" s="105">
        <f>(Yield_Originals!$H326*Yield_Originals!S$1)/Yield_Originals!$K326</f>
        <v>0.15502500000000002</v>
      </c>
      <c r="T326" s="107"/>
      <c r="U326" s="107"/>
      <c r="V326" s="107"/>
      <c r="W326" s="107"/>
      <c r="X326" s="108"/>
      <c r="Y326" s="108"/>
      <c r="Z326"/>
      <c r="AA326"/>
      <c r="AB326"/>
    </row>
    <row r="327" spans="1:28" x14ac:dyDescent="0.25">
      <c r="A327" s="70" t="s">
        <v>1379</v>
      </c>
      <c r="B327" s="70">
        <v>3</v>
      </c>
      <c r="C327" t="s">
        <v>152</v>
      </c>
      <c r="D327" t="s">
        <v>1276</v>
      </c>
      <c r="E327" s="100">
        <v>2</v>
      </c>
      <c r="F327" s="110">
        <f>Yield_Originals!G327</f>
        <v>0.21199999999999999</v>
      </c>
      <c r="G327" s="102">
        <v>0.21199999999999999</v>
      </c>
      <c r="H327" s="102">
        <v>0.21199999999999999</v>
      </c>
      <c r="I327" s="102">
        <f>+(Yield_Originals!H327+Yield_Originals!J327)/2</f>
        <v>0.23099999999999998</v>
      </c>
      <c r="J327" s="102">
        <v>0.25</v>
      </c>
      <c r="K327" s="103">
        <v>2</v>
      </c>
      <c r="L327" s="104"/>
      <c r="M327" s="104">
        <f>(Yield_Originals!$G327*Yield_Originals!M$1)/Yield_Originals!$K327</f>
        <v>0.13117500000000001</v>
      </c>
      <c r="N327" s="104">
        <f>(Yield_Originals!$G327*Yield_Originals!N$1)/Yield_Originals!$K327</f>
        <v>0.13515000000000002</v>
      </c>
      <c r="O327" s="104">
        <f>(Yield_Originals!$G327*Yield_Originals!O$1)/Yield_Originals!$K327</f>
        <v>0.13912500000000003</v>
      </c>
      <c r="P327" s="105">
        <f>(Yield_Originals!$H327*Yield_Originals!P$1)/Yield_Originals!$K327</f>
        <v>0.1431</v>
      </c>
      <c r="Q327" s="105">
        <f>(Yield_Originals!$H327*Yield_Originals!Q$1)/Yield_Originals!$K327</f>
        <v>0.14707500000000001</v>
      </c>
      <c r="R327" s="105">
        <f>(Yield_Originals!$H327*Yield_Originals!R$1)/Yield_Originals!$K327</f>
        <v>0.15105000000000002</v>
      </c>
      <c r="S327" s="105">
        <f>(Yield_Originals!$H327*Yield_Originals!S$1)/Yield_Originals!$K327</f>
        <v>0.15502500000000002</v>
      </c>
      <c r="T327" s="107"/>
      <c r="U327" s="107"/>
      <c r="V327" s="107"/>
      <c r="W327" s="107"/>
      <c r="X327" s="108"/>
      <c r="Y327" s="108"/>
      <c r="Z327"/>
      <c r="AA327"/>
      <c r="AB327"/>
    </row>
    <row r="328" spans="1:28" x14ac:dyDescent="0.25">
      <c r="A328" s="70" t="s">
        <v>1379</v>
      </c>
      <c r="B328" s="70">
        <v>3</v>
      </c>
      <c r="C328" s="99" t="s">
        <v>268</v>
      </c>
      <c r="D328" s="99" t="s">
        <v>1276</v>
      </c>
      <c r="E328" s="100">
        <v>26</v>
      </c>
      <c r="F328" s="110">
        <f>Yield_Originals!G328</f>
        <v>0.21199999999999999</v>
      </c>
      <c r="G328" s="102">
        <v>0.21199999999999999</v>
      </c>
      <c r="H328" s="102">
        <v>0.21199999999999999</v>
      </c>
      <c r="I328" s="102">
        <f>+(Yield_Originals!H328+Yield_Originals!J328)/2</f>
        <v>0.23099999999999998</v>
      </c>
      <c r="J328" s="102">
        <v>0.25</v>
      </c>
      <c r="K328" s="103">
        <v>2</v>
      </c>
      <c r="L328" s="104"/>
      <c r="M328" s="104">
        <f>(Yield_Originals!$G328*Yield_Originals!M$1)/Yield_Originals!$K328</f>
        <v>0.13117500000000001</v>
      </c>
      <c r="N328" s="104">
        <f>(Yield_Originals!$G328*Yield_Originals!N$1)/Yield_Originals!$K328</f>
        <v>0.13515000000000002</v>
      </c>
      <c r="O328" s="104">
        <f>(Yield_Originals!$G328*Yield_Originals!O$1)/Yield_Originals!$K328</f>
        <v>0.13912500000000003</v>
      </c>
      <c r="P328" s="105">
        <f>(Yield_Originals!$H328*Yield_Originals!P$1)/Yield_Originals!$K328</f>
        <v>0.1431</v>
      </c>
      <c r="Q328" s="105">
        <f>(Yield_Originals!$H328*Yield_Originals!Q$1)/Yield_Originals!$K328</f>
        <v>0.14707500000000001</v>
      </c>
      <c r="R328" s="105">
        <f>(Yield_Originals!$H328*Yield_Originals!R$1)/Yield_Originals!$K328</f>
        <v>0.15105000000000002</v>
      </c>
      <c r="S328" s="105">
        <f>(Yield_Originals!$H328*Yield_Originals!S$1)/Yield_Originals!$K328</f>
        <v>0.15502500000000002</v>
      </c>
      <c r="T328" s="107"/>
      <c r="U328" s="107"/>
      <c r="V328" s="107"/>
      <c r="W328" s="107"/>
      <c r="X328" s="108"/>
      <c r="Y328" s="108"/>
      <c r="Z328"/>
      <c r="AA328"/>
      <c r="AB328"/>
    </row>
    <row r="329" spans="1:28" x14ac:dyDescent="0.25">
      <c r="A329" s="70" t="s">
        <v>1379</v>
      </c>
      <c r="B329" s="70">
        <v>3</v>
      </c>
      <c r="C329" t="s">
        <v>268</v>
      </c>
      <c r="D329" t="s">
        <v>1276</v>
      </c>
      <c r="E329" s="100">
        <v>1</v>
      </c>
      <c r="F329" s="110">
        <f>Yield_Originals!G329</f>
        <v>0.21199999999999999</v>
      </c>
      <c r="G329" s="102">
        <v>0.21199999999999999</v>
      </c>
      <c r="H329" s="102">
        <v>0.21199999999999999</v>
      </c>
      <c r="I329" s="102">
        <f>+(Yield_Originals!H329+Yield_Originals!J329)/2</f>
        <v>0.23099999999999998</v>
      </c>
      <c r="J329" s="102">
        <v>0.25</v>
      </c>
      <c r="K329" s="103">
        <v>2</v>
      </c>
      <c r="L329" s="104"/>
      <c r="M329" s="104">
        <f>(Yield_Originals!$G329*Yield_Originals!M$1)/Yield_Originals!$K329</f>
        <v>0.13117500000000001</v>
      </c>
      <c r="N329" s="104">
        <f>(Yield_Originals!$G329*Yield_Originals!N$1)/Yield_Originals!$K329</f>
        <v>0.13515000000000002</v>
      </c>
      <c r="O329" s="104">
        <f>(Yield_Originals!$G329*Yield_Originals!O$1)/Yield_Originals!$K329</f>
        <v>0.13912500000000003</v>
      </c>
      <c r="P329" s="105">
        <f>(Yield_Originals!$H329*Yield_Originals!P$1)/Yield_Originals!$K329</f>
        <v>0.1431</v>
      </c>
      <c r="Q329" s="105">
        <f>(Yield_Originals!$H329*Yield_Originals!Q$1)/Yield_Originals!$K329</f>
        <v>0.14707500000000001</v>
      </c>
      <c r="R329" s="105">
        <f>(Yield_Originals!$H329*Yield_Originals!R$1)/Yield_Originals!$K329</f>
        <v>0.15105000000000002</v>
      </c>
      <c r="S329" s="105">
        <f>(Yield_Originals!$H329*Yield_Originals!S$1)/Yield_Originals!$K329</f>
        <v>0.15502500000000002</v>
      </c>
      <c r="T329" s="107"/>
      <c r="U329" s="107"/>
      <c r="V329" s="107"/>
      <c r="W329" s="107"/>
      <c r="X329" s="108"/>
      <c r="Y329" s="108"/>
      <c r="Z329"/>
      <c r="AA329"/>
      <c r="AB329"/>
    </row>
    <row r="330" spans="1:28" x14ac:dyDescent="0.25">
      <c r="A330" s="70" t="s">
        <v>1379</v>
      </c>
      <c r="B330" s="70">
        <v>3</v>
      </c>
      <c r="C330" t="s">
        <v>268</v>
      </c>
      <c r="D330" t="s">
        <v>1276</v>
      </c>
      <c r="E330" s="100">
        <v>2</v>
      </c>
      <c r="F330" s="110">
        <f>Yield_Originals!G330</f>
        <v>0.21199999999999999</v>
      </c>
      <c r="G330" s="102">
        <v>0.21199999999999999</v>
      </c>
      <c r="H330" s="102">
        <v>0.21199999999999999</v>
      </c>
      <c r="I330" s="102">
        <f>+(Yield_Originals!H330+Yield_Originals!J330)/2</f>
        <v>0.23099999999999998</v>
      </c>
      <c r="J330" s="102">
        <v>0.25</v>
      </c>
      <c r="K330" s="103">
        <v>2</v>
      </c>
      <c r="L330" s="104"/>
      <c r="M330" s="104">
        <f>(Yield_Originals!$G330*Yield_Originals!M$1)/Yield_Originals!$K330</f>
        <v>0.13117500000000001</v>
      </c>
      <c r="N330" s="104">
        <f>(Yield_Originals!$G330*Yield_Originals!N$1)/Yield_Originals!$K330</f>
        <v>0.13515000000000002</v>
      </c>
      <c r="O330" s="104">
        <f>(Yield_Originals!$G330*Yield_Originals!O$1)/Yield_Originals!$K330</f>
        <v>0.13912500000000003</v>
      </c>
      <c r="P330" s="105">
        <f>(Yield_Originals!$H330*Yield_Originals!P$1)/Yield_Originals!$K330</f>
        <v>0.1431</v>
      </c>
      <c r="Q330" s="105">
        <f>(Yield_Originals!$H330*Yield_Originals!Q$1)/Yield_Originals!$K330</f>
        <v>0.14707500000000001</v>
      </c>
      <c r="R330" s="105">
        <f>(Yield_Originals!$H330*Yield_Originals!R$1)/Yield_Originals!$K330</f>
        <v>0.15105000000000002</v>
      </c>
      <c r="S330" s="105">
        <f>(Yield_Originals!$H330*Yield_Originals!S$1)/Yield_Originals!$K330</f>
        <v>0.15502500000000002</v>
      </c>
      <c r="T330" s="107"/>
      <c r="U330" s="107"/>
      <c r="V330" s="107"/>
      <c r="W330" s="107"/>
      <c r="X330" s="108"/>
      <c r="Y330" s="108"/>
      <c r="Z330"/>
      <c r="AA330"/>
      <c r="AB330"/>
    </row>
    <row r="331" spans="1:28" x14ac:dyDescent="0.25">
      <c r="A331" s="70" t="s">
        <v>1379</v>
      </c>
      <c r="B331" s="70">
        <v>3</v>
      </c>
      <c r="C331" s="99" t="s">
        <v>1197</v>
      </c>
      <c r="D331" s="99" t="s">
        <v>1281</v>
      </c>
      <c r="E331" s="100">
        <v>26</v>
      </c>
      <c r="F331" s="110">
        <f>Yield_Originals!G331</f>
        <v>0.21199999999999999</v>
      </c>
      <c r="G331" s="102">
        <v>0.21199999999999999</v>
      </c>
      <c r="H331" s="102">
        <v>0.21199999999999999</v>
      </c>
      <c r="I331" s="102">
        <f>+(Yield_Originals!H331+Yield_Originals!J331)/2</f>
        <v>0.23099999999999998</v>
      </c>
      <c r="J331" s="102">
        <v>0.25</v>
      </c>
      <c r="K331" s="103">
        <v>2</v>
      </c>
      <c r="L331" s="104"/>
      <c r="M331" s="104">
        <f>(Yield_Originals!$G331*Yield_Originals!M$1)/Yield_Originals!$K331</f>
        <v>0.13117500000000001</v>
      </c>
      <c r="N331" s="104">
        <f>(Yield_Originals!$G331*Yield_Originals!N$1)/Yield_Originals!$K331</f>
        <v>0.13515000000000002</v>
      </c>
      <c r="O331" s="104">
        <f>(Yield_Originals!$G331*Yield_Originals!O$1)/Yield_Originals!$K331</f>
        <v>0.13912500000000003</v>
      </c>
      <c r="P331" s="105">
        <f>(Yield_Originals!$H331*Yield_Originals!P$1)/Yield_Originals!$K331</f>
        <v>0.1431</v>
      </c>
      <c r="Q331" s="105">
        <f>(Yield_Originals!$H331*Yield_Originals!Q$1)/Yield_Originals!$K331</f>
        <v>0.14707500000000001</v>
      </c>
      <c r="R331" s="105">
        <f>(Yield_Originals!$H331*Yield_Originals!R$1)/Yield_Originals!$K331</f>
        <v>0.15105000000000002</v>
      </c>
      <c r="S331" s="105">
        <f>(Yield_Originals!$H331*Yield_Originals!S$1)/Yield_Originals!$K331</f>
        <v>0.15502500000000002</v>
      </c>
      <c r="T331" s="107"/>
      <c r="U331" s="107"/>
      <c r="V331" s="107"/>
      <c r="W331" s="107"/>
      <c r="X331" s="108"/>
      <c r="Y331" s="108"/>
      <c r="Z331"/>
      <c r="AA331"/>
      <c r="AB331"/>
    </row>
    <row r="332" spans="1:28" x14ac:dyDescent="0.25">
      <c r="A332" s="70" t="s">
        <v>1379</v>
      </c>
      <c r="B332" s="70">
        <v>3</v>
      </c>
      <c r="C332" t="s">
        <v>1197</v>
      </c>
      <c r="D332" t="s">
        <v>1281</v>
      </c>
      <c r="E332" s="100">
        <v>1</v>
      </c>
      <c r="F332" s="110">
        <f>Yield_Originals!G332</f>
        <v>0.21199999999999999</v>
      </c>
      <c r="G332" s="102">
        <v>0.21199999999999999</v>
      </c>
      <c r="H332" s="102">
        <v>0.21199999999999999</v>
      </c>
      <c r="I332" s="102">
        <f>+(Yield_Originals!H332+Yield_Originals!J332)/2</f>
        <v>0.23099999999999998</v>
      </c>
      <c r="J332" s="102">
        <v>0.25</v>
      </c>
      <c r="K332" s="103">
        <v>2</v>
      </c>
      <c r="L332" s="104"/>
      <c r="M332" s="104">
        <f>(Yield_Originals!$G332*Yield_Originals!M$1)/Yield_Originals!$K332</f>
        <v>0.13117500000000001</v>
      </c>
      <c r="N332" s="104">
        <f>(Yield_Originals!$G332*Yield_Originals!N$1)/Yield_Originals!$K332</f>
        <v>0.13515000000000002</v>
      </c>
      <c r="O332" s="104">
        <f>(Yield_Originals!$G332*Yield_Originals!O$1)/Yield_Originals!$K332</f>
        <v>0.13912500000000003</v>
      </c>
      <c r="P332" s="105">
        <f>(Yield_Originals!$H332*Yield_Originals!P$1)/Yield_Originals!$K332</f>
        <v>0.1431</v>
      </c>
      <c r="Q332" s="105">
        <f>(Yield_Originals!$H332*Yield_Originals!Q$1)/Yield_Originals!$K332</f>
        <v>0.14707500000000001</v>
      </c>
      <c r="R332" s="105">
        <f>(Yield_Originals!$H332*Yield_Originals!R$1)/Yield_Originals!$K332</f>
        <v>0.15105000000000002</v>
      </c>
      <c r="S332" s="105">
        <f>(Yield_Originals!$H332*Yield_Originals!S$1)/Yield_Originals!$K332</f>
        <v>0.15502500000000002</v>
      </c>
      <c r="T332" s="107"/>
      <c r="U332" s="107"/>
      <c r="V332" s="107"/>
      <c r="W332" s="107"/>
      <c r="X332" s="108"/>
      <c r="Y332" s="108"/>
      <c r="Z332"/>
      <c r="AA332"/>
      <c r="AB332"/>
    </row>
    <row r="333" spans="1:28" x14ac:dyDescent="0.25">
      <c r="A333" s="70" t="s">
        <v>1379</v>
      </c>
      <c r="B333" s="70">
        <v>3</v>
      </c>
      <c r="C333" t="s">
        <v>1197</v>
      </c>
      <c r="D333" t="s">
        <v>1281</v>
      </c>
      <c r="E333" s="100">
        <v>2</v>
      </c>
      <c r="F333" s="110">
        <f>Yield_Originals!G333</f>
        <v>0.21199999999999999</v>
      </c>
      <c r="G333" s="102">
        <v>0.21199999999999999</v>
      </c>
      <c r="H333" s="102">
        <v>0.21199999999999999</v>
      </c>
      <c r="I333" s="102">
        <f>+(Yield_Originals!H333+Yield_Originals!J333)/2</f>
        <v>0.23099999999999998</v>
      </c>
      <c r="J333" s="102">
        <v>0.25</v>
      </c>
      <c r="K333" s="103">
        <v>2</v>
      </c>
      <c r="L333" s="104"/>
      <c r="M333" s="104">
        <f>(Yield_Originals!$G333*Yield_Originals!M$1)/Yield_Originals!$K333</f>
        <v>0.13117500000000001</v>
      </c>
      <c r="N333" s="104">
        <f>(Yield_Originals!$G333*Yield_Originals!N$1)/Yield_Originals!$K333</f>
        <v>0.13515000000000002</v>
      </c>
      <c r="O333" s="104">
        <f>(Yield_Originals!$G333*Yield_Originals!O$1)/Yield_Originals!$K333</f>
        <v>0.13912500000000003</v>
      </c>
      <c r="P333" s="105">
        <f>(Yield_Originals!$H333*Yield_Originals!P$1)/Yield_Originals!$K333</f>
        <v>0.1431</v>
      </c>
      <c r="Q333" s="105">
        <f>(Yield_Originals!$H333*Yield_Originals!Q$1)/Yield_Originals!$K333</f>
        <v>0.14707500000000001</v>
      </c>
      <c r="R333" s="105">
        <f>(Yield_Originals!$H333*Yield_Originals!R$1)/Yield_Originals!$K333</f>
        <v>0.15105000000000002</v>
      </c>
      <c r="S333" s="105">
        <f>(Yield_Originals!$H333*Yield_Originals!S$1)/Yield_Originals!$K333</f>
        <v>0.15502500000000002</v>
      </c>
      <c r="T333" s="107"/>
      <c r="U333" s="107"/>
      <c r="V333" s="107"/>
      <c r="W333" s="107"/>
      <c r="X333" s="108"/>
      <c r="Y333" s="108"/>
      <c r="Z333"/>
      <c r="AA333"/>
      <c r="AB333"/>
    </row>
    <row r="334" spans="1:28" x14ac:dyDescent="0.25">
      <c r="A334" s="70" t="s">
        <v>1379</v>
      </c>
      <c r="B334" s="70">
        <v>3</v>
      </c>
      <c r="C334" s="99" t="s">
        <v>1200</v>
      </c>
      <c r="D334" s="99" t="s">
        <v>1298</v>
      </c>
      <c r="E334" s="100">
        <v>26</v>
      </c>
      <c r="F334" s="110">
        <f>Yield_Originals!G334</f>
        <v>0.21199999999999999</v>
      </c>
      <c r="G334" s="102">
        <v>0.21199999999999999</v>
      </c>
      <c r="H334" s="102">
        <v>0.21199999999999999</v>
      </c>
      <c r="I334" s="102">
        <f>+(Yield_Originals!H334+Yield_Originals!J334)/2</f>
        <v>0.23099999999999998</v>
      </c>
      <c r="J334" s="102">
        <v>0.25</v>
      </c>
      <c r="K334" s="103">
        <v>2</v>
      </c>
      <c r="L334" s="104"/>
      <c r="M334" s="104">
        <f>(Yield_Originals!$G334*Yield_Originals!M$1)/Yield_Originals!$K334</f>
        <v>0.13117500000000001</v>
      </c>
      <c r="N334" s="104">
        <f>(Yield_Originals!$G334*Yield_Originals!N$1)/Yield_Originals!$K334</f>
        <v>0.13515000000000002</v>
      </c>
      <c r="O334" s="104">
        <f>(Yield_Originals!$G334*Yield_Originals!O$1)/Yield_Originals!$K334</f>
        <v>0.13912500000000003</v>
      </c>
      <c r="P334" s="105">
        <f>(Yield_Originals!$H334*Yield_Originals!P$1)/Yield_Originals!$K334</f>
        <v>0.1431</v>
      </c>
      <c r="Q334" s="105">
        <f>(Yield_Originals!$H334*Yield_Originals!Q$1)/Yield_Originals!$K334</f>
        <v>0.14707500000000001</v>
      </c>
      <c r="R334" s="105">
        <f>(Yield_Originals!$H334*Yield_Originals!R$1)/Yield_Originals!$K334</f>
        <v>0.15105000000000002</v>
      </c>
      <c r="S334" s="105">
        <f>(Yield_Originals!$H334*Yield_Originals!S$1)/Yield_Originals!$K334</f>
        <v>0.15502500000000002</v>
      </c>
      <c r="T334" s="107"/>
      <c r="U334" s="107"/>
      <c r="V334" s="107"/>
      <c r="W334" s="107"/>
      <c r="X334" s="108"/>
      <c r="Y334" s="108"/>
      <c r="Z334"/>
      <c r="AA334"/>
      <c r="AB334"/>
    </row>
    <row r="335" spans="1:28" x14ac:dyDescent="0.25">
      <c r="A335" s="70" t="s">
        <v>1379</v>
      </c>
      <c r="B335" s="70">
        <v>3</v>
      </c>
      <c r="C335" t="s">
        <v>1200</v>
      </c>
      <c r="D335" t="s">
        <v>1298</v>
      </c>
      <c r="E335" s="100">
        <v>1</v>
      </c>
      <c r="F335" s="110">
        <f>Yield_Originals!G335</f>
        <v>0.21199999999999999</v>
      </c>
      <c r="G335" s="102">
        <v>0.21199999999999999</v>
      </c>
      <c r="H335" s="102">
        <v>0.21199999999999999</v>
      </c>
      <c r="I335" s="102">
        <f>+(Yield_Originals!H335+Yield_Originals!J335)/2</f>
        <v>0.23099999999999998</v>
      </c>
      <c r="J335" s="102">
        <v>0.25</v>
      </c>
      <c r="K335" s="103">
        <v>2</v>
      </c>
      <c r="L335" s="104"/>
      <c r="M335" s="104">
        <f>(Yield_Originals!$G335*Yield_Originals!M$1)/Yield_Originals!$K335</f>
        <v>0.13117500000000001</v>
      </c>
      <c r="N335" s="104">
        <f>(Yield_Originals!$G335*Yield_Originals!N$1)/Yield_Originals!$K335</f>
        <v>0.13515000000000002</v>
      </c>
      <c r="O335" s="104">
        <f>(Yield_Originals!$G335*Yield_Originals!O$1)/Yield_Originals!$K335</f>
        <v>0.13912500000000003</v>
      </c>
      <c r="P335" s="105">
        <f>(Yield_Originals!$H335*Yield_Originals!P$1)/Yield_Originals!$K335</f>
        <v>0.1431</v>
      </c>
      <c r="Q335" s="105">
        <f>(Yield_Originals!$H335*Yield_Originals!Q$1)/Yield_Originals!$K335</f>
        <v>0.14707500000000001</v>
      </c>
      <c r="R335" s="105">
        <f>(Yield_Originals!$H335*Yield_Originals!R$1)/Yield_Originals!$K335</f>
        <v>0.15105000000000002</v>
      </c>
      <c r="S335" s="105">
        <f>(Yield_Originals!$H335*Yield_Originals!S$1)/Yield_Originals!$K335</f>
        <v>0.15502500000000002</v>
      </c>
      <c r="T335" s="107"/>
      <c r="U335" s="107"/>
      <c r="V335" s="107"/>
      <c r="W335" s="107"/>
      <c r="X335" s="108"/>
      <c r="Y335" s="108"/>
      <c r="Z335"/>
      <c r="AA335"/>
      <c r="AB335"/>
    </row>
    <row r="336" spans="1:28" x14ac:dyDescent="0.25">
      <c r="A336" s="70" t="s">
        <v>1379</v>
      </c>
      <c r="B336" s="70">
        <v>3</v>
      </c>
      <c r="C336" t="s">
        <v>1200</v>
      </c>
      <c r="D336" t="s">
        <v>1298</v>
      </c>
      <c r="E336" s="100">
        <v>2</v>
      </c>
      <c r="F336" s="110">
        <f>Yield_Originals!G336</f>
        <v>0.21199999999999999</v>
      </c>
      <c r="G336" s="102">
        <v>0.21199999999999999</v>
      </c>
      <c r="H336" s="102">
        <v>0.21199999999999999</v>
      </c>
      <c r="I336" s="102">
        <f>+(Yield_Originals!H336+Yield_Originals!J336)/2</f>
        <v>0.23099999999999998</v>
      </c>
      <c r="J336" s="102">
        <v>0.25</v>
      </c>
      <c r="K336" s="103">
        <v>2</v>
      </c>
      <c r="L336" s="104"/>
      <c r="M336" s="104">
        <f>(Yield_Originals!$G336*Yield_Originals!M$1)/Yield_Originals!$K336</f>
        <v>0.13117500000000001</v>
      </c>
      <c r="N336" s="104">
        <f>(Yield_Originals!$G336*Yield_Originals!N$1)/Yield_Originals!$K336</f>
        <v>0.13515000000000002</v>
      </c>
      <c r="O336" s="104">
        <f>(Yield_Originals!$G336*Yield_Originals!O$1)/Yield_Originals!$K336</f>
        <v>0.13912500000000003</v>
      </c>
      <c r="P336" s="105">
        <f>(Yield_Originals!$H336*Yield_Originals!P$1)/Yield_Originals!$K336</f>
        <v>0.1431</v>
      </c>
      <c r="Q336" s="105">
        <f>(Yield_Originals!$H336*Yield_Originals!Q$1)/Yield_Originals!$K336</f>
        <v>0.14707500000000001</v>
      </c>
      <c r="R336" s="105">
        <f>(Yield_Originals!$H336*Yield_Originals!R$1)/Yield_Originals!$K336</f>
        <v>0.15105000000000002</v>
      </c>
      <c r="S336" s="105">
        <f>(Yield_Originals!$H336*Yield_Originals!S$1)/Yield_Originals!$K336</f>
        <v>0.15502500000000002</v>
      </c>
      <c r="T336" s="107"/>
      <c r="U336" s="107"/>
      <c r="V336" s="107"/>
      <c r="W336" s="107"/>
      <c r="X336" s="108"/>
      <c r="Y336" s="108"/>
      <c r="Z336"/>
      <c r="AA336"/>
      <c r="AB336"/>
    </row>
    <row r="337" spans="1:28" x14ac:dyDescent="0.25">
      <c r="A337" s="70" t="s">
        <v>1379</v>
      </c>
      <c r="B337" s="70">
        <v>3</v>
      </c>
      <c r="C337" s="99" t="s">
        <v>1203</v>
      </c>
      <c r="D337" s="99" t="s">
        <v>1301</v>
      </c>
      <c r="E337" s="100">
        <v>26</v>
      </c>
      <c r="F337" s="110">
        <f>Yield_Originals!G337</f>
        <v>0.21199999999999999</v>
      </c>
      <c r="G337" s="102">
        <v>0.21199999999999999</v>
      </c>
      <c r="H337" s="102">
        <v>0.21199999999999999</v>
      </c>
      <c r="I337" s="102">
        <f>+(Yield_Originals!H337+Yield_Originals!J337)/2</f>
        <v>0.23099999999999998</v>
      </c>
      <c r="J337" s="102">
        <v>0.25</v>
      </c>
      <c r="K337" s="103">
        <v>2</v>
      </c>
      <c r="L337" s="104"/>
      <c r="M337" s="104">
        <f>(Yield_Originals!$G337*Yield_Originals!M$1)/Yield_Originals!$K337</f>
        <v>0.13117500000000001</v>
      </c>
      <c r="N337" s="104">
        <f>(Yield_Originals!$G337*Yield_Originals!N$1)/Yield_Originals!$K337</f>
        <v>0.13515000000000002</v>
      </c>
      <c r="O337" s="104">
        <f>(Yield_Originals!$G337*Yield_Originals!O$1)/Yield_Originals!$K337</f>
        <v>0.13912500000000003</v>
      </c>
      <c r="P337" s="105">
        <f>(Yield_Originals!$H337*Yield_Originals!P$1)/Yield_Originals!$K337</f>
        <v>0.1431</v>
      </c>
      <c r="Q337" s="105">
        <f>(Yield_Originals!$H337*Yield_Originals!Q$1)/Yield_Originals!$K337</f>
        <v>0.14707500000000001</v>
      </c>
      <c r="R337" s="105">
        <f>(Yield_Originals!$H337*Yield_Originals!R$1)/Yield_Originals!$K337</f>
        <v>0.15105000000000002</v>
      </c>
      <c r="S337" s="105">
        <f>(Yield_Originals!$H337*Yield_Originals!S$1)/Yield_Originals!$K337</f>
        <v>0.15502500000000002</v>
      </c>
      <c r="T337" s="107"/>
      <c r="U337" s="107"/>
      <c r="V337" s="107"/>
      <c r="W337" s="107"/>
      <c r="X337" s="108"/>
      <c r="Y337" s="108"/>
      <c r="Z337"/>
      <c r="AA337"/>
      <c r="AB337"/>
    </row>
    <row r="338" spans="1:28" x14ac:dyDescent="0.25">
      <c r="A338" s="70" t="s">
        <v>1379</v>
      </c>
      <c r="B338" s="70">
        <v>3</v>
      </c>
      <c r="C338" t="s">
        <v>1203</v>
      </c>
      <c r="D338" t="s">
        <v>1301</v>
      </c>
      <c r="E338" s="100">
        <v>1</v>
      </c>
      <c r="F338" s="110">
        <f>Yield_Originals!G338</f>
        <v>0.21199999999999999</v>
      </c>
      <c r="G338" s="102">
        <v>0.21199999999999999</v>
      </c>
      <c r="H338" s="102">
        <v>0.21199999999999999</v>
      </c>
      <c r="I338" s="102">
        <f>+(Yield_Originals!H338+Yield_Originals!J338)/2</f>
        <v>0.23099999999999998</v>
      </c>
      <c r="J338" s="102">
        <v>0.25</v>
      </c>
      <c r="K338" s="103">
        <v>2</v>
      </c>
      <c r="L338" s="104"/>
      <c r="M338" s="104">
        <f>(Yield_Originals!$G338*Yield_Originals!M$1)/Yield_Originals!$K338</f>
        <v>0.13117500000000001</v>
      </c>
      <c r="N338" s="104">
        <f>(Yield_Originals!$G338*Yield_Originals!N$1)/Yield_Originals!$K338</f>
        <v>0.13515000000000002</v>
      </c>
      <c r="O338" s="104">
        <f>(Yield_Originals!$G338*Yield_Originals!O$1)/Yield_Originals!$K338</f>
        <v>0.13912500000000003</v>
      </c>
      <c r="P338" s="105">
        <f>(Yield_Originals!$H338*Yield_Originals!P$1)/Yield_Originals!$K338</f>
        <v>0.1431</v>
      </c>
      <c r="Q338" s="105">
        <f>(Yield_Originals!$H338*Yield_Originals!Q$1)/Yield_Originals!$K338</f>
        <v>0.14707500000000001</v>
      </c>
      <c r="R338" s="105">
        <f>(Yield_Originals!$H338*Yield_Originals!R$1)/Yield_Originals!$K338</f>
        <v>0.15105000000000002</v>
      </c>
      <c r="S338" s="105">
        <f>(Yield_Originals!$H338*Yield_Originals!S$1)/Yield_Originals!$K338</f>
        <v>0.15502500000000002</v>
      </c>
      <c r="T338" s="107"/>
      <c r="U338" s="107"/>
      <c r="V338" s="107"/>
      <c r="W338" s="107"/>
      <c r="X338" s="108"/>
      <c r="Y338" s="108"/>
      <c r="Z338"/>
      <c r="AA338"/>
      <c r="AB338"/>
    </row>
    <row r="339" spans="1:28" x14ac:dyDescent="0.25">
      <c r="A339" s="70" t="s">
        <v>1379</v>
      </c>
      <c r="B339" s="70">
        <v>3</v>
      </c>
      <c r="C339" t="s">
        <v>1203</v>
      </c>
      <c r="D339" t="s">
        <v>1301</v>
      </c>
      <c r="E339" s="100">
        <v>2</v>
      </c>
      <c r="F339" s="110">
        <f>Yield_Originals!G339</f>
        <v>0.21199999999999999</v>
      </c>
      <c r="G339" s="102">
        <v>0.21199999999999999</v>
      </c>
      <c r="H339" s="102">
        <v>0.21199999999999999</v>
      </c>
      <c r="I339" s="102">
        <f>+(Yield_Originals!H339+Yield_Originals!J339)/2</f>
        <v>0.23099999999999998</v>
      </c>
      <c r="J339" s="102">
        <v>0.25</v>
      </c>
      <c r="K339" s="103">
        <v>2</v>
      </c>
      <c r="L339" s="104"/>
      <c r="M339" s="104">
        <f>(Yield_Originals!$G339*Yield_Originals!M$1)/Yield_Originals!$K339</f>
        <v>0.13117500000000001</v>
      </c>
      <c r="N339" s="104">
        <f>(Yield_Originals!$G339*Yield_Originals!N$1)/Yield_Originals!$K339</f>
        <v>0.13515000000000002</v>
      </c>
      <c r="O339" s="104">
        <f>(Yield_Originals!$G339*Yield_Originals!O$1)/Yield_Originals!$K339</f>
        <v>0.13912500000000003</v>
      </c>
      <c r="P339" s="105">
        <f>(Yield_Originals!$H339*Yield_Originals!P$1)/Yield_Originals!$K339</f>
        <v>0.1431</v>
      </c>
      <c r="Q339" s="105">
        <f>(Yield_Originals!$H339*Yield_Originals!Q$1)/Yield_Originals!$K339</f>
        <v>0.14707500000000001</v>
      </c>
      <c r="R339" s="105">
        <f>(Yield_Originals!$H339*Yield_Originals!R$1)/Yield_Originals!$K339</f>
        <v>0.15105000000000002</v>
      </c>
      <c r="S339" s="105">
        <f>(Yield_Originals!$H339*Yield_Originals!S$1)/Yield_Originals!$K339</f>
        <v>0.15502500000000002</v>
      </c>
      <c r="T339" s="107"/>
      <c r="U339" s="107"/>
      <c r="V339" s="107"/>
      <c r="W339" s="107"/>
      <c r="X339" s="108"/>
      <c r="Y339" s="108"/>
      <c r="Z339"/>
      <c r="AA339"/>
      <c r="AB339"/>
    </row>
    <row r="340" spans="1:28" x14ac:dyDescent="0.25">
      <c r="A340" s="70" t="s">
        <v>1379</v>
      </c>
      <c r="B340" s="70">
        <v>3</v>
      </c>
      <c r="C340" s="99" t="s">
        <v>269</v>
      </c>
      <c r="D340" s="99" t="s">
        <v>1283</v>
      </c>
      <c r="E340" s="100">
        <v>26</v>
      </c>
      <c r="F340" s="110">
        <f>Yield_Originals!G340</f>
        <v>0.21199999999999999</v>
      </c>
      <c r="G340" s="102">
        <v>0.21199999999999999</v>
      </c>
      <c r="H340" s="102">
        <v>0.21199999999999999</v>
      </c>
      <c r="I340" s="102">
        <f>+(Yield_Originals!H340+Yield_Originals!J340)/2</f>
        <v>0.23099999999999998</v>
      </c>
      <c r="J340" s="102">
        <v>0.25</v>
      </c>
      <c r="K340" s="103">
        <v>2</v>
      </c>
      <c r="L340" s="104"/>
      <c r="M340" s="104"/>
      <c r="N340" s="104"/>
      <c r="O340" s="104"/>
      <c r="P340" s="105"/>
      <c r="Q340" s="105"/>
      <c r="R340" s="105">
        <f>(Yield_Originals!$H340*Yield_Originals!R$1)/Yield_Originals!$K340</f>
        <v>0.15105000000000002</v>
      </c>
      <c r="S340" s="105">
        <f>(Yield_Originals!$H340*Yield_Originals!S$1)/Yield_Originals!$K340</f>
        <v>0.15502500000000002</v>
      </c>
      <c r="T340" s="107">
        <f>(Yield_Originals!$I340*Yield_Originals!T$1)/Yield_Originals!$K340</f>
        <v>0.17325000000000004</v>
      </c>
      <c r="U340" s="107">
        <f>(Yield_Originals!$I340*Yield_Originals!U$1)/Yield_Originals!$K340</f>
        <v>0.17758125</v>
      </c>
      <c r="V340" s="107">
        <f>(Yield_Originals!$I340*Yield_Originals!V$1)/Yield_Originals!$K340</f>
        <v>0.1819125</v>
      </c>
      <c r="W340" s="107">
        <f>(Yield_Originals!$I340*Yield_Originals!W$1)/Yield_Originals!$K340</f>
        <v>0.18624374999999996</v>
      </c>
      <c r="X340" s="108">
        <f>(Yield_Originals!$I340*Yield_Originals!X$1)/Yield_Originals!$K340</f>
        <v>0.19057499999999997</v>
      </c>
      <c r="Y340" s="108">
        <f>(Yield_Originals!$I340*Yield_Originals!Y$1)/Yield_Originals!$K340</f>
        <v>0.19490624999999995</v>
      </c>
      <c r="Z340"/>
      <c r="AA340"/>
      <c r="AB340"/>
    </row>
    <row r="341" spans="1:28" x14ac:dyDescent="0.25">
      <c r="A341" s="70" t="s">
        <v>1379</v>
      </c>
      <c r="B341" s="70">
        <v>3</v>
      </c>
      <c r="C341" s="99" t="s">
        <v>270</v>
      </c>
      <c r="D341" s="99" t="s">
        <v>1286</v>
      </c>
      <c r="E341" s="100">
        <v>26</v>
      </c>
      <c r="F341" s="110">
        <f>Yield_Originals!G341</f>
        <v>0.21199999999999999</v>
      </c>
      <c r="G341" s="102">
        <v>0.21199999999999999</v>
      </c>
      <c r="H341" s="102">
        <v>0.21199999999999999</v>
      </c>
      <c r="I341" s="102">
        <f>+(Yield_Originals!H341+Yield_Originals!J341)/2</f>
        <v>0.23099999999999998</v>
      </c>
      <c r="J341" s="102">
        <v>0.25</v>
      </c>
      <c r="K341" s="103">
        <v>2</v>
      </c>
      <c r="L341" s="104"/>
      <c r="M341" s="104"/>
      <c r="N341" s="104"/>
      <c r="O341" s="104"/>
      <c r="P341" s="105"/>
      <c r="Q341" s="105"/>
      <c r="R341" s="105"/>
      <c r="S341" s="105"/>
      <c r="T341" s="107">
        <f>(Yield_Originals!$I341*Yield_Originals!T$1)/Yield_Originals!$K341</f>
        <v>0.17325000000000004</v>
      </c>
      <c r="U341" s="107">
        <f>(Yield_Originals!$I341*Yield_Originals!U$1)/Yield_Originals!$K341</f>
        <v>0.17758125</v>
      </c>
      <c r="V341" s="107">
        <f>(Yield_Originals!$I341*Yield_Originals!V$1)/Yield_Originals!$K341</f>
        <v>0.1819125</v>
      </c>
      <c r="W341" s="107">
        <f>(Yield_Originals!$I341*Yield_Originals!W$1)/Yield_Originals!$K341</f>
        <v>0.18624374999999996</v>
      </c>
      <c r="X341" s="108">
        <f>(Yield_Originals!$I341*Yield_Originals!X$1)/Yield_Originals!$K341</f>
        <v>0.19057499999999997</v>
      </c>
      <c r="Y341" s="108">
        <f>(Yield_Originals!$I341*Yield_Originals!Y$1)/Yield_Originals!$K341</f>
        <v>0.19490624999999995</v>
      </c>
      <c r="Z341"/>
      <c r="AA341"/>
      <c r="AB341"/>
    </row>
    <row r="342" spans="1:28" x14ac:dyDescent="0.25">
      <c r="A342" s="70" t="s">
        <v>1379</v>
      </c>
      <c r="B342" s="70">
        <v>3</v>
      </c>
      <c r="C342" s="99" t="s">
        <v>153</v>
      </c>
      <c r="D342" s="99" t="s">
        <v>1288</v>
      </c>
      <c r="E342" s="100">
        <v>26</v>
      </c>
      <c r="F342" s="110">
        <f>Yield_Originals!G342</f>
        <v>0.21199999999999999</v>
      </c>
      <c r="G342" s="102">
        <v>0.21199999999999999</v>
      </c>
      <c r="H342" s="102">
        <v>0.21199999999999999</v>
      </c>
      <c r="I342" s="102">
        <f>+(Yield_Originals!H342+Yield_Originals!J342)/2</f>
        <v>0.23099999999999998</v>
      </c>
      <c r="J342" s="102">
        <v>0.25</v>
      </c>
      <c r="K342" s="103">
        <v>2</v>
      </c>
      <c r="L342" s="104"/>
      <c r="M342" s="104"/>
      <c r="N342" s="104"/>
      <c r="O342" s="104"/>
      <c r="P342" s="105"/>
      <c r="Q342" s="105"/>
      <c r="R342" s="105"/>
      <c r="S342" s="105"/>
      <c r="T342" s="107">
        <f>(Yield_Originals!$I342*Yield_Originals!T$1)/Yield_Originals!$K342</f>
        <v>0.17325000000000004</v>
      </c>
      <c r="U342" s="107">
        <f>(Yield_Originals!$I342*Yield_Originals!U$1)/Yield_Originals!$K342</f>
        <v>0.17758125</v>
      </c>
      <c r="V342" s="107">
        <f>(Yield_Originals!$I342*Yield_Originals!V$1)/Yield_Originals!$K342</f>
        <v>0.1819125</v>
      </c>
      <c r="W342" s="107">
        <f>(Yield_Originals!$I342*Yield_Originals!W$1)/Yield_Originals!$K342</f>
        <v>0.18624374999999996</v>
      </c>
      <c r="X342" s="108">
        <f>(Yield_Originals!$I342*Yield_Originals!X$1)/Yield_Originals!$K342</f>
        <v>0.19057499999999997</v>
      </c>
      <c r="Y342" s="108">
        <f>(Yield_Originals!$I342*Yield_Originals!Y$1)/Yield_Originals!$K342</f>
        <v>0.19490624999999995</v>
      </c>
      <c r="Z342"/>
      <c r="AA342"/>
      <c r="AB342"/>
    </row>
    <row r="343" spans="1:28" x14ac:dyDescent="0.25">
      <c r="A343" s="70" t="s">
        <v>1379</v>
      </c>
      <c r="B343" s="70">
        <v>3</v>
      </c>
      <c r="C343" s="99" t="s">
        <v>271</v>
      </c>
      <c r="D343" s="99" t="s">
        <v>1288</v>
      </c>
      <c r="E343" s="100">
        <v>26</v>
      </c>
      <c r="F343" s="110">
        <f>Yield_Originals!G343</f>
        <v>0.21199999999999999</v>
      </c>
      <c r="G343" s="102">
        <v>0.21199999999999999</v>
      </c>
      <c r="H343" s="102">
        <v>0.21199999999999999</v>
      </c>
      <c r="I343" s="102">
        <f>+(Yield_Originals!H343+Yield_Originals!J343)/2</f>
        <v>0.23099999999999998</v>
      </c>
      <c r="J343" s="102">
        <v>0.25</v>
      </c>
      <c r="K343" s="103">
        <v>2</v>
      </c>
      <c r="L343" s="104"/>
      <c r="M343" s="104"/>
      <c r="N343" s="104"/>
      <c r="O343" s="104"/>
      <c r="P343" s="105"/>
      <c r="Q343" s="105"/>
      <c r="R343" s="105"/>
      <c r="S343" s="105"/>
      <c r="T343" s="107">
        <f>(Yield_Originals!$I343*Yield_Originals!T$1)/Yield_Originals!$K343</f>
        <v>0.17325000000000004</v>
      </c>
      <c r="U343" s="107">
        <f>(Yield_Originals!$I343*Yield_Originals!U$1)/Yield_Originals!$K343</f>
        <v>0.17758125</v>
      </c>
      <c r="V343" s="107">
        <f>(Yield_Originals!$I343*Yield_Originals!V$1)/Yield_Originals!$K343</f>
        <v>0.1819125</v>
      </c>
      <c r="W343" s="107">
        <f>(Yield_Originals!$I343*Yield_Originals!W$1)/Yield_Originals!$K343</f>
        <v>0.18624374999999996</v>
      </c>
      <c r="X343" s="108">
        <f>(Yield_Originals!$I343*Yield_Originals!X$1)/Yield_Originals!$K343</f>
        <v>0.19057499999999997</v>
      </c>
      <c r="Y343" s="108">
        <f>(Yield_Originals!$I343*Yield_Originals!Y$1)/Yield_Originals!$K343</f>
        <v>0.19490624999999995</v>
      </c>
      <c r="Z343"/>
      <c r="AA343"/>
      <c r="AB343"/>
    </row>
    <row r="344" spans="1:28" x14ac:dyDescent="0.25">
      <c r="A344" s="70" t="s">
        <v>1379</v>
      </c>
      <c r="B344" s="70">
        <v>3</v>
      </c>
      <c r="C344" s="99" t="s">
        <v>1215</v>
      </c>
      <c r="D344" s="99" t="s">
        <v>1292</v>
      </c>
      <c r="E344" s="100">
        <v>26</v>
      </c>
      <c r="F344" s="110">
        <f>Yield_Originals!G344</f>
        <v>0.21199999999999999</v>
      </c>
      <c r="G344" s="102">
        <v>0.21199999999999999</v>
      </c>
      <c r="H344" s="102">
        <v>0.21199999999999999</v>
      </c>
      <c r="I344" s="102">
        <f>+(Yield_Originals!H344+Yield_Originals!J344)/2</f>
        <v>0.23099999999999998</v>
      </c>
      <c r="J344" s="102">
        <v>0.25</v>
      </c>
      <c r="K344" s="103">
        <v>2</v>
      </c>
      <c r="L344" s="104"/>
      <c r="M344" s="104"/>
      <c r="N344" s="104"/>
      <c r="O344" s="104"/>
      <c r="P344" s="105"/>
      <c r="Q344" s="105"/>
      <c r="R344" s="105"/>
      <c r="S344" s="105"/>
      <c r="T344" s="107">
        <f>(Yield_Originals!$I344*Yield_Originals!T$1)/Yield_Originals!$K344</f>
        <v>0.17325000000000004</v>
      </c>
      <c r="U344" s="107">
        <f>(Yield_Originals!$I344*Yield_Originals!U$1)/Yield_Originals!$K344</f>
        <v>0.17758125</v>
      </c>
      <c r="V344" s="107">
        <f>(Yield_Originals!$I344*Yield_Originals!V$1)/Yield_Originals!$K344</f>
        <v>0.1819125</v>
      </c>
      <c r="W344" s="107">
        <f>(Yield_Originals!$I344*Yield_Originals!W$1)/Yield_Originals!$K344</f>
        <v>0.18624374999999996</v>
      </c>
      <c r="X344" s="108">
        <f>(Yield_Originals!$I344*Yield_Originals!X$1)/Yield_Originals!$K344</f>
        <v>0.19057499999999997</v>
      </c>
      <c r="Y344" s="108">
        <f>(Yield_Originals!$I344*Yield_Originals!Y$1)/Yield_Originals!$K344</f>
        <v>0.19490624999999995</v>
      </c>
      <c r="Z344"/>
      <c r="AA344"/>
      <c r="AB344"/>
    </row>
    <row r="345" spans="1:28" x14ac:dyDescent="0.25">
      <c r="A345" s="70" t="s">
        <v>1379</v>
      </c>
      <c r="B345" s="70">
        <v>3</v>
      </c>
      <c r="C345" s="99" t="s">
        <v>456</v>
      </c>
      <c r="D345" s="99" t="s">
        <v>1294</v>
      </c>
      <c r="E345" s="100">
        <v>26</v>
      </c>
      <c r="F345" s="110">
        <f>Yield_Originals!G345</f>
        <v>0.21199999999999999</v>
      </c>
      <c r="G345" s="102">
        <v>0.21199999999999999</v>
      </c>
      <c r="H345" s="102">
        <v>0.21199999999999999</v>
      </c>
      <c r="I345" s="102">
        <f>+(Yield_Originals!H345+Yield_Originals!J345)/2</f>
        <v>0.23099999999999998</v>
      </c>
      <c r="J345" s="102">
        <v>0.25</v>
      </c>
      <c r="K345" s="103">
        <v>2</v>
      </c>
      <c r="L345" s="104"/>
      <c r="M345" s="104"/>
      <c r="N345" s="104"/>
      <c r="O345" s="104"/>
      <c r="P345" s="105"/>
      <c r="Q345" s="105"/>
      <c r="R345" s="105"/>
      <c r="S345" s="105"/>
      <c r="T345" s="107">
        <f>(Yield_Originals!$I345*Yield_Originals!T$1)/Yield_Originals!$K345</f>
        <v>0.17325000000000004</v>
      </c>
      <c r="U345" s="107">
        <f>(Yield_Originals!$I345*Yield_Originals!U$1)/Yield_Originals!$K345</f>
        <v>0.17758125</v>
      </c>
      <c r="V345" s="107">
        <f>(Yield_Originals!$I345*Yield_Originals!V$1)/Yield_Originals!$K345</f>
        <v>0.1819125</v>
      </c>
      <c r="W345" s="107">
        <f>(Yield_Originals!$I345*Yield_Originals!W$1)/Yield_Originals!$K345</f>
        <v>0.18624374999999996</v>
      </c>
      <c r="X345" s="108">
        <f>(Yield_Originals!$I345*Yield_Originals!X$1)/Yield_Originals!$K345</f>
        <v>0.19057499999999997</v>
      </c>
      <c r="Y345" s="108">
        <f>(Yield_Originals!$I345*Yield_Originals!Y$1)/Yield_Originals!$K345</f>
        <v>0.19490624999999995</v>
      </c>
      <c r="Z345"/>
      <c r="AA345"/>
      <c r="AB345"/>
    </row>
    <row r="346" spans="1:28" x14ac:dyDescent="0.25">
      <c r="A346" s="70" t="s">
        <v>1379</v>
      </c>
      <c r="B346" s="70">
        <v>3</v>
      </c>
      <c r="C346" s="99" t="s">
        <v>272</v>
      </c>
      <c r="D346" s="99" t="s">
        <v>1294</v>
      </c>
      <c r="E346" s="100">
        <v>26</v>
      </c>
      <c r="F346" s="110">
        <f>Yield_Originals!G346</f>
        <v>0.21199999999999999</v>
      </c>
      <c r="G346" s="102">
        <v>0.21199999999999999</v>
      </c>
      <c r="H346" s="102">
        <v>0.21199999999999999</v>
      </c>
      <c r="I346" s="102">
        <f>+(Yield_Originals!H346+Yield_Originals!J346)/2</f>
        <v>0.23099999999999998</v>
      </c>
      <c r="J346" s="102">
        <v>0.25</v>
      </c>
      <c r="K346" s="103">
        <v>2</v>
      </c>
      <c r="L346" s="104"/>
      <c r="M346" s="104"/>
      <c r="N346" s="104"/>
      <c r="O346" s="104"/>
      <c r="P346" s="105"/>
      <c r="Q346" s="105"/>
      <c r="R346" s="105"/>
      <c r="S346" s="105"/>
      <c r="T346" s="107">
        <f>(Yield_Originals!$I346*Yield_Originals!T$1)/Yield_Originals!$K346</f>
        <v>0.17325000000000004</v>
      </c>
      <c r="U346" s="107">
        <f>(Yield_Originals!$I346*Yield_Originals!U$1)/Yield_Originals!$K346</f>
        <v>0.17758125</v>
      </c>
      <c r="V346" s="107">
        <f>(Yield_Originals!$I346*Yield_Originals!V$1)/Yield_Originals!$K346</f>
        <v>0.1819125</v>
      </c>
      <c r="W346" s="107">
        <f>(Yield_Originals!$I346*Yield_Originals!W$1)/Yield_Originals!$K346</f>
        <v>0.18624374999999996</v>
      </c>
      <c r="X346" s="108">
        <f>(Yield_Originals!$I346*Yield_Originals!X$1)/Yield_Originals!$K346</f>
        <v>0.19057499999999997</v>
      </c>
      <c r="Y346" s="108">
        <f>(Yield_Originals!$I346*Yield_Originals!Y$1)/Yield_Originals!$K346</f>
        <v>0.19490624999999995</v>
      </c>
      <c r="Z346"/>
      <c r="AA346"/>
      <c r="AB346"/>
    </row>
    <row r="347" spans="1:28" x14ac:dyDescent="0.25">
      <c r="A347" s="72" t="s">
        <v>896</v>
      </c>
      <c r="B347" s="72">
        <v>1</v>
      </c>
      <c r="C347" s="99" t="s">
        <v>697</v>
      </c>
      <c r="D347" s="99" t="s">
        <v>895</v>
      </c>
      <c r="E347" s="100">
        <v>7</v>
      </c>
      <c r="F347" s="117">
        <v>4.8000000000000001E-2</v>
      </c>
      <c r="G347" s="117">
        <v>4.8000000000000001E-2</v>
      </c>
      <c r="H347" s="102">
        <f>+(Yield_Originals!I347+Yield_Originals!G347)/2</f>
        <v>4.7500000000000001E-2</v>
      </c>
      <c r="I347" s="117">
        <v>4.7E-2</v>
      </c>
      <c r="J347" s="117">
        <v>4.5999999999999999E-2</v>
      </c>
      <c r="K347" s="103">
        <v>1</v>
      </c>
      <c r="L347" s="104">
        <f>(Yield_Originals!$G347*Yield_Originals!L$1)/Yield_Originals!$K347</f>
        <v>5.7600000000000012E-2</v>
      </c>
      <c r="M347" s="104">
        <f>(Yield_Originals!$G347*Yield_Originals!M$1)/Yield_Originals!$K347</f>
        <v>5.9400000000000001E-2</v>
      </c>
      <c r="N347" s="104">
        <f>(Yield_Originals!$G347*Yield_Originals!N$1)/Yield_Originals!$K347</f>
        <v>6.1200000000000004E-2</v>
      </c>
      <c r="O347" s="104">
        <f>(Yield_Originals!$G347*Yield_Originals!O$1)/Yield_Originals!$K347</f>
        <v>6.3000000000000014E-2</v>
      </c>
      <c r="P347" s="105">
        <f>(Yield_Originals!$H347*Yield_Originals!P$1)/Yield_Originals!$K347</f>
        <v>6.4125000000000001E-2</v>
      </c>
      <c r="Q347" s="105">
        <f>(Yield_Originals!$H347*Yield_Originals!Q$1)/Yield_Originals!$K347</f>
        <v>6.5906250000000013E-2</v>
      </c>
      <c r="R347" s="105">
        <f>(Yield_Originals!$H347*Yield_Originals!R$1)/Yield_Originals!$K347</f>
        <v>6.7687500000000012E-2</v>
      </c>
      <c r="S347" s="105">
        <f>(Yield_Originals!$H347*Yield_Originals!S$1)/Yield_Originals!$K347</f>
        <v>6.9468750000000024E-2</v>
      </c>
      <c r="T347"/>
      <c r="U347"/>
      <c r="V347"/>
      <c r="W347"/>
      <c r="X347"/>
      <c r="Y347"/>
      <c r="Z347"/>
      <c r="AA347"/>
      <c r="AB347"/>
    </row>
    <row r="348" spans="1:28" x14ac:dyDescent="0.25">
      <c r="A348" s="72" t="s">
        <v>896</v>
      </c>
      <c r="B348" s="72">
        <v>1</v>
      </c>
      <c r="C348" s="99" t="s">
        <v>1224</v>
      </c>
      <c r="D348" s="99" t="s">
        <v>899</v>
      </c>
      <c r="E348" s="100">
        <v>7</v>
      </c>
      <c r="F348" s="117">
        <v>4.8000000000000001E-2</v>
      </c>
      <c r="G348" s="117">
        <v>4.8000000000000001E-2</v>
      </c>
      <c r="H348" s="102">
        <f>+(Yield_Originals!I348+Yield_Originals!G348)/2</f>
        <v>4.7500000000000001E-2</v>
      </c>
      <c r="I348" s="117">
        <v>4.7E-2</v>
      </c>
      <c r="J348" s="117">
        <v>4.5999999999999999E-2</v>
      </c>
      <c r="K348" s="103">
        <v>1</v>
      </c>
      <c r="L348" s="104">
        <f>(Yield_Originals!$G348*Yield_Originals!L$1)/Yield_Originals!$K348</f>
        <v>5.7600000000000012E-2</v>
      </c>
      <c r="M348" s="104">
        <f>(Yield_Originals!$G348*Yield_Originals!M$1)/Yield_Originals!$K348</f>
        <v>5.9400000000000001E-2</v>
      </c>
      <c r="N348" s="104">
        <f>(Yield_Originals!$G348*Yield_Originals!N$1)/Yield_Originals!$K348</f>
        <v>6.1200000000000004E-2</v>
      </c>
      <c r="O348" s="104">
        <f>(Yield_Originals!$G348*Yield_Originals!O$1)/Yield_Originals!$K348</f>
        <v>6.3000000000000014E-2</v>
      </c>
      <c r="P348" s="105">
        <f>(Yield_Originals!$H348*Yield_Originals!P$1)/Yield_Originals!$K348</f>
        <v>6.4125000000000001E-2</v>
      </c>
      <c r="Q348" s="105">
        <f>(Yield_Originals!$H348*Yield_Originals!Q$1)/Yield_Originals!$K348</f>
        <v>6.5906250000000013E-2</v>
      </c>
      <c r="R348" s="105">
        <f>(Yield_Originals!$H348*Yield_Originals!R$1)/Yield_Originals!$K348</f>
        <v>6.7687500000000012E-2</v>
      </c>
      <c r="S348" s="105">
        <f>(Yield_Originals!$H348*Yield_Originals!S$1)/Yield_Originals!$K348</f>
        <v>6.9468750000000024E-2</v>
      </c>
      <c r="T348"/>
      <c r="U348"/>
      <c r="V348"/>
      <c r="W348"/>
      <c r="X348"/>
      <c r="Y348"/>
      <c r="Z348"/>
      <c r="AA348"/>
      <c r="AB348"/>
    </row>
    <row r="349" spans="1:28" x14ac:dyDescent="0.25">
      <c r="A349" s="72" t="s">
        <v>896</v>
      </c>
      <c r="B349" s="72">
        <v>1</v>
      </c>
      <c r="C349" s="99" t="s">
        <v>1227</v>
      </c>
      <c r="D349" s="99" t="s">
        <v>901</v>
      </c>
      <c r="E349" s="100">
        <v>7</v>
      </c>
      <c r="F349" s="117">
        <v>4.8000000000000001E-2</v>
      </c>
      <c r="G349" s="117">
        <v>4.8000000000000001E-2</v>
      </c>
      <c r="H349" s="102">
        <f>+(Yield_Originals!I349+Yield_Originals!G349)/2</f>
        <v>4.7500000000000001E-2</v>
      </c>
      <c r="I349" s="117">
        <v>4.7E-2</v>
      </c>
      <c r="J349" s="117">
        <v>4.5999999999999999E-2</v>
      </c>
      <c r="K349" s="103">
        <v>1</v>
      </c>
      <c r="L349" s="104">
        <f>(Yield_Originals!$G349*Yield_Originals!L$1)/Yield_Originals!$K349</f>
        <v>5.7600000000000012E-2</v>
      </c>
      <c r="M349" s="104">
        <f>(Yield_Originals!$G349*Yield_Originals!M$1)/Yield_Originals!$K349</f>
        <v>5.9400000000000001E-2</v>
      </c>
      <c r="N349" s="104">
        <f>(Yield_Originals!$G349*Yield_Originals!N$1)/Yield_Originals!$K349</f>
        <v>6.1200000000000004E-2</v>
      </c>
      <c r="O349" s="104">
        <f>(Yield_Originals!$G349*Yield_Originals!O$1)/Yield_Originals!$K349</f>
        <v>6.3000000000000014E-2</v>
      </c>
      <c r="P349" s="105">
        <f>(Yield_Originals!$H349*Yield_Originals!P$1)/Yield_Originals!$K349</f>
        <v>6.4125000000000001E-2</v>
      </c>
      <c r="Q349" s="105">
        <f>(Yield_Originals!$H349*Yield_Originals!Q$1)/Yield_Originals!$K349</f>
        <v>6.5906250000000013E-2</v>
      </c>
      <c r="R349" s="105">
        <f>(Yield_Originals!$H349*Yield_Originals!R$1)/Yield_Originals!$K349</f>
        <v>6.7687500000000012E-2</v>
      </c>
      <c r="S349" s="105">
        <f>(Yield_Originals!$H349*Yield_Originals!S$1)/Yield_Originals!$K349</f>
        <v>6.9468750000000024E-2</v>
      </c>
      <c r="T349"/>
      <c r="U349"/>
      <c r="V349"/>
      <c r="W349"/>
      <c r="X349"/>
      <c r="Y349"/>
      <c r="Z349"/>
      <c r="AA349"/>
      <c r="AB349"/>
    </row>
    <row r="350" spans="1:28" x14ac:dyDescent="0.25">
      <c r="A350" s="72" t="s">
        <v>862</v>
      </c>
      <c r="B350" s="72">
        <v>1</v>
      </c>
      <c r="C350" s="99" t="s">
        <v>1230</v>
      </c>
      <c r="D350" s="99" t="s">
        <v>865</v>
      </c>
      <c r="E350" s="100">
        <v>6</v>
      </c>
      <c r="F350" s="101">
        <v>0.10668762051635799</v>
      </c>
      <c r="G350" s="101">
        <v>0.10668762051635799</v>
      </c>
      <c r="H350" s="102">
        <f>+(Yield_Originals!I350+Yield_Originals!G350)/2</f>
        <v>0.10396644559415599</v>
      </c>
      <c r="I350" s="101">
        <v>0.101245270671954</v>
      </c>
      <c r="J350" s="101">
        <v>0.10225921344691399</v>
      </c>
      <c r="K350" s="103">
        <v>1</v>
      </c>
      <c r="L350" s="104">
        <f>(Yield_Originals!$G350*Yield_Originals!L$1)/Yield_Originals!$K350</f>
        <v>0.12802514461962961</v>
      </c>
      <c r="M350" s="104">
        <f>(Yield_Originals!$G350*Yield_Originals!M$1)/Yield_Originals!$K350</f>
        <v>0.13202593038899302</v>
      </c>
      <c r="N350" s="104">
        <f>(Yield_Originals!$G350*Yield_Originals!N$1)/Yield_Originals!$K350</f>
        <v>0.13602671615835646</v>
      </c>
      <c r="O350" s="104">
        <f>(Yield_Originals!$G350*Yield_Originals!O$1)/Yield_Originals!$K350</f>
        <v>0.1400275019277199</v>
      </c>
      <c r="P350" s="105">
        <f>(Yield_Originals!$H350*Yield_Originals!P$1)/Yield_Originals!$K350</f>
        <v>0.14035470155211061</v>
      </c>
      <c r="Q350" s="105">
        <f>(Yield_Originals!$H350*Yield_Originals!Q$1)/Yield_Originals!$K350</f>
        <v>0.14425344326189146</v>
      </c>
      <c r="R350" s="105">
        <f>(Yield_Originals!$H350*Yield_Originals!R$1)/Yield_Originals!$K350</f>
        <v>0.14815218497167232</v>
      </c>
      <c r="S350" s="105">
        <f>(Yield_Originals!$H350*Yield_Originals!S$1)/Yield_Originals!$K350</f>
        <v>0.15205092668145317</v>
      </c>
      <c r="T350" s="107">
        <f>(Yield_Originals!$I350*Yield_Originals!T$1)/Yield_Originals!$K350</f>
        <v>0.15186790600793104</v>
      </c>
      <c r="U350" s="107">
        <f>(Yield_Originals!$I350*Yield_Originals!U$1)/Yield_Originals!$K350</f>
        <v>0.15566460365812929</v>
      </c>
      <c r="V350" s="107">
        <f>(Yield_Originals!$I350*Yield_Originals!V$1)/Yield_Originals!$K350</f>
        <v>0.15946130130832759</v>
      </c>
      <c r="W350" s="107">
        <f>(Yield_Originals!$I350*Yield_Originals!W$1)/Yield_Originals!$K350</f>
        <v>0.1632579989585258</v>
      </c>
      <c r="X350" s="108">
        <f>(Yield_Originals!$J350*Yield_Originals!X$1)/Yield_Originals!$K350</f>
        <v>0.16872770218740807</v>
      </c>
      <c r="Y350" s="108">
        <f>(Yield_Originals!$J350*Yield_Originals!Y$1)/Yield_Originals!$K350</f>
        <v>0.17256242269166733</v>
      </c>
      <c r="Z350" s="108">
        <f>(Yield_Originals!$J350*Yield_Originals!Z$1)/Yield_Originals!$K350</f>
        <v>0.17639714319592661</v>
      </c>
      <c r="AA350" s="108">
        <f>(Yield_Originals!$J350*Yield_Originals!AA$1)/Yield_Originals!$K350</f>
        <v>0.18023186370018585</v>
      </c>
      <c r="AB350" s="108"/>
    </row>
    <row r="351" spans="1:28" x14ac:dyDescent="0.25">
      <c r="A351" s="72" t="s">
        <v>862</v>
      </c>
      <c r="B351" s="72">
        <v>1</v>
      </c>
      <c r="C351" s="99" t="s">
        <v>1232</v>
      </c>
      <c r="D351" s="99" t="s">
        <v>892</v>
      </c>
      <c r="E351" s="100">
        <v>6</v>
      </c>
      <c r="F351" s="101">
        <v>0.10668762051635799</v>
      </c>
      <c r="G351" s="101">
        <v>0.10668762051635799</v>
      </c>
      <c r="H351" s="102">
        <f>+(Yield_Originals!I351+Yield_Originals!G351)/2</f>
        <v>0.10396644559415599</v>
      </c>
      <c r="I351" s="101">
        <v>0.101245270671954</v>
      </c>
      <c r="J351" s="101">
        <v>0.10225921344691399</v>
      </c>
      <c r="K351" s="103">
        <v>1</v>
      </c>
      <c r="L351" s="104">
        <f>(Yield_Originals!$G351*Yield_Originals!L$1)/Yield_Originals!$K351</f>
        <v>0.12802514461962961</v>
      </c>
      <c r="M351" s="104">
        <f>(Yield_Originals!$G351*Yield_Originals!M$1)/Yield_Originals!$K351</f>
        <v>0.13202593038899302</v>
      </c>
      <c r="N351" s="104">
        <f>(Yield_Originals!$G351*Yield_Originals!N$1)/Yield_Originals!$K351</f>
        <v>0.13602671615835646</v>
      </c>
      <c r="O351" s="104">
        <f>(Yield_Originals!$G351*Yield_Originals!O$1)/Yield_Originals!$K351</f>
        <v>0.1400275019277199</v>
      </c>
      <c r="P351" s="105">
        <f>(Yield_Originals!$H351*Yield_Originals!P$1)/Yield_Originals!$K351</f>
        <v>0.14035470155211061</v>
      </c>
      <c r="Q351" s="105">
        <f>(Yield_Originals!$H351*Yield_Originals!Q$1)/Yield_Originals!$K351</f>
        <v>0.14425344326189146</v>
      </c>
      <c r="R351" s="105">
        <f>(Yield_Originals!$H351*Yield_Originals!R$1)/Yield_Originals!$K351</f>
        <v>0.14815218497167232</v>
      </c>
      <c r="S351" s="105">
        <f>(Yield_Originals!$H351*Yield_Originals!S$1)/Yield_Originals!$K351</f>
        <v>0.15205092668145317</v>
      </c>
      <c r="T351" s="107">
        <f>(Yield_Originals!$I351*Yield_Originals!T$1)/Yield_Originals!$K351</f>
        <v>0.15186790600793104</v>
      </c>
      <c r="U351" s="107">
        <f>(Yield_Originals!$I351*Yield_Originals!U$1)/Yield_Originals!$K351</f>
        <v>0.15566460365812929</v>
      </c>
      <c r="V351" s="107">
        <f>(Yield_Originals!$I351*Yield_Originals!V$1)/Yield_Originals!$K351</f>
        <v>0.15946130130832759</v>
      </c>
      <c r="W351" s="107">
        <f>(Yield_Originals!$I351*Yield_Originals!W$1)/Yield_Originals!$K351</f>
        <v>0.1632579989585258</v>
      </c>
      <c r="X351" s="108">
        <f>(Yield_Originals!$J351*Yield_Originals!X$1)/Yield_Originals!$K351</f>
        <v>0.16872770218740807</v>
      </c>
      <c r="Y351" s="108">
        <f>(Yield_Originals!$J351*Yield_Originals!Y$1)/Yield_Originals!$K351</f>
        <v>0.17256242269166733</v>
      </c>
      <c r="Z351" s="108">
        <f>(Yield_Originals!$J351*Yield_Originals!Z$1)/Yield_Originals!$K351</f>
        <v>0.17639714319592661</v>
      </c>
      <c r="AA351" s="108">
        <f>(Yield_Originals!$J351*Yield_Originals!AA$1)/Yield_Originals!$K351</f>
        <v>0.18023186370018585</v>
      </c>
      <c r="AB351" s="108">
        <f>(Yield_Originals!$J351*Yield_Originals!AB$1)/Yield_Originals!$K351</f>
        <v>0.18406658420444513</v>
      </c>
    </row>
    <row r="352" spans="1:28" x14ac:dyDescent="0.25">
      <c r="A352" s="72" t="s">
        <v>862</v>
      </c>
      <c r="B352" s="72">
        <v>1</v>
      </c>
      <c r="C352" s="99" t="s">
        <v>320</v>
      </c>
      <c r="D352" s="99" t="s">
        <v>889</v>
      </c>
      <c r="E352" s="100">
        <v>6</v>
      </c>
      <c r="F352" s="101">
        <v>0.10668762051635799</v>
      </c>
      <c r="G352" s="101">
        <v>0.10668762051635799</v>
      </c>
      <c r="H352" s="102">
        <f>+(Yield_Originals!I352+Yield_Originals!G352)/2</f>
        <v>0.10396644559415599</v>
      </c>
      <c r="I352" s="101">
        <v>0.101245270671954</v>
      </c>
      <c r="J352" s="101">
        <v>0.10225921344691399</v>
      </c>
      <c r="K352" s="103">
        <v>1</v>
      </c>
      <c r="L352" s="104">
        <f>(Yield_Originals!$G352*Yield_Originals!L$1)/Yield_Originals!$K352</f>
        <v>0.12802514461962961</v>
      </c>
      <c r="M352" s="104">
        <f>(Yield_Originals!$G352*Yield_Originals!M$1)/Yield_Originals!$K352</f>
        <v>0.13202593038899302</v>
      </c>
      <c r="N352" s="104">
        <f>(Yield_Originals!$G352*Yield_Originals!N$1)/Yield_Originals!$K352</f>
        <v>0.13602671615835646</v>
      </c>
      <c r="O352" s="104">
        <f>(Yield_Originals!$G352*Yield_Originals!O$1)/Yield_Originals!$K352</f>
        <v>0.1400275019277199</v>
      </c>
      <c r="P352" s="105">
        <f>(Yield_Originals!$H352*Yield_Originals!P$1)/Yield_Originals!$K352</f>
        <v>0.14035470155211061</v>
      </c>
      <c r="Q352" s="105">
        <f>(Yield_Originals!$H352*Yield_Originals!Q$1)/Yield_Originals!$K352</f>
        <v>0.14425344326189146</v>
      </c>
      <c r="R352" s="105">
        <f>(Yield_Originals!$H352*Yield_Originals!R$1)/Yield_Originals!$K352</f>
        <v>0.14815218497167232</v>
      </c>
      <c r="S352" s="105">
        <f>(Yield_Originals!$H352*Yield_Originals!S$1)/Yield_Originals!$K352</f>
        <v>0.15205092668145317</v>
      </c>
      <c r="T352" s="107">
        <f>(Yield_Originals!$I352*Yield_Originals!T$1)/Yield_Originals!$K352</f>
        <v>0.15186790600793104</v>
      </c>
      <c r="U352" s="107">
        <f>(Yield_Originals!$I352*Yield_Originals!U$1)/Yield_Originals!$K352</f>
        <v>0.15566460365812929</v>
      </c>
      <c r="V352" s="107">
        <f>(Yield_Originals!$I352*Yield_Originals!V$1)/Yield_Originals!$K352</f>
        <v>0.15946130130832759</v>
      </c>
      <c r="W352" s="107">
        <f>(Yield_Originals!$I352*Yield_Originals!W$1)/Yield_Originals!$K352</f>
        <v>0.1632579989585258</v>
      </c>
      <c r="X352" s="108">
        <f>(Yield_Originals!$J352*Yield_Originals!X$1)/Yield_Originals!$K352</f>
        <v>0.16872770218740807</v>
      </c>
      <c r="Y352" s="108">
        <f>(Yield_Originals!$J352*Yield_Originals!Y$1)/Yield_Originals!$K352</f>
        <v>0.17256242269166733</v>
      </c>
      <c r="Z352" s="108">
        <f>(Yield_Originals!$J352*Yield_Originals!Z$1)/Yield_Originals!$K352</f>
        <v>0.17639714319592661</v>
      </c>
      <c r="AA352" s="108">
        <f>(Yield_Originals!$J352*Yield_Originals!AA$1)/Yield_Originals!$K352</f>
        <v>0.18023186370018585</v>
      </c>
      <c r="AB352" s="108">
        <f>(Yield_Originals!$J352*Yield_Originals!AB$1)/Yield_Originals!$K352</f>
        <v>0.18406658420444513</v>
      </c>
    </row>
    <row r="353" spans="1:28" x14ac:dyDescent="0.25">
      <c r="A353" s="72" t="s">
        <v>862</v>
      </c>
      <c r="B353" s="72">
        <v>1</v>
      </c>
      <c r="C353" s="99" t="s">
        <v>199</v>
      </c>
      <c r="D353" s="99" t="s">
        <v>868</v>
      </c>
      <c r="E353" s="100">
        <v>6</v>
      </c>
      <c r="F353" s="101">
        <v>0.10668762051635799</v>
      </c>
      <c r="G353" s="101">
        <v>0.10668762051635799</v>
      </c>
      <c r="H353" s="102">
        <f>+(Yield_Originals!I353+Yield_Originals!G353)/2</f>
        <v>0.10396644559415599</v>
      </c>
      <c r="I353" s="101">
        <v>0.101245270671954</v>
      </c>
      <c r="J353" s="101">
        <v>0.10225921344691399</v>
      </c>
      <c r="K353" s="103">
        <v>1</v>
      </c>
      <c r="L353" s="104"/>
      <c r="M353" s="104"/>
      <c r="N353" s="104"/>
      <c r="O353" s="104"/>
      <c r="P353" s="105"/>
      <c r="Q353" s="105">
        <f>(Yield_Originals!$H353*Yield_Originals!Q$1)/Yield_Originals!$K353</f>
        <v>0.14425344326189146</v>
      </c>
      <c r="R353" s="105">
        <f>(Yield_Originals!$H353*Yield_Originals!R$1)/Yield_Originals!$K353</f>
        <v>0.14815218497167232</v>
      </c>
      <c r="S353" s="105">
        <f>(Yield_Originals!$H353*Yield_Originals!S$1)/Yield_Originals!$K353</f>
        <v>0.15205092668145317</v>
      </c>
      <c r="T353" s="107">
        <f>(Yield_Originals!$I353*Yield_Originals!T$1)/Yield_Originals!$K353</f>
        <v>0.15186790600793104</v>
      </c>
      <c r="U353" s="107">
        <f>(Yield_Originals!$I353*Yield_Originals!U$1)/Yield_Originals!$K353</f>
        <v>0.15566460365812929</v>
      </c>
      <c r="V353" s="107">
        <f>(Yield_Originals!$I353*Yield_Originals!V$1)/Yield_Originals!$K353</f>
        <v>0.15946130130832759</v>
      </c>
      <c r="W353" s="107">
        <f>(Yield_Originals!$I353*Yield_Originals!W$1)/Yield_Originals!$K353</f>
        <v>0.1632579989585258</v>
      </c>
      <c r="X353" s="108">
        <f>(Yield_Originals!$J353*Yield_Originals!X$1)/Yield_Originals!$K353</f>
        <v>0.16872770218740807</v>
      </c>
      <c r="Y353" s="108">
        <f>(Yield_Originals!$J353*Yield_Originals!Y$1)/Yield_Originals!$K353</f>
        <v>0.17256242269166733</v>
      </c>
      <c r="Z353" s="108">
        <f>(Yield_Originals!$J353*Yield_Originals!Z$1)/Yield_Originals!$K353</f>
        <v>0.17639714319592661</v>
      </c>
      <c r="AA353" s="108">
        <f>(Yield_Originals!$J353*Yield_Originals!AA$1)/Yield_Originals!$K353</f>
        <v>0.18023186370018585</v>
      </c>
      <c r="AB353" s="108"/>
    </row>
    <row r="354" spans="1:28" x14ac:dyDescent="0.25">
      <c r="A354" s="72" t="s">
        <v>862</v>
      </c>
      <c r="B354" s="72">
        <v>1</v>
      </c>
      <c r="C354" s="99" t="s">
        <v>321</v>
      </c>
      <c r="D354" s="99" t="s">
        <v>871</v>
      </c>
      <c r="E354" s="100">
        <v>6</v>
      </c>
      <c r="F354" s="101">
        <v>0.10668762051635799</v>
      </c>
      <c r="G354" s="101">
        <v>0.10668762051635799</v>
      </c>
      <c r="H354" s="102">
        <f>+(Yield_Originals!I354+Yield_Originals!G354)/2</f>
        <v>0.10396644559415599</v>
      </c>
      <c r="I354" s="101">
        <v>0.101245270671954</v>
      </c>
      <c r="J354" s="101">
        <v>0.10225921344691399</v>
      </c>
      <c r="K354" s="103">
        <v>1</v>
      </c>
      <c r="L354" s="104"/>
      <c r="M354" s="104"/>
      <c r="N354" s="104"/>
      <c r="O354" s="104"/>
      <c r="P354" s="105"/>
      <c r="Q354" s="105">
        <f>(Yield_Originals!$H354*Yield_Originals!Q$1)/Yield_Originals!$K354</f>
        <v>0.14425344326189146</v>
      </c>
      <c r="R354" s="105">
        <f>(Yield_Originals!$H354*Yield_Originals!R$1)/Yield_Originals!$K354</f>
        <v>0.14815218497167232</v>
      </c>
      <c r="S354" s="105">
        <f>(Yield_Originals!$H354*Yield_Originals!S$1)/Yield_Originals!$K354</f>
        <v>0.15205092668145317</v>
      </c>
      <c r="T354" s="107">
        <f>(Yield_Originals!$I354*Yield_Originals!T$1)/Yield_Originals!$K354</f>
        <v>0.15186790600793104</v>
      </c>
      <c r="U354" s="107">
        <f>(Yield_Originals!$I354*Yield_Originals!U$1)/Yield_Originals!$K354</f>
        <v>0.15566460365812929</v>
      </c>
      <c r="V354" s="107">
        <f>(Yield_Originals!$I354*Yield_Originals!V$1)/Yield_Originals!$K354</f>
        <v>0.15946130130832759</v>
      </c>
      <c r="W354" s="107">
        <f>(Yield_Originals!$I354*Yield_Originals!W$1)/Yield_Originals!$K354</f>
        <v>0.1632579989585258</v>
      </c>
      <c r="X354" s="108">
        <f>(Yield_Originals!$J354*Yield_Originals!X$1)/Yield_Originals!$K354</f>
        <v>0.16872770218740807</v>
      </c>
      <c r="Y354" s="108">
        <f>(Yield_Originals!$J354*Yield_Originals!Y$1)/Yield_Originals!$K354</f>
        <v>0.17256242269166733</v>
      </c>
      <c r="Z354" s="108">
        <f>(Yield_Originals!$J354*Yield_Originals!Z$1)/Yield_Originals!$K354</f>
        <v>0.17639714319592661</v>
      </c>
      <c r="AA354" s="108">
        <f>(Yield_Originals!$J354*Yield_Originals!AA$1)/Yield_Originals!$K354</f>
        <v>0.18023186370018585</v>
      </c>
      <c r="AB354" s="108"/>
    </row>
    <row r="355" spans="1:28" x14ac:dyDescent="0.25">
      <c r="A355" s="72" t="s">
        <v>862</v>
      </c>
      <c r="B355" s="72">
        <v>1</v>
      </c>
      <c r="C355" s="99" t="s">
        <v>200</v>
      </c>
      <c r="D355" s="99" t="s">
        <v>873</v>
      </c>
      <c r="E355" s="100">
        <v>6</v>
      </c>
      <c r="F355" s="101">
        <v>0.10668762051635799</v>
      </c>
      <c r="G355" s="101">
        <v>0.10668762051635799</v>
      </c>
      <c r="H355" s="102">
        <f>+(Yield_Originals!I355+Yield_Originals!G355)/2</f>
        <v>0.10396644559415599</v>
      </c>
      <c r="I355" s="101">
        <v>0.101245270671954</v>
      </c>
      <c r="J355" s="101">
        <v>0.10225921344691399</v>
      </c>
      <c r="K355" s="103">
        <v>1</v>
      </c>
      <c r="L355" s="104"/>
      <c r="M355" s="104"/>
      <c r="N355" s="104"/>
      <c r="O355" s="104"/>
      <c r="P355" s="105"/>
      <c r="Q355" s="105"/>
      <c r="R355" s="105"/>
      <c r="S355" s="105"/>
      <c r="T355" s="107"/>
      <c r="U355" s="107">
        <f>(Yield_Originals!$I355*Yield_Originals!U$1)/Yield_Originals!$K355</f>
        <v>0.15566460365812929</v>
      </c>
      <c r="V355" s="107">
        <f>(Yield_Originals!$I355*Yield_Originals!V$1)/Yield_Originals!$K355</f>
        <v>0.15946130130832759</v>
      </c>
      <c r="W355" s="107">
        <f>(Yield_Originals!$I355*Yield_Originals!W$1)/Yield_Originals!$K355</f>
        <v>0.1632579989585258</v>
      </c>
      <c r="X355" s="108">
        <f>(Yield_Originals!$J355*Yield_Originals!X$1)/Yield_Originals!$K355</f>
        <v>0.16872770218740807</v>
      </c>
      <c r="Y355" s="108">
        <f>(Yield_Originals!$J355*Yield_Originals!Y$1)/Yield_Originals!$K355</f>
        <v>0.17256242269166733</v>
      </c>
      <c r="Z355" s="108">
        <f>(Yield_Originals!$J355*Yield_Originals!Z$1)/Yield_Originals!$K355</f>
        <v>0.17639714319592661</v>
      </c>
      <c r="AA355" s="108">
        <f>(Yield_Originals!$J355*Yield_Originals!AA$1)/Yield_Originals!$K355</f>
        <v>0.18023186370018585</v>
      </c>
      <c r="AB355" s="108">
        <f>(Yield_Originals!$J355*Yield_Originals!AB$1)/Yield_Originals!$K355</f>
        <v>0.18406658420444513</v>
      </c>
    </row>
    <row r="356" spans="1:28" x14ac:dyDescent="0.25">
      <c r="A356" s="72" t="s">
        <v>862</v>
      </c>
      <c r="B356" s="72">
        <v>1</v>
      </c>
      <c r="C356" s="99" t="s">
        <v>322</v>
      </c>
      <c r="D356" s="99" t="s">
        <v>876</v>
      </c>
      <c r="E356" s="100">
        <v>6</v>
      </c>
      <c r="F356" s="101">
        <v>0.10668762051635799</v>
      </c>
      <c r="G356" s="101">
        <v>0.10668762051635799</v>
      </c>
      <c r="H356" s="102">
        <f>+(Yield_Originals!I356+Yield_Originals!G356)/2</f>
        <v>0.10396644559415599</v>
      </c>
      <c r="I356" s="101">
        <v>0.101245270671954</v>
      </c>
      <c r="J356" s="101">
        <v>0.10225921344691399</v>
      </c>
      <c r="K356" s="103">
        <v>1</v>
      </c>
      <c r="L356" s="104"/>
      <c r="M356" s="104"/>
      <c r="N356" s="104"/>
      <c r="O356" s="104"/>
      <c r="P356" s="105"/>
      <c r="Q356" s="105"/>
      <c r="R356" s="105"/>
      <c r="S356" s="105"/>
      <c r="T356" s="107"/>
      <c r="U356" s="107">
        <f>(Yield_Originals!$I356*Yield_Originals!U$1)/Yield_Originals!$K356</f>
        <v>0.15566460365812929</v>
      </c>
      <c r="V356" s="107">
        <f>(Yield_Originals!$I356*Yield_Originals!V$1)/Yield_Originals!$K356</f>
        <v>0.15946130130832759</v>
      </c>
      <c r="W356" s="107">
        <f>(Yield_Originals!$I356*Yield_Originals!W$1)/Yield_Originals!$K356</f>
        <v>0.1632579989585258</v>
      </c>
      <c r="X356" s="108">
        <f>(Yield_Originals!$J356*Yield_Originals!X$1)/Yield_Originals!$K356</f>
        <v>0.16872770218740807</v>
      </c>
      <c r="Y356" s="108">
        <f>(Yield_Originals!$J356*Yield_Originals!Y$1)/Yield_Originals!$K356</f>
        <v>0.17256242269166733</v>
      </c>
      <c r="Z356" s="108">
        <f>(Yield_Originals!$J356*Yield_Originals!Z$1)/Yield_Originals!$K356</f>
        <v>0.17639714319592661</v>
      </c>
      <c r="AA356" s="108">
        <f>(Yield_Originals!$J356*Yield_Originals!AA$1)/Yield_Originals!$K356</f>
        <v>0.18023186370018585</v>
      </c>
      <c r="AB356" s="108">
        <f>(Yield_Originals!$J356*Yield_Originals!AB$1)/Yield_Originals!$K356</f>
        <v>0.18406658420444513</v>
      </c>
    </row>
    <row r="357" spans="1:28" x14ac:dyDescent="0.25">
      <c r="A357" s="72" t="s">
        <v>862</v>
      </c>
      <c r="B357" s="72">
        <v>1</v>
      </c>
      <c r="C357" s="99" t="s">
        <v>1246</v>
      </c>
      <c r="D357" s="99" t="s">
        <v>861</v>
      </c>
      <c r="E357" s="100">
        <v>6</v>
      </c>
      <c r="F357" s="101">
        <v>0.10668762051635799</v>
      </c>
      <c r="G357" s="101">
        <v>0.10668762051635799</v>
      </c>
      <c r="H357" s="102">
        <f>+(Yield_Originals!I357+Yield_Originals!G357)/2</f>
        <v>0.10396644559415599</v>
      </c>
      <c r="I357" s="101">
        <v>0.101245270671954</v>
      </c>
      <c r="J357" s="101">
        <v>0.10225921344691399</v>
      </c>
      <c r="K357" s="103">
        <v>1</v>
      </c>
      <c r="L357" s="104"/>
      <c r="M357" s="104"/>
      <c r="N357" s="104"/>
      <c r="O357" s="104"/>
      <c r="P357" s="105"/>
      <c r="Q357" s="105"/>
      <c r="R357" s="105"/>
      <c r="S357" s="105"/>
      <c r="T357" s="107"/>
      <c r="U357" s="107"/>
      <c r="V357" s="107"/>
      <c r="W357" s="107"/>
      <c r="X357" s="108">
        <f>(Yield_Originals!$J357*Yield_Originals!X$1)/Yield_Originals!$K357</f>
        <v>0.16872770218740807</v>
      </c>
      <c r="Y357" s="108">
        <f>(Yield_Originals!$J357*Yield_Originals!Y$1)/Yield_Originals!$K357</f>
        <v>0.17256242269166733</v>
      </c>
      <c r="Z357" s="108">
        <f>(Yield_Originals!$J357*Yield_Originals!Z$1)/Yield_Originals!$K357</f>
        <v>0.17639714319592661</v>
      </c>
      <c r="AA357" s="108">
        <f>(Yield_Originals!$J357*Yield_Originals!AA$1)/Yield_Originals!$K357</f>
        <v>0.18023186370018585</v>
      </c>
      <c r="AB357" s="108">
        <f>(Yield_Originals!$J357*Yield_Originals!AB$1)/Yield_Originals!$K357</f>
        <v>0.18406658420444513</v>
      </c>
    </row>
    <row r="358" spans="1:28" x14ac:dyDescent="0.25">
      <c r="A358" s="72" t="s">
        <v>862</v>
      </c>
      <c r="B358" s="72">
        <v>1</v>
      </c>
      <c r="C358" s="99" t="s">
        <v>1249</v>
      </c>
      <c r="D358" s="99" t="s">
        <v>884</v>
      </c>
      <c r="E358" s="100">
        <v>6</v>
      </c>
      <c r="F358" s="101">
        <v>0.10668762051635799</v>
      </c>
      <c r="G358" s="101">
        <v>0.10668762051635799</v>
      </c>
      <c r="H358" s="102">
        <f>+(Yield_Originals!I358+Yield_Originals!G358)/2</f>
        <v>0.10396644559415599</v>
      </c>
      <c r="I358" s="101">
        <v>0.101245270671954</v>
      </c>
      <c r="J358" s="101">
        <v>0.10225921344691399</v>
      </c>
      <c r="K358" s="103">
        <v>1</v>
      </c>
      <c r="L358" s="104">
        <f>(Yield_Originals!$G358*Yield_Originals!L$1)/Yield_Originals!$K358</f>
        <v>0.12802514461962961</v>
      </c>
      <c r="M358" s="104">
        <f>(Yield_Originals!$G358*Yield_Originals!M$1)/Yield_Originals!$K358</f>
        <v>0.13202593038899302</v>
      </c>
      <c r="N358" s="104">
        <f>(Yield_Originals!$G358*Yield_Originals!N$1)/Yield_Originals!$K358</f>
        <v>0.13602671615835646</v>
      </c>
      <c r="O358" s="104">
        <f>(Yield_Originals!$G358*Yield_Originals!O$1)/Yield_Originals!$K358</f>
        <v>0.1400275019277199</v>
      </c>
      <c r="P358" s="105">
        <f>(Yield_Originals!$H358*Yield_Originals!P$1)/Yield_Originals!$K358</f>
        <v>0.14035470155211061</v>
      </c>
      <c r="Q358" s="105">
        <f>(Yield_Originals!$H358*Yield_Originals!Q$1)/Yield_Originals!$K358</f>
        <v>0.14425344326189146</v>
      </c>
      <c r="R358" s="105">
        <f>(Yield_Originals!$H358*Yield_Originals!R$1)/Yield_Originals!$K358</f>
        <v>0.14815218497167232</v>
      </c>
      <c r="S358" s="105">
        <f>(Yield_Originals!$H358*Yield_Originals!S$1)/Yield_Originals!$K358</f>
        <v>0.15205092668145317</v>
      </c>
      <c r="T358" s="107">
        <f>(Yield_Originals!$I358*Yield_Originals!T$1)/Yield_Originals!$K358</f>
        <v>0.15186790600793104</v>
      </c>
      <c r="U358" s="107">
        <f>(Yield_Originals!$I358*Yield_Originals!U$1)/Yield_Originals!$K358</f>
        <v>0.15566460365812929</v>
      </c>
      <c r="V358" s="107">
        <f>(Yield_Originals!$I358*Yield_Originals!V$1)/Yield_Originals!$K358</f>
        <v>0.15946130130832759</v>
      </c>
      <c r="W358" s="107">
        <f>(Yield_Originals!$I358*Yield_Originals!W$1)/Yield_Originals!$K358</f>
        <v>0.1632579989585258</v>
      </c>
      <c r="X358" s="108">
        <f>(Yield_Originals!$J358*Yield_Originals!X$1)/Yield_Originals!$K358</f>
        <v>0.16872770218740807</v>
      </c>
      <c r="Y358" s="108">
        <f>(Yield_Originals!$J358*Yield_Originals!Y$1)/Yield_Originals!$K358</f>
        <v>0.17256242269166733</v>
      </c>
      <c r="Z358" s="108">
        <f>(Yield_Originals!$J358*Yield_Originals!Z$1)/Yield_Originals!$K358</f>
        <v>0.17639714319592661</v>
      </c>
      <c r="AA358" s="108">
        <f>(Yield_Originals!$J358*Yield_Originals!AA$1)/Yield_Originals!$K358</f>
        <v>0.18023186370018585</v>
      </c>
      <c r="AB358" s="108">
        <f>(Yield_Originals!$J358*Yield_Originals!AB$1)/Yield_Originals!$K358</f>
        <v>0.18406658420444513</v>
      </c>
    </row>
    <row r="359" spans="1:28" x14ac:dyDescent="0.25">
      <c r="A359" s="72" t="s">
        <v>862</v>
      </c>
      <c r="B359" s="72">
        <v>1</v>
      </c>
      <c r="C359" s="99" t="s">
        <v>705</v>
      </c>
      <c r="D359" s="99" t="s">
        <v>879</v>
      </c>
      <c r="E359" s="100">
        <v>6</v>
      </c>
      <c r="F359" s="101">
        <v>0.10668762051635799</v>
      </c>
      <c r="G359" s="101">
        <v>0.10668762051635799</v>
      </c>
      <c r="H359" s="102">
        <f>+(Yield_Originals!I359+Yield_Originals!G359)/2</f>
        <v>0.10396644559415599</v>
      </c>
      <c r="I359" s="101">
        <v>0.101245270671954</v>
      </c>
      <c r="J359" s="101">
        <v>0.10225921344691399</v>
      </c>
      <c r="K359" s="103">
        <v>1</v>
      </c>
      <c r="L359" s="104">
        <f>(Yield_Originals!$G359*Yield_Originals!L$1)/Yield_Originals!$K359</f>
        <v>0.12802514461962961</v>
      </c>
      <c r="M359" s="104">
        <f>(Yield_Originals!$G359*Yield_Originals!M$1)/Yield_Originals!$K359</f>
        <v>0.13202593038899302</v>
      </c>
      <c r="N359" s="104">
        <f>(Yield_Originals!$G359*Yield_Originals!N$1)/Yield_Originals!$K359</f>
        <v>0.13602671615835646</v>
      </c>
      <c r="O359" s="104">
        <f>(Yield_Originals!$G359*Yield_Originals!O$1)/Yield_Originals!$K359</f>
        <v>0.1400275019277199</v>
      </c>
      <c r="P359" s="105"/>
      <c r="Q359" s="105"/>
      <c r="R359" s="105"/>
      <c r="S359" s="105"/>
      <c r="T359" s="107"/>
      <c r="U359" s="107"/>
      <c r="V359" s="107"/>
      <c r="W359" s="107"/>
      <c r="X359" s="108"/>
      <c r="Y359" s="108"/>
      <c r="Z359" s="108"/>
      <c r="AA359" s="108"/>
      <c r="AB359" s="108"/>
    </row>
    <row r="360" spans="1:28" x14ac:dyDescent="0.25">
      <c r="A360" s="72" t="s">
        <v>862</v>
      </c>
      <c r="B360" s="72">
        <v>1</v>
      </c>
      <c r="C360" s="99" t="s">
        <v>1253</v>
      </c>
      <c r="D360" s="99" t="s">
        <v>882</v>
      </c>
      <c r="E360" s="100">
        <v>6</v>
      </c>
      <c r="F360" s="101">
        <v>0.10668762051635799</v>
      </c>
      <c r="G360" s="101">
        <v>0.10668762051635799</v>
      </c>
      <c r="H360" s="102">
        <f>+(Yield_Originals!I360+Yield_Originals!G360)/2</f>
        <v>0.10396644559415599</v>
      </c>
      <c r="I360" s="101">
        <v>0.101245270671954</v>
      </c>
      <c r="J360" s="101">
        <v>0.10225921344691399</v>
      </c>
      <c r="K360" s="103">
        <v>1</v>
      </c>
      <c r="L360" s="104">
        <f>(Yield_Originals!$G360*Yield_Originals!L$1)/Yield_Originals!$K360</f>
        <v>0.12802514461962961</v>
      </c>
      <c r="M360" s="104">
        <f>(Yield_Originals!$G360*Yield_Originals!M$1)/Yield_Originals!$K360</f>
        <v>0.13202593038899302</v>
      </c>
      <c r="N360" s="104">
        <f>(Yield_Originals!$G360*Yield_Originals!N$1)/Yield_Originals!$K360</f>
        <v>0.13602671615835646</v>
      </c>
      <c r="O360" s="104">
        <f>(Yield_Originals!$G360*Yield_Originals!O$1)/Yield_Originals!$K360</f>
        <v>0.1400275019277199</v>
      </c>
      <c r="P360" s="105"/>
      <c r="Q360" s="105"/>
      <c r="R360" s="105"/>
      <c r="S360" s="105"/>
      <c r="T360" s="107"/>
      <c r="U360" s="107"/>
      <c r="V360" s="107"/>
      <c r="W360" s="107"/>
      <c r="X360" s="108"/>
      <c r="Y360" s="108"/>
      <c r="Z360" s="108"/>
      <c r="AA360" s="108"/>
      <c r="AB360" s="108"/>
    </row>
    <row r="361" spans="1:28" x14ac:dyDescent="0.25">
      <c r="A361" s="72" t="s">
        <v>862</v>
      </c>
      <c r="B361" s="72">
        <v>1</v>
      </c>
      <c r="C361" s="99" t="s">
        <v>707</v>
      </c>
      <c r="D361" s="99" t="s">
        <v>886</v>
      </c>
      <c r="E361" s="100">
        <v>6</v>
      </c>
      <c r="F361" s="101">
        <v>0.10668762051635799</v>
      </c>
      <c r="G361" s="101">
        <v>0.10668762051635799</v>
      </c>
      <c r="H361" s="102">
        <f>+(Yield_Originals!I361+Yield_Originals!G361)/2</f>
        <v>0.10396644559415599</v>
      </c>
      <c r="I361" s="101">
        <v>0.101245270671954</v>
      </c>
      <c r="J361" s="101">
        <v>0.10225921344691399</v>
      </c>
      <c r="K361" s="103">
        <v>1</v>
      </c>
      <c r="L361" s="104">
        <f>(Yield_Originals!$G361*Yield_Originals!L$1)/Yield_Originals!$K361</f>
        <v>0.12802514461962961</v>
      </c>
      <c r="M361" s="104">
        <f>(Yield_Originals!$G361*Yield_Originals!M$1)/Yield_Originals!$K361</f>
        <v>0.13202593038899302</v>
      </c>
      <c r="N361" s="104">
        <f>(Yield_Originals!$G361*Yield_Originals!N$1)/Yield_Originals!$K361</f>
        <v>0.13602671615835646</v>
      </c>
      <c r="O361" s="104">
        <f>(Yield_Originals!$G361*Yield_Originals!O$1)/Yield_Originals!$K361</f>
        <v>0.1400275019277199</v>
      </c>
      <c r="P361" s="105">
        <f>(Yield_Originals!$H361*Yield_Originals!P$1)/Yield_Originals!$K361</f>
        <v>0.14035470155211061</v>
      </c>
      <c r="Q361" s="105">
        <f>(Yield_Originals!$H361*Yield_Originals!Q$1)/Yield_Originals!$K361</f>
        <v>0.14425344326189146</v>
      </c>
      <c r="R361" s="105">
        <f>(Yield_Originals!$H361*Yield_Originals!R$1)/Yield_Originals!$K361</f>
        <v>0.14815218497167232</v>
      </c>
      <c r="S361" s="105">
        <f>(Yield_Originals!$H361*Yield_Originals!S$1)/Yield_Originals!$K361</f>
        <v>0.15205092668145317</v>
      </c>
      <c r="T361" s="107">
        <f>(Yield_Originals!$I361*Yield_Originals!T$1)/Yield_Originals!$K361</f>
        <v>0.15186790600793104</v>
      </c>
      <c r="U361" s="107">
        <f>(Yield_Originals!$I361*Yield_Originals!U$1)/Yield_Originals!$K361</f>
        <v>0.15566460365812929</v>
      </c>
      <c r="V361" s="107">
        <f>(Yield_Originals!$I361*Yield_Originals!V$1)/Yield_Originals!$K361</f>
        <v>0.15946130130832759</v>
      </c>
      <c r="W361" s="107">
        <f>(Yield_Originals!$I361*Yield_Originals!W$1)/Yield_Originals!$K361</f>
        <v>0.1632579989585258</v>
      </c>
      <c r="X361" s="108">
        <f>(Yield_Originals!$J361*Yield_Originals!X$1)/Yield_Originals!$K361</f>
        <v>0.16872770218740807</v>
      </c>
      <c r="Y361" s="108">
        <f>(Yield_Originals!$J361*Yield_Originals!Y$1)/Yield_Originals!$K361</f>
        <v>0.17256242269166733</v>
      </c>
      <c r="Z361" s="108">
        <f>(Yield_Originals!$J361*Yield_Originals!Z$1)/Yield_Originals!$K361</f>
        <v>0.17639714319592661</v>
      </c>
      <c r="AA361" s="108">
        <f>(Yield_Originals!$J361*Yield_Originals!AA$1)/Yield_Originals!$K361</f>
        <v>0.18023186370018585</v>
      </c>
      <c r="AB361" s="108">
        <f>(Yield_Originals!$J361*Yield_Originals!AB$1)/Yield_Originals!$K361</f>
        <v>0.18406658420444513</v>
      </c>
    </row>
    <row r="362" spans="1:28" x14ac:dyDescent="0.25">
      <c r="A362" s="72" t="s">
        <v>904</v>
      </c>
      <c r="B362" s="72">
        <v>1</v>
      </c>
      <c r="C362" s="99" t="s">
        <v>1257</v>
      </c>
      <c r="D362" s="99" t="s">
        <v>908</v>
      </c>
      <c r="E362" s="100">
        <v>7</v>
      </c>
      <c r="F362" s="102">
        <v>5.8150345429141499E-2</v>
      </c>
      <c r="G362" s="102">
        <v>5.8150345429141499E-2</v>
      </c>
      <c r="H362" s="102">
        <f>+(Yield_Originals!I362+Yield_Originals!G362)/2</f>
        <v>5.62894274528054E-2</v>
      </c>
      <c r="I362" s="102">
        <v>5.4428509476469301E-2</v>
      </c>
      <c r="J362" s="102">
        <v>5.5548128648560097E-2</v>
      </c>
      <c r="K362" s="103">
        <v>1</v>
      </c>
      <c r="L362" s="104">
        <f>(Yield_Originals!$G362*Yield_Originals!L$1)/Yield_Originals!$K362</f>
        <v>6.9780414514969816E-2</v>
      </c>
      <c r="M362" s="104">
        <f>(Yield_Originals!$G362*Yield_Originals!M$1)/Yield_Originals!$K362</f>
        <v>7.1961052468562603E-2</v>
      </c>
      <c r="N362" s="104">
        <f>(Yield_Originals!$G362*Yield_Originals!N$1)/Yield_Originals!$K362</f>
        <v>7.4141690422155418E-2</v>
      </c>
      <c r="O362" s="104">
        <f>(Yield_Originals!$G362*Yield_Originals!O$1)/Yield_Originals!$K362</f>
        <v>7.6322328375748233E-2</v>
      </c>
      <c r="P362" s="105">
        <f>(Yield_Originals!$H362*Yield_Originals!P$1)/Yield_Originals!$K362</f>
        <v>7.5990727061287289E-2</v>
      </c>
      <c r="Q362" s="105">
        <f>(Yield_Originals!$H362*Yield_Originals!Q$1)/Yield_Originals!$K362</f>
        <v>7.8101580590767508E-2</v>
      </c>
      <c r="R362" s="105">
        <f>(Yield_Originals!$H362*Yield_Originals!R$1)/Yield_Originals!$K362</f>
        <v>8.0212434120247714E-2</v>
      </c>
      <c r="S362" s="105">
        <f>(Yield_Originals!$H362*Yield_Originals!S$1)/Yield_Originals!$K362</f>
        <v>8.2323287649727919E-2</v>
      </c>
      <c r="T362" s="107">
        <f>(Yield_Originals!$I362*Yield_Originals!T$1)/Yield_Originals!$K362</f>
        <v>8.1642764214703969E-2</v>
      </c>
      <c r="U362" s="107">
        <f>(Yield_Originals!$I362*Yield_Originals!U$1)/Yield_Originals!$K362</f>
        <v>8.3683833320071552E-2</v>
      </c>
      <c r="V362" s="107">
        <f>(Yield_Originals!$I362*Yield_Originals!V$1)/Yield_Originals!$K362</f>
        <v>8.5724902425439162E-2</v>
      </c>
      <c r="W362" s="107">
        <f>(Yield_Originals!$I362*Yield_Originals!W$1)/Yield_Originals!$K362</f>
        <v>8.7765971530806744E-2</v>
      </c>
      <c r="X362" s="108">
        <f>(Yield_Originals!$J362*Yield_Originals!X$1)/Yield_Originals!$K362</f>
        <v>9.165441227012415E-2</v>
      </c>
      <c r="Y362" s="108"/>
      <c r="Z362" s="108"/>
      <c r="AA362" s="108"/>
      <c r="AB362" s="108"/>
    </row>
    <row r="363" spans="1:28" x14ac:dyDescent="0.25">
      <c r="A363" s="72" t="s">
        <v>904</v>
      </c>
      <c r="B363" s="72">
        <v>1</v>
      </c>
      <c r="C363" s="99" t="s">
        <v>1257</v>
      </c>
      <c r="D363" s="99" t="s">
        <v>908</v>
      </c>
      <c r="E363" s="100">
        <v>8</v>
      </c>
      <c r="F363" s="102">
        <v>5.8150345429141499E-2</v>
      </c>
      <c r="G363" s="102">
        <v>5.8150345429141499E-2</v>
      </c>
      <c r="H363" s="102">
        <f>+(Yield_Originals!I363+Yield_Originals!G363)/2</f>
        <v>5.62894274528054E-2</v>
      </c>
      <c r="I363" s="102">
        <v>5.4428509476469301E-2</v>
      </c>
      <c r="J363" s="102">
        <v>5.5548128648560097E-2</v>
      </c>
      <c r="K363" s="103">
        <v>1</v>
      </c>
      <c r="L363" s="104">
        <f>(Yield_Originals!$G363*Yield_Originals!L$1)/Yield_Originals!$K363</f>
        <v>6.9780414514969816E-2</v>
      </c>
      <c r="M363" s="104">
        <f>(Yield_Originals!$G363*Yield_Originals!M$1)/Yield_Originals!$K363</f>
        <v>7.1961052468562603E-2</v>
      </c>
      <c r="N363" s="104">
        <f>(Yield_Originals!$G363*Yield_Originals!N$1)/Yield_Originals!$K363</f>
        <v>7.4141690422155418E-2</v>
      </c>
      <c r="O363" s="104">
        <f>(Yield_Originals!$G363*Yield_Originals!O$1)/Yield_Originals!$K363</f>
        <v>7.6322328375748233E-2</v>
      </c>
      <c r="P363" s="105">
        <f>(Yield_Originals!$H363*Yield_Originals!P$1)/Yield_Originals!$K363</f>
        <v>7.5990727061287289E-2</v>
      </c>
      <c r="Q363" s="105">
        <f>(Yield_Originals!$H363*Yield_Originals!Q$1)/Yield_Originals!$K363</f>
        <v>7.8101580590767508E-2</v>
      </c>
      <c r="R363" s="105">
        <f>(Yield_Originals!$H363*Yield_Originals!R$1)/Yield_Originals!$K363</f>
        <v>8.0212434120247714E-2</v>
      </c>
      <c r="S363" s="105">
        <f>(Yield_Originals!$H363*Yield_Originals!S$1)/Yield_Originals!$K363</f>
        <v>8.2323287649727919E-2</v>
      </c>
      <c r="T363" s="107">
        <f>(Yield_Originals!$I363*Yield_Originals!T$1)/Yield_Originals!$K363</f>
        <v>8.1642764214703969E-2</v>
      </c>
      <c r="U363" s="107">
        <f>(Yield_Originals!$I363*Yield_Originals!U$1)/Yield_Originals!$K363</f>
        <v>8.3683833320071552E-2</v>
      </c>
      <c r="V363" s="107">
        <f>(Yield_Originals!$I363*Yield_Originals!V$1)/Yield_Originals!$K363</f>
        <v>8.5724902425439162E-2</v>
      </c>
      <c r="W363" s="107">
        <f>(Yield_Originals!$I363*Yield_Originals!W$1)/Yield_Originals!$K363</f>
        <v>8.7765971530806744E-2</v>
      </c>
      <c r="X363" s="108">
        <f>(Yield_Originals!$J363*Yield_Originals!X$1)/Yield_Originals!$K363</f>
        <v>9.165441227012415E-2</v>
      </c>
      <c r="Y363" s="108"/>
      <c r="Z363" s="108"/>
      <c r="AA363" s="108"/>
      <c r="AB363" s="108"/>
    </row>
    <row r="364" spans="1:28" x14ac:dyDescent="0.25">
      <c r="A364" s="72" t="s">
        <v>904</v>
      </c>
      <c r="B364" s="72">
        <v>1</v>
      </c>
      <c r="C364" s="99" t="s">
        <v>323</v>
      </c>
      <c r="D364" s="99" t="s">
        <v>910</v>
      </c>
      <c r="E364" s="100">
        <v>7</v>
      </c>
      <c r="F364" s="102">
        <v>5.8150345429141499E-2</v>
      </c>
      <c r="G364" s="102">
        <v>5.8150345429141499E-2</v>
      </c>
      <c r="H364" s="102">
        <f>+(Yield_Originals!I364+Yield_Originals!G364)/2</f>
        <v>5.62894274528054E-2</v>
      </c>
      <c r="I364" s="102">
        <v>5.4428509476469301E-2</v>
      </c>
      <c r="J364" s="102">
        <v>5.5548128648560097E-2</v>
      </c>
      <c r="K364" s="103">
        <v>1</v>
      </c>
      <c r="L364" s="104"/>
      <c r="M364" s="104"/>
      <c r="N364" s="104"/>
      <c r="O364" s="104"/>
      <c r="P364" s="105"/>
      <c r="Q364" s="105"/>
      <c r="R364" s="105">
        <f>(Yield_Originals!$H364*Yield_Originals!R$1)/Yield_Originals!$K364</f>
        <v>8.0212434120247714E-2</v>
      </c>
      <c r="S364" s="105">
        <f>(Yield_Originals!$H364*Yield_Originals!S$1)/Yield_Originals!$K364</f>
        <v>8.2323287649727919E-2</v>
      </c>
      <c r="T364" s="107">
        <f>(Yield_Originals!$I364*Yield_Originals!T$1)/Yield_Originals!$K364</f>
        <v>8.1642764214703969E-2</v>
      </c>
      <c r="U364" s="107">
        <f>(Yield_Originals!$I364*Yield_Originals!U$1)/Yield_Originals!$K364</f>
        <v>8.3683833320071552E-2</v>
      </c>
      <c r="V364" s="107">
        <f>(Yield_Originals!$I364*Yield_Originals!V$1)/Yield_Originals!$K364</f>
        <v>8.5724902425439162E-2</v>
      </c>
      <c r="W364" s="107">
        <f>(Yield_Originals!$I364*Yield_Originals!W$1)/Yield_Originals!$K364</f>
        <v>8.7765971530806744E-2</v>
      </c>
      <c r="X364" s="108">
        <f>(Yield_Originals!$J364*Yield_Originals!X$1)/Yield_Originals!$K364</f>
        <v>9.165441227012415E-2</v>
      </c>
      <c r="Y364" s="108">
        <f>(Yield_Originals!$J364*Yield_Originals!Y$1)/Yield_Originals!$K364</f>
        <v>9.3737467094445137E-2</v>
      </c>
      <c r="Z364" s="108">
        <f>(Yield_Originals!$J364*Yield_Originals!Z$1)/Yield_Originals!$K364</f>
        <v>9.5820521918766152E-2</v>
      </c>
      <c r="AA364" s="108">
        <f>(Yield_Originals!$J364*Yield_Originals!AA$1)/Yield_Originals!$K364</f>
        <v>9.7903576743087126E-2</v>
      </c>
      <c r="AB364" s="108">
        <f>(Yield_Originals!$J364*Yield_Originals!AB$1)/Yield_Originals!$K364</f>
        <v>9.9986631567408141E-2</v>
      </c>
    </row>
    <row r="365" spans="1:28" x14ac:dyDescent="0.25">
      <c r="A365" s="72" t="s">
        <v>904</v>
      </c>
      <c r="B365" s="72">
        <v>1</v>
      </c>
      <c r="C365" s="99" t="s">
        <v>323</v>
      </c>
      <c r="D365" s="99" t="s">
        <v>910</v>
      </c>
      <c r="E365" s="100">
        <v>8</v>
      </c>
      <c r="F365" s="102">
        <v>5.8150345429141499E-2</v>
      </c>
      <c r="G365" s="102">
        <v>5.8150345429141499E-2</v>
      </c>
      <c r="H365" s="102">
        <f>+(Yield_Originals!I365+Yield_Originals!G365)/2</f>
        <v>5.62894274528054E-2</v>
      </c>
      <c r="I365" s="102">
        <v>5.4428509476469301E-2</v>
      </c>
      <c r="J365" s="102">
        <v>5.5548128648560097E-2</v>
      </c>
      <c r="K365" s="103">
        <v>1</v>
      </c>
      <c r="L365" s="104"/>
      <c r="M365" s="104"/>
      <c r="N365" s="104"/>
      <c r="O365" s="104"/>
      <c r="P365" s="105"/>
      <c r="Q365" s="105"/>
      <c r="R365" s="105">
        <f>(Yield_Originals!$H365*Yield_Originals!R$1)/Yield_Originals!$K365</f>
        <v>8.0212434120247714E-2</v>
      </c>
      <c r="S365" s="105">
        <f>(Yield_Originals!$H365*Yield_Originals!S$1)/Yield_Originals!$K365</f>
        <v>8.2323287649727919E-2</v>
      </c>
      <c r="T365" s="107">
        <f>(Yield_Originals!$I365*Yield_Originals!T$1)/Yield_Originals!$K365</f>
        <v>8.1642764214703969E-2</v>
      </c>
      <c r="U365" s="107">
        <f>(Yield_Originals!$I365*Yield_Originals!U$1)/Yield_Originals!$K365</f>
        <v>8.3683833320071552E-2</v>
      </c>
      <c r="V365" s="107">
        <f>(Yield_Originals!$I365*Yield_Originals!V$1)/Yield_Originals!$K365</f>
        <v>8.5724902425439162E-2</v>
      </c>
      <c r="W365" s="107">
        <f>(Yield_Originals!$I365*Yield_Originals!W$1)/Yield_Originals!$K365</f>
        <v>8.7765971530806744E-2</v>
      </c>
      <c r="X365" s="108">
        <f>(Yield_Originals!$J365*Yield_Originals!X$1)/Yield_Originals!$K365</f>
        <v>9.165441227012415E-2</v>
      </c>
      <c r="Y365" s="108">
        <f>(Yield_Originals!$J365*Yield_Originals!Y$1)/Yield_Originals!$K365</f>
        <v>9.3737467094445137E-2</v>
      </c>
      <c r="Z365" s="108">
        <f>(Yield_Originals!$J365*Yield_Originals!Z$1)/Yield_Originals!$K365</f>
        <v>9.5820521918766152E-2</v>
      </c>
      <c r="AA365" s="108">
        <f>(Yield_Originals!$J365*Yield_Originals!AA$1)/Yield_Originals!$K365</f>
        <v>9.7903576743087126E-2</v>
      </c>
      <c r="AB365" s="108">
        <f>(Yield_Originals!$J365*Yield_Originals!AB$1)/Yield_Originals!$K365</f>
        <v>9.9986631567408141E-2</v>
      </c>
    </row>
    <row r="366" spans="1:28" x14ac:dyDescent="0.25">
      <c r="A366" s="72" t="s">
        <v>904</v>
      </c>
      <c r="B366" s="72">
        <v>1</v>
      </c>
      <c r="C366" s="99" t="s">
        <v>201</v>
      </c>
      <c r="D366" s="99" t="s">
        <v>903</v>
      </c>
      <c r="E366" s="100">
        <v>7</v>
      </c>
      <c r="F366" s="102">
        <v>5.8150345429141499E-2</v>
      </c>
      <c r="G366" s="102">
        <v>5.8150345429141499E-2</v>
      </c>
      <c r="H366" s="102">
        <f>+(Yield_Originals!I366+Yield_Originals!G366)/2</f>
        <v>5.62894274528054E-2</v>
      </c>
      <c r="I366" s="102">
        <v>5.4428509476469301E-2</v>
      </c>
      <c r="J366" s="102">
        <v>5.5548128648560097E-2</v>
      </c>
      <c r="K366" s="103">
        <v>1</v>
      </c>
      <c r="L366" s="104">
        <f>(Yield_Originals!$G366*Yield_Originals!L$1)/Yield_Originals!$K366</f>
        <v>6.9780414514969816E-2</v>
      </c>
      <c r="M366" s="104">
        <f>(Yield_Originals!$G366*Yield_Originals!M$1)/Yield_Originals!$K366</f>
        <v>7.1961052468562603E-2</v>
      </c>
      <c r="N366" s="104">
        <f>(Yield_Originals!$G366*Yield_Originals!N$1)/Yield_Originals!$K366</f>
        <v>7.4141690422155418E-2</v>
      </c>
      <c r="O366" s="104">
        <f>(Yield_Originals!$G366*Yield_Originals!O$1)/Yield_Originals!$K366</f>
        <v>7.6322328375748233E-2</v>
      </c>
      <c r="P366" s="105">
        <f>(Yield_Originals!$H366*Yield_Originals!P$1)/Yield_Originals!$K366</f>
        <v>7.5990727061287289E-2</v>
      </c>
      <c r="Q366" s="105">
        <f>(Yield_Originals!$H366*Yield_Originals!Q$1)/Yield_Originals!$K366</f>
        <v>7.8101580590767508E-2</v>
      </c>
      <c r="R366" s="105">
        <f>(Yield_Originals!$H366*Yield_Originals!R$1)/Yield_Originals!$K366</f>
        <v>8.0212434120247714E-2</v>
      </c>
      <c r="S366" s="105">
        <f>(Yield_Originals!$H366*Yield_Originals!S$1)/Yield_Originals!$K366</f>
        <v>8.2323287649727919E-2</v>
      </c>
      <c r="T366" s="107">
        <f>(Yield_Originals!$I366*Yield_Originals!T$1)/Yield_Originals!$K366</f>
        <v>8.1642764214703969E-2</v>
      </c>
      <c r="U366" s="107">
        <f>(Yield_Originals!$I366*Yield_Originals!U$1)/Yield_Originals!$K366</f>
        <v>8.3683833320071552E-2</v>
      </c>
      <c r="V366" s="107">
        <f>(Yield_Originals!$I366*Yield_Originals!V$1)/Yield_Originals!$K366</f>
        <v>8.5724902425439162E-2</v>
      </c>
      <c r="W366" s="107">
        <f>(Yield_Originals!$I366*Yield_Originals!W$1)/Yield_Originals!$K366</f>
        <v>8.7765971530806744E-2</v>
      </c>
      <c r="X366" s="108">
        <f>(Yield_Originals!$J366*Yield_Originals!X$1)/Yield_Originals!$K366</f>
        <v>9.165441227012415E-2</v>
      </c>
      <c r="Y366" s="108">
        <f>(Yield_Originals!$J366*Yield_Originals!Y$1)/Yield_Originals!$K366</f>
        <v>9.3737467094445137E-2</v>
      </c>
      <c r="Z366" s="108">
        <f>(Yield_Originals!$J366*Yield_Originals!Z$1)/Yield_Originals!$K366</f>
        <v>9.5820521918766152E-2</v>
      </c>
      <c r="AA366" s="108">
        <f>(Yield_Originals!$J366*Yield_Originals!AA$1)/Yield_Originals!$K366</f>
        <v>9.7903576743087126E-2</v>
      </c>
      <c r="AB366" s="108">
        <f>(Yield_Originals!$J366*Yield_Originals!AB$1)/Yield_Originals!$K366</f>
        <v>9.9986631567408141E-2</v>
      </c>
    </row>
    <row r="367" spans="1:28" x14ac:dyDescent="0.25">
      <c r="A367" s="72" t="s">
        <v>904</v>
      </c>
      <c r="B367" s="72">
        <v>1</v>
      </c>
      <c r="C367" s="99" t="s">
        <v>201</v>
      </c>
      <c r="D367" s="99" t="s">
        <v>903</v>
      </c>
      <c r="E367" s="100">
        <v>8</v>
      </c>
      <c r="F367" s="102">
        <v>5.8150345429141499E-2</v>
      </c>
      <c r="G367" s="102">
        <v>5.8150345429141499E-2</v>
      </c>
      <c r="H367" s="102">
        <f>+(Yield_Originals!I367+Yield_Originals!G367)/2</f>
        <v>5.62894274528054E-2</v>
      </c>
      <c r="I367" s="102">
        <v>5.4428509476469301E-2</v>
      </c>
      <c r="J367" s="102">
        <v>5.5548128648560097E-2</v>
      </c>
      <c r="K367" s="103">
        <v>1</v>
      </c>
      <c r="L367" s="104">
        <f>(Yield_Originals!$G367*Yield_Originals!L$1)/Yield_Originals!$K367</f>
        <v>6.9780414514969816E-2</v>
      </c>
      <c r="M367" s="104">
        <f>(Yield_Originals!$G367*Yield_Originals!M$1)/Yield_Originals!$K367</f>
        <v>7.1961052468562603E-2</v>
      </c>
      <c r="N367" s="104">
        <f>(Yield_Originals!$G367*Yield_Originals!N$1)/Yield_Originals!$K367</f>
        <v>7.4141690422155418E-2</v>
      </c>
      <c r="O367" s="104">
        <f>(Yield_Originals!$G367*Yield_Originals!O$1)/Yield_Originals!$K367</f>
        <v>7.6322328375748233E-2</v>
      </c>
      <c r="P367" s="105">
        <f>(Yield_Originals!$H367*Yield_Originals!P$1)/Yield_Originals!$K367</f>
        <v>7.5990727061287289E-2</v>
      </c>
      <c r="Q367" s="105">
        <f>(Yield_Originals!$H367*Yield_Originals!Q$1)/Yield_Originals!$K367</f>
        <v>7.8101580590767508E-2</v>
      </c>
      <c r="R367" s="105">
        <f>(Yield_Originals!$H367*Yield_Originals!R$1)/Yield_Originals!$K367</f>
        <v>8.0212434120247714E-2</v>
      </c>
      <c r="S367" s="105">
        <f>(Yield_Originals!$H367*Yield_Originals!S$1)/Yield_Originals!$K367</f>
        <v>8.2323287649727919E-2</v>
      </c>
      <c r="T367" s="107">
        <f>(Yield_Originals!$I367*Yield_Originals!T$1)/Yield_Originals!$K367</f>
        <v>8.1642764214703969E-2</v>
      </c>
      <c r="U367" s="107">
        <f>(Yield_Originals!$I367*Yield_Originals!U$1)/Yield_Originals!$K367</f>
        <v>8.3683833320071552E-2</v>
      </c>
      <c r="V367" s="107">
        <f>(Yield_Originals!$I367*Yield_Originals!V$1)/Yield_Originals!$K367</f>
        <v>8.5724902425439162E-2</v>
      </c>
      <c r="W367" s="107">
        <f>(Yield_Originals!$I367*Yield_Originals!W$1)/Yield_Originals!$K367</f>
        <v>8.7765971530806744E-2</v>
      </c>
      <c r="X367" s="108">
        <f>(Yield_Originals!$J367*Yield_Originals!X$1)/Yield_Originals!$K367</f>
        <v>9.165441227012415E-2</v>
      </c>
      <c r="Y367" s="108">
        <f>(Yield_Originals!$J367*Yield_Originals!Y$1)/Yield_Originals!$K367</f>
        <v>9.3737467094445137E-2</v>
      </c>
      <c r="Z367" s="108">
        <f>(Yield_Originals!$J367*Yield_Originals!Z$1)/Yield_Originals!$K367</f>
        <v>9.5820521918766152E-2</v>
      </c>
      <c r="AA367" s="108">
        <f>(Yield_Originals!$J367*Yield_Originals!AA$1)/Yield_Originals!$K367</f>
        <v>9.7903576743087126E-2</v>
      </c>
      <c r="AB367" s="108">
        <f>(Yield_Originals!$J367*Yield_Originals!AB$1)/Yield_Originals!$K367</f>
        <v>9.9986631567408141E-2</v>
      </c>
    </row>
    <row r="368" spans="1:28" x14ac:dyDescent="0.25">
      <c r="A368" s="72" t="s">
        <v>904</v>
      </c>
      <c r="B368" s="72">
        <v>1</v>
      </c>
      <c r="C368" s="99" t="s">
        <v>324</v>
      </c>
      <c r="D368" s="99" t="s">
        <v>906</v>
      </c>
      <c r="E368" s="100">
        <v>7</v>
      </c>
      <c r="F368" s="102">
        <v>5.8150345429141499E-2</v>
      </c>
      <c r="G368" s="102">
        <v>5.8150345429141499E-2</v>
      </c>
      <c r="H368" s="102">
        <f>+(Yield_Originals!I368+Yield_Originals!G368)/2</f>
        <v>5.62894274528054E-2</v>
      </c>
      <c r="I368" s="102">
        <v>5.4428509476469301E-2</v>
      </c>
      <c r="J368" s="102">
        <v>5.5548128648560097E-2</v>
      </c>
      <c r="K368" s="103">
        <v>1</v>
      </c>
      <c r="L368" s="104">
        <f>(Yield_Originals!$G368*Yield_Originals!L$1)/Yield_Originals!$K368</f>
        <v>6.9780414514969816E-2</v>
      </c>
      <c r="M368" s="104">
        <f>(Yield_Originals!$G368*Yield_Originals!M$1)/Yield_Originals!$K368</f>
        <v>7.1961052468562603E-2</v>
      </c>
      <c r="N368" s="104">
        <f>(Yield_Originals!$G368*Yield_Originals!N$1)/Yield_Originals!$K368</f>
        <v>7.4141690422155418E-2</v>
      </c>
      <c r="O368" s="104">
        <f>(Yield_Originals!$G368*Yield_Originals!O$1)/Yield_Originals!$K368</f>
        <v>7.6322328375748233E-2</v>
      </c>
      <c r="P368" s="105">
        <f>(Yield_Originals!$H368*Yield_Originals!P$1)/Yield_Originals!$K368</f>
        <v>7.5990727061287289E-2</v>
      </c>
      <c r="Q368" s="105">
        <f>(Yield_Originals!$H368*Yield_Originals!Q$1)/Yield_Originals!$K368</f>
        <v>7.8101580590767508E-2</v>
      </c>
      <c r="R368" s="105">
        <f>(Yield_Originals!$H368*Yield_Originals!R$1)/Yield_Originals!$K368</f>
        <v>8.0212434120247714E-2</v>
      </c>
      <c r="S368" s="105">
        <f>(Yield_Originals!$H368*Yield_Originals!S$1)/Yield_Originals!$K368</f>
        <v>8.2323287649727919E-2</v>
      </c>
      <c r="T368" s="107">
        <f>(Yield_Originals!$I368*Yield_Originals!T$1)/Yield_Originals!$K368</f>
        <v>8.1642764214703969E-2</v>
      </c>
      <c r="U368" s="107">
        <f>(Yield_Originals!$I368*Yield_Originals!U$1)/Yield_Originals!$K368</f>
        <v>8.3683833320071552E-2</v>
      </c>
      <c r="V368" s="107">
        <f>(Yield_Originals!$I368*Yield_Originals!V$1)/Yield_Originals!$K368</f>
        <v>8.5724902425439162E-2</v>
      </c>
      <c r="W368" s="107">
        <f>(Yield_Originals!$I368*Yield_Originals!W$1)/Yield_Originals!$K368</f>
        <v>8.7765971530806744E-2</v>
      </c>
      <c r="X368" s="108">
        <f>(Yield_Originals!$J368*Yield_Originals!X$1)/Yield_Originals!$K368</f>
        <v>9.165441227012415E-2</v>
      </c>
      <c r="Y368" s="108">
        <f>(Yield_Originals!$J368*Yield_Originals!Y$1)/Yield_Originals!$K368</f>
        <v>9.3737467094445137E-2</v>
      </c>
      <c r="Z368" s="108">
        <f>(Yield_Originals!$J368*Yield_Originals!Z$1)/Yield_Originals!$K368</f>
        <v>9.5820521918766152E-2</v>
      </c>
      <c r="AA368" s="108">
        <f>(Yield_Originals!$J368*Yield_Originals!AA$1)/Yield_Originals!$K368</f>
        <v>9.7903576743087126E-2</v>
      </c>
      <c r="AB368" s="108">
        <f>(Yield_Originals!$J368*Yield_Originals!AB$1)/Yield_Originals!$K368</f>
        <v>9.9986631567408141E-2</v>
      </c>
    </row>
    <row r="369" spans="1:28" x14ac:dyDescent="0.25">
      <c r="A369" s="72" t="s">
        <v>904</v>
      </c>
      <c r="B369" s="72">
        <v>1</v>
      </c>
      <c r="C369" s="99" t="s">
        <v>324</v>
      </c>
      <c r="D369" s="99" t="s">
        <v>906</v>
      </c>
      <c r="E369" s="100">
        <v>8</v>
      </c>
      <c r="F369" s="102">
        <v>5.8150345429141499E-2</v>
      </c>
      <c r="G369" s="102">
        <v>5.8150345429141499E-2</v>
      </c>
      <c r="H369" s="102">
        <f>+(Yield_Originals!I369+Yield_Originals!G369)/2</f>
        <v>5.62894274528054E-2</v>
      </c>
      <c r="I369" s="102">
        <v>5.4428509476469301E-2</v>
      </c>
      <c r="J369" s="102">
        <v>5.5548128648560097E-2</v>
      </c>
      <c r="K369" s="103">
        <v>1</v>
      </c>
      <c r="L369" s="104">
        <f>(Yield_Originals!$G369*Yield_Originals!L$1)/Yield_Originals!$K369</f>
        <v>6.9780414514969816E-2</v>
      </c>
      <c r="M369" s="104">
        <f>(Yield_Originals!$G369*Yield_Originals!M$1)/Yield_Originals!$K369</f>
        <v>7.1961052468562603E-2</v>
      </c>
      <c r="N369" s="104">
        <f>(Yield_Originals!$G369*Yield_Originals!N$1)/Yield_Originals!$K369</f>
        <v>7.4141690422155418E-2</v>
      </c>
      <c r="O369" s="104">
        <f>(Yield_Originals!$G369*Yield_Originals!O$1)/Yield_Originals!$K369</f>
        <v>7.6322328375748233E-2</v>
      </c>
      <c r="P369" s="105">
        <f>(Yield_Originals!$H369*Yield_Originals!P$1)/Yield_Originals!$K369</f>
        <v>7.5990727061287289E-2</v>
      </c>
      <c r="Q369" s="105">
        <f>(Yield_Originals!$H369*Yield_Originals!Q$1)/Yield_Originals!$K369</f>
        <v>7.8101580590767508E-2</v>
      </c>
      <c r="R369" s="105">
        <f>(Yield_Originals!$H369*Yield_Originals!R$1)/Yield_Originals!$K369</f>
        <v>8.0212434120247714E-2</v>
      </c>
      <c r="S369" s="105">
        <f>(Yield_Originals!$H369*Yield_Originals!S$1)/Yield_Originals!$K369</f>
        <v>8.2323287649727919E-2</v>
      </c>
      <c r="T369" s="107">
        <f>(Yield_Originals!$I369*Yield_Originals!T$1)/Yield_Originals!$K369</f>
        <v>8.1642764214703969E-2</v>
      </c>
      <c r="U369" s="107">
        <f>(Yield_Originals!$I369*Yield_Originals!U$1)/Yield_Originals!$K369</f>
        <v>8.3683833320071552E-2</v>
      </c>
      <c r="V369" s="107">
        <f>(Yield_Originals!$I369*Yield_Originals!V$1)/Yield_Originals!$K369</f>
        <v>8.5724902425439162E-2</v>
      </c>
      <c r="W369" s="107">
        <f>(Yield_Originals!$I369*Yield_Originals!W$1)/Yield_Originals!$K369</f>
        <v>8.7765971530806744E-2</v>
      </c>
      <c r="X369" s="108">
        <f>(Yield_Originals!$J369*Yield_Originals!X$1)/Yield_Originals!$K369</f>
        <v>9.165441227012415E-2</v>
      </c>
      <c r="Y369" s="108">
        <f>(Yield_Originals!$J369*Yield_Originals!Y$1)/Yield_Originals!$K369</f>
        <v>9.3737467094445137E-2</v>
      </c>
      <c r="Z369" s="108">
        <f>(Yield_Originals!$J369*Yield_Originals!Z$1)/Yield_Originals!$K369</f>
        <v>9.5820521918766152E-2</v>
      </c>
      <c r="AA369" s="108">
        <f>(Yield_Originals!$J369*Yield_Originals!AA$1)/Yield_Originals!$K369</f>
        <v>9.7903576743087126E-2</v>
      </c>
      <c r="AB369" s="108">
        <f>(Yield_Originals!$J369*Yield_Originals!AB$1)/Yield_Originals!$K369</f>
        <v>9.9986631567408141E-2</v>
      </c>
    </row>
    <row r="370" spans="1:28" x14ac:dyDescent="0.25">
      <c r="A370" s="72" t="s">
        <v>904</v>
      </c>
      <c r="B370" s="72">
        <v>1</v>
      </c>
      <c r="C370" s="99" t="s">
        <v>1264</v>
      </c>
      <c r="D370" s="99" t="s">
        <v>927</v>
      </c>
      <c r="E370" s="100">
        <v>7</v>
      </c>
      <c r="F370" s="102">
        <v>5.8150345429141499E-2</v>
      </c>
      <c r="G370" s="102">
        <v>5.8150345429141499E-2</v>
      </c>
      <c r="H370" s="102">
        <f>+(Yield_Originals!I370+Yield_Originals!G370)/2</f>
        <v>5.62894274528054E-2</v>
      </c>
      <c r="I370" s="102">
        <v>5.4428509476469301E-2</v>
      </c>
      <c r="J370" s="102">
        <v>5.5548128648560097E-2</v>
      </c>
      <c r="K370" s="103">
        <v>1</v>
      </c>
      <c r="L370" s="104">
        <f>(Yield_Originals!$G370*Yield_Originals!L$1)/Yield_Originals!$K370</f>
        <v>6.9780414514969816E-2</v>
      </c>
      <c r="M370" s="104">
        <f>(Yield_Originals!$G370*Yield_Originals!M$1)/Yield_Originals!$K370</f>
        <v>7.1961052468562603E-2</v>
      </c>
      <c r="N370" s="104">
        <f>(Yield_Originals!$G370*Yield_Originals!N$1)/Yield_Originals!$K370</f>
        <v>7.4141690422155418E-2</v>
      </c>
      <c r="O370" s="104">
        <f>(Yield_Originals!$G370*Yield_Originals!O$1)/Yield_Originals!$K370</f>
        <v>7.6322328375748233E-2</v>
      </c>
      <c r="P370" s="105">
        <f>(Yield_Originals!$H370*Yield_Originals!P$1)/Yield_Originals!$K370</f>
        <v>7.5990727061287289E-2</v>
      </c>
      <c r="Q370" s="105">
        <f>(Yield_Originals!$H370*Yield_Originals!Q$1)/Yield_Originals!$K370</f>
        <v>7.8101580590767508E-2</v>
      </c>
      <c r="R370" s="105">
        <f>(Yield_Originals!$H370*Yield_Originals!R$1)/Yield_Originals!$K370</f>
        <v>8.0212434120247714E-2</v>
      </c>
      <c r="S370" s="105">
        <f>(Yield_Originals!$H370*Yield_Originals!S$1)/Yield_Originals!$K370</f>
        <v>8.2323287649727919E-2</v>
      </c>
      <c r="T370" s="107">
        <f>(Yield_Originals!$I370*Yield_Originals!T$1)/Yield_Originals!$K370</f>
        <v>8.1642764214703969E-2</v>
      </c>
      <c r="U370" s="107">
        <f>(Yield_Originals!$I370*Yield_Originals!U$1)/Yield_Originals!$K370</f>
        <v>8.3683833320071552E-2</v>
      </c>
      <c r="V370" s="107">
        <f>(Yield_Originals!$I370*Yield_Originals!V$1)/Yield_Originals!$K370</f>
        <v>8.5724902425439162E-2</v>
      </c>
      <c r="W370" s="107">
        <f>(Yield_Originals!$I370*Yield_Originals!W$1)/Yield_Originals!$K370</f>
        <v>8.7765971530806744E-2</v>
      </c>
      <c r="X370" s="108">
        <f>(Yield_Originals!$J370*Yield_Originals!X$1)/Yield_Originals!$K370</f>
        <v>9.165441227012415E-2</v>
      </c>
      <c r="Y370" s="108">
        <f>(Yield_Originals!$J370*Yield_Originals!Y$1)/Yield_Originals!$K370</f>
        <v>9.3737467094445137E-2</v>
      </c>
      <c r="Z370" s="108">
        <f>(Yield_Originals!$J370*Yield_Originals!Z$1)/Yield_Originals!$K370</f>
        <v>9.5820521918766152E-2</v>
      </c>
      <c r="AA370" s="108">
        <f>(Yield_Originals!$J370*Yield_Originals!AA$1)/Yield_Originals!$K370</f>
        <v>9.7903576743087126E-2</v>
      </c>
      <c r="AB370" s="108">
        <f>(Yield_Originals!$J370*Yield_Originals!AB$1)/Yield_Originals!$K370</f>
        <v>9.9986631567408141E-2</v>
      </c>
    </row>
    <row r="371" spans="1:28" x14ac:dyDescent="0.25">
      <c r="A371" s="72" t="s">
        <v>904</v>
      </c>
      <c r="B371" s="72">
        <v>1</v>
      </c>
      <c r="C371" s="99" t="s">
        <v>1264</v>
      </c>
      <c r="D371" s="99" t="s">
        <v>927</v>
      </c>
      <c r="E371" s="100">
        <v>8</v>
      </c>
      <c r="F371" s="102">
        <v>5.8150345429141499E-2</v>
      </c>
      <c r="G371" s="102">
        <v>5.8150345429141499E-2</v>
      </c>
      <c r="H371" s="102">
        <f>+(Yield_Originals!I371+Yield_Originals!G371)/2</f>
        <v>5.62894274528054E-2</v>
      </c>
      <c r="I371" s="102">
        <v>5.4428509476469301E-2</v>
      </c>
      <c r="J371" s="102">
        <v>5.5548128648560097E-2</v>
      </c>
      <c r="K371" s="103">
        <v>1</v>
      </c>
      <c r="L371" s="104">
        <f>(Yield_Originals!$G371*Yield_Originals!L$1)/Yield_Originals!$K371</f>
        <v>6.9780414514969816E-2</v>
      </c>
      <c r="M371" s="104">
        <f>(Yield_Originals!$G371*Yield_Originals!M$1)/Yield_Originals!$K371</f>
        <v>7.1961052468562603E-2</v>
      </c>
      <c r="N371" s="104">
        <f>(Yield_Originals!$G371*Yield_Originals!N$1)/Yield_Originals!$K371</f>
        <v>7.4141690422155418E-2</v>
      </c>
      <c r="O371" s="104">
        <f>(Yield_Originals!$G371*Yield_Originals!O$1)/Yield_Originals!$K371</f>
        <v>7.6322328375748233E-2</v>
      </c>
      <c r="P371" s="105">
        <f>(Yield_Originals!$H371*Yield_Originals!P$1)/Yield_Originals!$K371</f>
        <v>7.5990727061287289E-2</v>
      </c>
      <c r="Q371" s="105">
        <f>(Yield_Originals!$H371*Yield_Originals!Q$1)/Yield_Originals!$K371</f>
        <v>7.8101580590767508E-2</v>
      </c>
      <c r="R371" s="105">
        <f>(Yield_Originals!$H371*Yield_Originals!R$1)/Yield_Originals!$K371</f>
        <v>8.0212434120247714E-2</v>
      </c>
      <c r="S371" s="105">
        <f>(Yield_Originals!$H371*Yield_Originals!S$1)/Yield_Originals!$K371</f>
        <v>8.2323287649727919E-2</v>
      </c>
      <c r="T371" s="107">
        <f>(Yield_Originals!$I371*Yield_Originals!T$1)/Yield_Originals!$K371</f>
        <v>8.1642764214703969E-2</v>
      </c>
      <c r="U371" s="107">
        <f>(Yield_Originals!$I371*Yield_Originals!U$1)/Yield_Originals!$K371</f>
        <v>8.3683833320071552E-2</v>
      </c>
      <c r="V371" s="107">
        <f>(Yield_Originals!$I371*Yield_Originals!V$1)/Yield_Originals!$K371</f>
        <v>8.5724902425439162E-2</v>
      </c>
      <c r="W371" s="107">
        <f>(Yield_Originals!$I371*Yield_Originals!W$1)/Yield_Originals!$K371</f>
        <v>8.7765971530806744E-2</v>
      </c>
      <c r="X371" s="108">
        <f>(Yield_Originals!$J371*Yield_Originals!X$1)/Yield_Originals!$K371</f>
        <v>9.165441227012415E-2</v>
      </c>
      <c r="Y371" s="108">
        <f>(Yield_Originals!$J371*Yield_Originals!Y$1)/Yield_Originals!$K371</f>
        <v>9.3737467094445137E-2</v>
      </c>
      <c r="Z371" s="108">
        <f>(Yield_Originals!$J371*Yield_Originals!Z$1)/Yield_Originals!$K371</f>
        <v>9.5820521918766152E-2</v>
      </c>
      <c r="AA371" s="108">
        <f>(Yield_Originals!$J371*Yield_Originals!AA$1)/Yield_Originals!$K371</f>
        <v>9.7903576743087126E-2</v>
      </c>
      <c r="AB371" s="108">
        <f>(Yield_Originals!$J371*Yield_Originals!AB$1)/Yield_Originals!$K371</f>
        <v>9.9986631567408141E-2</v>
      </c>
    </row>
    <row r="372" spans="1:28" x14ac:dyDescent="0.25">
      <c r="A372" s="72" t="s">
        <v>904</v>
      </c>
      <c r="B372" s="72">
        <v>1</v>
      </c>
      <c r="C372" s="99" t="s">
        <v>712</v>
      </c>
      <c r="D372" s="99" t="s">
        <v>913</v>
      </c>
      <c r="E372" s="100">
        <v>7</v>
      </c>
      <c r="F372" s="102">
        <v>5.8150345429141499E-2</v>
      </c>
      <c r="G372" s="102">
        <v>5.8150345429141499E-2</v>
      </c>
      <c r="H372" s="102">
        <f>+(Yield_Originals!I372+Yield_Originals!G372)/2</f>
        <v>5.62894274528054E-2</v>
      </c>
      <c r="I372" s="102">
        <v>5.4428509476469301E-2</v>
      </c>
      <c r="J372" s="102">
        <v>5.5548128648560097E-2</v>
      </c>
      <c r="K372" s="103">
        <v>1</v>
      </c>
      <c r="L372" s="104">
        <f>(Yield_Originals!$G372*Yield_Originals!L$1)/Yield_Originals!$K372</f>
        <v>6.9780414514969816E-2</v>
      </c>
      <c r="M372" s="104">
        <f>(Yield_Originals!$G372*Yield_Originals!M$1)/Yield_Originals!$K372</f>
        <v>7.1961052468562603E-2</v>
      </c>
      <c r="N372" s="104">
        <f>(Yield_Originals!$G372*Yield_Originals!N$1)/Yield_Originals!$K372</f>
        <v>7.4141690422155418E-2</v>
      </c>
      <c r="O372" s="104">
        <f>(Yield_Originals!$G372*Yield_Originals!O$1)/Yield_Originals!$K372</f>
        <v>7.6322328375748233E-2</v>
      </c>
      <c r="P372" s="105">
        <f>(Yield_Originals!$H372*Yield_Originals!P$1)/Yield_Originals!$K372</f>
        <v>7.5990727061287289E-2</v>
      </c>
      <c r="Q372" s="105">
        <f>(Yield_Originals!$H372*Yield_Originals!Q$1)/Yield_Originals!$K372</f>
        <v>7.8101580590767508E-2</v>
      </c>
      <c r="R372" s="105">
        <f>(Yield_Originals!$H372*Yield_Originals!R$1)/Yield_Originals!$K372</f>
        <v>8.0212434120247714E-2</v>
      </c>
      <c r="S372" s="105">
        <f>(Yield_Originals!$H372*Yield_Originals!S$1)/Yield_Originals!$K372</f>
        <v>8.2323287649727919E-2</v>
      </c>
      <c r="T372" s="107">
        <f>(Yield_Originals!$I372*Yield_Originals!T$1)/Yield_Originals!$K372</f>
        <v>8.1642764214703969E-2</v>
      </c>
      <c r="U372" s="107">
        <f>(Yield_Originals!$I372*Yield_Originals!U$1)/Yield_Originals!$K372</f>
        <v>8.3683833320071552E-2</v>
      </c>
      <c r="V372" s="107">
        <f>(Yield_Originals!$I372*Yield_Originals!V$1)/Yield_Originals!$K372</f>
        <v>8.5724902425439162E-2</v>
      </c>
      <c r="W372" s="107">
        <f>(Yield_Originals!$I372*Yield_Originals!W$1)/Yield_Originals!$K372</f>
        <v>8.7765971530806744E-2</v>
      </c>
      <c r="X372" s="108">
        <f>(Yield_Originals!$J372*Yield_Originals!X$1)/Yield_Originals!$K372</f>
        <v>9.165441227012415E-2</v>
      </c>
      <c r="Y372" s="108">
        <f>(Yield_Originals!$J372*Yield_Originals!Y$1)/Yield_Originals!$K372</f>
        <v>9.3737467094445137E-2</v>
      </c>
      <c r="Z372" s="108">
        <f>(Yield_Originals!$J372*Yield_Originals!Z$1)/Yield_Originals!$K372</f>
        <v>9.5820521918766152E-2</v>
      </c>
      <c r="AA372" s="108">
        <f>(Yield_Originals!$J372*Yield_Originals!AA$1)/Yield_Originals!$K372</f>
        <v>9.7903576743087126E-2</v>
      </c>
      <c r="AB372" s="108">
        <f>(Yield_Originals!$J372*Yield_Originals!AB$1)/Yield_Originals!$K372</f>
        <v>9.9986631567408141E-2</v>
      </c>
    </row>
    <row r="373" spans="1:28" x14ac:dyDescent="0.25">
      <c r="A373" s="72" t="s">
        <v>904</v>
      </c>
      <c r="B373" s="72">
        <v>1</v>
      </c>
      <c r="C373" s="99" t="s">
        <v>712</v>
      </c>
      <c r="D373" s="99" t="s">
        <v>913</v>
      </c>
      <c r="E373" s="100">
        <v>8</v>
      </c>
      <c r="F373" s="102">
        <v>5.8150345429141499E-2</v>
      </c>
      <c r="G373" s="102">
        <v>5.8150345429141499E-2</v>
      </c>
      <c r="H373" s="102">
        <f>+(Yield_Originals!I373+Yield_Originals!G373)/2</f>
        <v>5.62894274528054E-2</v>
      </c>
      <c r="I373" s="102">
        <v>5.4428509476469301E-2</v>
      </c>
      <c r="J373" s="102">
        <v>5.5548128648560097E-2</v>
      </c>
      <c r="K373" s="103">
        <v>1</v>
      </c>
      <c r="L373" s="104">
        <f>(Yield_Originals!$G373*Yield_Originals!L$1)/Yield_Originals!$K373</f>
        <v>6.9780414514969816E-2</v>
      </c>
      <c r="M373" s="104">
        <f>(Yield_Originals!$G373*Yield_Originals!M$1)/Yield_Originals!$K373</f>
        <v>7.1961052468562603E-2</v>
      </c>
      <c r="N373" s="104">
        <f>(Yield_Originals!$G373*Yield_Originals!N$1)/Yield_Originals!$K373</f>
        <v>7.4141690422155418E-2</v>
      </c>
      <c r="O373" s="104">
        <f>(Yield_Originals!$G373*Yield_Originals!O$1)/Yield_Originals!$K373</f>
        <v>7.6322328375748233E-2</v>
      </c>
      <c r="P373" s="105">
        <f>(Yield_Originals!$H373*Yield_Originals!P$1)/Yield_Originals!$K373</f>
        <v>7.5990727061287289E-2</v>
      </c>
      <c r="Q373" s="105">
        <f>(Yield_Originals!$H373*Yield_Originals!Q$1)/Yield_Originals!$K373</f>
        <v>7.8101580590767508E-2</v>
      </c>
      <c r="R373" s="105">
        <f>(Yield_Originals!$H373*Yield_Originals!R$1)/Yield_Originals!$K373</f>
        <v>8.0212434120247714E-2</v>
      </c>
      <c r="S373" s="105">
        <f>(Yield_Originals!$H373*Yield_Originals!S$1)/Yield_Originals!$K373</f>
        <v>8.2323287649727919E-2</v>
      </c>
      <c r="T373" s="107">
        <f>(Yield_Originals!$I373*Yield_Originals!T$1)/Yield_Originals!$K373</f>
        <v>8.1642764214703969E-2</v>
      </c>
      <c r="U373" s="107">
        <f>(Yield_Originals!$I373*Yield_Originals!U$1)/Yield_Originals!$K373</f>
        <v>8.3683833320071552E-2</v>
      </c>
      <c r="V373" s="107">
        <f>(Yield_Originals!$I373*Yield_Originals!V$1)/Yield_Originals!$K373</f>
        <v>8.5724902425439162E-2</v>
      </c>
      <c r="W373" s="107">
        <f>(Yield_Originals!$I373*Yield_Originals!W$1)/Yield_Originals!$K373</f>
        <v>8.7765971530806744E-2</v>
      </c>
      <c r="X373" s="108">
        <f>(Yield_Originals!$J373*Yield_Originals!X$1)/Yield_Originals!$K373</f>
        <v>9.165441227012415E-2</v>
      </c>
      <c r="Y373" s="108">
        <f>(Yield_Originals!$J373*Yield_Originals!Y$1)/Yield_Originals!$K373</f>
        <v>9.3737467094445137E-2</v>
      </c>
      <c r="Z373" s="108">
        <f>(Yield_Originals!$J373*Yield_Originals!Z$1)/Yield_Originals!$K373</f>
        <v>9.5820521918766152E-2</v>
      </c>
      <c r="AA373" s="108">
        <f>(Yield_Originals!$J373*Yield_Originals!AA$1)/Yield_Originals!$K373</f>
        <v>9.7903576743087126E-2</v>
      </c>
      <c r="AB373" s="108">
        <f>(Yield_Originals!$J373*Yield_Originals!AB$1)/Yield_Originals!$K373</f>
        <v>9.9986631567408141E-2</v>
      </c>
    </row>
    <row r="374" spans="1:28" x14ac:dyDescent="0.25">
      <c r="A374" s="72" t="s">
        <v>904</v>
      </c>
      <c r="B374" s="72">
        <v>1</v>
      </c>
      <c r="C374" s="99" t="s">
        <v>1268</v>
      </c>
      <c r="D374" s="99" t="s">
        <v>915</v>
      </c>
      <c r="E374" s="100">
        <v>7</v>
      </c>
      <c r="F374" s="102">
        <v>5.8150345429141499E-2</v>
      </c>
      <c r="G374" s="102">
        <v>5.8150345429141499E-2</v>
      </c>
      <c r="H374" s="102">
        <f>+(Yield_Originals!I374+Yield_Originals!G374)/2</f>
        <v>5.62894274528054E-2</v>
      </c>
      <c r="I374" s="102">
        <v>5.4428509476469301E-2</v>
      </c>
      <c r="J374" s="102">
        <v>5.5548128648560097E-2</v>
      </c>
      <c r="K374" s="103">
        <v>1</v>
      </c>
      <c r="L374" s="104">
        <f>(Yield_Originals!$G374*Yield_Originals!L$1)/Yield_Originals!$K374</f>
        <v>6.9780414514969816E-2</v>
      </c>
      <c r="M374" s="104">
        <f>(Yield_Originals!$G374*Yield_Originals!M$1)/Yield_Originals!$K374</f>
        <v>7.1961052468562603E-2</v>
      </c>
      <c r="N374" s="104">
        <f>(Yield_Originals!$G374*Yield_Originals!N$1)/Yield_Originals!$K374</f>
        <v>7.4141690422155418E-2</v>
      </c>
      <c r="O374" s="104">
        <f>(Yield_Originals!$G374*Yield_Originals!O$1)/Yield_Originals!$K374</f>
        <v>7.6322328375748233E-2</v>
      </c>
      <c r="P374" s="105"/>
      <c r="Q374" s="105"/>
      <c r="R374" s="105"/>
      <c r="S374" s="105"/>
      <c r="T374" s="107"/>
      <c r="U374" s="107"/>
      <c r="V374" s="107"/>
      <c r="W374" s="107"/>
      <c r="X374" s="108"/>
      <c r="Y374" s="108"/>
      <c r="Z374" s="108"/>
      <c r="AA374" s="108"/>
      <c r="AB374" s="108"/>
    </row>
    <row r="375" spans="1:28" x14ac:dyDescent="0.25">
      <c r="A375" s="72" t="s">
        <v>904</v>
      </c>
      <c r="B375" s="72">
        <v>1</v>
      </c>
      <c r="C375" s="99" t="s">
        <v>1268</v>
      </c>
      <c r="D375" s="99" t="s">
        <v>915</v>
      </c>
      <c r="E375" s="100">
        <v>8</v>
      </c>
      <c r="F375" s="102">
        <v>5.8150345429141499E-2</v>
      </c>
      <c r="G375" s="102">
        <v>5.8150345429141499E-2</v>
      </c>
      <c r="H375" s="102">
        <f>+(Yield_Originals!I375+Yield_Originals!G375)/2</f>
        <v>5.62894274528054E-2</v>
      </c>
      <c r="I375" s="102">
        <v>5.4428509476469301E-2</v>
      </c>
      <c r="J375" s="102">
        <v>5.5548128648560097E-2</v>
      </c>
      <c r="K375" s="103">
        <v>1</v>
      </c>
      <c r="L375" s="104">
        <f>(Yield_Originals!$G375*Yield_Originals!L$1)/Yield_Originals!$K375</f>
        <v>6.9780414514969816E-2</v>
      </c>
      <c r="M375" s="104">
        <f>(Yield_Originals!$G375*Yield_Originals!M$1)/Yield_Originals!$K375</f>
        <v>7.1961052468562603E-2</v>
      </c>
      <c r="N375" s="104">
        <f>(Yield_Originals!$G375*Yield_Originals!N$1)/Yield_Originals!$K375</f>
        <v>7.4141690422155418E-2</v>
      </c>
      <c r="O375" s="104">
        <f>(Yield_Originals!$G375*Yield_Originals!O$1)/Yield_Originals!$K375</f>
        <v>7.6322328375748233E-2</v>
      </c>
      <c r="P375" s="105"/>
      <c r="Q375" s="105"/>
      <c r="R375" s="105"/>
      <c r="S375" s="105"/>
      <c r="T375" s="107"/>
      <c r="U375" s="107"/>
      <c r="V375" s="107"/>
      <c r="W375" s="107"/>
      <c r="X375" s="108"/>
      <c r="Y375" s="108"/>
      <c r="Z375" s="108"/>
      <c r="AA375" s="108"/>
      <c r="AB375" s="108"/>
    </row>
    <row r="376" spans="1:28" x14ac:dyDescent="0.25">
      <c r="A376" s="72" t="s">
        <v>904</v>
      </c>
      <c r="B376" s="72">
        <v>1</v>
      </c>
      <c r="C376" s="99" t="s">
        <v>714</v>
      </c>
      <c r="D376" s="99" t="s">
        <v>917</v>
      </c>
      <c r="E376" s="100">
        <v>7</v>
      </c>
      <c r="F376" s="102">
        <v>5.8150345429141499E-2</v>
      </c>
      <c r="G376" s="102">
        <v>5.8150345429141499E-2</v>
      </c>
      <c r="H376" s="102">
        <f>+(Yield_Originals!I376+Yield_Originals!G376)/2</f>
        <v>5.62894274528054E-2</v>
      </c>
      <c r="I376" s="102">
        <v>5.4428509476469301E-2</v>
      </c>
      <c r="J376" s="102">
        <v>5.5548128648560097E-2</v>
      </c>
      <c r="K376" s="103">
        <v>1</v>
      </c>
      <c r="L376" s="104">
        <f>(Yield_Originals!$G376*Yield_Originals!L$1)/Yield_Originals!$K376</f>
        <v>6.9780414514969816E-2</v>
      </c>
      <c r="M376" s="104">
        <f>(Yield_Originals!$G376*Yield_Originals!M$1)/Yield_Originals!$K376</f>
        <v>7.1961052468562603E-2</v>
      </c>
      <c r="N376" s="104">
        <f>(Yield_Originals!$G376*Yield_Originals!N$1)/Yield_Originals!$K376</f>
        <v>7.4141690422155418E-2</v>
      </c>
      <c r="O376" s="104">
        <f>(Yield_Originals!$G376*Yield_Originals!O$1)/Yield_Originals!$K376</f>
        <v>7.6322328375748233E-2</v>
      </c>
      <c r="P376" s="105">
        <f>(Yield_Originals!$H376*Yield_Originals!P$1)/Yield_Originals!$K376</f>
        <v>7.5990727061287289E-2</v>
      </c>
      <c r="Q376" s="105">
        <f>(Yield_Originals!$H376*Yield_Originals!Q$1)/Yield_Originals!$K376</f>
        <v>7.8101580590767508E-2</v>
      </c>
      <c r="R376" s="105">
        <f>(Yield_Originals!$H376*Yield_Originals!R$1)/Yield_Originals!$K376</f>
        <v>8.0212434120247714E-2</v>
      </c>
      <c r="S376" s="105">
        <f>(Yield_Originals!$H376*Yield_Originals!S$1)/Yield_Originals!$K376</f>
        <v>8.2323287649727919E-2</v>
      </c>
      <c r="T376" s="107">
        <f>(Yield_Originals!$I376*Yield_Originals!T$1)/Yield_Originals!$K376</f>
        <v>8.1642764214703969E-2</v>
      </c>
      <c r="U376" s="107">
        <f>(Yield_Originals!$I376*Yield_Originals!U$1)/Yield_Originals!$K376</f>
        <v>8.3683833320071552E-2</v>
      </c>
      <c r="V376" s="107">
        <f>(Yield_Originals!$I376*Yield_Originals!V$1)/Yield_Originals!$K376</f>
        <v>8.5724902425439162E-2</v>
      </c>
      <c r="W376" s="107">
        <f>(Yield_Originals!$I376*Yield_Originals!W$1)/Yield_Originals!$K376</f>
        <v>8.7765971530806744E-2</v>
      </c>
      <c r="X376" s="108">
        <f>(Yield_Originals!$J376*Yield_Originals!X$1)/Yield_Originals!$K376</f>
        <v>9.165441227012415E-2</v>
      </c>
      <c r="Y376" s="108">
        <f>(Yield_Originals!$J376*Yield_Originals!Y$1)/Yield_Originals!$K376</f>
        <v>9.3737467094445137E-2</v>
      </c>
      <c r="Z376" s="108">
        <f>(Yield_Originals!$J376*Yield_Originals!Z$1)/Yield_Originals!$K376</f>
        <v>9.5820521918766152E-2</v>
      </c>
      <c r="AA376" s="108">
        <f>(Yield_Originals!$J376*Yield_Originals!AA$1)/Yield_Originals!$K376</f>
        <v>9.7903576743087126E-2</v>
      </c>
      <c r="AB376" s="108">
        <f>(Yield_Originals!$J376*Yield_Originals!AB$1)/Yield_Originals!$K376</f>
        <v>9.9986631567408141E-2</v>
      </c>
    </row>
    <row r="377" spans="1:28" x14ac:dyDescent="0.25">
      <c r="A377" s="72" t="s">
        <v>904</v>
      </c>
      <c r="B377" s="72">
        <v>1</v>
      </c>
      <c r="C377" s="99" t="s">
        <v>714</v>
      </c>
      <c r="D377" s="99" t="s">
        <v>917</v>
      </c>
      <c r="E377" s="100">
        <v>8</v>
      </c>
      <c r="F377" s="102">
        <v>5.8150345429141499E-2</v>
      </c>
      <c r="G377" s="102">
        <v>5.8150345429141499E-2</v>
      </c>
      <c r="H377" s="102">
        <f>+(Yield_Originals!I377+Yield_Originals!G377)/2</f>
        <v>5.62894274528054E-2</v>
      </c>
      <c r="I377" s="102">
        <v>5.4428509476469301E-2</v>
      </c>
      <c r="J377" s="102">
        <v>5.5548128648560097E-2</v>
      </c>
      <c r="K377" s="103">
        <v>1</v>
      </c>
      <c r="L377" s="104">
        <f>(Yield_Originals!$G377*Yield_Originals!L$1)/Yield_Originals!$K377</f>
        <v>6.9780414514969816E-2</v>
      </c>
      <c r="M377" s="104">
        <f>(Yield_Originals!$G377*Yield_Originals!M$1)/Yield_Originals!$K377</f>
        <v>7.1961052468562603E-2</v>
      </c>
      <c r="N377" s="104">
        <f>(Yield_Originals!$G377*Yield_Originals!N$1)/Yield_Originals!$K377</f>
        <v>7.4141690422155418E-2</v>
      </c>
      <c r="O377" s="104">
        <f>(Yield_Originals!$G377*Yield_Originals!O$1)/Yield_Originals!$K377</f>
        <v>7.6322328375748233E-2</v>
      </c>
      <c r="P377" s="105">
        <f>(Yield_Originals!$H377*Yield_Originals!P$1)/Yield_Originals!$K377</f>
        <v>7.5990727061287289E-2</v>
      </c>
      <c r="Q377" s="105">
        <f>(Yield_Originals!$H377*Yield_Originals!Q$1)/Yield_Originals!$K377</f>
        <v>7.8101580590767508E-2</v>
      </c>
      <c r="R377" s="105">
        <f>(Yield_Originals!$H377*Yield_Originals!R$1)/Yield_Originals!$K377</f>
        <v>8.0212434120247714E-2</v>
      </c>
      <c r="S377" s="105">
        <f>(Yield_Originals!$H377*Yield_Originals!S$1)/Yield_Originals!$K377</f>
        <v>8.2323287649727919E-2</v>
      </c>
      <c r="T377" s="107">
        <f>(Yield_Originals!$I377*Yield_Originals!T$1)/Yield_Originals!$K377</f>
        <v>8.1642764214703969E-2</v>
      </c>
      <c r="U377" s="107">
        <f>(Yield_Originals!$I377*Yield_Originals!U$1)/Yield_Originals!$K377</f>
        <v>8.3683833320071552E-2</v>
      </c>
      <c r="V377" s="107">
        <f>(Yield_Originals!$I377*Yield_Originals!V$1)/Yield_Originals!$K377</f>
        <v>8.5724902425439162E-2</v>
      </c>
      <c r="W377" s="107">
        <f>(Yield_Originals!$I377*Yield_Originals!W$1)/Yield_Originals!$K377</f>
        <v>8.7765971530806744E-2</v>
      </c>
      <c r="X377" s="108">
        <f>(Yield_Originals!$J377*Yield_Originals!X$1)/Yield_Originals!$K377</f>
        <v>9.165441227012415E-2</v>
      </c>
      <c r="Y377" s="108">
        <f>(Yield_Originals!$J377*Yield_Originals!Y$1)/Yield_Originals!$K377</f>
        <v>9.3737467094445137E-2</v>
      </c>
      <c r="Z377" s="108">
        <f>(Yield_Originals!$J377*Yield_Originals!Z$1)/Yield_Originals!$K377</f>
        <v>9.5820521918766152E-2</v>
      </c>
      <c r="AA377" s="108">
        <f>(Yield_Originals!$J377*Yield_Originals!AA$1)/Yield_Originals!$K377</f>
        <v>9.7903576743087126E-2</v>
      </c>
      <c r="AB377" s="108">
        <f>(Yield_Originals!$J377*Yield_Originals!AB$1)/Yield_Originals!$K377</f>
        <v>9.9986631567408141E-2</v>
      </c>
    </row>
    <row r="378" spans="1:28" x14ac:dyDescent="0.25">
      <c r="A378" s="72" t="s">
        <v>904</v>
      </c>
      <c r="B378" s="72">
        <v>1</v>
      </c>
      <c r="C378" s="99" t="s">
        <v>1272</v>
      </c>
      <c r="D378" s="99" t="s">
        <v>919</v>
      </c>
      <c r="E378" s="100">
        <v>7</v>
      </c>
      <c r="F378" s="102">
        <v>5.8150345429141499E-2</v>
      </c>
      <c r="G378" s="102">
        <v>5.8150345429141499E-2</v>
      </c>
      <c r="H378" s="102">
        <f>+(Yield_Originals!I378+Yield_Originals!G378)/2</f>
        <v>5.62894274528054E-2</v>
      </c>
      <c r="I378" s="102">
        <v>5.4428509476469301E-2</v>
      </c>
      <c r="J378" s="102">
        <v>5.5548128648560097E-2</v>
      </c>
      <c r="K378" s="103">
        <v>1</v>
      </c>
      <c r="L378" s="104">
        <f>(Yield_Originals!$G378*Yield_Originals!L$1)/Yield_Originals!$K378</f>
        <v>6.9780414514969816E-2</v>
      </c>
      <c r="M378" s="104">
        <f>(Yield_Originals!$G378*Yield_Originals!M$1)/Yield_Originals!$K378</f>
        <v>7.1961052468562603E-2</v>
      </c>
      <c r="N378" s="104">
        <f>(Yield_Originals!$G378*Yield_Originals!N$1)/Yield_Originals!$K378</f>
        <v>7.4141690422155418E-2</v>
      </c>
      <c r="O378" s="104">
        <f>(Yield_Originals!$G378*Yield_Originals!O$1)/Yield_Originals!$K378</f>
        <v>7.6322328375748233E-2</v>
      </c>
      <c r="P378" s="105">
        <f>(Yield_Originals!$H378*Yield_Originals!P$1)/Yield_Originals!$K378</f>
        <v>7.5990727061287289E-2</v>
      </c>
      <c r="Q378" s="105">
        <f>(Yield_Originals!$H378*Yield_Originals!Q$1)/Yield_Originals!$K378</f>
        <v>7.8101580590767508E-2</v>
      </c>
      <c r="R378" s="105">
        <f>(Yield_Originals!$H378*Yield_Originals!R$1)/Yield_Originals!$K378</f>
        <v>8.0212434120247714E-2</v>
      </c>
      <c r="S378" s="105">
        <f>(Yield_Originals!$H378*Yield_Originals!S$1)/Yield_Originals!$K378</f>
        <v>8.2323287649727919E-2</v>
      </c>
      <c r="T378" s="107">
        <f>(Yield_Originals!$I378*Yield_Originals!T$1)/Yield_Originals!$K378</f>
        <v>8.1642764214703969E-2</v>
      </c>
      <c r="U378" s="107">
        <f>(Yield_Originals!$I378*Yield_Originals!U$1)/Yield_Originals!$K378</f>
        <v>8.3683833320071552E-2</v>
      </c>
      <c r="V378" s="107">
        <f>(Yield_Originals!$I378*Yield_Originals!V$1)/Yield_Originals!$K378</f>
        <v>8.5724902425439162E-2</v>
      </c>
      <c r="W378" s="107">
        <f>(Yield_Originals!$I378*Yield_Originals!W$1)/Yield_Originals!$K378</f>
        <v>8.7765971530806744E-2</v>
      </c>
      <c r="X378" s="108">
        <f>(Yield_Originals!$J378*Yield_Originals!X$1)/Yield_Originals!$K378</f>
        <v>9.165441227012415E-2</v>
      </c>
      <c r="Y378" s="108">
        <f>(Yield_Originals!$J378*Yield_Originals!Y$1)/Yield_Originals!$K378</f>
        <v>9.3737467094445137E-2</v>
      </c>
      <c r="Z378" s="108">
        <f>(Yield_Originals!$J378*Yield_Originals!Z$1)/Yield_Originals!$K378</f>
        <v>9.5820521918766152E-2</v>
      </c>
      <c r="AA378" s="108">
        <f>(Yield_Originals!$J378*Yield_Originals!AA$1)/Yield_Originals!$K378</f>
        <v>9.7903576743087126E-2</v>
      </c>
      <c r="AB378" s="108">
        <f>(Yield_Originals!$J378*Yield_Originals!AB$1)/Yield_Originals!$K378</f>
        <v>9.9986631567408141E-2</v>
      </c>
    </row>
    <row r="379" spans="1:28" x14ac:dyDescent="0.25">
      <c r="A379" s="72" t="s">
        <v>904</v>
      </c>
      <c r="B379" s="72">
        <v>1</v>
      </c>
      <c r="C379" s="99" t="s">
        <v>1272</v>
      </c>
      <c r="D379" s="99" t="s">
        <v>919</v>
      </c>
      <c r="E379" s="100">
        <v>8</v>
      </c>
      <c r="F379" s="102">
        <v>5.8150345429141499E-2</v>
      </c>
      <c r="G379" s="102">
        <v>5.8150345429141499E-2</v>
      </c>
      <c r="H379" s="102">
        <f>+(Yield_Originals!I379+Yield_Originals!G379)/2</f>
        <v>5.62894274528054E-2</v>
      </c>
      <c r="I379" s="102">
        <v>5.4428509476469301E-2</v>
      </c>
      <c r="J379" s="102">
        <v>5.5548128648560097E-2</v>
      </c>
      <c r="K379" s="103">
        <v>1</v>
      </c>
      <c r="L379" s="104">
        <f>(Yield_Originals!$G379*Yield_Originals!L$1)/Yield_Originals!$K379</f>
        <v>6.9780414514969816E-2</v>
      </c>
      <c r="M379" s="104">
        <f>(Yield_Originals!$G379*Yield_Originals!M$1)/Yield_Originals!$K379</f>
        <v>7.1961052468562603E-2</v>
      </c>
      <c r="N379" s="104">
        <f>(Yield_Originals!$G379*Yield_Originals!N$1)/Yield_Originals!$K379</f>
        <v>7.4141690422155418E-2</v>
      </c>
      <c r="O379" s="104">
        <f>(Yield_Originals!$G379*Yield_Originals!O$1)/Yield_Originals!$K379</f>
        <v>7.6322328375748233E-2</v>
      </c>
      <c r="P379" s="105">
        <f>(Yield_Originals!$H379*Yield_Originals!P$1)/Yield_Originals!$K379</f>
        <v>7.5990727061287289E-2</v>
      </c>
      <c r="Q379" s="105">
        <f>(Yield_Originals!$H379*Yield_Originals!Q$1)/Yield_Originals!$K379</f>
        <v>7.8101580590767508E-2</v>
      </c>
      <c r="R379" s="105">
        <f>(Yield_Originals!$H379*Yield_Originals!R$1)/Yield_Originals!$K379</f>
        <v>8.0212434120247714E-2</v>
      </c>
      <c r="S379" s="105">
        <f>(Yield_Originals!$H379*Yield_Originals!S$1)/Yield_Originals!$K379</f>
        <v>8.2323287649727919E-2</v>
      </c>
      <c r="T379" s="107">
        <f>(Yield_Originals!$I379*Yield_Originals!T$1)/Yield_Originals!$K379</f>
        <v>8.1642764214703969E-2</v>
      </c>
      <c r="U379" s="107">
        <f>(Yield_Originals!$I379*Yield_Originals!U$1)/Yield_Originals!$K379</f>
        <v>8.3683833320071552E-2</v>
      </c>
      <c r="V379" s="107">
        <f>(Yield_Originals!$I379*Yield_Originals!V$1)/Yield_Originals!$K379</f>
        <v>8.5724902425439162E-2</v>
      </c>
      <c r="W379" s="107">
        <f>(Yield_Originals!$I379*Yield_Originals!W$1)/Yield_Originals!$K379</f>
        <v>8.7765971530806744E-2</v>
      </c>
      <c r="X379" s="108">
        <f>(Yield_Originals!$J379*Yield_Originals!X$1)/Yield_Originals!$K379</f>
        <v>9.165441227012415E-2</v>
      </c>
      <c r="Y379" s="108">
        <f>(Yield_Originals!$J379*Yield_Originals!Y$1)/Yield_Originals!$K379</f>
        <v>9.3737467094445137E-2</v>
      </c>
      <c r="Z379" s="108">
        <f>(Yield_Originals!$J379*Yield_Originals!Z$1)/Yield_Originals!$K379</f>
        <v>9.5820521918766152E-2</v>
      </c>
      <c r="AA379" s="108">
        <f>(Yield_Originals!$J379*Yield_Originals!AA$1)/Yield_Originals!$K379</f>
        <v>9.7903576743087126E-2</v>
      </c>
      <c r="AB379" s="108">
        <f>(Yield_Originals!$J379*Yield_Originals!AB$1)/Yield_Originals!$K379</f>
        <v>9.9986631567408141E-2</v>
      </c>
    </row>
    <row r="380" spans="1:28" x14ac:dyDescent="0.25">
      <c r="A380" s="72" t="s">
        <v>904</v>
      </c>
      <c r="B380" s="72">
        <v>1</v>
      </c>
      <c r="C380" s="99" t="s">
        <v>202</v>
      </c>
      <c r="D380" s="99" t="s">
        <v>922</v>
      </c>
      <c r="E380" s="100">
        <v>7</v>
      </c>
      <c r="F380" s="102">
        <v>5.8150345429141499E-2</v>
      </c>
      <c r="G380" s="102">
        <v>5.8150345429141499E-2</v>
      </c>
      <c r="H380" s="102">
        <f>+(Yield_Originals!I380+Yield_Originals!G380)/2</f>
        <v>5.62894274528054E-2</v>
      </c>
      <c r="I380" s="102">
        <v>5.4428509476469301E-2</v>
      </c>
      <c r="J380" s="102">
        <v>5.5548128648560097E-2</v>
      </c>
      <c r="K380" s="103">
        <v>1</v>
      </c>
      <c r="L380" s="104"/>
      <c r="M380" s="104"/>
      <c r="N380" s="104"/>
      <c r="O380" s="104"/>
      <c r="P380" s="105"/>
      <c r="Q380" s="105"/>
      <c r="R380" s="105"/>
      <c r="S380" s="105"/>
      <c r="T380" s="107"/>
      <c r="U380" s="107">
        <f>(Yield_Originals!$I380*Yield_Originals!U$1)/Yield_Originals!$K380</f>
        <v>8.3683833320071552E-2</v>
      </c>
      <c r="V380" s="107">
        <f>(Yield_Originals!$I380*Yield_Originals!V$1)/Yield_Originals!$K380</f>
        <v>8.5724902425439162E-2</v>
      </c>
      <c r="W380" s="107">
        <f>(Yield_Originals!$I380*Yield_Originals!W$1)/Yield_Originals!$K380</f>
        <v>8.7765971530806744E-2</v>
      </c>
      <c r="X380" s="108">
        <f>(Yield_Originals!$J380*Yield_Originals!X$1)/Yield_Originals!$K380</f>
        <v>9.165441227012415E-2</v>
      </c>
      <c r="Y380" s="108">
        <f>(Yield_Originals!$J380*Yield_Originals!Y$1)/Yield_Originals!$K380</f>
        <v>9.3737467094445137E-2</v>
      </c>
      <c r="Z380" s="108">
        <f>(Yield_Originals!$J380*Yield_Originals!Z$1)/Yield_Originals!$K380</f>
        <v>9.5820521918766152E-2</v>
      </c>
      <c r="AA380" s="108">
        <f>(Yield_Originals!$J380*Yield_Originals!AA$1)/Yield_Originals!$K380</f>
        <v>9.7903576743087126E-2</v>
      </c>
      <c r="AB380" s="108">
        <f>(Yield_Originals!$J380*Yield_Originals!AB$1)/Yield_Originals!$K380</f>
        <v>9.9986631567408141E-2</v>
      </c>
    </row>
    <row r="381" spans="1:28" x14ac:dyDescent="0.25">
      <c r="A381" s="72" t="s">
        <v>904</v>
      </c>
      <c r="B381" s="72">
        <v>1</v>
      </c>
      <c r="C381" s="99" t="s">
        <v>202</v>
      </c>
      <c r="D381" s="99" t="s">
        <v>922</v>
      </c>
      <c r="E381" s="100">
        <v>8</v>
      </c>
      <c r="F381" s="102">
        <v>5.8150345429141499E-2</v>
      </c>
      <c r="G381" s="102">
        <v>5.8150345429141499E-2</v>
      </c>
      <c r="H381" s="102">
        <f>+(Yield_Originals!I381+Yield_Originals!G381)/2</f>
        <v>5.62894274528054E-2</v>
      </c>
      <c r="I381" s="102">
        <v>5.4428509476469301E-2</v>
      </c>
      <c r="J381" s="102">
        <v>5.5548128648560097E-2</v>
      </c>
      <c r="K381" s="103">
        <v>1</v>
      </c>
      <c r="L381" s="104"/>
      <c r="M381" s="104"/>
      <c r="N381" s="104"/>
      <c r="O381" s="104"/>
      <c r="P381" s="105"/>
      <c r="Q381" s="105"/>
      <c r="R381" s="105"/>
      <c r="S381" s="105"/>
      <c r="T381" s="107"/>
      <c r="U381" s="107">
        <f>(Yield_Originals!$I381*Yield_Originals!U$1)/Yield_Originals!$K381</f>
        <v>8.3683833320071552E-2</v>
      </c>
      <c r="V381" s="107">
        <f>(Yield_Originals!$I381*Yield_Originals!V$1)/Yield_Originals!$K381</f>
        <v>8.5724902425439162E-2</v>
      </c>
      <c r="W381" s="107">
        <f>(Yield_Originals!$I381*Yield_Originals!W$1)/Yield_Originals!$K381</f>
        <v>8.7765971530806744E-2</v>
      </c>
      <c r="X381" s="108">
        <f>(Yield_Originals!$J381*Yield_Originals!X$1)/Yield_Originals!$K381</f>
        <v>9.165441227012415E-2</v>
      </c>
      <c r="Y381" s="108">
        <f>(Yield_Originals!$J381*Yield_Originals!Y$1)/Yield_Originals!$K381</f>
        <v>9.3737467094445137E-2</v>
      </c>
      <c r="Z381" s="108">
        <f>(Yield_Originals!$J381*Yield_Originals!Z$1)/Yield_Originals!$K381</f>
        <v>9.5820521918766152E-2</v>
      </c>
      <c r="AA381" s="108">
        <f>(Yield_Originals!$J381*Yield_Originals!AA$1)/Yield_Originals!$K381</f>
        <v>9.7903576743087126E-2</v>
      </c>
      <c r="AB381" s="108">
        <f>(Yield_Originals!$J381*Yield_Originals!AB$1)/Yield_Originals!$K381</f>
        <v>9.9986631567408141E-2</v>
      </c>
    </row>
    <row r="382" spans="1:28" x14ac:dyDescent="0.25">
      <c r="A382" s="72" t="s">
        <v>904</v>
      </c>
      <c r="B382" s="72">
        <v>1</v>
      </c>
      <c r="C382" s="99" t="s">
        <v>1278</v>
      </c>
      <c r="D382" s="99" t="s">
        <v>925</v>
      </c>
      <c r="E382" s="100">
        <v>7</v>
      </c>
      <c r="F382" s="102">
        <v>5.8150345429141499E-2</v>
      </c>
      <c r="G382" s="102">
        <v>5.8150345429141499E-2</v>
      </c>
      <c r="H382" s="102">
        <f>+(Yield_Originals!I382+Yield_Originals!G382)/2</f>
        <v>5.62894274528054E-2</v>
      </c>
      <c r="I382" s="102">
        <v>5.4428509476469301E-2</v>
      </c>
      <c r="J382" s="102">
        <v>5.5548128648560097E-2</v>
      </c>
      <c r="K382" s="103">
        <v>1</v>
      </c>
      <c r="L382" s="104"/>
      <c r="M382" s="104"/>
      <c r="N382" s="104"/>
      <c r="O382" s="104"/>
      <c r="P382" s="105"/>
      <c r="Q382" s="105"/>
      <c r="R382" s="105"/>
      <c r="S382" s="105"/>
      <c r="T382" s="107"/>
      <c r="U382" s="107">
        <f>(Yield_Originals!$I382*Yield_Originals!U$1)/Yield_Originals!$K382</f>
        <v>8.3683833320071552E-2</v>
      </c>
      <c r="V382" s="107">
        <f>(Yield_Originals!$I382*Yield_Originals!V$1)/Yield_Originals!$K382</f>
        <v>8.5724902425439162E-2</v>
      </c>
      <c r="W382" s="107">
        <f>(Yield_Originals!$I382*Yield_Originals!W$1)/Yield_Originals!$K382</f>
        <v>8.7765971530806744E-2</v>
      </c>
      <c r="X382" s="108">
        <f>(Yield_Originals!$J382*Yield_Originals!X$1)/Yield_Originals!$K382</f>
        <v>9.165441227012415E-2</v>
      </c>
      <c r="Y382" s="108">
        <f>(Yield_Originals!$J382*Yield_Originals!Y$1)/Yield_Originals!$K382</f>
        <v>9.3737467094445137E-2</v>
      </c>
      <c r="Z382" s="108">
        <f>(Yield_Originals!$J382*Yield_Originals!Z$1)/Yield_Originals!$K382</f>
        <v>9.5820521918766152E-2</v>
      </c>
      <c r="AA382" s="108">
        <f>(Yield_Originals!$J382*Yield_Originals!AA$1)/Yield_Originals!$K382</f>
        <v>9.7903576743087126E-2</v>
      </c>
      <c r="AB382" s="108">
        <f>(Yield_Originals!$J382*Yield_Originals!AB$1)/Yield_Originals!$K382</f>
        <v>9.9986631567408141E-2</v>
      </c>
    </row>
    <row r="383" spans="1:28" x14ac:dyDescent="0.25">
      <c r="A383" s="72" t="s">
        <v>904</v>
      </c>
      <c r="B383" s="72">
        <v>1</v>
      </c>
      <c r="C383" s="99" t="s">
        <v>1278</v>
      </c>
      <c r="D383" s="99" t="s">
        <v>925</v>
      </c>
      <c r="E383" s="100">
        <v>8</v>
      </c>
      <c r="F383" s="102">
        <v>5.8150345429141499E-2</v>
      </c>
      <c r="G383" s="102">
        <v>5.8150345429141499E-2</v>
      </c>
      <c r="H383" s="102">
        <f>+(Yield_Originals!I383+Yield_Originals!G383)/2</f>
        <v>5.62894274528054E-2</v>
      </c>
      <c r="I383" s="102">
        <v>5.4428509476469301E-2</v>
      </c>
      <c r="J383" s="102">
        <v>5.5548128648560097E-2</v>
      </c>
      <c r="K383" s="103">
        <v>1</v>
      </c>
      <c r="L383" s="104"/>
      <c r="M383" s="104"/>
      <c r="N383" s="104"/>
      <c r="O383" s="104"/>
      <c r="P383" s="105"/>
      <c r="Q383" s="105"/>
      <c r="R383" s="105"/>
      <c r="S383" s="105"/>
      <c r="T383" s="107"/>
      <c r="U383" s="107">
        <f>(Yield_Originals!$I383*Yield_Originals!U$1)/Yield_Originals!$K383</f>
        <v>8.3683833320071552E-2</v>
      </c>
      <c r="V383" s="107">
        <f>(Yield_Originals!$I383*Yield_Originals!V$1)/Yield_Originals!$K383</f>
        <v>8.5724902425439162E-2</v>
      </c>
      <c r="W383" s="107">
        <f>(Yield_Originals!$I383*Yield_Originals!W$1)/Yield_Originals!$K383</f>
        <v>8.7765971530806744E-2</v>
      </c>
      <c r="X383" s="108">
        <f>(Yield_Originals!$J383*Yield_Originals!X$1)/Yield_Originals!$K383</f>
        <v>9.165441227012415E-2</v>
      </c>
      <c r="Y383" s="108">
        <f>(Yield_Originals!$J383*Yield_Originals!Y$1)/Yield_Originals!$K383</f>
        <v>9.3737467094445137E-2</v>
      </c>
      <c r="Z383" s="108">
        <f>(Yield_Originals!$J383*Yield_Originals!Z$1)/Yield_Originals!$K383</f>
        <v>9.5820521918766152E-2</v>
      </c>
      <c r="AA383" s="108">
        <f>(Yield_Originals!$J383*Yield_Originals!AA$1)/Yield_Originals!$K383</f>
        <v>9.7903576743087126E-2</v>
      </c>
      <c r="AB383" s="108">
        <f>(Yield_Originals!$J383*Yield_Originals!AB$1)/Yield_Originals!$K383</f>
        <v>9.9986631567408141E-2</v>
      </c>
    </row>
    <row r="384" spans="1:28" x14ac:dyDescent="0.25">
      <c r="A384" s="72" t="s">
        <v>931</v>
      </c>
      <c r="B384" s="72">
        <v>1</v>
      </c>
      <c r="C384" s="99" t="s">
        <v>1280</v>
      </c>
      <c r="D384" s="99" t="s">
        <v>936</v>
      </c>
      <c r="E384" s="100">
        <v>8</v>
      </c>
      <c r="F384" s="102">
        <v>3.4890222838916497E-2</v>
      </c>
      <c r="G384" s="102">
        <v>3.4890222838916497E-2</v>
      </c>
      <c r="H384" s="102">
        <f>+(Yield_Originals!I384+Yield_Originals!G384)/2</f>
        <v>3.4288737510048448E-2</v>
      </c>
      <c r="I384" s="102">
        <v>3.3687252181180398E-2</v>
      </c>
      <c r="J384" s="102">
        <v>3.4405835448635798E-2</v>
      </c>
      <c r="K384" s="103">
        <v>1</v>
      </c>
      <c r="L384" s="104"/>
      <c r="M384" s="104"/>
      <c r="N384" s="104"/>
      <c r="O384" s="104"/>
      <c r="P384" s="105"/>
      <c r="Q384" s="105"/>
      <c r="R384" s="105"/>
      <c r="S384" s="105"/>
      <c r="T384" s="107"/>
      <c r="U384" s="107">
        <f>(Yield_Originals!$I384*Yield_Originals!U$1)/Yield_Originals!$K384</f>
        <v>5.1794150228564866E-2</v>
      </c>
      <c r="V384" s="107">
        <f>(Yield_Originals!$I384*Yield_Originals!V$1)/Yield_Originals!$K384</f>
        <v>5.3057422185359131E-2</v>
      </c>
      <c r="W384" s="107">
        <f>(Yield_Originals!$I384*Yield_Originals!W$1)/Yield_Originals!$K384</f>
        <v>5.4320694142153389E-2</v>
      </c>
      <c r="X384" s="108">
        <f>(Yield_Originals!$J384*Yield_Originals!X$1)/Yield_Originals!$K384</f>
        <v>5.6769628490249066E-2</v>
      </c>
      <c r="Y384" s="108">
        <f>(Yield_Originals!$J384*Yield_Originals!Y$1)/Yield_Originals!$K384</f>
        <v>5.8059847319572894E-2</v>
      </c>
      <c r="Z384" s="108">
        <f>(Yield_Originals!$J384*Yield_Originals!Z$1)/Yield_Originals!$K384</f>
        <v>5.9350066148896742E-2</v>
      </c>
      <c r="AA384" s="108">
        <f>(Yield_Originals!$J384*Yield_Originals!AA$1)/Yield_Originals!$K384</f>
        <v>6.064028497822057E-2</v>
      </c>
      <c r="AB384" s="108">
        <f>(Yield_Originals!$J384*Yield_Originals!AB$1)/Yield_Originals!$K384</f>
        <v>6.1930503807544418E-2</v>
      </c>
    </row>
    <row r="385" spans="1:28" x14ac:dyDescent="0.25">
      <c r="A385" s="72" t="s">
        <v>931</v>
      </c>
      <c r="B385" s="72">
        <v>1</v>
      </c>
      <c r="C385" s="99" t="s">
        <v>717</v>
      </c>
      <c r="D385" s="99" t="s">
        <v>938</v>
      </c>
      <c r="E385" s="100">
        <v>8</v>
      </c>
      <c r="F385" s="102">
        <v>3.4890222838916497E-2</v>
      </c>
      <c r="G385" s="102">
        <v>3.4890222838916497E-2</v>
      </c>
      <c r="H385" s="102">
        <f>+(Yield_Originals!I385+Yield_Originals!G385)/2</f>
        <v>3.4288737510048448E-2</v>
      </c>
      <c r="I385" s="102">
        <v>3.3687252181180398E-2</v>
      </c>
      <c r="J385" s="102">
        <v>3.4405835448635798E-2</v>
      </c>
      <c r="K385" s="103">
        <v>1</v>
      </c>
      <c r="L385" s="104">
        <f>(Yield_Originals!$G385*Yield_Originals!L$1)/Yield_Originals!$K385</f>
        <v>4.18682674066998E-2</v>
      </c>
      <c r="M385" s="104">
        <f>(Yield_Originals!$G385*Yield_Originals!M$1)/Yield_Originals!$K385</f>
        <v>4.3176650763159165E-2</v>
      </c>
      <c r="N385" s="104">
        <f>(Yield_Originals!$G385*Yield_Originals!N$1)/Yield_Originals!$K385</f>
        <v>4.4485034119618537E-2</v>
      </c>
      <c r="O385" s="104">
        <f>(Yield_Originals!$G385*Yield_Originals!O$1)/Yield_Originals!$K385</f>
        <v>4.5793417476077909E-2</v>
      </c>
      <c r="P385" s="105">
        <f>(Yield_Originals!$H385*Yield_Originals!P$1)/Yield_Originals!$K385</f>
        <v>4.6289795638565411E-2</v>
      </c>
      <c r="Q385" s="105">
        <f>(Yield_Originals!$H385*Yield_Originals!Q$1)/Yield_Originals!$K385</f>
        <v>4.7575623295192229E-2</v>
      </c>
      <c r="R385" s="105">
        <f>(Yield_Originals!$H385*Yield_Originals!R$1)/Yield_Originals!$K385</f>
        <v>4.8861450951819048E-2</v>
      </c>
      <c r="S385" s="105">
        <f>(Yield_Originals!$H385*Yield_Originals!S$1)/Yield_Originals!$K385</f>
        <v>5.0147278608445867E-2</v>
      </c>
      <c r="T385" s="107">
        <f>(Yield_Originals!$I385*Yield_Originals!T$1)/Yield_Originals!$K385</f>
        <v>5.0530878271770614E-2</v>
      </c>
      <c r="U385" s="107">
        <f>(Yield_Originals!$I385*Yield_Originals!U$1)/Yield_Originals!$K385</f>
        <v>5.1794150228564866E-2</v>
      </c>
      <c r="V385" s="107">
        <f>(Yield_Originals!$I385*Yield_Originals!V$1)/Yield_Originals!$K385</f>
        <v>5.3057422185359131E-2</v>
      </c>
      <c r="W385" s="107">
        <f>(Yield_Originals!$I385*Yield_Originals!W$1)/Yield_Originals!$K385</f>
        <v>5.4320694142153389E-2</v>
      </c>
      <c r="X385" s="108">
        <f>(Yield_Originals!$J385*Yield_Originals!X$1)/Yield_Originals!$K385</f>
        <v>5.6769628490249066E-2</v>
      </c>
      <c r="Y385" s="108">
        <f>(Yield_Originals!$J385*Yield_Originals!Y$1)/Yield_Originals!$K385</f>
        <v>5.8059847319572894E-2</v>
      </c>
      <c r="Z385" s="108">
        <f>(Yield_Originals!$J385*Yield_Originals!Z$1)/Yield_Originals!$K385</f>
        <v>5.9350066148896742E-2</v>
      </c>
      <c r="AA385" s="108">
        <f>(Yield_Originals!$J385*Yield_Originals!AA$1)/Yield_Originals!$K385</f>
        <v>6.064028497822057E-2</v>
      </c>
      <c r="AB385" s="108">
        <f>(Yield_Originals!$J385*Yield_Originals!AB$1)/Yield_Originals!$K385</f>
        <v>6.1930503807544418E-2</v>
      </c>
    </row>
    <row r="386" spans="1:28" x14ac:dyDescent="0.25">
      <c r="A386" s="72" t="s">
        <v>931</v>
      </c>
      <c r="B386" s="72">
        <v>1</v>
      </c>
      <c r="C386" s="99" t="s">
        <v>1285</v>
      </c>
      <c r="D386" s="99" t="s">
        <v>940</v>
      </c>
      <c r="E386" s="100">
        <v>8</v>
      </c>
      <c r="F386" s="102">
        <v>3.4890222838916497E-2</v>
      </c>
      <c r="G386" s="102">
        <v>3.4890222838916497E-2</v>
      </c>
      <c r="H386" s="102">
        <f>+(Yield_Originals!I386+Yield_Originals!G386)/2</f>
        <v>3.4288737510048448E-2</v>
      </c>
      <c r="I386" s="102">
        <v>3.3687252181180398E-2</v>
      </c>
      <c r="J386" s="102">
        <v>3.4405835448635798E-2</v>
      </c>
      <c r="K386" s="103">
        <v>1</v>
      </c>
      <c r="L386" s="104">
        <f>(Yield_Originals!$G386*Yield_Originals!L$1)/Yield_Originals!$K386</f>
        <v>4.18682674066998E-2</v>
      </c>
      <c r="M386" s="104">
        <f>(Yield_Originals!$G386*Yield_Originals!M$1)/Yield_Originals!$K386</f>
        <v>4.3176650763159165E-2</v>
      </c>
      <c r="N386" s="104">
        <f>(Yield_Originals!$G386*Yield_Originals!N$1)/Yield_Originals!$K386</f>
        <v>4.4485034119618537E-2</v>
      </c>
      <c r="O386" s="104">
        <f>(Yield_Originals!$G386*Yield_Originals!O$1)/Yield_Originals!$K386</f>
        <v>4.5793417476077909E-2</v>
      </c>
      <c r="P386" s="105">
        <f>(Yield_Originals!$H386*Yield_Originals!P$1)/Yield_Originals!$K386</f>
        <v>4.6289795638565411E-2</v>
      </c>
      <c r="Q386" s="105">
        <f>(Yield_Originals!$H386*Yield_Originals!Q$1)/Yield_Originals!$K386</f>
        <v>4.7575623295192229E-2</v>
      </c>
      <c r="R386" s="105">
        <f>(Yield_Originals!$H386*Yield_Originals!R$1)/Yield_Originals!$K386</f>
        <v>4.8861450951819048E-2</v>
      </c>
      <c r="S386" s="105">
        <f>(Yield_Originals!$H386*Yield_Originals!S$1)/Yield_Originals!$K386</f>
        <v>5.0147278608445867E-2</v>
      </c>
      <c r="T386" s="107">
        <f>(Yield_Originals!$I386*Yield_Originals!T$1)/Yield_Originals!$K386</f>
        <v>5.0530878271770614E-2</v>
      </c>
      <c r="U386" s="107">
        <f>(Yield_Originals!$I386*Yield_Originals!U$1)/Yield_Originals!$K386</f>
        <v>5.1794150228564866E-2</v>
      </c>
      <c r="V386" s="107">
        <f>(Yield_Originals!$I386*Yield_Originals!V$1)/Yield_Originals!$K386</f>
        <v>5.3057422185359131E-2</v>
      </c>
      <c r="W386" s="107">
        <f>(Yield_Originals!$I386*Yield_Originals!W$1)/Yield_Originals!$K386</f>
        <v>5.4320694142153389E-2</v>
      </c>
      <c r="X386" s="108">
        <f>(Yield_Originals!$J386*Yield_Originals!X$1)/Yield_Originals!$K386</f>
        <v>5.6769628490249066E-2</v>
      </c>
      <c r="Y386" s="108">
        <f>(Yield_Originals!$J386*Yield_Originals!Y$1)/Yield_Originals!$K386</f>
        <v>5.8059847319572894E-2</v>
      </c>
      <c r="Z386" s="108">
        <f>(Yield_Originals!$J386*Yield_Originals!Z$1)/Yield_Originals!$K386</f>
        <v>5.9350066148896742E-2</v>
      </c>
      <c r="AA386" s="108">
        <f>(Yield_Originals!$J386*Yield_Originals!AA$1)/Yield_Originals!$K386</f>
        <v>6.064028497822057E-2</v>
      </c>
      <c r="AB386" s="108">
        <f>(Yield_Originals!$J386*Yield_Originals!AB$1)/Yield_Originals!$K386</f>
        <v>6.1930503807544418E-2</v>
      </c>
    </row>
    <row r="387" spans="1:28" x14ac:dyDescent="0.25">
      <c r="A387" s="72" t="s">
        <v>931</v>
      </c>
      <c r="B387" s="72">
        <v>1</v>
      </c>
      <c r="C387" s="99" t="s">
        <v>203</v>
      </c>
      <c r="D387" s="99" t="s">
        <v>930</v>
      </c>
      <c r="E387" s="100">
        <v>8</v>
      </c>
      <c r="F387" s="102">
        <v>3.4890222838916497E-2</v>
      </c>
      <c r="G387" s="102">
        <v>3.4890222838916497E-2</v>
      </c>
      <c r="H387" s="102">
        <f>+(Yield_Originals!I387+Yield_Originals!G387)/2</f>
        <v>3.4288737510048448E-2</v>
      </c>
      <c r="I387" s="102">
        <v>3.3687252181180398E-2</v>
      </c>
      <c r="J387" s="102">
        <v>3.4405835448635798E-2</v>
      </c>
      <c r="K387" s="103">
        <v>1</v>
      </c>
      <c r="L387" s="104">
        <f>(Yield_Originals!$G387*Yield_Originals!L$1)/Yield_Originals!$K387</f>
        <v>4.18682674066998E-2</v>
      </c>
      <c r="M387" s="104">
        <f>(Yield_Originals!$G387*Yield_Originals!M$1)/Yield_Originals!$K387</f>
        <v>4.3176650763159165E-2</v>
      </c>
      <c r="N387" s="104">
        <f>(Yield_Originals!$G387*Yield_Originals!N$1)/Yield_Originals!$K387</f>
        <v>4.4485034119618537E-2</v>
      </c>
      <c r="O387" s="104">
        <f>(Yield_Originals!$G387*Yield_Originals!O$1)/Yield_Originals!$K387</f>
        <v>4.5793417476077909E-2</v>
      </c>
      <c r="P387" s="105">
        <f>(Yield_Originals!$H387*Yield_Originals!P$1)/Yield_Originals!$K387</f>
        <v>4.6289795638565411E-2</v>
      </c>
      <c r="Q387" s="105">
        <f>(Yield_Originals!$H387*Yield_Originals!Q$1)/Yield_Originals!$K387</f>
        <v>4.7575623295192229E-2</v>
      </c>
      <c r="R387" s="105">
        <f>(Yield_Originals!$H387*Yield_Originals!R$1)/Yield_Originals!$K387</f>
        <v>4.8861450951819048E-2</v>
      </c>
      <c r="S387" s="105">
        <f>(Yield_Originals!$H387*Yield_Originals!S$1)/Yield_Originals!$K387</f>
        <v>5.0147278608445867E-2</v>
      </c>
      <c r="T387" s="107">
        <f>(Yield_Originals!$I387*Yield_Originals!T$1)/Yield_Originals!$K387</f>
        <v>5.0530878271770614E-2</v>
      </c>
      <c r="U387" s="107">
        <f>(Yield_Originals!$I387*Yield_Originals!U$1)/Yield_Originals!$K387</f>
        <v>5.1794150228564866E-2</v>
      </c>
      <c r="V387" s="107">
        <f>(Yield_Originals!$I387*Yield_Originals!V$1)/Yield_Originals!$K387</f>
        <v>5.3057422185359131E-2</v>
      </c>
      <c r="W387" s="107">
        <f>(Yield_Originals!$I387*Yield_Originals!W$1)/Yield_Originals!$K387</f>
        <v>5.4320694142153389E-2</v>
      </c>
      <c r="X387" s="108">
        <f>(Yield_Originals!$J387*Yield_Originals!X$1)/Yield_Originals!$K387</f>
        <v>5.6769628490249066E-2</v>
      </c>
      <c r="Y387" s="108">
        <f>(Yield_Originals!$J387*Yield_Originals!Y$1)/Yield_Originals!$K387</f>
        <v>5.8059847319572894E-2</v>
      </c>
      <c r="Z387" s="108">
        <f>(Yield_Originals!$J387*Yield_Originals!Z$1)/Yield_Originals!$K387</f>
        <v>5.9350066148896742E-2</v>
      </c>
      <c r="AA387" s="108">
        <f>(Yield_Originals!$J387*Yield_Originals!AA$1)/Yield_Originals!$K387</f>
        <v>6.064028497822057E-2</v>
      </c>
      <c r="AB387" s="108">
        <f>(Yield_Originals!$J387*Yield_Originals!AB$1)/Yield_Originals!$K387</f>
        <v>6.1930503807544418E-2</v>
      </c>
    </row>
    <row r="388" spans="1:28" x14ac:dyDescent="0.25">
      <c r="A388" s="72" t="s">
        <v>931</v>
      </c>
      <c r="B388" s="72">
        <v>1</v>
      </c>
      <c r="C388" s="99" t="s">
        <v>325</v>
      </c>
      <c r="D388" s="99" t="s">
        <v>934</v>
      </c>
      <c r="E388" s="100">
        <v>8</v>
      </c>
      <c r="F388" s="102">
        <v>3.4890222838916497E-2</v>
      </c>
      <c r="G388" s="102">
        <v>3.4890222838916497E-2</v>
      </c>
      <c r="H388" s="102">
        <f>+(Yield_Originals!I388+Yield_Originals!G388)/2</f>
        <v>3.4288737510048448E-2</v>
      </c>
      <c r="I388" s="102">
        <v>3.3687252181180398E-2</v>
      </c>
      <c r="J388" s="102">
        <v>3.4405835448635798E-2</v>
      </c>
      <c r="K388" s="103">
        <v>1</v>
      </c>
      <c r="L388" s="104">
        <f>(Yield_Originals!$G388*Yield_Originals!L$1)/Yield_Originals!$K388</f>
        <v>4.18682674066998E-2</v>
      </c>
      <c r="M388" s="104">
        <f>(Yield_Originals!$G388*Yield_Originals!M$1)/Yield_Originals!$K388</f>
        <v>4.3176650763159165E-2</v>
      </c>
      <c r="N388" s="104">
        <f>(Yield_Originals!$G388*Yield_Originals!N$1)/Yield_Originals!$K388</f>
        <v>4.4485034119618537E-2</v>
      </c>
      <c r="O388" s="104">
        <f>(Yield_Originals!$G388*Yield_Originals!O$1)/Yield_Originals!$K388</f>
        <v>4.5793417476077909E-2</v>
      </c>
      <c r="P388" s="105">
        <f>(Yield_Originals!$H388*Yield_Originals!P$1)/Yield_Originals!$K388</f>
        <v>4.6289795638565411E-2</v>
      </c>
      <c r="Q388" s="105">
        <f>(Yield_Originals!$H388*Yield_Originals!Q$1)/Yield_Originals!$K388</f>
        <v>4.7575623295192229E-2</v>
      </c>
      <c r="R388" s="105">
        <f>(Yield_Originals!$H388*Yield_Originals!R$1)/Yield_Originals!$K388</f>
        <v>4.8861450951819048E-2</v>
      </c>
      <c r="S388" s="105">
        <f>(Yield_Originals!$H388*Yield_Originals!S$1)/Yield_Originals!$K388</f>
        <v>5.0147278608445867E-2</v>
      </c>
      <c r="T388" s="107">
        <f>(Yield_Originals!$I388*Yield_Originals!T$1)/Yield_Originals!$K388</f>
        <v>5.0530878271770614E-2</v>
      </c>
      <c r="U388" s="107">
        <f>(Yield_Originals!$I388*Yield_Originals!U$1)/Yield_Originals!$K388</f>
        <v>5.1794150228564866E-2</v>
      </c>
      <c r="V388" s="107">
        <f>(Yield_Originals!$I388*Yield_Originals!V$1)/Yield_Originals!$K388</f>
        <v>5.3057422185359131E-2</v>
      </c>
      <c r="W388" s="107">
        <f>(Yield_Originals!$I388*Yield_Originals!W$1)/Yield_Originals!$K388</f>
        <v>5.4320694142153389E-2</v>
      </c>
      <c r="X388" s="108">
        <f>(Yield_Originals!$J388*Yield_Originals!X$1)/Yield_Originals!$K388</f>
        <v>5.6769628490249066E-2</v>
      </c>
      <c r="Y388" s="108">
        <f>(Yield_Originals!$J388*Yield_Originals!Y$1)/Yield_Originals!$K388</f>
        <v>5.8059847319572894E-2</v>
      </c>
      <c r="Z388" s="108">
        <f>(Yield_Originals!$J388*Yield_Originals!Z$1)/Yield_Originals!$K388</f>
        <v>5.9350066148896742E-2</v>
      </c>
      <c r="AA388" s="108">
        <f>(Yield_Originals!$J388*Yield_Originals!AA$1)/Yield_Originals!$K388</f>
        <v>6.064028497822057E-2</v>
      </c>
      <c r="AB388" s="108">
        <f>(Yield_Originals!$J388*Yield_Originals!AB$1)/Yield_Originals!$K388</f>
        <v>6.1930503807544418E-2</v>
      </c>
    </row>
    <row r="389" spans="1:28" x14ac:dyDescent="0.25">
      <c r="A389" s="72" t="s">
        <v>931</v>
      </c>
      <c r="B389" s="72">
        <v>1</v>
      </c>
      <c r="C389" s="99" t="s">
        <v>1291</v>
      </c>
      <c r="D389" s="99" t="s">
        <v>952</v>
      </c>
      <c r="E389" s="100">
        <v>8</v>
      </c>
      <c r="F389" s="102">
        <v>3.4890222838916497E-2</v>
      </c>
      <c r="G389" s="102">
        <v>3.4890222838916497E-2</v>
      </c>
      <c r="H389" s="102">
        <f>+(Yield_Originals!I389+Yield_Originals!G389)/2</f>
        <v>3.4288737510048448E-2</v>
      </c>
      <c r="I389" s="102">
        <v>3.3687252181180398E-2</v>
      </c>
      <c r="J389" s="102">
        <v>3.4405835448635798E-2</v>
      </c>
      <c r="K389" s="103">
        <v>1</v>
      </c>
      <c r="L389" s="104">
        <f>(Yield_Originals!$G389*Yield_Originals!L$1)/Yield_Originals!$K389</f>
        <v>4.18682674066998E-2</v>
      </c>
      <c r="M389" s="104">
        <f>(Yield_Originals!$G389*Yield_Originals!M$1)/Yield_Originals!$K389</f>
        <v>4.3176650763159165E-2</v>
      </c>
      <c r="N389" s="104">
        <f>(Yield_Originals!$G389*Yield_Originals!N$1)/Yield_Originals!$K389</f>
        <v>4.4485034119618537E-2</v>
      </c>
      <c r="O389" s="104">
        <f>(Yield_Originals!$G389*Yield_Originals!O$1)/Yield_Originals!$K389</f>
        <v>4.5793417476077909E-2</v>
      </c>
      <c r="P389" s="105">
        <f>(Yield_Originals!$H389*Yield_Originals!P$1)/Yield_Originals!$K389</f>
        <v>4.6289795638565411E-2</v>
      </c>
      <c r="Q389" s="105">
        <f>(Yield_Originals!$H389*Yield_Originals!Q$1)/Yield_Originals!$K389</f>
        <v>4.7575623295192229E-2</v>
      </c>
      <c r="R389" s="105">
        <f>(Yield_Originals!$H389*Yield_Originals!R$1)/Yield_Originals!$K389</f>
        <v>4.8861450951819048E-2</v>
      </c>
      <c r="S389" s="105">
        <f>(Yield_Originals!$H389*Yield_Originals!S$1)/Yield_Originals!$K389</f>
        <v>5.0147278608445867E-2</v>
      </c>
      <c r="T389" s="107">
        <f>(Yield_Originals!$I389*Yield_Originals!T$1)/Yield_Originals!$K389</f>
        <v>5.0530878271770614E-2</v>
      </c>
      <c r="U389" s="107">
        <f>(Yield_Originals!$I389*Yield_Originals!U$1)/Yield_Originals!$K389</f>
        <v>5.1794150228564866E-2</v>
      </c>
      <c r="V389" s="107">
        <f>(Yield_Originals!$I389*Yield_Originals!V$1)/Yield_Originals!$K389</f>
        <v>5.3057422185359131E-2</v>
      </c>
      <c r="W389" s="107">
        <f>(Yield_Originals!$I389*Yield_Originals!W$1)/Yield_Originals!$K389</f>
        <v>5.4320694142153389E-2</v>
      </c>
      <c r="X389" s="108">
        <f>(Yield_Originals!$J389*Yield_Originals!X$1)/Yield_Originals!$K389</f>
        <v>5.6769628490249066E-2</v>
      </c>
      <c r="Y389" s="108">
        <f>(Yield_Originals!$J389*Yield_Originals!Y$1)/Yield_Originals!$K389</f>
        <v>5.8059847319572894E-2</v>
      </c>
      <c r="Z389" s="108">
        <f>(Yield_Originals!$J389*Yield_Originals!Z$1)/Yield_Originals!$K389</f>
        <v>5.9350066148896742E-2</v>
      </c>
      <c r="AA389" s="108">
        <f>(Yield_Originals!$J389*Yield_Originals!AA$1)/Yield_Originals!$K389</f>
        <v>6.064028497822057E-2</v>
      </c>
      <c r="AB389" s="108">
        <f>(Yield_Originals!$J389*Yield_Originals!AB$1)/Yield_Originals!$K389</f>
        <v>6.1930503807544418E-2</v>
      </c>
    </row>
    <row r="390" spans="1:28" x14ac:dyDescent="0.25">
      <c r="A390" s="72" t="s">
        <v>931</v>
      </c>
      <c r="B390" s="72">
        <v>1</v>
      </c>
      <c r="C390" s="99" t="s">
        <v>720</v>
      </c>
      <c r="D390" s="99" t="s">
        <v>943</v>
      </c>
      <c r="E390" s="100">
        <v>8</v>
      </c>
      <c r="F390" s="102">
        <v>3.4890222838916497E-2</v>
      </c>
      <c r="G390" s="102">
        <v>3.4890222838916497E-2</v>
      </c>
      <c r="H390" s="102">
        <f>+(Yield_Originals!I390+Yield_Originals!G390)/2</f>
        <v>3.4288737510048448E-2</v>
      </c>
      <c r="I390" s="102">
        <v>3.3687252181180398E-2</v>
      </c>
      <c r="J390" s="102">
        <v>3.4405835448635798E-2</v>
      </c>
      <c r="K390" s="103">
        <v>1</v>
      </c>
      <c r="L390" s="104">
        <f>(Yield_Originals!$G390*Yield_Originals!L$1)/Yield_Originals!$K390</f>
        <v>4.18682674066998E-2</v>
      </c>
      <c r="M390" s="104">
        <f>(Yield_Originals!$G390*Yield_Originals!M$1)/Yield_Originals!$K390</f>
        <v>4.3176650763159165E-2</v>
      </c>
      <c r="N390" s="104">
        <f>(Yield_Originals!$G390*Yield_Originals!N$1)/Yield_Originals!$K390</f>
        <v>4.4485034119618537E-2</v>
      </c>
      <c r="O390" s="104">
        <f>(Yield_Originals!$G390*Yield_Originals!O$1)/Yield_Originals!$K390</f>
        <v>4.5793417476077909E-2</v>
      </c>
      <c r="P390" s="105">
        <f>(Yield_Originals!$H390*Yield_Originals!P$1)/Yield_Originals!$K390</f>
        <v>4.6289795638565411E-2</v>
      </c>
      <c r="Q390" s="105">
        <f>(Yield_Originals!$H390*Yield_Originals!Q$1)/Yield_Originals!$K390</f>
        <v>4.7575623295192229E-2</v>
      </c>
      <c r="R390" s="105">
        <f>(Yield_Originals!$H390*Yield_Originals!R$1)/Yield_Originals!$K390</f>
        <v>4.8861450951819048E-2</v>
      </c>
      <c r="S390" s="105">
        <f>(Yield_Originals!$H390*Yield_Originals!S$1)/Yield_Originals!$K390</f>
        <v>5.0147278608445867E-2</v>
      </c>
      <c r="T390" s="107">
        <f>(Yield_Originals!$I390*Yield_Originals!T$1)/Yield_Originals!$K390</f>
        <v>5.0530878271770614E-2</v>
      </c>
      <c r="U390" s="107">
        <f>(Yield_Originals!$I390*Yield_Originals!U$1)/Yield_Originals!$K390</f>
        <v>5.1794150228564866E-2</v>
      </c>
      <c r="V390" s="107">
        <f>(Yield_Originals!$I390*Yield_Originals!V$1)/Yield_Originals!$K390</f>
        <v>5.3057422185359131E-2</v>
      </c>
      <c r="W390" s="107">
        <f>(Yield_Originals!$I390*Yield_Originals!W$1)/Yield_Originals!$K390</f>
        <v>5.4320694142153389E-2</v>
      </c>
      <c r="X390" s="108">
        <f>(Yield_Originals!$J390*Yield_Originals!X$1)/Yield_Originals!$K390</f>
        <v>5.6769628490249066E-2</v>
      </c>
      <c r="Y390" s="108">
        <f>(Yield_Originals!$J390*Yield_Originals!Y$1)/Yield_Originals!$K390</f>
        <v>5.8059847319572894E-2</v>
      </c>
      <c r="Z390" s="108">
        <f>(Yield_Originals!$J390*Yield_Originals!Z$1)/Yield_Originals!$K390</f>
        <v>5.9350066148896742E-2</v>
      </c>
      <c r="AA390" s="108">
        <f>(Yield_Originals!$J390*Yield_Originals!AA$1)/Yield_Originals!$K390</f>
        <v>6.064028497822057E-2</v>
      </c>
      <c r="AB390" s="108">
        <f>(Yield_Originals!$J390*Yield_Originals!AB$1)/Yield_Originals!$K390</f>
        <v>6.1930503807544418E-2</v>
      </c>
    </row>
    <row r="391" spans="1:28" x14ac:dyDescent="0.25">
      <c r="A391" s="72" t="s">
        <v>931</v>
      </c>
      <c r="B391" s="72">
        <v>1</v>
      </c>
      <c r="C391" s="99" t="s">
        <v>1296</v>
      </c>
      <c r="D391" s="99" t="s">
        <v>945</v>
      </c>
      <c r="E391" s="100">
        <v>8</v>
      </c>
      <c r="F391" s="102">
        <v>3.4890222838916497E-2</v>
      </c>
      <c r="G391" s="102">
        <v>3.4890222838916497E-2</v>
      </c>
      <c r="H391" s="102">
        <f>+(Yield_Originals!I391+Yield_Originals!G391)/2</f>
        <v>3.4288737510048448E-2</v>
      </c>
      <c r="I391" s="102">
        <v>3.3687252181180398E-2</v>
      </c>
      <c r="J391" s="102">
        <v>3.4405835448635798E-2</v>
      </c>
      <c r="K391" s="103">
        <v>1</v>
      </c>
      <c r="L391" s="104">
        <f>(Yield_Originals!$G391*Yield_Originals!L$1)/Yield_Originals!$K391</f>
        <v>4.18682674066998E-2</v>
      </c>
      <c r="M391" s="104">
        <f>(Yield_Originals!$G391*Yield_Originals!M$1)/Yield_Originals!$K391</f>
        <v>4.3176650763159165E-2</v>
      </c>
      <c r="N391" s="104">
        <f>(Yield_Originals!$G391*Yield_Originals!N$1)/Yield_Originals!$K391</f>
        <v>4.4485034119618537E-2</v>
      </c>
      <c r="O391" s="104">
        <f>(Yield_Originals!$G391*Yield_Originals!O$1)/Yield_Originals!$K391</f>
        <v>4.5793417476077909E-2</v>
      </c>
      <c r="P391" s="105">
        <f>(Yield_Originals!$H391*Yield_Originals!P$1)/Yield_Originals!$K391</f>
        <v>4.6289795638565411E-2</v>
      </c>
      <c r="Q391" s="105">
        <f>(Yield_Originals!$H391*Yield_Originals!Q$1)/Yield_Originals!$K391</f>
        <v>4.7575623295192229E-2</v>
      </c>
      <c r="R391" s="105">
        <f>(Yield_Originals!$H391*Yield_Originals!R$1)/Yield_Originals!$K391</f>
        <v>4.8861450951819048E-2</v>
      </c>
      <c r="S391" s="105">
        <f>(Yield_Originals!$H391*Yield_Originals!S$1)/Yield_Originals!$K391</f>
        <v>5.0147278608445867E-2</v>
      </c>
      <c r="T391" s="107">
        <f>(Yield_Originals!$I391*Yield_Originals!T$1)/Yield_Originals!$K391</f>
        <v>5.0530878271770614E-2</v>
      </c>
      <c r="U391" s="107">
        <f>(Yield_Originals!$I391*Yield_Originals!U$1)/Yield_Originals!$K391</f>
        <v>5.1794150228564866E-2</v>
      </c>
      <c r="V391" s="107">
        <f>(Yield_Originals!$I391*Yield_Originals!V$1)/Yield_Originals!$K391</f>
        <v>5.3057422185359131E-2</v>
      </c>
      <c r="W391" s="107">
        <f>(Yield_Originals!$I391*Yield_Originals!W$1)/Yield_Originals!$K391</f>
        <v>5.4320694142153389E-2</v>
      </c>
      <c r="X391" s="108">
        <f>(Yield_Originals!$J391*Yield_Originals!X$1)/Yield_Originals!$K391</f>
        <v>5.6769628490249066E-2</v>
      </c>
      <c r="Y391" s="108">
        <f>(Yield_Originals!$J391*Yield_Originals!Y$1)/Yield_Originals!$K391</f>
        <v>5.8059847319572894E-2</v>
      </c>
      <c r="Z391" s="108">
        <f>(Yield_Originals!$J391*Yield_Originals!Z$1)/Yield_Originals!$K391</f>
        <v>5.9350066148896742E-2</v>
      </c>
      <c r="AA391" s="108">
        <f>(Yield_Originals!$J391*Yield_Originals!AA$1)/Yield_Originals!$K391</f>
        <v>6.064028497822057E-2</v>
      </c>
      <c r="AB391" s="108">
        <f>(Yield_Originals!$J391*Yield_Originals!AB$1)/Yield_Originals!$K391</f>
        <v>6.1930503807544418E-2</v>
      </c>
    </row>
    <row r="392" spans="1:28" x14ac:dyDescent="0.25">
      <c r="A392" s="72" t="s">
        <v>931</v>
      </c>
      <c r="B392" s="72">
        <v>1</v>
      </c>
      <c r="C392" s="99" t="s">
        <v>204</v>
      </c>
      <c r="D392" s="99" t="s">
        <v>948</v>
      </c>
      <c r="E392" s="100">
        <v>8</v>
      </c>
      <c r="F392" s="102">
        <v>3.4890222838916497E-2</v>
      </c>
      <c r="G392" s="102">
        <v>3.4890222838916497E-2</v>
      </c>
      <c r="H392" s="102">
        <f>+(Yield_Originals!I392+Yield_Originals!G392)/2</f>
        <v>3.4288737510048448E-2</v>
      </c>
      <c r="I392" s="102">
        <v>3.3687252181180398E-2</v>
      </c>
      <c r="J392" s="102">
        <v>3.4405835448635798E-2</v>
      </c>
      <c r="K392" s="103">
        <v>1</v>
      </c>
      <c r="L392" s="104"/>
      <c r="M392" s="104"/>
      <c r="N392" s="104"/>
      <c r="O392" s="104"/>
      <c r="P392" s="105"/>
      <c r="Q392" s="105"/>
      <c r="R392" s="105"/>
      <c r="S392" s="105"/>
      <c r="T392" s="107"/>
      <c r="U392" s="107"/>
      <c r="V392" s="107"/>
      <c r="W392" s="107"/>
      <c r="X392" s="108">
        <f>(Yield_Originals!$J392*Yield_Originals!X$1)/Yield_Originals!$K392</f>
        <v>5.6769628490249066E-2</v>
      </c>
      <c r="Y392" s="108">
        <f>(Yield_Originals!$J392*Yield_Originals!Y$1)/Yield_Originals!$K392</f>
        <v>5.8059847319572894E-2</v>
      </c>
      <c r="Z392" s="108">
        <f>(Yield_Originals!$J392*Yield_Originals!Z$1)/Yield_Originals!$K392</f>
        <v>5.9350066148896742E-2</v>
      </c>
      <c r="AA392" s="108">
        <f>(Yield_Originals!$J392*Yield_Originals!AA$1)/Yield_Originals!$K392</f>
        <v>6.064028497822057E-2</v>
      </c>
      <c r="AB392" s="108">
        <f>(Yield_Originals!$J392*Yield_Originals!AB$1)/Yield_Originals!$K392</f>
        <v>6.1930503807544418E-2</v>
      </c>
    </row>
    <row r="393" spans="1:28" x14ac:dyDescent="0.25">
      <c r="A393" s="72" t="s">
        <v>931</v>
      </c>
      <c r="B393" s="72">
        <v>1</v>
      </c>
      <c r="C393" s="99" t="s">
        <v>1300</v>
      </c>
      <c r="D393" s="99" t="s">
        <v>950</v>
      </c>
      <c r="E393" s="100">
        <v>8</v>
      </c>
      <c r="F393" s="102">
        <v>3.4890222838916497E-2</v>
      </c>
      <c r="G393" s="102">
        <v>3.4890222838916497E-2</v>
      </c>
      <c r="H393" s="102">
        <f>+(Yield_Originals!I393+Yield_Originals!G393)/2</f>
        <v>3.4288737510048448E-2</v>
      </c>
      <c r="I393" s="102">
        <v>3.3687252181180398E-2</v>
      </c>
      <c r="J393" s="102">
        <v>3.4405835448635798E-2</v>
      </c>
      <c r="K393" s="103">
        <v>1</v>
      </c>
      <c r="L393" s="104"/>
      <c r="M393" s="104"/>
      <c r="N393" s="104"/>
      <c r="O393" s="104"/>
      <c r="P393" s="105"/>
      <c r="Q393" s="105"/>
      <c r="R393" s="105"/>
      <c r="S393" s="105"/>
      <c r="T393" s="107"/>
      <c r="U393" s="107"/>
      <c r="V393" s="107"/>
      <c r="W393" s="107"/>
      <c r="X393" s="108">
        <f>(Yield_Originals!$J393*Yield_Originals!X$1)/Yield_Originals!$K393</f>
        <v>5.6769628490249066E-2</v>
      </c>
      <c r="Y393" s="108">
        <f>(Yield_Originals!$J393*Yield_Originals!Y$1)/Yield_Originals!$K393</f>
        <v>5.8059847319572894E-2</v>
      </c>
      <c r="Z393" s="108">
        <f>(Yield_Originals!$J393*Yield_Originals!Z$1)/Yield_Originals!$K393</f>
        <v>5.9350066148896742E-2</v>
      </c>
      <c r="AA393" s="108">
        <f>(Yield_Originals!$J393*Yield_Originals!AA$1)/Yield_Originals!$K393</f>
        <v>6.064028497822057E-2</v>
      </c>
      <c r="AB393" s="108">
        <f>(Yield_Originals!$J393*Yield_Originals!AB$1)/Yield_Originals!$K393</f>
        <v>6.1930503807544418E-2</v>
      </c>
    </row>
    <row r="394" spans="1:28" x14ac:dyDescent="0.25">
      <c r="A394" s="118"/>
      <c r="B394" s="100"/>
      <c r="C394" s="119"/>
      <c r="D394" s="119"/>
      <c r="E394" s="100"/>
    </row>
    <row r="395" spans="1:28" x14ac:dyDescent="0.25">
      <c r="A395" s="118"/>
      <c r="B395" s="100"/>
      <c r="C395" s="119"/>
      <c r="D395" s="119"/>
      <c r="E395" s="100"/>
    </row>
    <row r="396" spans="1:28" x14ac:dyDescent="0.25">
      <c r="A396" s="118"/>
      <c r="B396" s="100"/>
      <c r="C396" s="119"/>
      <c r="D396" s="119"/>
      <c r="E396" s="100"/>
    </row>
    <row r="397" spans="1:28" x14ac:dyDescent="0.25">
      <c r="A397" s="118"/>
      <c r="B397" s="100"/>
      <c r="C397" s="119"/>
      <c r="D397" s="119"/>
      <c r="E397" s="100"/>
    </row>
    <row r="398" spans="1:28" x14ac:dyDescent="0.25">
      <c r="A398" s="118"/>
      <c r="B398" s="100"/>
      <c r="C398" s="119"/>
      <c r="D398" s="119"/>
      <c r="E398" s="100"/>
    </row>
    <row r="399" spans="1:28" x14ac:dyDescent="0.25">
      <c r="A399" s="118"/>
      <c r="B399" s="100"/>
      <c r="C399" s="119"/>
      <c r="D399" s="119"/>
      <c r="E399" s="100"/>
    </row>
    <row r="400" spans="1:28" x14ac:dyDescent="0.25">
      <c r="A400" s="118"/>
      <c r="B400" s="100"/>
      <c r="C400" s="119"/>
      <c r="D400" s="119"/>
      <c r="E400" s="100"/>
    </row>
    <row r="401" spans="1:5" x14ac:dyDescent="0.25">
      <c r="A401" s="118"/>
      <c r="B401" s="100"/>
      <c r="C401" s="119"/>
      <c r="D401" s="119"/>
      <c r="E401" s="100"/>
    </row>
    <row r="402" spans="1:5" x14ac:dyDescent="0.25">
      <c r="A402" s="118"/>
      <c r="B402" s="100"/>
      <c r="C402" s="119"/>
      <c r="D402" s="119"/>
      <c r="E402" s="100"/>
    </row>
    <row r="403" spans="1:5" x14ac:dyDescent="0.25">
      <c r="A403" s="118"/>
      <c r="B403" s="100"/>
      <c r="C403" s="119"/>
      <c r="D403" s="119"/>
      <c r="E403" s="100"/>
    </row>
    <row r="404" spans="1:5" x14ac:dyDescent="0.25">
      <c r="A404" s="118"/>
      <c r="B404" s="100"/>
      <c r="C404" s="119"/>
      <c r="D404" s="119"/>
      <c r="E404" s="100"/>
    </row>
    <row r="405" spans="1:5" x14ac:dyDescent="0.25">
      <c r="A405" s="118"/>
      <c r="B405" s="100"/>
      <c r="C405" s="119"/>
      <c r="D405" s="119"/>
      <c r="E405" s="100"/>
    </row>
    <row r="406" spans="1:5" x14ac:dyDescent="0.25">
      <c r="A406" s="118"/>
      <c r="B406" s="100"/>
      <c r="C406" s="119"/>
      <c r="D406" s="119"/>
      <c r="E406" s="100"/>
    </row>
    <row r="407" spans="1:5" x14ac:dyDescent="0.25">
      <c r="A407" s="118"/>
      <c r="B407" s="100"/>
      <c r="C407" s="119"/>
      <c r="D407" s="119"/>
      <c r="E407" s="100"/>
    </row>
    <row r="408" spans="1:5" x14ac:dyDescent="0.25">
      <c r="A408" s="118"/>
      <c r="B408" s="100"/>
      <c r="C408" s="119"/>
      <c r="D408" s="119"/>
      <c r="E408" s="100"/>
    </row>
    <row r="409" spans="1:5" x14ac:dyDescent="0.25">
      <c r="A409" s="118"/>
      <c r="B409" s="100"/>
      <c r="C409" s="119"/>
      <c r="D409" s="119"/>
      <c r="E409" s="100"/>
    </row>
    <row r="410" spans="1:5" x14ac:dyDescent="0.25">
      <c r="A410" s="118"/>
      <c r="B410" s="100"/>
      <c r="C410" s="119"/>
      <c r="D410" s="119"/>
      <c r="E410" s="100"/>
    </row>
    <row r="411" spans="1:5" x14ac:dyDescent="0.25">
      <c r="A411" s="118"/>
      <c r="B411" s="100"/>
      <c r="C411" s="119"/>
      <c r="D411" s="119"/>
      <c r="E411" s="100"/>
    </row>
    <row r="412" spans="1:5" x14ac:dyDescent="0.25">
      <c r="A412" s="118"/>
      <c r="B412" s="100"/>
      <c r="C412" s="119"/>
      <c r="D412" s="119"/>
      <c r="E412" s="100"/>
    </row>
    <row r="413" spans="1:5" x14ac:dyDescent="0.25">
      <c r="A413" s="118"/>
      <c r="B413" s="100"/>
      <c r="C413" s="119"/>
      <c r="D413" s="119"/>
      <c r="E413" s="100"/>
    </row>
    <row r="414" spans="1:5" x14ac:dyDescent="0.25">
      <c r="A414" s="118"/>
      <c r="B414" s="100"/>
      <c r="C414" s="119"/>
      <c r="D414" s="119"/>
      <c r="E414" s="100"/>
    </row>
    <row r="415" spans="1:5" x14ac:dyDescent="0.25">
      <c r="A415" s="118"/>
      <c r="B415" s="100"/>
      <c r="C415" s="119"/>
      <c r="D415" s="119"/>
      <c r="E415" s="100"/>
    </row>
    <row r="416" spans="1:5" x14ac:dyDescent="0.25">
      <c r="A416" s="118"/>
      <c r="B416" s="100"/>
      <c r="C416" s="119"/>
      <c r="D416" s="119"/>
      <c r="E416" s="100"/>
    </row>
    <row r="417" spans="1:5" x14ac:dyDescent="0.25">
      <c r="A417" s="118"/>
      <c r="B417" s="100"/>
      <c r="C417" s="119"/>
      <c r="D417" s="119"/>
      <c r="E417" s="100"/>
    </row>
    <row r="418" spans="1:5" x14ac:dyDescent="0.25">
      <c r="A418" s="118"/>
      <c r="B418" s="100"/>
      <c r="C418" s="119"/>
      <c r="D418" s="119"/>
      <c r="E418" s="100"/>
    </row>
    <row r="419" spans="1:5" x14ac:dyDescent="0.25">
      <c r="A419" s="118"/>
      <c r="B419" s="100"/>
      <c r="C419" s="119"/>
      <c r="D419" s="119"/>
      <c r="E419" s="100"/>
    </row>
    <row r="420" spans="1:5" x14ac:dyDescent="0.25">
      <c r="A420" s="118"/>
      <c r="B420" s="100"/>
      <c r="C420" s="119"/>
      <c r="D420" s="119"/>
      <c r="E420" s="100"/>
    </row>
    <row r="421" spans="1:5" x14ac:dyDescent="0.25">
      <c r="A421" s="118"/>
      <c r="B421" s="100"/>
      <c r="C421" s="119"/>
      <c r="D421" s="119"/>
      <c r="E421" s="100"/>
    </row>
    <row r="422" spans="1:5" x14ac:dyDescent="0.25">
      <c r="A422" s="118"/>
      <c r="B422" s="100"/>
      <c r="C422" s="119"/>
      <c r="D422" s="119"/>
      <c r="E422" s="100"/>
    </row>
    <row r="423" spans="1:5" x14ac:dyDescent="0.25">
      <c r="A423" s="118"/>
      <c r="B423" s="100"/>
      <c r="C423" s="119"/>
      <c r="D423" s="119"/>
      <c r="E423" s="100"/>
    </row>
    <row r="424" spans="1:5" x14ac:dyDescent="0.25">
      <c r="A424" s="118"/>
      <c r="B424" s="100"/>
      <c r="C424" s="119"/>
      <c r="D424" s="119"/>
      <c r="E424" s="100"/>
    </row>
    <row r="425" spans="1:5" x14ac:dyDescent="0.25">
      <c r="A425" s="118"/>
      <c r="B425" s="100"/>
      <c r="C425" s="119"/>
      <c r="D425" s="119"/>
      <c r="E425" s="100"/>
    </row>
    <row r="426" spans="1:5" x14ac:dyDescent="0.25">
      <c r="A426" s="118"/>
      <c r="B426" s="100"/>
      <c r="C426" s="119"/>
      <c r="D426" s="119"/>
      <c r="E426" s="100"/>
    </row>
    <row r="427" spans="1:5" x14ac:dyDescent="0.25">
      <c r="A427" s="118"/>
      <c r="B427" s="100"/>
      <c r="C427" s="119"/>
      <c r="D427" s="119"/>
      <c r="E427" s="100"/>
    </row>
    <row r="428" spans="1:5" x14ac:dyDescent="0.25">
      <c r="A428" s="118"/>
      <c r="B428" s="100"/>
      <c r="C428" s="119"/>
      <c r="D428" s="119"/>
      <c r="E428" s="100"/>
    </row>
    <row r="429" spans="1:5" x14ac:dyDescent="0.25">
      <c r="A429" s="118"/>
      <c r="B429" s="100"/>
      <c r="C429" s="119"/>
      <c r="D429" s="119"/>
      <c r="E429" s="100"/>
    </row>
    <row r="430" spans="1:5" x14ac:dyDescent="0.25">
      <c r="A430" s="118"/>
      <c r="B430" s="100"/>
      <c r="C430" s="119"/>
      <c r="D430" s="119"/>
      <c r="E430" s="100"/>
    </row>
    <row r="431" spans="1:5" x14ac:dyDescent="0.25">
      <c r="A431" s="118"/>
      <c r="B431" s="100"/>
      <c r="C431" s="119"/>
      <c r="D431" s="119"/>
      <c r="E431" s="100"/>
    </row>
  </sheetData>
  <autoFilter ref="A2:AD393">
    <filterColumn colId="1">
      <filters>
        <filter val="1"/>
        <filter val="2"/>
        <filter val="3"/>
      </filters>
    </filterColumn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9"/>
  <sheetViews>
    <sheetView zoomScaleNormal="100" workbookViewId="0">
      <selection activeCell="B2" sqref="B2:B369"/>
    </sheetView>
  </sheetViews>
  <sheetFormatPr defaultRowHeight="15" x14ac:dyDescent="0.25"/>
  <cols>
    <col min="1" max="1" width="19.7109375"/>
    <col min="2" max="3" width="8.28515625"/>
    <col min="4" max="5" width="11"/>
    <col min="6" max="1025" width="8.28515625"/>
  </cols>
  <sheetData>
    <row r="1" spans="1:5" x14ac:dyDescent="0.25">
      <c r="A1" s="82" t="s">
        <v>119</v>
      </c>
      <c r="B1" t="s">
        <v>1380</v>
      </c>
      <c r="C1" s="53" t="s">
        <v>1381</v>
      </c>
    </row>
    <row r="2" spans="1:5" x14ac:dyDescent="0.25">
      <c r="A2" t="s">
        <v>1382</v>
      </c>
      <c r="B2">
        <v>1</v>
      </c>
      <c r="C2" s="120">
        <v>9.5192785166059002E-2</v>
      </c>
      <c r="D2" t="e">
        <f>VLOOKUP(Shelf_Life!A2,Demand_Fresh!A3:A97,1,FALSE())</f>
        <v>#N/A</v>
      </c>
      <c r="E2" t="e">
        <f>VLOOKUP(Shelf_Life!A2,Demand_Frozen!A2:A120,1,FALSE())</f>
        <v>#N/A</v>
      </c>
    </row>
    <row r="3" spans="1:5" x14ac:dyDescent="0.25">
      <c r="A3" t="s">
        <v>1383</v>
      </c>
      <c r="B3" s="130">
        <v>1</v>
      </c>
      <c r="C3" s="120">
        <v>9.5192785166059002E-2</v>
      </c>
      <c r="D3" t="e">
        <f>VLOOKUP(Shelf_Life!A3,Demand_Fresh!A4:A98,1,FALSE())</f>
        <v>#N/A</v>
      </c>
      <c r="E3" t="e">
        <f>VLOOKUP(Shelf_Life!A3,Demand_Frozen!A3:A121,1,FALSE())</f>
        <v>#N/A</v>
      </c>
    </row>
    <row r="4" spans="1:5" x14ac:dyDescent="0.25">
      <c r="A4" t="s">
        <v>1384</v>
      </c>
      <c r="B4" s="130">
        <v>1</v>
      </c>
      <c r="C4" s="120">
        <v>0.102310002748568</v>
      </c>
      <c r="D4" t="e">
        <f>VLOOKUP(Shelf_Life!A4,Demand_Fresh!A5:A99,1,FALSE())</f>
        <v>#N/A</v>
      </c>
      <c r="E4" t="e">
        <f>VLOOKUP(Shelf_Life!A4,Demand_Frozen!A4:A122,1,FALSE())</f>
        <v>#N/A</v>
      </c>
    </row>
    <row r="5" spans="1:5" x14ac:dyDescent="0.25">
      <c r="A5" t="s">
        <v>1385</v>
      </c>
      <c r="B5" s="130">
        <v>1</v>
      </c>
      <c r="C5" s="120">
        <v>8.1090150326642796E-2</v>
      </c>
      <c r="D5" t="e">
        <f>VLOOKUP(Shelf_Life!A5,Demand_Fresh!A6:A99,1,FALSE())</f>
        <v>#N/A</v>
      </c>
      <c r="E5" t="e">
        <f>VLOOKUP(Shelf_Life!A5,Demand_Frozen!A5:A123,1,FALSE())</f>
        <v>#N/A</v>
      </c>
    </row>
    <row r="6" spans="1:5" x14ac:dyDescent="0.25">
      <c r="A6" t="s">
        <v>1386</v>
      </c>
      <c r="B6" s="130">
        <v>1</v>
      </c>
      <c r="C6" s="120">
        <v>9.8524532646871096E-2</v>
      </c>
      <c r="D6" t="e">
        <f>VLOOKUP(Shelf_Life!A6,Demand_Fresh!A7:A100,1,FALSE())</f>
        <v>#N/A</v>
      </c>
      <c r="E6" t="e">
        <f>VLOOKUP(Shelf_Life!A6,Demand_Frozen!A6:A124,1,FALSE())</f>
        <v>#N/A</v>
      </c>
    </row>
    <row r="7" spans="1:5" x14ac:dyDescent="0.25">
      <c r="A7" t="s">
        <v>1387</v>
      </c>
      <c r="B7" s="130">
        <v>1</v>
      </c>
      <c r="C7" s="120">
        <v>8.21037772057258E-2</v>
      </c>
      <c r="D7" t="e">
        <f>VLOOKUP(Shelf_Life!A7,Demand_Fresh!A8:A101,1,FALSE())</f>
        <v>#N/A</v>
      </c>
      <c r="E7" t="e">
        <f>VLOOKUP(Shelf_Life!A7,Demand_Frozen!A7:A125,1,FALSE())</f>
        <v>#N/A</v>
      </c>
    </row>
    <row r="8" spans="1:5" x14ac:dyDescent="0.25">
      <c r="A8" t="s">
        <v>1388</v>
      </c>
      <c r="B8" s="130">
        <v>1</v>
      </c>
      <c r="C8" s="120">
        <v>7.7274143252447899E-2</v>
      </c>
      <c r="D8" t="e">
        <f>VLOOKUP(Shelf_Life!A8,Demand_Fresh!A9:A100,1,FALSE())</f>
        <v>#N/A</v>
      </c>
      <c r="E8" t="e">
        <f>VLOOKUP(Shelf_Life!A8,Demand_Frozen!A8:A126,1,FALSE())</f>
        <v>#N/A</v>
      </c>
    </row>
    <row r="9" spans="1:5" x14ac:dyDescent="0.25">
      <c r="A9" t="s">
        <v>1389</v>
      </c>
      <c r="B9" s="130">
        <v>1</v>
      </c>
      <c r="C9" s="120">
        <v>7.7274143252447899E-2</v>
      </c>
      <c r="D9" t="e">
        <f>VLOOKUP(Shelf_Life!A9,Demand_Fresh!A10:A101,1,FALSE())</f>
        <v>#N/A</v>
      </c>
      <c r="E9" t="e">
        <f>VLOOKUP(Shelf_Life!A9,Demand_Frozen!A9:A127,1,FALSE())</f>
        <v>#N/A</v>
      </c>
    </row>
    <row r="10" spans="1:5" x14ac:dyDescent="0.25">
      <c r="A10" t="s">
        <v>1390</v>
      </c>
      <c r="B10" s="130">
        <v>1</v>
      </c>
      <c r="C10" s="120">
        <v>8.2103777205725897E-2</v>
      </c>
      <c r="D10" t="e">
        <f>VLOOKUP(Shelf_Life!A10,Demand_Fresh!A11:A102,1,FALSE())</f>
        <v>#N/A</v>
      </c>
      <c r="E10" t="e">
        <f>VLOOKUP(Shelf_Life!A10,Demand_Frozen!A10:A128,1,FALSE())</f>
        <v>#N/A</v>
      </c>
    </row>
    <row r="11" spans="1:5" x14ac:dyDescent="0.25">
      <c r="A11" t="s">
        <v>1391</v>
      </c>
      <c r="B11" s="130">
        <v>1</v>
      </c>
      <c r="C11" s="120">
        <v>0.102629721507157</v>
      </c>
      <c r="D11" t="e">
        <f>VLOOKUP(Shelf_Life!A11,Demand_Fresh!A12:A103,1,FALSE())</f>
        <v>#N/A</v>
      </c>
      <c r="E11" t="e">
        <f>VLOOKUP(Shelf_Life!A11,Demand_Frozen!A11:A129,1,FALSE())</f>
        <v>#N/A</v>
      </c>
    </row>
    <row r="12" spans="1:5" x14ac:dyDescent="0.25">
      <c r="A12" t="s">
        <v>1392</v>
      </c>
      <c r="B12" s="130">
        <v>1</v>
      </c>
      <c r="C12" s="120">
        <v>8.2103777205725897E-2</v>
      </c>
      <c r="D12" t="e">
        <f>VLOOKUP(Shelf_Life!A12,Demand_Fresh!A13:A104,1,FALSE())</f>
        <v>#N/A</v>
      </c>
      <c r="E12" t="e">
        <f>VLOOKUP(Shelf_Life!A12,Demand_Frozen!A12:A130,1,FALSE())</f>
        <v>#N/A</v>
      </c>
    </row>
    <row r="13" spans="1:5" x14ac:dyDescent="0.25">
      <c r="A13" t="s">
        <v>1393</v>
      </c>
      <c r="B13" s="130">
        <v>1</v>
      </c>
      <c r="C13" s="120">
        <v>6.7175817713775704E-2</v>
      </c>
      <c r="D13" t="e">
        <f>VLOOKUP(Shelf_Life!A13,Demand_Fresh!A14:A105,1,FALSE())</f>
        <v>#N/A</v>
      </c>
      <c r="E13" t="e">
        <f>VLOOKUP(Shelf_Life!A13,Demand_Frozen!A13:A131,1,FALSE())</f>
        <v>#N/A</v>
      </c>
    </row>
    <row r="14" spans="1:5" x14ac:dyDescent="0.25">
      <c r="A14" t="s">
        <v>1394</v>
      </c>
      <c r="B14" s="130">
        <v>1</v>
      </c>
      <c r="C14" s="120">
        <v>4.2992523336816503E-2</v>
      </c>
      <c r="D14" t="e">
        <f>VLOOKUP(Shelf_Life!A14,Demand_Fresh!A15:A106,1,FALSE())</f>
        <v>#N/A</v>
      </c>
      <c r="E14" t="e">
        <f>VLOOKUP(Shelf_Life!A14,Demand_Frozen!A14:A132,1,FALSE())</f>
        <v>#N/A</v>
      </c>
    </row>
    <row r="15" spans="1:5" x14ac:dyDescent="0.25">
      <c r="A15" t="s">
        <v>1395</v>
      </c>
      <c r="B15" s="130">
        <v>1</v>
      </c>
      <c r="C15" s="120">
        <v>3.5827102780680402E-2</v>
      </c>
      <c r="D15" t="e">
        <f>VLOOKUP(Shelf_Life!A15,Demand_Fresh!A16:A107,1,FALSE())</f>
        <v>#N/A</v>
      </c>
      <c r="E15" t="e">
        <f>VLOOKUP(Shelf_Life!A15,Demand_Frozen!A15:A133,1,FALSE())</f>
        <v>#N/A</v>
      </c>
    </row>
    <row r="16" spans="1:5" x14ac:dyDescent="0.25">
      <c r="A16" t="s">
        <v>1396</v>
      </c>
      <c r="B16" s="130">
        <v>1</v>
      </c>
      <c r="C16" s="120">
        <v>6.7175817713775704E-2</v>
      </c>
      <c r="D16" t="e">
        <f>VLOOKUP(Shelf_Life!A16,Demand_Fresh!A17:A108,1,FALSE())</f>
        <v>#N/A</v>
      </c>
      <c r="E16" t="e">
        <f>VLOOKUP(Shelf_Life!A16,Demand_Frozen!A16:A134,1,FALSE())</f>
        <v>#N/A</v>
      </c>
    </row>
    <row r="17" spans="1:5" x14ac:dyDescent="0.25">
      <c r="A17" t="s">
        <v>1397</v>
      </c>
      <c r="B17" s="130">
        <v>1</v>
      </c>
      <c r="C17" s="120">
        <v>4.2992523336816503E-2</v>
      </c>
      <c r="D17" t="e">
        <f>VLOOKUP(Shelf_Life!A17,Demand_Fresh!A18:A109,1,FALSE())</f>
        <v>#N/A</v>
      </c>
      <c r="E17" t="e">
        <f>VLOOKUP(Shelf_Life!A17,Demand_Frozen!A17:A135,1,FALSE())</f>
        <v>#N/A</v>
      </c>
    </row>
    <row r="18" spans="1:5" x14ac:dyDescent="0.25">
      <c r="A18" t="s">
        <v>1398</v>
      </c>
      <c r="B18" s="130">
        <v>1</v>
      </c>
      <c r="C18" s="120">
        <v>0.109471702940968</v>
      </c>
      <c r="D18" t="e">
        <f>VLOOKUP(Shelf_Life!A18,Demand_Fresh!A19:A110,1,FALSE())</f>
        <v>#N/A</v>
      </c>
      <c r="E18" t="e">
        <f>VLOOKUP(Shelf_Life!A18,Demand_Frozen!A18:A135,1,FALSE())</f>
        <v>#N/A</v>
      </c>
    </row>
    <row r="19" spans="1:5" x14ac:dyDescent="0.25">
      <c r="A19" t="s">
        <v>1399</v>
      </c>
      <c r="B19" s="130">
        <v>1</v>
      </c>
      <c r="C19" s="120">
        <v>8.3407011764546901E-2</v>
      </c>
      <c r="D19" t="e">
        <f>VLOOKUP(Shelf_Life!A19,Demand_Fresh!A20:A111,1,FALSE())</f>
        <v>#N/A</v>
      </c>
      <c r="E19" t="e">
        <f>VLOOKUP(Shelf_Life!A19,Demand_Frozen!A19:A136,1,FALSE())</f>
        <v>#N/A</v>
      </c>
    </row>
    <row r="20" spans="1:5" x14ac:dyDescent="0.25">
      <c r="A20" t="s">
        <v>1400</v>
      </c>
      <c r="B20" s="130">
        <v>1</v>
      </c>
      <c r="C20" s="120">
        <v>0.13136604352916101</v>
      </c>
      <c r="D20" t="e">
        <f>VLOOKUP(Shelf_Life!A20,Demand_Fresh!A21:A112,1,FALSE())</f>
        <v>#N/A</v>
      </c>
      <c r="E20" t="e">
        <f>VLOOKUP(Shelf_Life!A20,Demand_Frozen!A20:A137,1,FALSE())</f>
        <v>#N/A</v>
      </c>
    </row>
    <row r="21" spans="1:5" x14ac:dyDescent="0.25">
      <c r="A21" t="s">
        <v>1401</v>
      </c>
      <c r="B21" s="130">
        <v>1</v>
      </c>
      <c r="C21" s="120">
        <v>0.109471702940968</v>
      </c>
      <c r="D21" t="e">
        <f>VLOOKUP(Shelf_Life!A21,Demand_Fresh!A22:A113,1,FALSE())</f>
        <v>#N/A</v>
      </c>
      <c r="E21" t="e">
        <f>VLOOKUP(Shelf_Life!A21,Demand_Frozen!A21:A138,1,FALSE())</f>
        <v>#N/A</v>
      </c>
    </row>
    <row r="22" spans="1:5" x14ac:dyDescent="0.25">
      <c r="A22" t="s">
        <v>1402</v>
      </c>
      <c r="B22" s="130">
        <v>1</v>
      </c>
      <c r="C22" s="120">
        <v>0.109471702940968</v>
      </c>
      <c r="D22" t="e">
        <f>VLOOKUP(Shelf_Life!A22,Demand_Fresh!A23:A114,1,FALSE())</f>
        <v>#N/A</v>
      </c>
      <c r="E22" t="e">
        <f>VLOOKUP(Shelf_Life!A22,Demand_Frozen!A22:A139,1,FALSE())</f>
        <v>#N/A</v>
      </c>
    </row>
    <row r="23" spans="1:5" x14ac:dyDescent="0.25">
      <c r="A23" t="s">
        <v>1403</v>
      </c>
      <c r="B23" s="130">
        <v>1</v>
      </c>
      <c r="C23" s="120">
        <v>8.7577362352774302E-2</v>
      </c>
      <c r="D23" t="e">
        <f>VLOOKUP(Shelf_Life!A23,Demand_Fresh!A24:A115,1,FALSE())</f>
        <v>#N/A</v>
      </c>
      <c r="E23" t="e">
        <f>VLOOKUP(Shelf_Life!A23,Demand_Frozen!A23:A140,1,FALSE())</f>
        <v>#N/A</v>
      </c>
    </row>
    <row r="24" spans="1:5" x14ac:dyDescent="0.25">
      <c r="A24" t="s">
        <v>1404</v>
      </c>
      <c r="B24" s="130">
        <v>1</v>
      </c>
      <c r="C24" s="120">
        <v>8.7577362352774302E-2</v>
      </c>
      <c r="D24" t="e">
        <f>VLOOKUP(Shelf_Life!A24,Demand_Fresh!A25:A116,1,FALSE())</f>
        <v>#N/A</v>
      </c>
      <c r="E24" t="e">
        <f>VLOOKUP(Shelf_Life!A24,Demand_Frozen!A24:A141,1,FALSE())</f>
        <v>#N/A</v>
      </c>
    </row>
    <row r="25" spans="1:5" x14ac:dyDescent="0.25">
      <c r="A25" t="s">
        <v>1405</v>
      </c>
      <c r="B25" s="130">
        <v>1</v>
      </c>
      <c r="C25" s="120">
        <v>0.103032191003264</v>
      </c>
      <c r="D25" t="e">
        <f>VLOOKUP(Shelf_Life!A25,Demand_Fresh!A26:A117,1,FALSE())</f>
        <v>#N/A</v>
      </c>
      <c r="E25" t="e">
        <f>VLOOKUP(Shelf_Life!A25,Demand_Frozen!A25:A142,1,FALSE())</f>
        <v>#N/A</v>
      </c>
    </row>
    <row r="26" spans="1:5" x14ac:dyDescent="0.25">
      <c r="A26" t="s">
        <v>1406</v>
      </c>
      <c r="B26" s="130">
        <v>1</v>
      </c>
      <c r="C26" s="120">
        <v>8.7577362352774302E-2</v>
      </c>
      <c r="D26" t="e">
        <f>VLOOKUP(Shelf_Life!A26,Demand_Fresh!A27:A118,1,FALSE())</f>
        <v>#N/A</v>
      </c>
      <c r="E26" t="e">
        <f>VLOOKUP(Shelf_Life!A26,Demand_Frozen!A26:A143,1,FALSE())</f>
        <v>#N/A</v>
      </c>
    </row>
    <row r="27" spans="1:5" x14ac:dyDescent="0.25">
      <c r="A27" t="s">
        <v>1407</v>
      </c>
      <c r="B27" s="130">
        <v>1</v>
      </c>
      <c r="C27" s="120">
        <v>0.103032191003264</v>
      </c>
      <c r="D27" t="e">
        <f>VLOOKUP(Shelf_Life!A27,Demand_Fresh!A28:A119,1,FALSE())</f>
        <v>#N/A</v>
      </c>
      <c r="E27" t="e">
        <f>VLOOKUP(Shelf_Life!A27,Demand_Frozen!A27:A144,1,FALSE())</f>
        <v>#N/A</v>
      </c>
    </row>
    <row r="28" spans="1:5" x14ac:dyDescent="0.25">
      <c r="A28" t="s">
        <v>1408</v>
      </c>
      <c r="B28" s="130">
        <v>1</v>
      </c>
      <c r="C28" s="120">
        <v>0.109471702940968</v>
      </c>
      <c r="D28" t="e">
        <f>VLOOKUP(Shelf_Life!A28,Demand_Fresh!A29:A120,1,FALSE())</f>
        <v>#N/A</v>
      </c>
      <c r="E28" t="e">
        <f>VLOOKUP(Shelf_Life!A28,Demand_Frozen!A28:A145,1,FALSE())</f>
        <v>#N/A</v>
      </c>
    </row>
    <row r="29" spans="1:5" x14ac:dyDescent="0.25">
      <c r="A29" t="s">
        <v>1409</v>
      </c>
      <c r="B29" s="130">
        <v>1</v>
      </c>
      <c r="C29" s="120">
        <v>0.109471702940968</v>
      </c>
      <c r="D29" t="e">
        <f>VLOOKUP(Shelf_Life!A29,Demand_Fresh!A30:A121,1,FALSE())</f>
        <v>#N/A</v>
      </c>
      <c r="E29" t="e">
        <f>VLOOKUP(Shelf_Life!A29,Demand_Frozen!A29:A146,1,FALSE())</f>
        <v>#N/A</v>
      </c>
    </row>
    <row r="30" spans="1:5" x14ac:dyDescent="0.25">
      <c r="A30" t="s">
        <v>1410</v>
      </c>
      <c r="B30" s="130">
        <v>1</v>
      </c>
      <c r="C30" s="120">
        <v>0.13136604352916101</v>
      </c>
      <c r="D30" t="e">
        <f>VLOOKUP(Shelf_Life!A30,Demand_Fresh!A31:A122,1,FALSE())</f>
        <v>#N/A</v>
      </c>
      <c r="E30" t="e">
        <f>VLOOKUP(Shelf_Life!A30,Demand_Frozen!A30:A147,1,FALSE())</f>
        <v>#N/A</v>
      </c>
    </row>
    <row r="31" spans="1:5" x14ac:dyDescent="0.25">
      <c r="A31" t="s">
        <v>1411</v>
      </c>
      <c r="B31" s="130">
        <v>1</v>
      </c>
      <c r="C31" s="120">
        <v>0.109471702940968</v>
      </c>
      <c r="D31" t="e">
        <f>VLOOKUP(Shelf_Life!A31,Demand_Fresh!A32:A123,1,FALSE())</f>
        <v>#N/A</v>
      </c>
      <c r="E31" t="e">
        <f>VLOOKUP(Shelf_Life!A31,Demand_Frozen!A31:A148,1,FALSE())</f>
        <v>#N/A</v>
      </c>
    </row>
    <row r="32" spans="1:5" x14ac:dyDescent="0.25">
      <c r="A32" t="s">
        <v>1412</v>
      </c>
      <c r="B32" s="130">
        <v>1</v>
      </c>
      <c r="C32" s="120">
        <v>0.103032191003264</v>
      </c>
      <c r="D32" t="e">
        <f>VLOOKUP(Shelf_Life!A32,Demand_Fresh!A33:A124,1,FALSE())</f>
        <v>#N/A</v>
      </c>
      <c r="E32" t="e">
        <f>VLOOKUP(Shelf_Life!A32,Demand_Frozen!A32:A149,1,FALSE())</f>
        <v>#N/A</v>
      </c>
    </row>
    <row r="33" spans="1:5" x14ac:dyDescent="0.25">
      <c r="A33" t="s">
        <v>1413</v>
      </c>
      <c r="B33" s="130">
        <v>1</v>
      </c>
      <c r="C33" s="120">
        <v>0.109471702940968</v>
      </c>
      <c r="D33" t="e">
        <f>VLOOKUP(Shelf_Life!A33,Demand_Fresh!A34:A125,1,FALSE())</f>
        <v>#N/A</v>
      </c>
      <c r="E33" t="e">
        <f>VLOOKUP(Shelf_Life!A33,Demand_Frozen!A33:A150,1,FALSE())</f>
        <v>#N/A</v>
      </c>
    </row>
    <row r="34" spans="1:5" x14ac:dyDescent="0.25">
      <c r="A34" t="s">
        <v>1414</v>
      </c>
      <c r="B34" s="130">
        <v>1</v>
      </c>
      <c r="C34" s="120">
        <v>8.7577362352774302E-2</v>
      </c>
      <c r="D34" t="e">
        <f>VLOOKUP(Shelf_Life!A34,Demand_Fresh!A35:A126,1,FALSE())</f>
        <v>#N/A</v>
      </c>
      <c r="E34" t="e">
        <f>VLOOKUP(Shelf_Life!A34,Demand_Frozen!A34:A151,1,FALSE())</f>
        <v>#N/A</v>
      </c>
    </row>
    <row r="35" spans="1:5" x14ac:dyDescent="0.25">
      <c r="A35" t="s">
        <v>1415</v>
      </c>
      <c r="B35" s="130">
        <v>1</v>
      </c>
      <c r="C35" s="120">
        <v>0.109471702940968</v>
      </c>
      <c r="D35" t="e">
        <f>VLOOKUP(Shelf_Life!A35,Demand_Fresh!A36:A127,1,FALSE())</f>
        <v>#N/A</v>
      </c>
      <c r="E35" t="e">
        <f>VLOOKUP(Shelf_Life!A35,Demand_Frozen!A35:A152,1,FALSE())</f>
        <v>#N/A</v>
      </c>
    </row>
    <row r="36" spans="1:5" x14ac:dyDescent="0.25">
      <c r="A36" t="s">
        <v>1416</v>
      </c>
      <c r="B36" s="130">
        <v>1</v>
      </c>
      <c r="C36" s="120">
        <v>0.103032191003264</v>
      </c>
      <c r="D36" t="e">
        <f>VLOOKUP(Shelf_Life!A36,Demand_Fresh!A37:A128,1,FALSE())</f>
        <v>#N/A</v>
      </c>
      <c r="E36" t="e">
        <f>VLOOKUP(Shelf_Life!A36,Demand_Frozen!A36:A152,1,FALSE())</f>
        <v>#N/A</v>
      </c>
    </row>
    <row r="37" spans="1:5" x14ac:dyDescent="0.25">
      <c r="A37" t="s">
        <v>1417</v>
      </c>
      <c r="B37" s="130">
        <v>1</v>
      </c>
      <c r="C37" s="120">
        <v>8.7577362352774302E-2</v>
      </c>
      <c r="D37" t="e">
        <f>VLOOKUP(Shelf_Life!A37,Demand_Fresh!A38:A129,1,FALSE())</f>
        <v>#N/A</v>
      </c>
      <c r="E37" t="e">
        <f>VLOOKUP(Shelf_Life!A37,Demand_Frozen!A37:A153,1,FALSE())</f>
        <v>#N/A</v>
      </c>
    </row>
    <row r="38" spans="1:5" x14ac:dyDescent="0.25">
      <c r="A38" t="s">
        <v>1418</v>
      </c>
      <c r="B38" s="130">
        <v>1</v>
      </c>
      <c r="C38" s="120">
        <v>9.8524532646871096E-2</v>
      </c>
      <c r="D38" t="e">
        <f>VLOOKUP(Shelf_Life!A38,Demand_Fresh!A39:A130,1,FALSE())</f>
        <v>#N/A</v>
      </c>
      <c r="E38" t="e">
        <f>VLOOKUP(Shelf_Life!A38,Demand_Frozen!A38:A153,1,FALSE())</f>
        <v>#N/A</v>
      </c>
    </row>
    <row r="39" spans="1:5" x14ac:dyDescent="0.25">
      <c r="A39" t="s">
        <v>1419</v>
      </c>
      <c r="B39" s="130">
        <v>1</v>
      </c>
      <c r="C39" s="120">
        <v>7.0374666176336503E-2</v>
      </c>
      <c r="D39" t="e">
        <f>VLOOKUP(Shelf_Life!A39,Demand_Fresh!A40:A131,1,FALSE())</f>
        <v>#N/A</v>
      </c>
      <c r="E39" t="e">
        <f>VLOOKUP(Shelf_Life!A39,Demand_Frozen!A39:A154,1,FALSE())</f>
        <v>#N/A</v>
      </c>
    </row>
    <row r="40" spans="1:5" x14ac:dyDescent="0.25">
      <c r="A40" t="s">
        <v>1420</v>
      </c>
      <c r="B40" s="130">
        <v>1</v>
      </c>
      <c r="C40" s="120">
        <v>7.4533925406616394E-2</v>
      </c>
      <c r="D40" t="e">
        <f>VLOOKUP(Shelf_Life!A40,Demand_Fresh!A41:A132,1,FALSE())</f>
        <v>#N/A</v>
      </c>
      <c r="E40" t="e">
        <f>VLOOKUP(Shelf_Life!A40,Demand_Frozen!A40:A155,1,FALSE())</f>
        <v>#N/A</v>
      </c>
    </row>
    <row r="41" spans="1:5" x14ac:dyDescent="0.25">
      <c r="A41" t="s">
        <v>1421</v>
      </c>
      <c r="B41" s="130">
        <v>1</v>
      </c>
      <c r="C41" s="120">
        <v>7.4533925406616394E-2</v>
      </c>
      <c r="D41" t="e">
        <f>VLOOKUP(Shelf_Life!A41,Demand_Fresh!A42:A133,1,FALSE())</f>
        <v>#N/A</v>
      </c>
      <c r="E41" t="e">
        <f>VLOOKUP(Shelf_Life!A41,Demand_Frozen!A41:A156,1,FALSE())</f>
        <v>#N/A</v>
      </c>
    </row>
    <row r="42" spans="1:5" x14ac:dyDescent="0.25">
      <c r="A42" t="s">
        <v>1422</v>
      </c>
      <c r="B42" s="130">
        <v>1</v>
      </c>
      <c r="C42" s="120">
        <v>0.109471702940968</v>
      </c>
      <c r="D42" t="e">
        <f>VLOOKUP(Shelf_Life!A42,Demand_Fresh!A43:A134,1,FALSE())</f>
        <v>#N/A</v>
      </c>
      <c r="E42" t="e">
        <f>VLOOKUP(Shelf_Life!A42,Demand_Frozen!A42:A157,1,FALSE())</f>
        <v>#N/A</v>
      </c>
    </row>
    <row r="43" spans="1:5" x14ac:dyDescent="0.25">
      <c r="A43" t="s">
        <v>1423</v>
      </c>
      <c r="B43" s="130">
        <v>1</v>
      </c>
      <c r="C43" s="120">
        <v>0.103032191003264</v>
      </c>
      <c r="D43" t="e">
        <f>VLOOKUP(Shelf_Life!A43,Demand_Fresh!A44:A135,1,FALSE())</f>
        <v>#N/A</v>
      </c>
      <c r="E43" t="e">
        <f>VLOOKUP(Shelf_Life!A43,Demand_Frozen!A43:A158,1,FALSE())</f>
        <v>#N/A</v>
      </c>
    </row>
    <row r="44" spans="1:5" x14ac:dyDescent="0.25">
      <c r="A44" t="s">
        <v>1424</v>
      </c>
      <c r="B44" s="130">
        <v>1</v>
      </c>
      <c r="C44" s="120">
        <v>0.109471702940968</v>
      </c>
      <c r="D44" t="e">
        <f>VLOOKUP(Shelf_Life!A44,Demand_Fresh!A45:A136,1,FALSE())</f>
        <v>#N/A</v>
      </c>
      <c r="E44" t="e">
        <f>VLOOKUP(Shelf_Life!A44,Demand_Frozen!A44:A159,1,FALSE())</f>
        <v>#N/A</v>
      </c>
    </row>
    <row r="45" spans="1:5" x14ac:dyDescent="0.25">
      <c r="A45" t="s">
        <v>1425</v>
      </c>
      <c r="B45" s="130">
        <v>1</v>
      </c>
      <c r="C45" s="120">
        <v>0.109471702940968</v>
      </c>
      <c r="D45" t="e">
        <f>VLOOKUP(Shelf_Life!A45,Demand_Fresh!A46:A137,1,FALSE())</f>
        <v>#N/A</v>
      </c>
      <c r="E45" t="e">
        <f>VLOOKUP(Shelf_Life!A45,Demand_Frozen!A45:A160,1,FALSE())</f>
        <v>#N/A</v>
      </c>
    </row>
    <row r="46" spans="1:5" x14ac:dyDescent="0.25">
      <c r="A46" t="s">
        <v>1426</v>
      </c>
      <c r="B46" s="130">
        <v>1</v>
      </c>
      <c r="C46" s="120">
        <v>0.109471702940968</v>
      </c>
      <c r="D46" t="e">
        <f>VLOOKUP(Shelf_Life!A46,Demand_Fresh!A47:A138,1,FALSE())</f>
        <v>#N/A</v>
      </c>
      <c r="E46" t="e">
        <f>VLOOKUP(Shelf_Life!A46,Demand_Frozen!A46:A161,1,FALSE())</f>
        <v>#N/A</v>
      </c>
    </row>
    <row r="47" spans="1:5" x14ac:dyDescent="0.25">
      <c r="A47" t="s">
        <v>1427</v>
      </c>
      <c r="B47" s="130">
        <v>1</v>
      </c>
      <c r="C47" s="120">
        <v>0.13136604352916101</v>
      </c>
      <c r="D47" t="e">
        <f>VLOOKUP(Shelf_Life!A47,Demand_Fresh!A48:A139,1,FALSE())</f>
        <v>#N/A</v>
      </c>
      <c r="E47" t="e">
        <f>VLOOKUP(Shelf_Life!A47,Demand_Frozen!A47:A162,1,FALSE())</f>
        <v>#N/A</v>
      </c>
    </row>
    <row r="48" spans="1:5" x14ac:dyDescent="0.25">
      <c r="A48" t="s">
        <v>1428</v>
      </c>
      <c r="B48" s="130">
        <v>1</v>
      </c>
      <c r="C48" s="120">
        <v>0.13136604352916101</v>
      </c>
      <c r="D48" t="e">
        <f>VLOOKUP(Shelf_Life!A48,Demand_Fresh!A49:A140,1,FALSE())</f>
        <v>#N/A</v>
      </c>
      <c r="E48" t="e">
        <f>VLOOKUP(Shelf_Life!A48,Demand_Frozen!A48:A163,1,FALSE())</f>
        <v>#N/A</v>
      </c>
    </row>
    <row r="49" spans="1:5" x14ac:dyDescent="0.25">
      <c r="A49" t="s">
        <v>1429</v>
      </c>
      <c r="B49" s="130">
        <v>1</v>
      </c>
      <c r="C49" s="120">
        <v>0.109471702940968</v>
      </c>
      <c r="D49" t="e">
        <f>VLOOKUP(Shelf_Life!A49,Demand_Fresh!A50:A141,1,FALSE())</f>
        <v>#N/A</v>
      </c>
      <c r="E49" t="e">
        <f>VLOOKUP(Shelf_Life!A49,Demand_Frozen!A49:A164,1,FALSE())</f>
        <v>#N/A</v>
      </c>
    </row>
    <row r="50" spans="1:5" x14ac:dyDescent="0.25">
      <c r="A50" t="s">
        <v>1430</v>
      </c>
      <c r="B50" s="130">
        <v>1</v>
      </c>
      <c r="C50" s="120">
        <v>0.109471702940968</v>
      </c>
      <c r="D50" t="e">
        <f>VLOOKUP(Shelf_Life!A50,Demand_Fresh!A51:A142,1,FALSE())</f>
        <v>#N/A</v>
      </c>
      <c r="E50" t="e">
        <f>VLOOKUP(Shelf_Life!A50,Demand_Frozen!A50:A165,1,FALSE())</f>
        <v>#N/A</v>
      </c>
    </row>
    <row r="51" spans="1:5" x14ac:dyDescent="0.25">
      <c r="A51" t="s">
        <v>1431</v>
      </c>
      <c r="B51" s="130">
        <v>1</v>
      </c>
      <c r="C51" s="120">
        <v>9.8524532646871096E-2</v>
      </c>
      <c r="D51" t="e">
        <f>VLOOKUP(Shelf_Life!A51,Demand_Fresh!A52:A143,1,FALSE())</f>
        <v>#N/A</v>
      </c>
      <c r="E51" t="e">
        <f>VLOOKUP(Shelf_Life!A51,Demand_Frozen!A51:A166,1,FALSE())</f>
        <v>#N/A</v>
      </c>
    </row>
    <row r="52" spans="1:5" x14ac:dyDescent="0.25">
      <c r="A52" t="s">
        <v>1432</v>
      </c>
      <c r="B52" s="130">
        <v>1</v>
      </c>
      <c r="C52" s="120">
        <v>0.147786798970307</v>
      </c>
      <c r="D52" t="e">
        <f>VLOOKUP(Shelf_Life!A52,Demand_Fresh!A53:A144,1,FALSE())</f>
        <v>#N/A</v>
      </c>
      <c r="E52" t="e">
        <f>VLOOKUP(Shelf_Life!A52,Demand_Frozen!A52:A167,1,FALSE())</f>
        <v>#N/A</v>
      </c>
    </row>
    <row r="53" spans="1:5" x14ac:dyDescent="0.25">
      <c r="A53" t="s">
        <v>1433</v>
      </c>
      <c r="B53" s="130">
        <v>1</v>
      </c>
      <c r="C53" s="120">
        <v>0.36490567646989303</v>
      </c>
      <c r="D53" t="e">
        <f>VLOOKUP(Shelf_Life!A53,Demand_Fresh!A54:A145,1,FALSE())</f>
        <v>#N/A</v>
      </c>
      <c r="E53" t="e">
        <f>VLOOKUP(Shelf_Life!A53,Demand_Frozen!A53:A168,1,FALSE())</f>
        <v>#N/A</v>
      </c>
    </row>
    <row r="54" spans="1:5" x14ac:dyDescent="0.25">
      <c r="A54" t="s">
        <v>1434</v>
      </c>
      <c r="B54" s="130">
        <v>1</v>
      </c>
      <c r="C54" s="120">
        <v>0.19461636078394301</v>
      </c>
      <c r="D54" t="e">
        <f>VLOOKUP(Shelf_Life!A54,Demand_Fresh!A55:A146,1,FALSE())</f>
        <v>#N/A</v>
      </c>
      <c r="E54" t="e">
        <f>VLOOKUP(Shelf_Life!A54,Demand_Frozen!A54:A169,1,FALSE())</f>
        <v>#N/A</v>
      </c>
    </row>
    <row r="55" spans="1:5" x14ac:dyDescent="0.25">
      <c r="A55" t="s">
        <v>1435</v>
      </c>
      <c r="B55" s="130">
        <v>1</v>
      </c>
      <c r="C55" s="120">
        <v>0.13136604352916101</v>
      </c>
      <c r="D55" t="e">
        <f>VLOOKUP(Shelf_Life!A55,Demand_Fresh!A56:A147,1,FALSE())</f>
        <v>#N/A</v>
      </c>
      <c r="E55" t="e">
        <f>VLOOKUP(Shelf_Life!A55,Demand_Frozen!A55:A170,1,FALSE())</f>
        <v>#N/A</v>
      </c>
    </row>
    <row r="56" spans="1:5" x14ac:dyDescent="0.25">
      <c r="A56" t="s">
        <v>1436</v>
      </c>
      <c r="B56" s="130">
        <v>1</v>
      </c>
      <c r="C56" s="120">
        <v>0.246311331617178</v>
      </c>
      <c r="D56" t="e">
        <f>VLOOKUP(Shelf_Life!A56,Demand_Fresh!A57:A148,1,FALSE())</f>
        <v>#N/A</v>
      </c>
      <c r="E56" t="e">
        <f>VLOOKUP(Shelf_Life!A56,Demand_Frozen!A56:A171,1,FALSE())</f>
        <v>#N/A</v>
      </c>
    </row>
    <row r="57" spans="1:5" x14ac:dyDescent="0.25">
      <c r="A57" t="s">
        <v>1437</v>
      </c>
      <c r="B57" s="130">
        <v>1</v>
      </c>
      <c r="C57" s="120">
        <v>9.8524532646871096E-2</v>
      </c>
      <c r="D57" t="e">
        <f>VLOOKUP(Shelf_Life!A57,Demand_Fresh!A58:A149,1,FALSE())</f>
        <v>#N/A</v>
      </c>
      <c r="E57" t="e">
        <f>VLOOKUP(Shelf_Life!A57,Demand_Frozen!A57:A172,1,FALSE())</f>
        <v>#N/A</v>
      </c>
    </row>
    <row r="58" spans="1:5" x14ac:dyDescent="0.25">
      <c r="A58" t="s">
        <v>1438</v>
      </c>
      <c r="B58" s="130">
        <v>1</v>
      </c>
      <c r="C58" s="120">
        <v>9.8524532646871096E-2</v>
      </c>
      <c r="D58" t="e">
        <f>VLOOKUP(Shelf_Life!A58,Demand_Fresh!A59:A150,1,FALSE())</f>
        <v>#N/A</v>
      </c>
      <c r="E58" t="e">
        <f>VLOOKUP(Shelf_Life!A58,Demand_Frozen!A58:A173,1,FALSE())</f>
        <v>#N/A</v>
      </c>
    </row>
    <row r="59" spans="1:5" x14ac:dyDescent="0.25">
      <c r="A59" t="s">
        <v>1439</v>
      </c>
      <c r="B59" s="130">
        <v>1</v>
      </c>
      <c r="C59" s="120">
        <v>0.13136604352916101</v>
      </c>
      <c r="D59" t="e">
        <f>VLOOKUP(Shelf_Life!A59,Demand_Fresh!A60:A151,1,FALSE())</f>
        <v>#N/A</v>
      </c>
      <c r="E59" t="e">
        <f>VLOOKUP(Shelf_Life!A59,Demand_Frozen!A59:A174,1,FALSE())</f>
        <v>#N/A</v>
      </c>
    </row>
    <row r="60" spans="1:5" x14ac:dyDescent="0.25">
      <c r="A60" t="s">
        <v>1440</v>
      </c>
      <c r="B60" s="130">
        <v>1</v>
      </c>
      <c r="C60" s="120">
        <v>0.103032191003264</v>
      </c>
      <c r="D60" t="e">
        <f>VLOOKUP(Shelf_Life!A60,Demand_Fresh!A61:A152,1,FALSE())</f>
        <v>#N/A</v>
      </c>
      <c r="E60" t="e">
        <f>VLOOKUP(Shelf_Life!A60,Demand_Frozen!A60:A175,1,FALSE())</f>
        <v>#N/A</v>
      </c>
    </row>
    <row r="61" spans="1:5" x14ac:dyDescent="0.25">
      <c r="A61" t="s">
        <v>1441</v>
      </c>
      <c r="B61" s="130">
        <v>1</v>
      </c>
      <c r="C61" s="120">
        <v>6.1577832904294402E-2</v>
      </c>
      <c r="D61" t="e">
        <f>VLOOKUP(Shelf_Life!A61,Demand_Fresh!A62:A153,1,FALSE())</f>
        <v>#N/A</v>
      </c>
      <c r="E61" t="e">
        <f>VLOOKUP(Shelf_Life!A61,Demand_Frozen!A61:A176,1,FALSE())</f>
        <v>#N/A</v>
      </c>
    </row>
    <row r="62" spans="1:5" x14ac:dyDescent="0.25">
      <c r="A62" t="s">
        <v>1442</v>
      </c>
      <c r="B62" s="130">
        <v>1</v>
      </c>
      <c r="C62" s="120">
        <v>5.79556074393359E-2</v>
      </c>
      <c r="D62" t="e">
        <f>VLOOKUP(Shelf_Life!A62,Demand_Fresh!A63:A154,1,FALSE())</f>
        <v>#N/A</v>
      </c>
      <c r="E62" t="e">
        <f>VLOOKUP(Shelf_Life!A62,Demand_Frozen!A62:A177,1,FALSE())</f>
        <v>#N/A</v>
      </c>
    </row>
    <row r="63" spans="1:5" x14ac:dyDescent="0.25">
      <c r="A63" t="s">
        <v>1443</v>
      </c>
      <c r="B63" s="130">
        <v>1</v>
      </c>
      <c r="C63" s="120">
        <v>6.8419814338104901E-2</v>
      </c>
      <c r="D63" t="e">
        <f>VLOOKUP(Shelf_Life!A63,Demand_Fresh!A64:A155,1,FALSE())</f>
        <v>#N/A</v>
      </c>
      <c r="E63" t="e">
        <f>VLOOKUP(Shelf_Life!A63,Demand_Frozen!A63:A178,1,FALSE())</f>
        <v>#N/A</v>
      </c>
    </row>
    <row r="64" spans="1:5" x14ac:dyDescent="0.25">
      <c r="A64" t="s">
        <v>1444</v>
      </c>
      <c r="B64" s="130">
        <v>1</v>
      </c>
      <c r="C64" s="120">
        <v>4.2104501131141503E-2</v>
      </c>
      <c r="D64" t="e">
        <f>VLOOKUP(Shelf_Life!A64,Demand_Fresh!A65:A156,1,FALSE())</f>
        <v>#N/A</v>
      </c>
      <c r="E64" t="e">
        <f>VLOOKUP(Shelf_Life!A64,Demand_Frozen!A64:A179,1,FALSE())</f>
        <v>#N/A</v>
      </c>
    </row>
    <row r="65" spans="1:5" x14ac:dyDescent="0.25">
      <c r="A65" t="s">
        <v>1445</v>
      </c>
      <c r="B65" s="130">
        <v>1</v>
      </c>
      <c r="C65" s="120">
        <v>6.1577832904294402E-2</v>
      </c>
      <c r="D65" t="e">
        <f>VLOOKUP(Shelf_Life!A65,Demand_Fresh!A66:A157,1,FALSE())</f>
        <v>#N/A</v>
      </c>
      <c r="E65" t="e">
        <f>VLOOKUP(Shelf_Life!A65,Demand_Frozen!A65:A180,1,FALSE())</f>
        <v>#N/A</v>
      </c>
    </row>
    <row r="66" spans="1:5" x14ac:dyDescent="0.25">
      <c r="A66" t="s">
        <v>1446</v>
      </c>
      <c r="B66" s="130">
        <v>1</v>
      </c>
      <c r="C66" s="120">
        <v>6.1577832904294402E-2</v>
      </c>
      <c r="D66" t="e">
        <f>VLOOKUP(Shelf_Life!A66,Demand_Fresh!A67:A158,1,FALSE())</f>
        <v>#N/A</v>
      </c>
      <c r="E66" t="e">
        <f>VLOOKUP(Shelf_Life!A66,Demand_Frozen!A66:A181,1,FALSE())</f>
        <v>#N/A</v>
      </c>
    </row>
    <row r="67" spans="1:5" x14ac:dyDescent="0.25">
      <c r="A67" t="s">
        <v>1447</v>
      </c>
      <c r="B67" s="130">
        <v>1</v>
      </c>
      <c r="C67" s="120">
        <v>6.1577832904294402E-2</v>
      </c>
      <c r="D67" t="e">
        <f>VLOOKUP(Shelf_Life!A67,Demand_Fresh!A68:A159,1,FALSE())</f>
        <v>#N/A</v>
      </c>
      <c r="E67" t="e">
        <f>VLOOKUP(Shelf_Life!A67,Demand_Frozen!A67:A182,1,FALSE())</f>
        <v>#N/A</v>
      </c>
    </row>
    <row r="68" spans="1:5" x14ac:dyDescent="0.25">
      <c r="A68" t="s">
        <v>1448</v>
      </c>
      <c r="B68" s="130">
        <v>1</v>
      </c>
      <c r="C68" s="120">
        <v>6.1577832904294402E-2</v>
      </c>
      <c r="D68" t="e">
        <f>VLOOKUP(Shelf_Life!A68,Demand_Fresh!A69:A160,1,FALSE())</f>
        <v>#N/A</v>
      </c>
      <c r="E68" t="e">
        <f>VLOOKUP(Shelf_Life!A68,Demand_Frozen!A68:A183,1,FALSE())</f>
        <v>#N/A</v>
      </c>
    </row>
    <row r="69" spans="1:5" x14ac:dyDescent="0.25">
      <c r="A69" t="s">
        <v>1449</v>
      </c>
      <c r="B69" s="130">
        <v>1</v>
      </c>
      <c r="C69" s="120">
        <v>6.1577832904294402E-2</v>
      </c>
      <c r="D69" t="e">
        <f>VLOOKUP(Shelf_Life!A69,Demand_Fresh!A70:A161,1,FALSE())</f>
        <v>#N/A</v>
      </c>
      <c r="E69" t="e">
        <f>VLOOKUP(Shelf_Life!A69,Demand_Frozen!A69:A184,1,FALSE())</f>
        <v>#N/A</v>
      </c>
    </row>
    <row r="70" spans="1:5" x14ac:dyDescent="0.25">
      <c r="A70" t="s">
        <v>1450</v>
      </c>
      <c r="B70" s="130">
        <v>1</v>
      </c>
      <c r="C70" s="120">
        <v>6.1577832904294402E-2</v>
      </c>
      <c r="D70" t="e">
        <f>VLOOKUP(Shelf_Life!A70,Demand_Fresh!A71:A162,1,FALSE())</f>
        <v>#N/A</v>
      </c>
      <c r="E70" t="e">
        <f>VLOOKUP(Shelf_Life!A70,Demand_Frozen!A70:A185,1,FALSE())</f>
        <v>#N/A</v>
      </c>
    </row>
    <row r="71" spans="1:5" x14ac:dyDescent="0.25">
      <c r="A71" t="s">
        <v>1451</v>
      </c>
      <c r="B71" s="130">
        <v>1</v>
      </c>
      <c r="C71" s="120">
        <v>8.2933108288612001E-2</v>
      </c>
      <c r="D71" t="e">
        <f>VLOOKUP(Shelf_Life!A71,Demand_Fresh!A72:A163,1,FALSE())</f>
        <v>#N/A</v>
      </c>
      <c r="E71" t="e">
        <f>VLOOKUP(Shelf_Life!A71,Demand_Frozen!A71:A186,1,FALSE())</f>
        <v>#N/A</v>
      </c>
    </row>
    <row r="72" spans="1:5" x14ac:dyDescent="0.25">
      <c r="A72" t="s">
        <v>1452</v>
      </c>
      <c r="B72" s="130">
        <v>1</v>
      </c>
      <c r="C72" s="120">
        <v>6.0817612744982097E-2</v>
      </c>
      <c r="D72" t="e">
        <f>VLOOKUP(Shelf_Life!A72,Demand_Fresh!A73:A164,1,FALSE())</f>
        <v>#N/A</v>
      </c>
      <c r="E72" t="e">
        <f>VLOOKUP(Shelf_Life!A72,Demand_Frozen!A72:A187,1,FALSE())</f>
        <v>#N/A</v>
      </c>
    </row>
    <row r="73" spans="1:5" x14ac:dyDescent="0.25">
      <c r="A73" t="s">
        <v>1453</v>
      </c>
      <c r="B73" s="130">
        <v>1</v>
      </c>
      <c r="C73" s="120">
        <v>6.1577832904294402E-2</v>
      </c>
      <c r="D73" t="e">
        <f>VLOOKUP(Shelf_Life!A73,Demand_Fresh!A74:A165,1,FALSE())</f>
        <v>#N/A</v>
      </c>
      <c r="E73" t="e">
        <f>VLOOKUP(Shelf_Life!A73,Demand_Frozen!A73:A188,1,FALSE())</f>
        <v>#N/A</v>
      </c>
    </row>
    <row r="74" spans="1:5" x14ac:dyDescent="0.25">
      <c r="A74" t="s">
        <v>1454</v>
      </c>
      <c r="B74" s="130">
        <v>1</v>
      </c>
      <c r="C74" s="120">
        <v>6.8419814338104901E-2</v>
      </c>
      <c r="D74" t="e">
        <f>VLOOKUP(Shelf_Life!A74,Demand_Fresh!A75:A166,1,FALSE())</f>
        <v>#N/A</v>
      </c>
      <c r="E74" t="e">
        <f>VLOOKUP(Shelf_Life!A74,Demand_Frozen!A74:A189,1,FALSE())</f>
        <v>#N/A</v>
      </c>
    </row>
    <row r="75" spans="1:5" x14ac:dyDescent="0.25">
      <c r="A75" t="s">
        <v>1455</v>
      </c>
      <c r="B75" s="130">
        <v>1</v>
      </c>
      <c r="C75" s="120">
        <v>6.1577832904294402E-2</v>
      </c>
      <c r="D75" t="e">
        <f>VLOOKUP(Shelf_Life!A75,Demand_Fresh!A76:A167,1,FALSE())</f>
        <v>#N/A</v>
      </c>
      <c r="E75" t="e">
        <f>VLOOKUP(Shelf_Life!A75,Demand_Frozen!A75:A190,1,FALSE())</f>
        <v>#N/A</v>
      </c>
    </row>
    <row r="76" spans="1:5" x14ac:dyDescent="0.25">
      <c r="A76" t="s">
        <v>1456</v>
      </c>
      <c r="B76" s="130">
        <v>1</v>
      </c>
      <c r="C76" s="120">
        <v>6.1577832904294402E-2</v>
      </c>
      <c r="D76" t="e">
        <f>VLOOKUP(Shelf_Life!A76,Demand_Fresh!A77:A168,1,FALSE())</f>
        <v>#N/A</v>
      </c>
      <c r="E76" t="e">
        <f>VLOOKUP(Shelf_Life!A76,Demand_Frozen!A76:A191,1,FALSE())</f>
        <v>#N/A</v>
      </c>
    </row>
    <row r="77" spans="1:5" x14ac:dyDescent="0.25">
      <c r="A77" t="s">
        <v>1457</v>
      </c>
      <c r="B77" s="130">
        <v>1</v>
      </c>
      <c r="C77" s="120">
        <v>6.1577832904294402E-2</v>
      </c>
      <c r="D77" t="e">
        <f>VLOOKUP(Shelf_Life!A77,Demand_Fresh!A78:A169,1,FALSE())</f>
        <v>#N/A</v>
      </c>
      <c r="E77" t="e">
        <f>VLOOKUP(Shelf_Life!A77,Demand_Frozen!A77:A192,1,FALSE())</f>
        <v>#N/A</v>
      </c>
    </row>
    <row r="78" spans="1:5" x14ac:dyDescent="0.25">
      <c r="A78" t="s">
        <v>1458</v>
      </c>
      <c r="B78" s="130">
        <v>1</v>
      </c>
      <c r="C78" s="120">
        <v>6.1577832904294402E-2</v>
      </c>
      <c r="D78" t="e">
        <f>VLOOKUP(Shelf_Life!A78,Demand_Fresh!A79:A170,1,FALSE())</f>
        <v>#N/A</v>
      </c>
      <c r="E78" t="e">
        <f>VLOOKUP(Shelf_Life!A78,Demand_Frozen!A78:A193,1,FALSE())</f>
        <v>#N/A</v>
      </c>
    </row>
    <row r="79" spans="1:5" x14ac:dyDescent="0.25">
      <c r="A79" t="s">
        <v>1459</v>
      </c>
      <c r="B79" s="130">
        <v>1</v>
      </c>
      <c r="C79" s="120">
        <v>6.1577832904294402E-2</v>
      </c>
      <c r="D79" t="e">
        <f>VLOOKUP(Shelf_Life!A79,Demand_Fresh!A80:A171,1,FALSE())</f>
        <v>#N/A</v>
      </c>
      <c r="E79" t="e">
        <f>VLOOKUP(Shelf_Life!A79,Demand_Frozen!A79:A194,1,FALSE())</f>
        <v>#N/A</v>
      </c>
    </row>
    <row r="80" spans="1:5" x14ac:dyDescent="0.25">
      <c r="A80" t="s">
        <v>1460</v>
      </c>
      <c r="B80" s="130">
        <v>1</v>
      </c>
      <c r="C80" s="120">
        <v>9.1226419117473201E-2</v>
      </c>
      <c r="D80" t="e">
        <f>VLOOKUP(Shelf_Life!A80,Demand_Fresh!A81:A172,1,FALSE())</f>
        <v>#N/A</v>
      </c>
      <c r="E80" t="e">
        <f>VLOOKUP(Shelf_Life!A80,Demand_Frozen!A80:A195,1,FALSE())</f>
        <v>#N/A</v>
      </c>
    </row>
    <row r="81" spans="1:5" x14ac:dyDescent="0.25">
      <c r="A81" t="s">
        <v>1461</v>
      </c>
      <c r="B81" s="130">
        <v>1</v>
      </c>
      <c r="C81" s="120">
        <v>6.8419814338104901E-2</v>
      </c>
      <c r="D81" t="e">
        <f>VLOOKUP(Shelf_Life!A81,Demand_Fresh!A82:A173,1,FALSE())</f>
        <v>#N/A</v>
      </c>
      <c r="E81" t="e">
        <f>VLOOKUP(Shelf_Life!A81,Demand_Frozen!A81:A196,1,FALSE())</f>
        <v>#N/A</v>
      </c>
    </row>
    <row r="82" spans="1:5" x14ac:dyDescent="0.25">
      <c r="A82" t="s">
        <v>1462</v>
      </c>
      <c r="B82" s="130">
        <v>1</v>
      </c>
      <c r="C82" s="120">
        <v>6.1577832904294402E-2</v>
      </c>
      <c r="D82" t="e">
        <f>VLOOKUP(Shelf_Life!A82,Demand_Fresh!A83:A174,1,FALSE())</f>
        <v>#N/A</v>
      </c>
      <c r="E82" t="e">
        <f>VLOOKUP(Shelf_Life!A82,Demand_Frozen!A82:A197,1,FALSE())</f>
        <v>#N/A</v>
      </c>
    </row>
    <row r="83" spans="1:5" x14ac:dyDescent="0.25">
      <c r="A83" t="s">
        <v>1463</v>
      </c>
      <c r="B83" s="130">
        <v>1</v>
      </c>
      <c r="C83" s="120">
        <v>6.1577832904294402E-2</v>
      </c>
      <c r="D83" t="e">
        <f>VLOOKUP(Shelf_Life!A83,Demand_Fresh!A84:A175,1,FALSE())</f>
        <v>#N/A</v>
      </c>
      <c r="E83" t="e">
        <f>VLOOKUP(Shelf_Life!A83,Demand_Frozen!A83:A198,1,FALSE())</f>
        <v>#N/A</v>
      </c>
    </row>
    <row r="84" spans="1:5" x14ac:dyDescent="0.25">
      <c r="A84" t="s">
        <v>1464</v>
      </c>
      <c r="B84" s="130">
        <v>1</v>
      </c>
      <c r="C84" s="120">
        <v>6.8419814338104901E-2</v>
      </c>
      <c r="D84" t="e">
        <f>VLOOKUP(Shelf_Life!A84,Demand_Fresh!A85:A176,1,FALSE())</f>
        <v>#N/A</v>
      </c>
      <c r="E84" t="e">
        <f>VLOOKUP(Shelf_Life!A84,Demand_Frozen!A84:A199,1,FALSE())</f>
        <v>#N/A</v>
      </c>
    </row>
    <row r="85" spans="1:5" x14ac:dyDescent="0.25">
      <c r="A85" t="s">
        <v>1465</v>
      </c>
      <c r="B85" s="130">
        <v>1</v>
      </c>
      <c r="C85" s="120">
        <v>6.8419814338104901E-2</v>
      </c>
      <c r="D85" t="e">
        <f>VLOOKUP(Shelf_Life!A85,Demand_Fresh!A86:A177,1,FALSE())</f>
        <v>#N/A</v>
      </c>
      <c r="E85" t="e">
        <f>VLOOKUP(Shelf_Life!A85,Demand_Frozen!A85:A200,1,FALSE())</f>
        <v>#N/A</v>
      </c>
    </row>
    <row r="86" spans="1:5" x14ac:dyDescent="0.25">
      <c r="A86" t="s">
        <v>1466</v>
      </c>
      <c r="B86" s="130">
        <v>1</v>
      </c>
      <c r="C86" s="120">
        <v>6.1577832904294402E-2</v>
      </c>
      <c r="D86" t="e">
        <f>VLOOKUP(Shelf_Life!A86,Demand_Fresh!A87:A178,1,FALSE())</f>
        <v>#N/A</v>
      </c>
      <c r="E86" t="e">
        <f>VLOOKUP(Shelf_Life!A86,Demand_Frozen!A86:A200,1,FALSE())</f>
        <v>#N/A</v>
      </c>
    </row>
    <row r="87" spans="1:5" x14ac:dyDescent="0.25">
      <c r="A87" t="s">
        <v>1467</v>
      </c>
      <c r="B87" s="130">
        <v>1</v>
      </c>
      <c r="C87" s="120">
        <v>9.1226419117473201E-2</v>
      </c>
      <c r="D87" t="e">
        <f>VLOOKUP(Shelf_Life!A87,Demand_Fresh!A88:A179,1,FALSE())</f>
        <v>#N/A</v>
      </c>
      <c r="E87" t="e">
        <f>VLOOKUP(Shelf_Life!A87,Demand_Frozen!A87:A201,1,FALSE())</f>
        <v>#N/A</v>
      </c>
    </row>
    <row r="88" spans="1:5" x14ac:dyDescent="0.25">
      <c r="A88" t="s">
        <v>1468</v>
      </c>
      <c r="B88" s="130">
        <v>1</v>
      </c>
      <c r="C88" s="120">
        <v>6.8419814338104901E-2</v>
      </c>
      <c r="D88" t="e">
        <f>VLOOKUP(Shelf_Life!A88,Demand_Fresh!A89:A180,1,FALSE())</f>
        <v>#N/A</v>
      </c>
      <c r="E88" t="e">
        <f>VLOOKUP(Shelf_Life!A88,Demand_Frozen!A88:A202,1,FALSE())</f>
        <v>#N/A</v>
      </c>
    </row>
    <row r="89" spans="1:5" x14ac:dyDescent="0.25">
      <c r="A89" t="s">
        <v>1469</v>
      </c>
      <c r="B89" s="130">
        <v>1</v>
      </c>
      <c r="C89" s="120">
        <v>6.8419814338104901E-2</v>
      </c>
      <c r="D89" t="e">
        <f>VLOOKUP(Shelf_Life!A89,Demand_Fresh!A90:A181,1,FALSE())</f>
        <v>#N/A</v>
      </c>
      <c r="E89" t="e">
        <f>VLOOKUP(Shelf_Life!A89,Demand_Frozen!A89:A203,1,FALSE())</f>
        <v>#N/A</v>
      </c>
    </row>
    <row r="90" spans="1:5" x14ac:dyDescent="0.25">
      <c r="A90" t="s">
        <v>281</v>
      </c>
      <c r="B90" s="130">
        <v>1</v>
      </c>
      <c r="C90" s="120">
        <v>0.13511935905856601</v>
      </c>
      <c r="D90" t="e">
        <f>VLOOKUP(Shelf_Life!A90,Demand_Fresh!A91:A182,1,FALSE())</f>
        <v>#N/A</v>
      </c>
      <c r="E90" t="e">
        <f>VLOOKUP(Shelf_Life!A90,Demand_Frozen!A90:A204,1,FALSE())</f>
        <v>#N/A</v>
      </c>
    </row>
    <row r="91" spans="1:5" x14ac:dyDescent="0.25">
      <c r="A91" t="s">
        <v>282</v>
      </c>
      <c r="B91" s="130">
        <v>1</v>
      </c>
      <c r="C91" s="120">
        <v>0.112599465882138</v>
      </c>
      <c r="D91" t="e">
        <f>VLOOKUP(Shelf_Life!A91,Demand_Fresh!A92:A183,1,FALSE())</f>
        <v>#N/A</v>
      </c>
      <c r="E91" t="e">
        <f>VLOOKUP(Shelf_Life!A91,Demand_Frozen!A91:A205,1,FALSE())</f>
        <v>#N/A</v>
      </c>
    </row>
    <row r="92" spans="1:5" x14ac:dyDescent="0.25">
      <c r="A92" t="s">
        <v>639</v>
      </c>
      <c r="B92" s="130">
        <v>1</v>
      </c>
      <c r="C92" s="120">
        <v>9.8524532646871096E-2</v>
      </c>
      <c r="D92" t="e">
        <f>VLOOKUP(Shelf_Life!A92,Demand_Fresh!A93:A184,1,FALSE())</f>
        <v>#N/A</v>
      </c>
      <c r="E92" t="e">
        <f>VLOOKUP(Shelf_Life!A92,Demand_Frozen!A92:A206,1,FALSE())</f>
        <v>#N/A</v>
      </c>
    </row>
    <row r="93" spans="1:5" x14ac:dyDescent="0.25">
      <c r="A93" t="s">
        <v>641</v>
      </c>
      <c r="B93" s="130">
        <v>1</v>
      </c>
      <c r="C93" s="120">
        <v>9.8524532646871096E-2</v>
      </c>
      <c r="D93" t="e">
        <f>VLOOKUP(Shelf_Life!A93,Demand_Fresh!A94:A185,1,FALSE())</f>
        <v>#N/A</v>
      </c>
      <c r="E93" t="e">
        <f>VLOOKUP(Shelf_Life!A93,Demand_Frozen!A93:A206,1,FALSE())</f>
        <v>#N/A</v>
      </c>
    </row>
    <row r="94" spans="1:5" x14ac:dyDescent="0.25">
      <c r="A94" t="s">
        <v>1470</v>
      </c>
      <c r="B94" s="130">
        <v>1</v>
      </c>
      <c r="C94" s="120">
        <v>9.8524532646871096E-2</v>
      </c>
      <c r="D94" t="e">
        <f>VLOOKUP(Shelf_Life!A94,Demand_Fresh!A95:A186,1,FALSE())</f>
        <v>#N/A</v>
      </c>
      <c r="E94" t="e">
        <f>VLOOKUP(Shelf_Life!A94,Demand_Frozen!A94:A207,1,FALSE())</f>
        <v>#N/A</v>
      </c>
    </row>
    <row r="95" spans="1:5" x14ac:dyDescent="0.25">
      <c r="A95" t="s">
        <v>1471</v>
      </c>
      <c r="B95" s="130">
        <v>1</v>
      </c>
      <c r="C95" s="121">
        <v>8.8230924758392004E-2</v>
      </c>
      <c r="D95" t="e">
        <f>VLOOKUP(Shelf_Life!A95,Demand_Fresh!A96:A187,1,FALSE())</f>
        <v>#N/A</v>
      </c>
      <c r="E95" t="e">
        <f>VLOOKUP(Shelf_Life!A95,Demand_Frozen!A95:A208,1,FALSE())</f>
        <v>#N/A</v>
      </c>
    </row>
    <row r="96" spans="1:5" x14ac:dyDescent="0.25">
      <c r="A96" t="s">
        <v>1472</v>
      </c>
      <c r="B96" s="130">
        <v>1</v>
      </c>
      <c r="C96" s="121">
        <v>8.8230924758392004E-2</v>
      </c>
      <c r="D96" t="e">
        <f>VLOOKUP(Shelf_Life!A96,Demand_Fresh!A97:A188,1,FALSE())</f>
        <v>#N/A</v>
      </c>
      <c r="E96" t="e">
        <f>VLOOKUP(Shelf_Life!A96,Demand_Frozen!A96:A209,1,FALSE())</f>
        <v>#N/A</v>
      </c>
    </row>
    <row r="97" spans="1:5" x14ac:dyDescent="0.25">
      <c r="A97" t="s">
        <v>1473</v>
      </c>
      <c r="B97" s="130">
        <v>1</v>
      </c>
      <c r="C97" s="121">
        <v>8.8230924758392004E-2</v>
      </c>
      <c r="D97" t="e">
        <f>VLOOKUP(Shelf_Life!A97,Demand_Fresh!A98:A189,1,FALSE())</f>
        <v>#N/A</v>
      </c>
      <c r="E97" t="e">
        <f>VLOOKUP(Shelf_Life!A97,Demand_Frozen!A97:A210,1,FALSE())</f>
        <v>#N/A</v>
      </c>
    </row>
    <row r="98" spans="1:5" x14ac:dyDescent="0.25">
      <c r="A98" t="s">
        <v>1474</v>
      </c>
      <c r="B98" s="130">
        <v>1</v>
      </c>
      <c r="C98" s="121">
        <v>8.8230924758392004E-2</v>
      </c>
      <c r="D98" t="e">
        <f>VLOOKUP(Shelf_Life!A98,Demand_Fresh!A99:A190,1,FALSE())</f>
        <v>#N/A</v>
      </c>
      <c r="E98" t="e">
        <f>VLOOKUP(Shelf_Life!A98,Demand_Frozen!A98:A211,1,FALSE())</f>
        <v>#N/A</v>
      </c>
    </row>
    <row r="99" spans="1:5" x14ac:dyDescent="0.25">
      <c r="A99" t="s">
        <v>1475</v>
      </c>
      <c r="B99" s="130">
        <v>1</v>
      </c>
      <c r="C99" s="121">
        <v>8.8230924758392004E-2</v>
      </c>
      <c r="D99" t="e">
        <f>VLOOKUP(Shelf_Life!A99,Demand_Fresh!A100:A191,1,FALSE())</f>
        <v>#N/A</v>
      </c>
      <c r="E99" t="e">
        <f>VLOOKUP(Shelf_Life!A99,Demand_Frozen!A99:A212,1,FALSE())</f>
        <v>#N/A</v>
      </c>
    </row>
    <row r="100" spans="1:5" x14ac:dyDescent="0.25">
      <c r="A100" t="s">
        <v>1476</v>
      </c>
      <c r="B100" s="130">
        <v>1</v>
      </c>
      <c r="C100" s="121">
        <v>8.8230924758392004E-2</v>
      </c>
      <c r="D100" t="e">
        <f>VLOOKUP(Shelf_Life!A100,Demand_Fresh!A101:A192,1,FALSE())</f>
        <v>#N/A</v>
      </c>
      <c r="E100" t="e">
        <f>VLOOKUP(Shelf_Life!A100,Demand_Frozen!A100:A213,1,FALSE())</f>
        <v>#N/A</v>
      </c>
    </row>
    <row r="101" spans="1:5" x14ac:dyDescent="0.25">
      <c r="A101" t="s">
        <v>290</v>
      </c>
      <c r="B101" s="130">
        <v>1</v>
      </c>
      <c r="C101" s="120">
        <v>0.13909345785440599</v>
      </c>
      <c r="D101" t="e">
        <f>VLOOKUP(Shelf_Life!A101,Demand_Fresh!A102:A193,1,FALSE())</f>
        <v>#N/A</v>
      </c>
      <c r="E101" t="e">
        <f>VLOOKUP(Shelf_Life!A101,Demand_Frozen!A101:A214,1,FALSE())</f>
        <v>#N/A</v>
      </c>
    </row>
    <row r="102" spans="1:5" x14ac:dyDescent="0.25">
      <c r="A102" t="s">
        <v>167</v>
      </c>
      <c r="B102" s="130">
        <v>1</v>
      </c>
      <c r="C102" s="120">
        <v>7.7274143252447899E-2</v>
      </c>
      <c r="D102" t="e">
        <f>VLOOKUP(Shelf_Life!A102,Demand_Fresh!A100:A194,1,FALSE())</f>
        <v>#N/A</v>
      </c>
      <c r="E102" t="e">
        <f>VLOOKUP(Shelf_Life!A102,Demand_Frozen!A102:A215,1,FALSE())</f>
        <v>#N/A</v>
      </c>
    </row>
    <row r="103" spans="1:5" x14ac:dyDescent="0.25">
      <c r="A103" t="s">
        <v>291</v>
      </c>
      <c r="B103" s="130">
        <v>1</v>
      </c>
      <c r="C103" s="120">
        <v>9.8524532646871096E-2</v>
      </c>
      <c r="D103" t="e">
        <f>VLOOKUP(Shelf_Life!A103,Demand_Fresh!A101:A195,1,FALSE())</f>
        <v>#N/A</v>
      </c>
      <c r="E103" t="e">
        <f>VLOOKUP(Shelf_Life!A103,Demand_Frozen!A103:A216,1,FALSE())</f>
        <v>#N/A</v>
      </c>
    </row>
    <row r="104" spans="1:5" x14ac:dyDescent="0.25">
      <c r="A104" t="s">
        <v>168</v>
      </c>
      <c r="B104" s="130">
        <v>1</v>
      </c>
      <c r="C104" s="120">
        <v>0.102629721507157</v>
      </c>
      <c r="D104" t="e">
        <f>VLOOKUP(Shelf_Life!A104,Demand_Fresh!A102:A196,1,FALSE())</f>
        <v>#N/A</v>
      </c>
      <c r="E104" t="e">
        <f>VLOOKUP(Shelf_Life!A104,Demand_Frozen!A104:A217,1,FALSE())</f>
        <v>#N/A</v>
      </c>
    </row>
    <row r="105" spans="1:5" x14ac:dyDescent="0.25">
      <c r="A105" t="s">
        <v>292</v>
      </c>
      <c r="B105" s="130">
        <v>1</v>
      </c>
      <c r="C105" s="120">
        <v>0.10105080271474</v>
      </c>
      <c r="D105" t="e">
        <f>VLOOKUP(Shelf_Life!A105,Demand_Fresh!A103:A197,1,FALSE())</f>
        <v>#N/A</v>
      </c>
      <c r="E105" t="e">
        <f>VLOOKUP(Shelf_Life!A105,Demand_Frozen!A105:A218,1,FALSE())</f>
        <v>#N/A</v>
      </c>
    </row>
    <row r="106" spans="1:5" x14ac:dyDescent="0.25">
      <c r="A106" t="s">
        <v>169</v>
      </c>
      <c r="B106" s="130">
        <v>1</v>
      </c>
      <c r="C106" s="120">
        <v>8.9567756951700897E-2</v>
      </c>
      <c r="D106" t="e">
        <f>VLOOKUP(Shelf_Life!A106,Demand_Fresh!A104:A198,1,FALSE())</f>
        <v>#N/A</v>
      </c>
      <c r="E106" t="e">
        <f>VLOOKUP(Shelf_Life!A106,Demand_Frozen!A106:A219,1,FALSE())</f>
        <v>#N/A</v>
      </c>
    </row>
    <row r="107" spans="1:5" x14ac:dyDescent="0.25">
      <c r="A107" t="s">
        <v>293</v>
      </c>
      <c r="B107" s="130">
        <v>1</v>
      </c>
      <c r="C107" s="120">
        <v>9.8524532646871096E-2</v>
      </c>
      <c r="D107" t="e">
        <f>VLOOKUP(Shelf_Life!A107,Demand_Fresh!A105:A199,1,FALSE())</f>
        <v>#N/A</v>
      </c>
      <c r="E107" t="e">
        <f>VLOOKUP(Shelf_Life!A107,Demand_Frozen!A107:A220,1,FALSE())</f>
        <v>#N/A</v>
      </c>
    </row>
    <row r="108" spans="1:5" x14ac:dyDescent="0.25">
      <c r="A108" t="s">
        <v>294</v>
      </c>
      <c r="B108" s="130">
        <v>1</v>
      </c>
      <c r="C108" s="120">
        <v>0.123155665808589</v>
      </c>
      <c r="D108" t="e">
        <f>VLOOKUP(Shelf_Life!A108,Demand_Fresh!A106:A200,1,FALSE())</f>
        <v>#N/A</v>
      </c>
      <c r="E108" t="e">
        <f>VLOOKUP(Shelf_Life!A108,Demand_Frozen!A108:A221,1,FALSE())</f>
        <v>#N/A</v>
      </c>
    </row>
    <row r="109" spans="1:5" x14ac:dyDescent="0.25">
      <c r="A109" t="s">
        <v>170</v>
      </c>
      <c r="B109" s="130">
        <v>1</v>
      </c>
      <c r="C109" s="120">
        <v>7.3306943933683796E-2</v>
      </c>
      <c r="D109" t="e">
        <f>VLOOKUP(Shelf_Life!A109,Demand_Fresh!A107:A201,1,FALSE())</f>
        <v>#N/A</v>
      </c>
      <c r="E109" t="e">
        <f>VLOOKUP(Shelf_Life!A109,Demand_Frozen!A109:A222,1,FALSE())</f>
        <v>#N/A</v>
      </c>
    </row>
    <row r="110" spans="1:5" x14ac:dyDescent="0.25">
      <c r="A110" t="s">
        <v>171</v>
      </c>
      <c r="B110" s="130">
        <v>1</v>
      </c>
      <c r="C110" s="120">
        <v>7.3967366852005306E-2</v>
      </c>
      <c r="D110" t="e">
        <f>VLOOKUP(Shelf_Life!A110,Demand_Fresh!A108:A202,1,FALSE())</f>
        <v>#N/A</v>
      </c>
      <c r="E110" t="e">
        <f>VLOOKUP(Shelf_Life!A110,Demand_Frozen!A110:A223,1,FALSE())</f>
        <v>#N/A</v>
      </c>
    </row>
    <row r="111" spans="1:5" x14ac:dyDescent="0.25">
      <c r="A111" t="s">
        <v>295</v>
      </c>
      <c r="B111" s="130">
        <v>1</v>
      </c>
      <c r="C111" s="120">
        <v>0.10105080271474</v>
      </c>
      <c r="D111" t="e">
        <f>VLOOKUP(Shelf_Life!A111,Demand_Fresh!A109:A203,1,FALSE())</f>
        <v>#N/A</v>
      </c>
      <c r="E111" t="e">
        <f>VLOOKUP(Shelf_Life!A111,Demand_Frozen!A111:A224,1,FALSE())</f>
        <v>#N/A</v>
      </c>
    </row>
    <row r="112" spans="1:5" x14ac:dyDescent="0.25">
      <c r="A112" t="s">
        <v>296</v>
      </c>
      <c r="B112" s="130">
        <v>1</v>
      </c>
      <c r="C112" s="120">
        <v>0.102310002748568</v>
      </c>
      <c r="D112" t="e">
        <f>VLOOKUP(Shelf_Life!A112,Demand_Fresh!A110:A204,1,FALSE())</f>
        <v>#N/A</v>
      </c>
      <c r="E112" t="e">
        <f>VLOOKUP(Shelf_Life!A112,Demand_Frozen!A112:A225,1,FALSE())</f>
        <v>#N/A</v>
      </c>
    </row>
    <row r="113" spans="1:5" x14ac:dyDescent="0.25">
      <c r="A113" t="s">
        <v>297</v>
      </c>
      <c r="B113" s="130">
        <v>1</v>
      </c>
      <c r="C113" s="120">
        <v>9.1793042838699698E-2</v>
      </c>
      <c r="D113" t="e">
        <f>VLOOKUP(Shelf_Life!A113,Demand_Fresh!A111:A205,1,FALSE())</f>
        <v>#N/A</v>
      </c>
      <c r="E113" t="e">
        <f>VLOOKUP(Shelf_Life!A113,Demand_Frozen!A113:A226,1,FALSE())</f>
        <v>#N/A</v>
      </c>
    </row>
    <row r="114" spans="1:5" x14ac:dyDescent="0.25">
      <c r="A114" t="s">
        <v>172</v>
      </c>
      <c r="B114" s="130">
        <v>1</v>
      </c>
      <c r="C114" s="120">
        <v>7.6494202365583103E-2</v>
      </c>
      <c r="D114" t="e">
        <f>VLOOKUP(Shelf_Life!A114,Demand_Fresh!A112:A206,1,FALSE())</f>
        <v>#N/A</v>
      </c>
      <c r="E114" t="e">
        <f>VLOOKUP(Shelf_Life!A114,Demand_Frozen!A114:A227,1,FALSE())</f>
        <v>#N/A</v>
      </c>
    </row>
    <row r="115" spans="1:5" x14ac:dyDescent="0.25">
      <c r="A115" t="s">
        <v>298</v>
      </c>
      <c r="B115" s="130">
        <v>1</v>
      </c>
      <c r="C115" s="120">
        <v>9.1793042838699698E-2</v>
      </c>
      <c r="D115" t="e">
        <f>VLOOKUP(Shelf_Life!A115,Demand_Fresh!A113:A207,1,FALSE())</f>
        <v>#N/A</v>
      </c>
      <c r="E115" t="e">
        <f>VLOOKUP(Shelf_Life!A115,Demand_Frozen!A115:A228,1,FALSE())</f>
        <v>#N/A</v>
      </c>
    </row>
    <row r="116" spans="1:5" x14ac:dyDescent="0.25">
      <c r="A116" t="s">
        <v>173</v>
      </c>
      <c r="B116" s="130">
        <v>1</v>
      </c>
      <c r="C116" s="120">
        <v>7.6494202365583103E-2</v>
      </c>
      <c r="D116" t="e">
        <f>VLOOKUP(Shelf_Life!A116,Demand_Fresh!A114:A208,1,FALSE())</f>
        <v>#N/A</v>
      </c>
      <c r="E116" t="e">
        <f>VLOOKUP(Shelf_Life!A116,Demand_Frozen!A116:A229,1,FALSE())</f>
        <v>#N/A</v>
      </c>
    </row>
    <row r="117" spans="1:5" x14ac:dyDescent="0.25">
      <c r="A117" t="s">
        <v>174</v>
      </c>
      <c r="B117" s="130">
        <v>1</v>
      </c>
      <c r="C117" s="120">
        <v>7.8819626117496794E-2</v>
      </c>
      <c r="D117" t="e">
        <f>VLOOKUP(Shelf_Life!A117,Demand_Fresh!A115:A209,1,FALSE())</f>
        <v>#N/A</v>
      </c>
      <c r="E117" t="e">
        <f>VLOOKUP(Shelf_Life!A117,Demand_Frozen!A117:A230,1,FALSE())</f>
        <v>#N/A</v>
      </c>
    </row>
    <row r="118" spans="1:5" x14ac:dyDescent="0.25">
      <c r="A118" t="s">
        <v>299</v>
      </c>
      <c r="B118" s="130">
        <v>1</v>
      </c>
      <c r="C118" s="120">
        <v>7.8819626117496794E-2</v>
      </c>
      <c r="D118" t="e">
        <f>VLOOKUP(Shelf_Life!A118,Demand_Fresh!A116:A210,1,FALSE())</f>
        <v>#N/A</v>
      </c>
      <c r="E118" t="e">
        <f>VLOOKUP(Shelf_Life!A118,Demand_Frozen!A118:A231,1,FALSE())</f>
        <v>#N/A</v>
      </c>
    </row>
    <row r="119" spans="1:5" x14ac:dyDescent="0.25">
      <c r="A119" t="s">
        <v>300</v>
      </c>
      <c r="B119" s="130">
        <v>1</v>
      </c>
      <c r="C119" s="120">
        <v>0.13876694738995901</v>
      </c>
      <c r="D119" t="e">
        <f>VLOOKUP(Shelf_Life!A119,Demand_Fresh!A117:A211,1,FALSE())</f>
        <v>#N/A</v>
      </c>
      <c r="E119" t="e">
        <f>VLOOKUP(Shelf_Life!A119,Demand_Frozen!A119:A232,1,FALSE())</f>
        <v>#N/A</v>
      </c>
    </row>
    <row r="120" spans="1:5" x14ac:dyDescent="0.25">
      <c r="A120" t="s">
        <v>301</v>
      </c>
      <c r="B120" s="130">
        <v>1</v>
      </c>
      <c r="C120" s="120">
        <v>0.13496511321489199</v>
      </c>
      <c r="D120" t="e">
        <f>VLOOKUP(Shelf_Life!A120,Demand_Fresh!A118:A212,1,FALSE())</f>
        <v>#N/A</v>
      </c>
      <c r="E120" t="e">
        <f>VLOOKUP(Shelf_Life!A120,Demand_Frozen!A120:A233,1,FALSE())</f>
        <v>#N/A</v>
      </c>
    </row>
    <row r="121" spans="1:5" x14ac:dyDescent="0.25">
      <c r="A121" t="s">
        <v>670</v>
      </c>
      <c r="B121" s="130">
        <v>1</v>
      </c>
      <c r="C121" s="120">
        <v>8.8760840222406406E-2</v>
      </c>
      <c r="D121" t="e">
        <f>VLOOKUP(Shelf_Life!A121,Demand_Fresh!A119:A213,1,FALSE())</f>
        <v>#N/A</v>
      </c>
      <c r="E121" t="e">
        <f>VLOOKUP(Shelf_Life!A121,Demand_Frozen!A121:A234,1,FALSE())</f>
        <v>#N/A</v>
      </c>
    </row>
    <row r="122" spans="1:5" x14ac:dyDescent="0.25">
      <c r="A122" t="s">
        <v>302</v>
      </c>
      <c r="B122" s="130">
        <v>1</v>
      </c>
      <c r="C122" s="120">
        <v>8.8760840222406406E-2</v>
      </c>
      <c r="D122" t="e">
        <f>VLOOKUP(Shelf_Life!A122,Demand_Fresh!A120:A214,1,FALSE())</f>
        <v>#N/A</v>
      </c>
      <c r="E122" t="e">
        <f>VLOOKUP(Shelf_Life!A122,Demand_Frozen!A122:A235,1,FALSE())</f>
        <v>#N/A</v>
      </c>
    </row>
    <row r="123" spans="1:5" x14ac:dyDescent="0.25">
      <c r="A123" t="s">
        <v>303</v>
      </c>
      <c r="B123" s="130">
        <v>1</v>
      </c>
      <c r="C123" s="120">
        <v>8.9976742143261207E-2</v>
      </c>
      <c r="D123" t="e">
        <f>VLOOKUP(Shelf_Life!A123,Demand_Fresh!A121:A215,1,FALSE())</f>
        <v>#N/A</v>
      </c>
      <c r="E123" t="e">
        <f>VLOOKUP(Shelf_Life!A123,Demand_Frozen!A123:A236,1,FALSE())</f>
        <v>#N/A</v>
      </c>
    </row>
    <row r="124" spans="1:5" x14ac:dyDescent="0.25">
      <c r="A124" t="s">
        <v>304</v>
      </c>
      <c r="B124" s="130">
        <v>1</v>
      </c>
      <c r="C124" s="120">
        <v>8.9976742143261207E-2</v>
      </c>
      <c r="D124" t="e">
        <f>VLOOKUP(Shelf_Life!A124,Demand_Fresh!A122:A216,1,FALSE())</f>
        <v>#N/A</v>
      </c>
      <c r="E124" t="e">
        <f>VLOOKUP(Shelf_Life!A124,Demand_Frozen!A124:A237,1,FALSE())</f>
        <v>#N/A</v>
      </c>
    </row>
    <row r="125" spans="1:5" x14ac:dyDescent="0.25">
      <c r="A125" t="s">
        <v>175</v>
      </c>
      <c r="B125" s="130">
        <v>1</v>
      </c>
      <c r="C125" s="120">
        <v>0.113682153054082</v>
      </c>
      <c r="D125" t="e">
        <f>VLOOKUP(Shelf_Life!A125,Demand_Fresh!A123:A217,1,FALSE())</f>
        <v>#N/A</v>
      </c>
      <c r="E125" t="e">
        <f>VLOOKUP(Shelf_Life!A125,Demand_Frozen!A125:A238,1,FALSE())</f>
        <v>#N/A</v>
      </c>
    </row>
    <row r="126" spans="1:5" x14ac:dyDescent="0.25">
      <c r="A126" t="s">
        <v>307</v>
      </c>
      <c r="B126" s="130">
        <v>1</v>
      </c>
      <c r="C126" s="120">
        <v>9.8524532646871096E-2</v>
      </c>
      <c r="D126" t="e">
        <f>VLOOKUP(Shelf_Life!A126,Demand_Fresh!A124:A218,1,FALSE())</f>
        <v>#N/A</v>
      </c>
      <c r="E126" t="e">
        <f>VLOOKUP(Shelf_Life!A126,Demand_Frozen!A126:A239,1,FALSE())</f>
        <v>#N/A</v>
      </c>
    </row>
    <row r="127" spans="1:5" x14ac:dyDescent="0.25">
      <c r="A127" t="s">
        <v>308</v>
      </c>
      <c r="B127" s="130">
        <v>1</v>
      </c>
      <c r="C127" s="120">
        <v>9.8524532646871096E-2</v>
      </c>
      <c r="D127" t="e">
        <f>VLOOKUP(Shelf_Life!A127,Demand_Fresh!A125:A219,1,FALSE())</f>
        <v>#N/A</v>
      </c>
      <c r="E127" t="e">
        <f>VLOOKUP(Shelf_Life!A127,Demand_Frozen!A127:A240,1,FALSE())</f>
        <v>#N/A</v>
      </c>
    </row>
    <row r="128" spans="1:5" x14ac:dyDescent="0.25">
      <c r="A128" t="s">
        <v>309</v>
      </c>
      <c r="B128" s="130">
        <v>1</v>
      </c>
      <c r="C128" s="120">
        <v>9.8524532646871096E-2</v>
      </c>
      <c r="D128" t="e">
        <f>VLOOKUP(Shelf_Life!A128,Demand_Fresh!A126:A220,1,FALSE())</f>
        <v>#N/A</v>
      </c>
      <c r="E128" t="e">
        <f>VLOOKUP(Shelf_Life!A128,Demand_Frozen!A128:A241,1,FALSE())</f>
        <v>#N/A</v>
      </c>
    </row>
    <row r="129" spans="1:5" x14ac:dyDescent="0.25">
      <c r="A129" t="s">
        <v>176</v>
      </c>
      <c r="B129" s="130">
        <v>1</v>
      </c>
      <c r="C129" s="120">
        <v>9.9519729946334401E-2</v>
      </c>
      <c r="D129" t="e">
        <f>VLOOKUP(Shelf_Life!A129,Demand_Fresh!A127:A221,1,FALSE())</f>
        <v>#N/A</v>
      </c>
      <c r="E129" t="e">
        <f>VLOOKUP(Shelf_Life!A129,Demand_Frozen!A129:A242,1,FALSE())</f>
        <v>#N/A</v>
      </c>
    </row>
    <row r="130" spans="1:5" x14ac:dyDescent="0.25">
      <c r="A130" t="s">
        <v>177</v>
      </c>
      <c r="B130" s="130">
        <v>1</v>
      </c>
      <c r="C130" s="120">
        <v>9.3788227174555996E-2</v>
      </c>
      <c r="D130" t="e">
        <f>VLOOKUP(Shelf_Life!A130,Demand_Fresh!A128:A222,1,FALSE())</f>
        <v>#N/A</v>
      </c>
      <c r="E130" t="e">
        <f>VLOOKUP(Shelf_Life!A130,Demand_Frozen!A130:A243,1,FALSE())</f>
        <v>#N/A</v>
      </c>
    </row>
    <row r="131" spans="1:5" x14ac:dyDescent="0.25">
      <c r="A131" t="s">
        <v>178</v>
      </c>
      <c r="B131" s="130">
        <v>1</v>
      </c>
      <c r="C131" s="120">
        <v>7.5066310588092197E-2</v>
      </c>
      <c r="D131" t="e">
        <f>VLOOKUP(Shelf_Life!A131,Demand_Fresh!A129:A223,1,FALSE())</f>
        <v>#N/A</v>
      </c>
      <c r="E131" t="e">
        <f>VLOOKUP(Shelf_Life!A131,Demand_Frozen!A131:A244,1,FALSE())</f>
        <v>#N/A</v>
      </c>
    </row>
    <row r="132" spans="1:5" x14ac:dyDescent="0.25">
      <c r="A132" t="s">
        <v>1477</v>
      </c>
      <c r="B132" s="130">
        <v>1</v>
      </c>
      <c r="C132" s="120">
        <v>8.8230924758392004E-2</v>
      </c>
      <c r="D132" t="e">
        <f>VLOOKUP(Shelf_Life!A132,Demand_Fresh!A130:A224,1,FALSE())</f>
        <v>#N/A</v>
      </c>
      <c r="E132" t="e">
        <f>VLOOKUP(Shelf_Life!A132,Demand_Frozen!A132:A245,1,FALSE())</f>
        <v>#N/A</v>
      </c>
    </row>
    <row r="133" spans="1:5" x14ac:dyDescent="0.25">
      <c r="A133" t="s">
        <v>1478</v>
      </c>
      <c r="B133" s="130">
        <v>1</v>
      </c>
      <c r="C133" s="120">
        <v>9.2079002473711299E-2</v>
      </c>
      <c r="D133" t="e">
        <f>VLOOKUP(Shelf_Life!A133,Demand_Fresh!A131:A225,1,FALSE())</f>
        <v>#N/A</v>
      </c>
      <c r="E133" t="e">
        <f>VLOOKUP(Shelf_Life!A133,Demand_Frozen!A133:A246,1,FALSE())</f>
        <v>#N/A</v>
      </c>
    </row>
    <row r="134" spans="1:5" x14ac:dyDescent="0.25">
      <c r="A134" t="s">
        <v>310</v>
      </c>
      <c r="B134" s="130">
        <v>1</v>
      </c>
      <c r="C134" s="120">
        <v>9.2079002473711299E-2</v>
      </c>
      <c r="D134" t="e">
        <f>VLOOKUP(Shelf_Life!A134,Demand_Fresh!A132:A226,1,FALSE())</f>
        <v>#N/A</v>
      </c>
      <c r="E134" t="e">
        <f>VLOOKUP(Shelf_Life!A134,Demand_Frozen!A134:A247,1,FALSE())</f>
        <v>#N/A</v>
      </c>
    </row>
    <row r="135" spans="1:5" x14ac:dyDescent="0.25">
      <c r="A135" t="s">
        <v>179</v>
      </c>
      <c r="B135" s="130">
        <v>1</v>
      </c>
      <c r="C135" s="120">
        <v>9.0945722443265598E-2</v>
      </c>
      <c r="D135" t="e">
        <f>VLOOKUP(Shelf_Life!A135,Demand_Fresh!A133:A227,1,FALSE())</f>
        <v>#N/A</v>
      </c>
      <c r="E135" t="e">
        <f>VLOOKUP(Shelf_Life!A135,Demand_Frozen!A135:A248,1,FALSE())</f>
        <v>#N/A</v>
      </c>
    </row>
    <row r="136" spans="1:5" x14ac:dyDescent="0.25">
      <c r="A136" t="s">
        <v>180</v>
      </c>
      <c r="B136" s="130">
        <v>1</v>
      </c>
      <c r="C136" s="120">
        <v>9.0945722443265598E-2</v>
      </c>
      <c r="D136" t="e">
        <f>VLOOKUP(Shelf_Life!A136,Demand_Fresh!A134:A228,1,FALSE())</f>
        <v>#N/A</v>
      </c>
      <c r="E136" t="e">
        <f>VLOOKUP(Shelf_Life!A136,Demand_Frozen!A136:A249,1,FALSE())</f>
        <v>#N/A</v>
      </c>
    </row>
    <row r="137" spans="1:5" x14ac:dyDescent="0.25">
      <c r="A137" t="s">
        <v>181</v>
      </c>
      <c r="B137" s="130">
        <v>1</v>
      </c>
      <c r="C137" s="120">
        <v>9.0945722443265598E-2</v>
      </c>
      <c r="D137" t="e">
        <f>VLOOKUP(Shelf_Life!A137,Demand_Fresh!A135:A229,1,FALSE())</f>
        <v>#N/A</v>
      </c>
      <c r="E137" t="e">
        <f>VLOOKUP(Shelf_Life!A137,Demand_Frozen!A136:A250,1,FALSE())</f>
        <v>#N/A</v>
      </c>
    </row>
    <row r="138" spans="1:5" x14ac:dyDescent="0.25">
      <c r="A138" t="s">
        <v>311</v>
      </c>
      <c r="B138" s="130">
        <v>1</v>
      </c>
      <c r="C138" s="120">
        <v>7.6922211565546697E-2</v>
      </c>
      <c r="D138" t="e">
        <f>VLOOKUP(Shelf_Life!A138,Demand_Fresh!A136:A230,1,FALSE())</f>
        <v>#N/A</v>
      </c>
      <c r="E138" t="e">
        <f>VLOOKUP(Shelf_Life!A138,Demand_Frozen!A137:A251,1,FALSE())</f>
        <v>#N/A</v>
      </c>
    </row>
    <row r="139" spans="1:5" x14ac:dyDescent="0.25">
      <c r="A139" t="s">
        <v>182</v>
      </c>
      <c r="B139" s="130">
        <v>1</v>
      </c>
      <c r="C139" s="120">
        <v>0.106628282085358</v>
      </c>
      <c r="D139" t="e">
        <f>VLOOKUP(Shelf_Life!A139,Demand_Fresh!A137:A231,1,FALSE())</f>
        <v>#N/A</v>
      </c>
      <c r="E139" t="e">
        <f>VLOOKUP(Shelf_Life!A139,Demand_Frozen!A138:A252,1,FALSE())</f>
        <v>#N/A</v>
      </c>
    </row>
    <row r="140" spans="1:5" x14ac:dyDescent="0.25">
      <c r="A140" t="s">
        <v>312</v>
      </c>
      <c r="B140" s="130">
        <v>1</v>
      </c>
      <c r="C140" s="120">
        <v>0.109980873652321</v>
      </c>
      <c r="D140" t="e">
        <f>VLOOKUP(Shelf_Life!A140,Demand_Fresh!A138:A232,1,FALSE())</f>
        <v>#N/A</v>
      </c>
      <c r="E140" t="e">
        <f>VLOOKUP(Shelf_Life!A140,Demand_Frozen!A139:A253,1,FALSE())</f>
        <v>#N/A</v>
      </c>
    </row>
    <row r="141" spans="1:5" x14ac:dyDescent="0.25">
      <c r="A141" t="s">
        <v>183</v>
      </c>
      <c r="B141" s="130">
        <v>1</v>
      </c>
      <c r="C141" s="120">
        <v>0.107481308342041</v>
      </c>
      <c r="D141" t="e">
        <f>VLOOKUP(Shelf_Life!A141,Demand_Fresh!A139:A233,1,FALSE())</f>
        <v>#N/A</v>
      </c>
      <c r="E141" t="e">
        <f>VLOOKUP(Shelf_Life!A141,Demand_Frozen!A140:A254,1,FALSE())</f>
        <v>#N/A</v>
      </c>
    </row>
    <row r="142" spans="1:5" x14ac:dyDescent="0.25">
      <c r="A142" t="s">
        <v>313</v>
      </c>
      <c r="B142" s="130">
        <v>1</v>
      </c>
      <c r="C142" s="120">
        <v>0.10280820797934399</v>
      </c>
      <c r="D142" t="e">
        <f>VLOOKUP(Shelf_Life!A142,Demand_Fresh!A140:A234,1,FALSE())</f>
        <v>#N/A</v>
      </c>
      <c r="E142" t="e">
        <f>VLOOKUP(Shelf_Life!A142,Demand_Frozen!A141:A255,1,FALSE())</f>
        <v>#N/A</v>
      </c>
    </row>
    <row r="143" spans="1:5" x14ac:dyDescent="0.25">
      <c r="A143" t="s">
        <v>1479</v>
      </c>
      <c r="B143" s="130">
        <v>1</v>
      </c>
      <c r="C143" s="120">
        <v>0.107481308342041</v>
      </c>
      <c r="D143" t="e">
        <f>VLOOKUP(Shelf_Life!A143,Demand_Fresh!A141:A235,1,FALSE())</f>
        <v>#N/A</v>
      </c>
      <c r="E143" t="e">
        <f>VLOOKUP(Shelf_Life!A143,Demand_Frozen!A142:A256,1,FALSE())</f>
        <v>#N/A</v>
      </c>
    </row>
    <row r="144" spans="1:5" x14ac:dyDescent="0.25">
      <c r="A144" t="s">
        <v>314</v>
      </c>
      <c r="B144" s="130">
        <v>1</v>
      </c>
      <c r="C144" s="120">
        <v>0.109980873652321</v>
      </c>
      <c r="D144" t="e">
        <f>VLOOKUP(Shelf_Life!A144,Demand_Fresh!A142:A236,1,FALSE())</f>
        <v>#N/A</v>
      </c>
      <c r="E144" t="e">
        <f>VLOOKUP(Shelf_Life!A144,Demand_Frozen!A143:A257,1,FALSE())</f>
        <v>#N/A</v>
      </c>
    </row>
    <row r="145" spans="1:5" x14ac:dyDescent="0.25">
      <c r="A145" t="s">
        <v>184</v>
      </c>
      <c r="B145" s="130">
        <v>1</v>
      </c>
      <c r="C145" s="120">
        <v>0.107481308342041</v>
      </c>
      <c r="D145" t="e">
        <f>VLOOKUP(Shelf_Life!A145,Demand_Fresh!A143:A237,1,FALSE())</f>
        <v>#N/A</v>
      </c>
      <c r="E145" t="e">
        <f>VLOOKUP(Shelf_Life!A145,Demand_Frozen!A144:A258,1,FALSE())</f>
        <v>#N/A</v>
      </c>
    </row>
    <row r="146" spans="1:5" x14ac:dyDescent="0.25">
      <c r="A146" t="s">
        <v>315</v>
      </c>
      <c r="B146" s="130">
        <v>1</v>
      </c>
      <c r="C146" s="120">
        <v>9.0251480287210098E-2</v>
      </c>
      <c r="D146" t="e">
        <f>VLOOKUP(Shelf_Life!A146,Demand_Fresh!A144:A238,1,FALSE())</f>
        <v>#N/A</v>
      </c>
      <c r="E146" t="e">
        <f>VLOOKUP(Shelf_Life!A146,Demand_Frozen!A145:A259,1,FALSE())</f>
        <v>#N/A</v>
      </c>
    </row>
    <row r="147" spans="1:5" x14ac:dyDescent="0.25">
      <c r="A147" t="s">
        <v>185</v>
      </c>
      <c r="B147" s="130">
        <v>1</v>
      </c>
      <c r="C147" s="120">
        <v>9.0251480287210098E-2</v>
      </c>
      <c r="D147" t="e">
        <f>VLOOKUP(Shelf_Life!A147,Demand_Fresh!A145:A239,1,FALSE())</f>
        <v>#N/A</v>
      </c>
      <c r="E147" t="e">
        <f>VLOOKUP(Shelf_Life!A147,Demand_Frozen!A146:A260,1,FALSE())</f>
        <v>#N/A</v>
      </c>
    </row>
    <row r="148" spans="1:5" x14ac:dyDescent="0.25">
      <c r="A148" t="s">
        <v>316</v>
      </c>
      <c r="B148" s="130">
        <v>1</v>
      </c>
      <c r="C148" s="120">
        <v>9.0251480287210098E-2</v>
      </c>
      <c r="D148" t="e">
        <f>VLOOKUP(Shelf_Life!A148,Demand_Fresh!A146:A240,1,FALSE())</f>
        <v>#N/A</v>
      </c>
      <c r="E148" t="e">
        <f>VLOOKUP(Shelf_Life!A148,Demand_Frozen!A147:A261,1,FALSE())</f>
        <v>#N/A</v>
      </c>
    </row>
    <row r="149" spans="1:5" x14ac:dyDescent="0.25">
      <c r="A149" t="s">
        <v>186</v>
      </c>
      <c r="B149" s="130">
        <v>1</v>
      </c>
      <c r="C149" s="120">
        <v>9.0251480287210098E-2</v>
      </c>
      <c r="D149" t="e">
        <f>VLOOKUP(Shelf_Life!A149,Demand_Fresh!A147:A241,1,FALSE())</f>
        <v>#N/A</v>
      </c>
      <c r="E149" t="e">
        <f>VLOOKUP(Shelf_Life!A149,Demand_Frozen!A148:A262,1,FALSE())</f>
        <v>#N/A</v>
      </c>
    </row>
    <row r="150" spans="1:5" x14ac:dyDescent="0.25">
      <c r="A150" t="s">
        <v>187</v>
      </c>
      <c r="B150" s="130">
        <v>1</v>
      </c>
      <c r="C150" s="120">
        <v>8.9567756951700897E-2</v>
      </c>
      <c r="D150" t="e">
        <f>VLOOKUP(Shelf_Life!A150,Demand_Fresh!A148:A242,1,FALSE())</f>
        <v>#N/A</v>
      </c>
      <c r="E150" t="e">
        <f>VLOOKUP(Shelf_Life!A150,Demand_Frozen!A149:A263,1,FALSE())</f>
        <v>#N/A</v>
      </c>
    </row>
    <row r="151" spans="1:5" x14ac:dyDescent="0.25">
      <c r="A151" t="s">
        <v>317</v>
      </c>
      <c r="B151" s="130">
        <v>1</v>
      </c>
      <c r="C151" s="120">
        <v>8.9567756951700897E-2</v>
      </c>
      <c r="D151" t="e">
        <f>VLOOKUP(Shelf_Life!A151,Demand_Fresh!A149:A243,1,FALSE())</f>
        <v>#N/A</v>
      </c>
      <c r="E151" t="e">
        <f>VLOOKUP(Shelf_Life!A151,Demand_Frozen!A150:A264,1,FALSE())</f>
        <v>#N/A</v>
      </c>
    </row>
    <row r="152" spans="1:5" x14ac:dyDescent="0.25">
      <c r="A152" t="s">
        <v>188</v>
      </c>
      <c r="B152" s="130">
        <v>1</v>
      </c>
      <c r="C152" s="120">
        <v>0.111537206770043</v>
      </c>
      <c r="D152" t="e">
        <f>VLOOKUP(Shelf_Life!A152,Demand_Fresh!A150:A244,1,FALSE())</f>
        <v>#N/A</v>
      </c>
      <c r="E152" t="e">
        <f>VLOOKUP(Shelf_Life!A152,Demand_Frozen!A151:A265,1,FALSE())</f>
        <v>#N/A</v>
      </c>
    </row>
    <row r="153" spans="1:5" x14ac:dyDescent="0.25">
      <c r="A153" t="s">
        <v>189</v>
      </c>
      <c r="B153" s="130">
        <v>1</v>
      </c>
      <c r="C153" s="120">
        <v>0.107481308342041</v>
      </c>
      <c r="D153" t="e">
        <f>VLOOKUP(Shelf_Life!A153,Demand_Fresh!A151:A245,1,FALSE())</f>
        <v>#N/A</v>
      </c>
      <c r="E153" t="e">
        <f>VLOOKUP(Shelf_Life!A153,Demand_Frozen!A152:A266,1,FALSE())</f>
        <v>#N/A</v>
      </c>
    </row>
    <row r="154" spans="1:5" x14ac:dyDescent="0.25">
      <c r="A154" t="s">
        <v>190</v>
      </c>
      <c r="B154" s="130">
        <v>1</v>
      </c>
      <c r="C154" s="120">
        <v>0.107481308342041</v>
      </c>
      <c r="D154" t="e">
        <f>VLOOKUP(Shelf_Life!A154,Demand_Fresh!A152:A246,1,FALSE())</f>
        <v>#N/A</v>
      </c>
      <c r="E154" t="e">
        <f>VLOOKUP(Shelf_Life!A154,Demand_Frozen!A153:A267,1,FALSE())</f>
        <v>#N/A</v>
      </c>
    </row>
    <row r="155" spans="1:5" x14ac:dyDescent="0.25">
      <c r="A155" t="s">
        <v>191</v>
      </c>
      <c r="B155" s="130">
        <v>1</v>
      </c>
      <c r="C155" s="120">
        <v>0.107481308342041</v>
      </c>
      <c r="D155" t="e">
        <f>VLOOKUP(Shelf_Life!A155,Demand_Fresh!A153:A247,1,FALSE())</f>
        <v>#N/A</v>
      </c>
      <c r="E155" t="e">
        <f>VLOOKUP(Shelf_Life!A155,Demand_Frozen!A154:A268,1,FALSE())</f>
        <v>#N/A</v>
      </c>
    </row>
    <row r="156" spans="1:5" x14ac:dyDescent="0.25">
      <c r="A156" t="s">
        <v>192</v>
      </c>
      <c r="B156" s="130">
        <v>1</v>
      </c>
      <c r="C156" s="120">
        <v>0.107481308342041</v>
      </c>
      <c r="D156" t="e">
        <f>VLOOKUP(Shelf_Life!A156,Demand_Fresh!A154:A248,1,FALSE())</f>
        <v>#N/A</v>
      </c>
      <c r="E156" t="e">
        <f>VLOOKUP(Shelf_Life!A156,Demand_Frozen!A153:A269,1,FALSE())</f>
        <v>#N/A</v>
      </c>
    </row>
    <row r="157" spans="1:5" x14ac:dyDescent="0.25">
      <c r="A157" t="s">
        <v>193</v>
      </c>
      <c r="B157" s="130">
        <v>1</v>
      </c>
      <c r="C157" s="120">
        <v>0.107481308342041</v>
      </c>
      <c r="D157" t="e">
        <f>VLOOKUP(Shelf_Life!A157,Demand_Fresh!A155:A249,1,FALSE())</f>
        <v>#N/A</v>
      </c>
      <c r="E157" t="e">
        <f>VLOOKUP(Shelf_Life!A157,Demand_Frozen!A154:A270,1,FALSE())</f>
        <v>#N/A</v>
      </c>
    </row>
    <row r="158" spans="1:5" x14ac:dyDescent="0.25">
      <c r="A158" t="s">
        <v>194</v>
      </c>
      <c r="B158" s="130">
        <v>1</v>
      </c>
      <c r="C158" s="120">
        <v>0.107481308342041</v>
      </c>
      <c r="D158" t="e">
        <f>VLOOKUP(Shelf_Life!A158,Demand_Fresh!A156:A250,1,FALSE())</f>
        <v>#N/A</v>
      </c>
      <c r="E158" t="e">
        <f>VLOOKUP(Shelf_Life!A158,Demand_Frozen!A155:A271,1,FALSE())</f>
        <v>#N/A</v>
      </c>
    </row>
    <row r="159" spans="1:5" x14ac:dyDescent="0.25">
      <c r="A159" t="s">
        <v>195</v>
      </c>
      <c r="B159" s="130">
        <v>1</v>
      </c>
      <c r="C159" s="120">
        <v>0.107481308342041</v>
      </c>
      <c r="D159" t="e">
        <f>VLOOKUP(Shelf_Life!A159,Demand_Fresh!A157:A251,1,FALSE())</f>
        <v>#N/A</v>
      </c>
      <c r="E159" t="e">
        <f>VLOOKUP(Shelf_Life!A159,Demand_Frozen!A156:A272,1,FALSE())</f>
        <v>#N/A</v>
      </c>
    </row>
    <row r="160" spans="1:5" x14ac:dyDescent="0.25">
      <c r="A160" t="s">
        <v>318</v>
      </c>
      <c r="B160" s="130">
        <v>1</v>
      </c>
      <c r="C160" s="120">
        <v>0.10280820797934399</v>
      </c>
      <c r="D160" t="e">
        <f>VLOOKUP(Shelf_Life!A160,Demand_Fresh!A158:A252,1,FALSE())</f>
        <v>#N/A</v>
      </c>
      <c r="E160" t="e">
        <f>VLOOKUP(Shelf_Life!A160,Demand_Frozen!A157:A273,1,FALSE())</f>
        <v>#N/A</v>
      </c>
    </row>
    <row r="161" spans="1:5" x14ac:dyDescent="0.25">
      <c r="A161" t="s">
        <v>196</v>
      </c>
      <c r="B161" s="130">
        <v>1</v>
      </c>
      <c r="C161" s="120">
        <v>0.107481308342041</v>
      </c>
      <c r="D161" t="e">
        <f>VLOOKUP(Shelf_Life!A161,Demand_Fresh!A159:A253,1,FALSE())</f>
        <v>#N/A</v>
      </c>
      <c r="E161" t="e">
        <f>VLOOKUP(Shelf_Life!A161,Demand_Frozen!A158:A274,1,FALSE())</f>
        <v>#N/A</v>
      </c>
    </row>
    <row r="162" spans="1:5" x14ac:dyDescent="0.25">
      <c r="A162" t="s">
        <v>319</v>
      </c>
      <c r="B162" s="130">
        <v>1</v>
      </c>
      <c r="C162" s="120">
        <v>8.5364216011729402E-2</v>
      </c>
      <c r="D162" t="e">
        <f>VLOOKUP(Shelf_Life!A162,Demand_Fresh!A160:A254,1,FALSE())</f>
        <v>#N/A</v>
      </c>
      <c r="E162" t="e">
        <f>VLOOKUP(Shelf_Life!A162,Demand_Frozen!A159:A275,1,FALSE())</f>
        <v>#N/A</v>
      </c>
    </row>
    <row r="163" spans="1:5" x14ac:dyDescent="0.25">
      <c r="A163" t="s">
        <v>197</v>
      </c>
      <c r="B163" s="130">
        <v>1</v>
      </c>
      <c r="C163" s="120">
        <v>8.5364216011729402E-2</v>
      </c>
      <c r="D163" t="e">
        <f>VLOOKUP(Shelf_Life!A163,Demand_Fresh!A161:A255,1,FALSE())</f>
        <v>#N/A</v>
      </c>
      <c r="E163" t="e">
        <f>VLOOKUP(Shelf_Life!A163,Demand_Frozen!A160:A276,1,FALSE())</f>
        <v>#N/A</v>
      </c>
    </row>
    <row r="164" spans="1:5" x14ac:dyDescent="0.25">
      <c r="A164" t="s">
        <v>198</v>
      </c>
      <c r="B164" s="130">
        <v>1</v>
      </c>
      <c r="C164" s="120">
        <v>7.10086721779251E-2</v>
      </c>
      <c r="D164" t="e">
        <f>VLOOKUP(Shelf_Life!A164,Demand_Fresh!A162:A256,1,FALSE())</f>
        <v>#N/A</v>
      </c>
      <c r="E164" t="e">
        <f>VLOOKUP(Shelf_Life!A164,Demand_Frozen!A161:A277,1,FALSE())</f>
        <v>#N/A</v>
      </c>
    </row>
    <row r="165" spans="1:5" x14ac:dyDescent="0.25">
      <c r="A165" t="s">
        <v>1480</v>
      </c>
      <c r="B165" s="130">
        <v>1</v>
      </c>
      <c r="C165" s="120">
        <v>6.5683021764580699E-2</v>
      </c>
      <c r="D165" t="e">
        <f>VLOOKUP(Shelf_Life!A165,Demand_Fresh!A163:A257,1,FALSE())</f>
        <v>#N/A</v>
      </c>
      <c r="E165" t="e">
        <f>VLOOKUP(Shelf_Life!A165,Demand_Frozen!A162:A278,1,FALSE())</f>
        <v>#N/A</v>
      </c>
    </row>
    <row r="166" spans="1:5" x14ac:dyDescent="0.25">
      <c r="A166" t="s">
        <v>888</v>
      </c>
      <c r="B166" s="130">
        <v>1</v>
      </c>
      <c r="C166" s="120">
        <v>6.5683021764580699E-2</v>
      </c>
      <c r="D166" t="e">
        <f>VLOOKUP(Shelf_Life!A166,Demand_Fresh!A164:A258,1,FALSE())</f>
        <v>#N/A</v>
      </c>
      <c r="E166" t="e">
        <f>VLOOKUP(Shelf_Life!A166,Demand_Frozen!A163:A279,1,FALSE())</f>
        <v>#N/A</v>
      </c>
    </row>
    <row r="167" spans="1:5" x14ac:dyDescent="0.25">
      <c r="A167" t="s">
        <v>1230</v>
      </c>
      <c r="B167" s="130">
        <v>1</v>
      </c>
      <c r="C167" s="120">
        <v>0.112599465882138</v>
      </c>
      <c r="D167" t="e">
        <f>VLOOKUP(Shelf_Life!A167,Demand_Fresh!A165:A259,1,FALSE())</f>
        <v>#N/A</v>
      </c>
      <c r="E167" t="e">
        <f>VLOOKUP(Shelf_Life!A167,Demand_Frozen!A164:A280,1,FALSE())</f>
        <v>#N/A</v>
      </c>
    </row>
    <row r="168" spans="1:5" x14ac:dyDescent="0.25">
      <c r="A168" t="s">
        <v>120</v>
      </c>
      <c r="B168" s="130">
        <v>1</v>
      </c>
      <c r="C168" s="120">
        <v>6.5683021764580699E-2</v>
      </c>
      <c r="D168" t="e">
        <f>VLOOKUP(Shelf_Life!A168,Demand_Fresh!A166:A260,1,FALSE())</f>
        <v>#N/A</v>
      </c>
      <c r="E168" t="e">
        <f>VLOOKUP(Shelf_Life!A168,Demand_Frozen!A165:A281,1,FALSE())</f>
        <v>#N/A</v>
      </c>
    </row>
    <row r="169" spans="1:5" x14ac:dyDescent="0.25">
      <c r="A169" t="s">
        <v>217</v>
      </c>
      <c r="B169" s="130">
        <v>1</v>
      </c>
      <c r="C169" s="120">
        <v>6.5683021764580699E-2</v>
      </c>
      <c r="D169" t="e">
        <f>VLOOKUP(Shelf_Life!A169,Demand_Fresh!A167:A261,1,FALSE())</f>
        <v>#N/A</v>
      </c>
      <c r="E169" t="e">
        <f>VLOOKUP(Shelf_Life!A169,Demand_Frozen!A166:A282,1,FALSE())</f>
        <v>#N/A</v>
      </c>
    </row>
    <row r="170" spans="1:5" x14ac:dyDescent="0.25">
      <c r="A170" t="s">
        <v>338</v>
      </c>
      <c r="B170" s="130">
        <v>1</v>
      </c>
      <c r="C170" s="120">
        <v>5.2546417411664603E-2</v>
      </c>
      <c r="D170" t="e">
        <f>VLOOKUP(Shelf_Life!A170,Demand_Fresh!A168:A262,1,FALSE())</f>
        <v>#N/A</v>
      </c>
      <c r="E170" t="e">
        <f>VLOOKUP(Shelf_Life!A170,Demand_Frozen!A167:A283,1,FALSE())</f>
        <v>#N/A</v>
      </c>
    </row>
    <row r="171" spans="1:5" x14ac:dyDescent="0.25">
      <c r="A171" t="s">
        <v>785</v>
      </c>
      <c r="B171" s="130">
        <v>1</v>
      </c>
      <c r="C171" s="120">
        <v>5.2546417411664603E-2</v>
      </c>
      <c r="D171" t="e">
        <f>VLOOKUP(Shelf_Life!A171,Demand_Fresh!A169:A263,1,FALSE())</f>
        <v>#N/A</v>
      </c>
      <c r="E171" t="e">
        <f>VLOOKUP(Shelf_Life!A171,Demand_Frozen!A168:A284,1,FALSE())</f>
        <v>#N/A</v>
      </c>
    </row>
    <row r="172" spans="1:5" x14ac:dyDescent="0.25">
      <c r="A172" t="s">
        <v>218</v>
      </c>
      <c r="B172" s="130">
        <v>1</v>
      </c>
      <c r="C172" s="120">
        <v>6.43951193770399E-2</v>
      </c>
      <c r="D172" t="e">
        <f>VLOOKUP(Shelf_Life!A172,Demand_Fresh!A170:A264,1,FALSE())</f>
        <v>#N/A</v>
      </c>
      <c r="E172" t="e">
        <f>VLOOKUP(Shelf_Life!A172,Demand_Frozen!A169:A285,1,FALSE())</f>
        <v>#N/A</v>
      </c>
    </row>
    <row r="173" spans="1:5" x14ac:dyDescent="0.25">
      <c r="A173" t="s">
        <v>792</v>
      </c>
      <c r="B173" s="130">
        <v>1</v>
      </c>
      <c r="C173" s="120">
        <v>6.5683021764580699E-2</v>
      </c>
      <c r="D173" t="e">
        <f>VLOOKUP(Shelf_Life!A173,Demand_Fresh!A171:A265,1,FALSE())</f>
        <v>#N/A</v>
      </c>
      <c r="E173" t="e">
        <f>VLOOKUP(Shelf_Life!A173,Demand_Frozen!A170:A286,1,FALSE())</f>
        <v>#N/A</v>
      </c>
    </row>
    <row r="174" spans="1:5" x14ac:dyDescent="0.25">
      <c r="A174" t="s">
        <v>795</v>
      </c>
      <c r="B174" s="130">
        <v>1</v>
      </c>
      <c r="C174" s="120">
        <v>6.5683021764580699E-2</v>
      </c>
      <c r="D174" t="e">
        <f>VLOOKUP(Shelf_Life!A174,Demand_Fresh!A172:A266,1,FALSE())</f>
        <v>#N/A</v>
      </c>
      <c r="E174" t="e">
        <f>VLOOKUP(Shelf_Life!A174,Demand_Frozen!A171:A287,1,FALSE())</f>
        <v>#N/A</v>
      </c>
    </row>
    <row r="175" spans="1:5" x14ac:dyDescent="0.25">
      <c r="A175" t="s">
        <v>344</v>
      </c>
      <c r="B175" s="130">
        <v>1</v>
      </c>
      <c r="C175" s="120">
        <v>5.2546417411664603E-2</v>
      </c>
      <c r="D175" t="e">
        <f>VLOOKUP(Shelf_Life!A175,Demand_Fresh!A173:A267,1,FALSE())</f>
        <v>#N/A</v>
      </c>
      <c r="E175" t="e">
        <f>VLOOKUP(Shelf_Life!A175,Demand_Frozen!A172:A288,1,FALSE())</f>
        <v>#N/A</v>
      </c>
    </row>
    <row r="176" spans="1:5" x14ac:dyDescent="0.25">
      <c r="A176" t="s">
        <v>219</v>
      </c>
      <c r="B176" s="130">
        <v>1</v>
      </c>
      <c r="C176" s="120">
        <v>5.2546417411664603E-2</v>
      </c>
      <c r="D176" t="e">
        <f>VLOOKUP(Shelf_Life!A176,Demand_Fresh!A174:A268,1,FALSE())</f>
        <v>#N/A</v>
      </c>
      <c r="E176" t="e">
        <f>VLOOKUP(Shelf_Life!A176,Demand_Frozen!A173:A289,1,FALSE())</f>
        <v>#N/A</v>
      </c>
    </row>
    <row r="177" spans="1:5" x14ac:dyDescent="0.25">
      <c r="A177" t="s">
        <v>346</v>
      </c>
      <c r="B177" s="130">
        <v>1</v>
      </c>
      <c r="C177" s="120">
        <v>6.5683021764580699E-2</v>
      </c>
      <c r="D177" t="e">
        <f>VLOOKUP(Shelf_Life!A177,Demand_Fresh!A175:A269,1,FALSE())</f>
        <v>#N/A</v>
      </c>
      <c r="E177" t="e">
        <f>VLOOKUP(Shelf_Life!A177,Demand_Frozen!A174:A290,1,FALSE())</f>
        <v>#N/A</v>
      </c>
    </row>
    <row r="178" spans="1:5" x14ac:dyDescent="0.25">
      <c r="A178" t="s">
        <v>220</v>
      </c>
      <c r="B178" s="130">
        <v>1</v>
      </c>
      <c r="C178" s="120">
        <v>6.5683021764580699E-2</v>
      </c>
      <c r="D178" t="e">
        <f>VLOOKUP(Shelf_Life!A178,Demand_Fresh!A176:A270,1,FALSE())</f>
        <v>#N/A</v>
      </c>
      <c r="E178" t="e">
        <f>VLOOKUP(Shelf_Life!A178,Demand_Frozen!A175:A291,1,FALSE())</f>
        <v>#N/A</v>
      </c>
    </row>
    <row r="179" spans="1:5" x14ac:dyDescent="0.25">
      <c r="A179" t="s">
        <v>221</v>
      </c>
      <c r="B179" s="130">
        <v>1</v>
      </c>
      <c r="C179" s="120">
        <v>6.5683021764580699E-2</v>
      </c>
      <c r="D179" t="e">
        <f>VLOOKUP(Shelf_Life!A179,Demand_Fresh!A177:A271,1,FALSE())</f>
        <v>#N/A</v>
      </c>
      <c r="E179" t="e">
        <f>VLOOKUP(Shelf_Life!A179,Demand_Frozen!A176:A292,1,FALSE())</f>
        <v>#N/A</v>
      </c>
    </row>
    <row r="180" spans="1:5" x14ac:dyDescent="0.25">
      <c r="A180" t="s">
        <v>350</v>
      </c>
      <c r="B180" s="130">
        <v>1</v>
      </c>
      <c r="C180" s="120">
        <v>6.5683021764580699E-2</v>
      </c>
      <c r="D180" t="e">
        <f>VLOOKUP(Shelf_Life!A180,Demand_Fresh!A178:A272,1,FALSE())</f>
        <v>#N/A</v>
      </c>
      <c r="E180" t="e">
        <f>VLOOKUP(Shelf_Life!A180,Demand_Frozen!A177:A293,1,FALSE())</f>
        <v>#N/A</v>
      </c>
    </row>
    <row r="181" spans="1:5" x14ac:dyDescent="0.25">
      <c r="A181" t="s">
        <v>222</v>
      </c>
      <c r="B181" s="130">
        <v>1</v>
      </c>
      <c r="C181" s="120">
        <v>6.5683021764580699E-2</v>
      </c>
      <c r="D181" t="e">
        <f>VLOOKUP(Shelf_Life!A181,Demand_Fresh!A179:A273,1,FALSE())</f>
        <v>#N/A</v>
      </c>
      <c r="E181" t="e">
        <f>VLOOKUP(Shelf_Life!A181,Demand_Frozen!A178:A294,1,FALSE())</f>
        <v>#N/A</v>
      </c>
    </row>
    <row r="182" spans="1:5" x14ac:dyDescent="0.25">
      <c r="A182" t="s">
        <v>121</v>
      </c>
      <c r="B182" s="130">
        <v>1</v>
      </c>
      <c r="C182" s="120">
        <v>6.5683021764580699E-2</v>
      </c>
      <c r="D182" t="e">
        <f>VLOOKUP(Shelf_Life!A182,Demand_Fresh!A180:A274,1,FALSE())</f>
        <v>#N/A</v>
      </c>
      <c r="E182" t="e">
        <f>VLOOKUP(Shelf_Life!A182,Demand_Frozen!A179:A295,1,FALSE())</f>
        <v>#N/A</v>
      </c>
    </row>
    <row r="183" spans="1:5" x14ac:dyDescent="0.25">
      <c r="A183" t="s">
        <v>223</v>
      </c>
      <c r="B183" s="130">
        <v>1</v>
      </c>
      <c r="C183" s="120">
        <v>6.5683021764580699E-2</v>
      </c>
      <c r="D183" t="e">
        <f>VLOOKUP(Shelf_Life!A183,Demand_Fresh!A181:A275,1,FALSE())</f>
        <v>#N/A</v>
      </c>
      <c r="E183" t="e">
        <f>VLOOKUP(Shelf_Life!A183,Demand_Frozen!A180:A296,1,FALSE())</f>
        <v>#N/A</v>
      </c>
    </row>
    <row r="184" spans="1:5" x14ac:dyDescent="0.25">
      <c r="A184" t="s">
        <v>224</v>
      </c>
      <c r="B184" s="130">
        <v>1</v>
      </c>
      <c r="C184" s="120">
        <v>6.5683021764580699E-2</v>
      </c>
      <c r="D184" t="e">
        <f>VLOOKUP(Shelf_Life!A184,Demand_Fresh!A182:A276,1,FALSE())</f>
        <v>#N/A</v>
      </c>
      <c r="E184" t="e">
        <f>VLOOKUP(Shelf_Life!A184,Demand_Frozen!A181:A297,1,FALSE())</f>
        <v>#N/A</v>
      </c>
    </row>
    <row r="185" spans="1:5" x14ac:dyDescent="0.25">
      <c r="A185" t="s">
        <v>122</v>
      </c>
      <c r="B185" s="130">
        <v>1</v>
      </c>
      <c r="C185" s="120">
        <v>4.92622663234355E-2</v>
      </c>
      <c r="D185" t="e">
        <f>VLOOKUP(Shelf_Life!A185,Demand_Fresh!A183:A277,1,FALSE())</f>
        <v>#N/A</v>
      </c>
      <c r="E185" t="e">
        <f>VLOOKUP(Shelf_Life!A185,Demand_Frozen!A182:A298,1,FALSE())</f>
        <v>#N/A</v>
      </c>
    </row>
    <row r="186" spans="1:5" x14ac:dyDescent="0.25">
      <c r="A186" t="s">
        <v>847</v>
      </c>
      <c r="B186" s="130">
        <v>1</v>
      </c>
      <c r="C186" s="120">
        <v>6.5683021764580699E-2</v>
      </c>
      <c r="D186" t="e">
        <f>VLOOKUP(Shelf_Life!A186,Demand_Fresh!A184:A278,1,FALSE())</f>
        <v>#N/A</v>
      </c>
      <c r="E186" t="e">
        <f>VLOOKUP(Shelf_Life!A186,Demand_Frozen!A183:A299,1,FALSE())</f>
        <v>#N/A</v>
      </c>
    </row>
    <row r="187" spans="1:5" x14ac:dyDescent="0.25">
      <c r="A187" t="s">
        <v>851</v>
      </c>
      <c r="B187" s="130">
        <v>1</v>
      </c>
      <c r="C187" s="120">
        <v>5.2546417411664603E-2</v>
      </c>
      <c r="D187" t="e">
        <f>VLOOKUP(Shelf_Life!A187,Demand_Fresh!A185:A279,1,FALSE())</f>
        <v>#N/A</v>
      </c>
      <c r="E187" t="e">
        <f>VLOOKUP(Shelf_Life!A187,Demand_Frozen!A184:A300,1,FALSE())</f>
        <v>#N/A</v>
      </c>
    </row>
    <row r="188" spans="1:5" x14ac:dyDescent="0.25">
      <c r="A188" t="s">
        <v>854</v>
      </c>
      <c r="B188" s="130">
        <v>1</v>
      </c>
      <c r="C188" s="121">
        <v>6.5683021764580699E-2</v>
      </c>
      <c r="D188" t="e">
        <f>VLOOKUP(Shelf_Life!A188,Demand_Fresh!A186:A280,1,FALSE())</f>
        <v>#N/A</v>
      </c>
      <c r="E188" t="e">
        <f>VLOOKUP(Shelf_Life!A188,Demand_Frozen!A185:A301,1,FALSE())</f>
        <v>#N/A</v>
      </c>
    </row>
    <row r="189" spans="1:5" x14ac:dyDescent="0.25">
      <c r="A189" t="s">
        <v>858</v>
      </c>
      <c r="B189" s="130">
        <v>1</v>
      </c>
      <c r="C189" s="120">
        <v>6.5683021764580699E-2</v>
      </c>
      <c r="D189" t="e">
        <f>VLOOKUP(Shelf_Life!A189,Demand_Fresh!A187:A281,1,FALSE())</f>
        <v>#N/A</v>
      </c>
      <c r="E189" t="e">
        <f>VLOOKUP(Shelf_Life!A189,Demand_Frozen!A186:A302,1,FALSE())</f>
        <v>#N/A</v>
      </c>
    </row>
    <row r="190" spans="1:5" x14ac:dyDescent="0.25">
      <c r="A190" t="s">
        <v>225</v>
      </c>
      <c r="B190" s="130">
        <v>1</v>
      </c>
      <c r="C190" s="120">
        <v>6.5683021764580699E-2</v>
      </c>
      <c r="D190" t="e">
        <f>VLOOKUP(Shelf_Life!A190,Demand_Fresh!A188:A282,1,FALSE())</f>
        <v>#N/A</v>
      </c>
      <c r="E190" t="e">
        <f>VLOOKUP(Shelf_Life!A190,Demand_Frozen!A187:A303,1,FALSE())</f>
        <v>#N/A</v>
      </c>
    </row>
    <row r="191" spans="1:5" x14ac:dyDescent="0.25">
      <c r="A191" t="s">
        <v>226</v>
      </c>
      <c r="B191" s="130">
        <v>1</v>
      </c>
      <c r="C191" s="120">
        <v>6.5683021764580699E-2</v>
      </c>
      <c r="D191" t="e">
        <f>VLOOKUP(Shelf_Life!A191,Demand_Fresh!A189:A283,1,FALSE())</f>
        <v>#N/A</v>
      </c>
      <c r="E191" t="e">
        <f>VLOOKUP(Shelf_Life!A191,Demand_Frozen!A188:A304,1,FALSE())</f>
        <v>#N/A</v>
      </c>
    </row>
    <row r="192" spans="1:5" x14ac:dyDescent="0.25">
      <c r="A192" t="s">
        <v>123</v>
      </c>
      <c r="B192" s="130">
        <v>1</v>
      </c>
      <c r="C192" s="120">
        <v>6.5683021764580699E-2</v>
      </c>
      <c r="D192" t="e">
        <f>VLOOKUP(Shelf_Life!A192,Demand_Fresh!A190:A284,1,FALSE())</f>
        <v>#N/A</v>
      </c>
      <c r="E192" t="e">
        <f>VLOOKUP(Shelf_Life!A192,Demand_Frozen!A189:A305,1,FALSE())</f>
        <v>#N/A</v>
      </c>
    </row>
    <row r="193" spans="1:5" x14ac:dyDescent="0.25">
      <c r="A193" t="s">
        <v>227</v>
      </c>
      <c r="B193" s="130">
        <v>1</v>
      </c>
      <c r="C193" s="120">
        <v>6.5683021764580699E-2</v>
      </c>
      <c r="D193" t="e">
        <f>VLOOKUP(Shelf_Life!A193,Demand_Fresh!A191:A285,1,FALSE())</f>
        <v>#N/A</v>
      </c>
      <c r="E193" t="e">
        <f>VLOOKUP(Shelf_Life!A193,Demand_Frozen!A190:A306,1,FALSE())</f>
        <v>#N/A</v>
      </c>
    </row>
    <row r="194" spans="1:5" x14ac:dyDescent="0.25">
      <c r="A194" t="s">
        <v>228</v>
      </c>
      <c r="B194" s="130">
        <v>1</v>
      </c>
      <c r="C194" s="120">
        <v>6.5683021764580699E-2</v>
      </c>
      <c r="D194" t="e">
        <f>VLOOKUP(Shelf_Life!A194,Demand_Fresh!A192:A286,1,FALSE())</f>
        <v>#N/A</v>
      </c>
      <c r="E194" t="e">
        <f>VLOOKUP(Shelf_Life!A194,Demand_Frozen!A191:A307,1,FALSE())</f>
        <v>#N/A</v>
      </c>
    </row>
    <row r="195" spans="1:5" x14ac:dyDescent="0.25">
      <c r="A195" t="s">
        <v>124</v>
      </c>
      <c r="B195" s="130">
        <v>1</v>
      </c>
      <c r="C195" s="120">
        <v>6.5683021764580699E-2</v>
      </c>
      <c r="D195" t="e">
        <f>VLOOKUP(Shelf_Life!A195,Demand_Fresh!A193:A287,1,FALSE())</f>
        <v>#N/A</v>
      </c>
      <c r="E195" t="e">
        <f>VLOOKUP(Shelf_Life!A195,Demand_Frozen!A192:A308,1,FALSE())</f>
        <v>#N/A</v>
      </c>
    </row>
    <row r="196" spans="1:5" x14ac:dyDescent="0.25">
      <c r="A196" t="s">
        <v>229</v>
      </c>
      <c r="B196" s="130">
        <v>1</v>
      </c>
      <c r="C196" s="120">
        <v>6.5683021764580699E-2</v>
      </c>
      <c r="D196" t="e">
        <f>VLOOKUP(Shelf_Life!A196,Demand_Fresh!A194:A288,1,FALSE())</f>
        <v>#N/A</v>
      </c>
      <c r="E196" t="e">
        <f>VLOOKUP(Shelf_Life!A196,Demand_Frozen!A193:A309,1,FALSE())</f>
        <v>#N/A</v>
      </c>
    </row>
    <row r="197" spans="1:5" x14ac:dyDescent="0.25">
      <c r="A197" t="s">
        <v>372</v>
      </c>
      <c r="B197" s="130">
        <v>1</v>
      </c>
      <c r="C197" s="120">
        <v>5.2546417411664603E-2</v>
      </c>
      <c r="D197" t="e">
        <f>VLOOKUP(Shelf_Life!A197,Demand_Fresh!A195:A289,1,FALSE())</f>
        <v>#N/A</v>
      </c>
      <c r="E197" t="e">
        <f>VLOOKUP(Shelf_Life!A197,Demand_Frozen!A194:A310,1,FALSE())</f>
        <v>#N/A</v>
      </c>
    </row>
    <row r="198" spans="1:5" x14ac:dyDescent="0.25">
      <c r="A198" t="s">
        <v>1481</v>
      </c>
      <c r="B198" s="130">
        <v>1</v>
      </c>
      <c r="C198" s="120">
        <v>5.2546417411664603E-2</v>
      </c>
      <c r="D198" t="e">
        <f>VLOOKUP(Shelf_Life!A198,Demand_Fresh!A196:A290,1,FALSE())</f>
        <v>#N/A</v>
      </c>
      <c r="E198" t="e">
        <f>VLOOKUP(Shelf_Life!A198,Demand_Frozen!A195:A311,1,FALSE())</f>
        <v>#N/A</v>
      </c>
    </row>
    <row r="199" spans="1:5" x14ac:dyDescent="0.25">
      <c r="A199" t="s">
        <v>230</v>
      </c>
      <c r="B199" s="130">
        <v>1</v>
      </c>
      <c r="C199" s="120">
        <v>6.43951193770399E-2</v>
      </c>
      <c r="D199" t="e">
        <f>VLOOKUP(Shelf_Life!A199,Demand_Fresh!A197:A291,1,FALSE())</f>
        <v>#N/A</v>
      </c>
      <c r="E199" t="e">
        <f>VLOOKUP(Shelf_Life!A199,Demand_Frozen!A196:A312,1,FALSE())</f>
        <v>#N/A</v>
      </c>
    </row>
    <row r="200" spans="1:5" x14ac:dyDescent="0.25">
      <c r="A200" t="s">
        <v>125</v>
      </c>
      <c r="B200" s="130">
        <v>1</v>
      </c>
      <c r="C200" s="120">
        <v>6.5683021764580699E-2</v>
      </c>
      <c r="D200" t="e">
        <f>VLOOKUP(Shelf_Life!A200,Demand_Fresh!A198:A292,1,FALSE())</f>
        <v>#N/A</v>
      </c>
      <c r="E200" t="e">
        <f>VLOOKUP(Shelf_Life!A200,Demand_Frozen!A197:A313,1,FALSE())</f>
        <v>#N/A</v>
      </c>
    </row>
    <row r="201" spans="1:5" x14ac:dyDescent="0.25">
      <c r="A201" t="s">
        <v>231</v>
      </c>
      <c r="B201" s="130">
        <v>1</v>
      </c>
      <c r="C201" s="120">
        <v>6.5683021764580699E-2</v>
      </c>
      <c r="D201" t="e">
        <f>VLOOKUP(Shelf_Life!A201,Demand_Fresh!A199:A293,1,FALSE())</f>
        <v>#N/A</v>
      </c>
      <c r="E201" t="e">
        <f>VLOOKUP(Shelf_Life!A201,Demand_Frozen!A198:A314,1,FALSE())</f>
        <v>#N/A</v>
      </c>
    </row>
    <row r="202" spans="1:5" x14ac:dyDescent="0.25">
      <c r="A202" t="s">
        <v>378</v>
      </c>
      <c r="B202" s="130">
        <v>1</v>
      </c>
      <c r="C202" s="120">
        <v>5.2546417411664603E-2</v>
      </c>
      <c r="D202" t="e">
        <f>VLOOKUP(Shelf_Life!A202,Demand_Fresh!A200:A294,1,FALSE())</f>
        <v>#N/A</v>
      </c>
      <c r="E202" t="e">
        <f>VLOOKUP(Shelf_Life!A202,Demand_Frozen!A199:A315,1,FALSE())</f>
        <v>#N/A</v>
      </c>
    </row>
    <row r="203" spans="1:5" x14ac:dyDescent="0.25">
      <c r="A203" t="s">
        <v>232</v>
      </c>
      <c r="B203" s="130">
        <v>1</v>
      </c>
      <c r="C203" s="120">
        <v>6.5683021764580699E-2</v>
      </c>
      <c r="D203" t="e">
        <f>VLOOKUP(Shelf_Life!A203,Demand_Fresh!A201:A295,1,FALSE())</f>
        <v>#N/A</v>
      </c>
      <c r="E203" t="e">
        <f>VLOOKUP(Shelf_Life!A203,Demand_Frozen!A200:A316,1,FALSE())</f>
        <v>#N/A</v>
      </c>
    </row>
    <row r="204" spans="1:5" x14ac:dyDescent="0.25">
      <c r="A204" t="s">
        <v>126</v>
      </c>
      <c r="B204" s="130">
        <v>1</v>
      </c>
      <c r="C204" s="120">
        <v>6.5683021764580699E-2</v>
      </c>
      <c r="D204" t="e">
        <f>VLOOKUP(Shelf_Life!A204,Demand_Fresh!A202:A296,1,FALSE())</f>
        <v>#N/A</v>
      </c>
      <c r="E204" t="e">
        <f>VLOOKUP(Shelf_Life!A204,Demand_Frozen!A201:A317,1,FALSE())</f>
        <v>#N/A</v>
      </c>
    </row>
    <row r="205" spans="1:5" x14ac:dyDescent="0.25">
      <c r="A205" t="s">
        <v>942</v>
      </c>
      <c r="B205" s="130">
        <v>1</v>
      </c>
      <c r="C205" s="120">
        <v>6.8419814338104901E-2</v>
      </c>
      <c r="D205" t="e">
        <f>VLOOKUP(Shelf_Life!A205,Demand_Fresh!A203:A297,1,FALSE())</f>
        <v>#N/A</v>
      </c>
      <c r="E205" t="e">
        <f>VLOOKUP(Shelf_Life!A205,Demand_Frozen!A201:A318,1,FALSE())</f>
        <v>#N/A</v>
      </c>
    </row>
    <row r="206" spans="1:5" x14ac:dyDescent="0.25">
      <c r="A206" t="s">
        <v>233</v>
      </c>
      <c r="B206" s="130">
        <v>1</v>
      </c>
      <c r="C206" s="120">
        <v>6.5683021764580699E-2</v>
      </c>
      <c r="D206" t="e">
        <f>VLOOKUP(Shelf_Life!A206,Demand_Fresh!A204:A298,1,FALSE())</f>
        <v>#N/A</v>
      </c>
      <c r="E206" t="e">
        <f>VLOOKUP(Shelf_Life!A206,Demand_Frozen!A202:A319,1,FALSE())</f>
        <v>#N/A</v>
      </c>
    </row>
    <row r="207" spans="1:5" x14ac:dyDescent="0.25">
      <c r="A207" t="s">
        <v>947</v>
      </c>
      <c r="B207" s="130">
        <v>1</v>
      </c>
      <c r="C207" s="120">
        <v>6.9140022910084906E-2</v>
      </c>
      <c r="D207" t="e">
        <f>VLOOKUP(Shelf_Life!A207,Demand_Fresh!A205:A299,1,FALSE())</f>
        <v>#N/A</v>
      </c>
      <c r="E207" t="e">
        <f>VLOOKUP(Shelf_Life!A207,Demand_Frozen!A203:A320,1,FALSE())</f>
        <v>#N/A</v>
      </c>
    </row>
    <row r="208" spans="1:5" x14ac:dyDescent="0.25">
      <c r="A208" t="s">
        <v>234</v>
      </c>
      <c r="B208" s="130">
        <v>1</v>
      </c>
      <c r="C208" s="120">
        <v>6.5683021764580699E-2</v>
      </c>
      <c r="D208" t="e">
        <f>VLOOKUP(Shelf_Life!A208,Demand_Fresh!A206:A300,1,FALSE())</f>
        <v>#N/A</v>
      </c>
      <c r="E208" t="e">
        <f>VLOOKUP(Shelf_Life!A208,Demand_Frozen!A204:A321,1,FALSE())</f>
        <v>#N/A</v>
      </c>
    </row>
    <row r="209" spans="1:5" x14ac:dyDescent="0.25">
      <c r="A209" t="s">
        <v>389</v>
      </c>
      <c r="B209" s="130">
        <v>1</v>
      </c>
      <c r="C209" s="120">
        <v>6.5683021764580699E-2</v>
      </c>
      <c r="D209" t="e">
        <f>VLOOKUP(Shelf_Life!A209,Demand_Fresh!A207:A301,1,FALSE())</f>
        <v>#N/A</v>
      </c>
      <c r="E209" t="e">
        <f>VLOOKUP(Shelf_Life!A209,Demand_Frozen!A205:A322,1,FALSE())</f>
        <v>#N/A</v>
      </c>
    </row>
    <row r="210" spans="1:5" x14ac:dyDescent="0.25">
      <c r="A210" t="s">
        <v>235</v>
      </c>
      <c r="B210" s="130">
        <v>1</v>
      </c>
      <c r="C210" s="120">
        <v>6.5683021764580699E-2</v>
      </c>
      <c r="D210" t="e">
        <f>VLOOKUP(Shelf_Life!A210,Demand_Fresh!A208:A302,1,FALSE())</f>
        <v>#N/A</v>
      </c>
      <c r="E210" t="e">
        <f>VLOOKUP(Shelf_Life!A210,Demand_Frozen!A206:A323,1,FALSE())</f>
        <v>#N/A</v>
      </c>
    </row>
    <row r="211" spans="1:5" x14ac:dyDescent="0.25">
      <c r="A211" t="s">
        <v>236</v>
      </c>
      <c r="B211" s="130">
        <v>1</v>
      </c>
      <c r="C211" s="120">
        <v>6.43951193770399E-2</v>
      </c>
      <c r="D211" t="e">
        <f>VLOOKUP(Shelf_Life!A211,Demand_Fresh!A209:A303,1,FALSE())</f>
        <v>#N/A</v>
      </c>
      <c r="E211" t="e">
        <f>VLOOKUP(Shelf_Life!A211,Demand_Frozen!A207:A324,1,FALSE())</f>
        <v>#N/A</v>
      </c>
    </row>
    <row r="212" spans="1:5" x14ac:dyDescent="0.25">
      <c r="A212" t="s">
        <v>127</v>
      </c>
      <c r="B212" s="130">
        <v>1</v>
      </c>
      <c r="C212" s="120">
        <v>6.5683021764580699E-2</v>
      </c>
      <c r="D212" t="e">
        <f>VLOOKUP(Shelf_Life!A212,Demand_Fresh!A210:A304,1,FALSE())</f>
        <v>#N/A</v>
      </c>
      <c r="E212" t="e">
        <f>VLOOKUP(Shelf_Life!A212,Demand_Frozen!A207:A325,1,FALSE())</f>
        <v>#N/A</v>
      </c>
    </row>
    <row r="213" spans="1:5" x14ac:dyDescent="0.25">
      <c r="A213" t="s">
        <v>237</v>
      </c>
      <c r="B213" s="130">
        <v>1</v>
      </c>
      <c r="C213" s="120">
        <v>6.5683021764580699E-2</v>
      </c>
      <c r="D213" t="e">
        <f>VLOOKUP(Shelf_Life!A213,Demand_Fresh!A211:A305,1,FALSE())</f>
        <v>#N/A</v>
      </c>
      <c r="E213" t="e">
        <f>VLOOKUP(Shelf_Life!A213,Demand_Frozen!A208:A326,1,FALSE())</f>
        <v>#N/A</v>
      </c>
    </row>
    <row r="214" spans="1:5" x14ac:dyDescent="0.25">
      <c r="A214" t="s">
        <v>128</v>
      </c>
      <c r="B214" s="130">
        <v>1</v>
      </c>
      <c r="C214" s="120">
        <v>4.92622663234355E-2</v>
      </c>
      <c r="D214" t="e">
        <f>VLOOKUP(Shelf_Life!A214,Demand_Fresh!A212:A306,1,FALSE())</f>
        <v>#N/A</v>
      </c>
      <c r="E214" t="e">
        <f>VLOOKUP(Shelf_Life!A214,Demand_Frozen!A209:A327,1,FALSE())</f>
        <v>#N/A</v>
      </c>
    </row>
    <row r="215" spans="1:5" x14ac:dyDescent="0.25">
      <c r="A215" t="s">
        <v>238</v>
      </c>
      <c r="B215" s="130">
        <v>1</v>
      </c>
      <c r="C215" s="120">
        <v>6.5683021764580699E-2</v>
      </c>
      <c r="D215" t="e">
        <f>VLOOKUP(Shelf_Life!A215,Demand_Fresh!A213:A307,1,FALSE())</f>
        <v>#N/A</v>
      </c>
      <c r="E215" t="e">
        <f>VLOOKUP(Shelf_Life!A215,Demand_Frozen!A210:A328,1,FALSE())</f>
        <v>#N/A</v>
      </c>
    </row>
    <row r="216" spans="1:5" x14ac:dyDescent="0.25">
      <c r="A216" t="s">
        <v>239</v>
      </c>
      <c r="B216" s="130">
        <v>1</v>
      </c>
      <c r="C216" s="120">
        <v>6.5683021764580699E-2</v>
      </c>
      <c r="D216" t="e">
        <f>VLOOKUP(Shelf_Life!A216,Demand_Fresh!A214:A308,1,FALSE())</f>
        <v>#N/A</v>
      </c>
      <c r="E216" t="e">
        <f>VLOOKUP(Shelf_Life!A216,Demand_Frozen!A211:A329,1,FALSE())</f>
        <v>#N/A</v>
      </c>
    </row>
    <row r="217" spans="1:5" x14ac:dyDescent="0.25">
      <c r="A217" t="s">
        <v>129</v>
      </c>
      <c r="B217" s="130">
        <v>1</v>
      </c>
      <c r="C217" s="120">
        <v>6.5683021764580699E-2</v>
      </c>
      <c r="D217" t="e">
        <f>VLOOKUP(Shelf_Life!A217,Demand_Fresh!A215:A309,1,FALSE())</f>
        <v>#N/A</v>
      </c>
      <c r="E217" t="e">
        <f>VLOOKUP(Shelf_Life!A217,Demand_Frozen!A212:A330,1,FALSE())</f>
        <v>#N/A</v>
      </c>
    </row>
    <row r="218" spans="1:5" x14ac:dyDescent="0.25">
      <c r="A218" t="s">
        <v>240</v>
      </c>
      <c r="B218" s="130">
        <v>1</v>
      </c>
      <c r="C218" s="120">
        <v>0.112599465882138</v>
      </c>
      <c r="D218" t="e">
        <f>VLOOKUP(Shelf_Life!A218,Demand_Fresh!A216:A310,1,FALSE())</f>
        <v>#N/A</v>
      </c>
      <c r="E218" t="e">
        <f>VLOOKUP(Shelf_Life!A218,Demand_Frozen!A213:A331,1,FALSE())</f>
        <v>#N/A</v>
      </c>
    </row>
    <row r="219" spans="1:5" x14ac:dyDescent="0.25">
      <c r="A219" t="s">
        <v>130</v>
      </c>
      <c r="B219" s="130">
        <v>1</v>
      </c>
      <c r="C219" s="120">
        <v>0.112599465882138</v>
      </c>
      <c r="D219" t="e">
        <f>VLOOKUP(Shelf_Life!A219,Demand_Fresh!A217:A311,1,FALSE())</f>
        <v>#N/A</v>
      </c>
      <c r="E219" t="e">
        <f>VLOOKUP(Shelf_Life!A219,Demand_Frozen!A214:A332,1,FALSE())</f>
        <v>#N/A</v>
      </c>
    </row>
    <row r="220" spans="1:5" x14ac:dyDescent="0.25">
      <c r="A220" t="s">
        <v>241</v>
      </c>
      <c r="B220" s="130">
        <v>1</v>
      </c>
      <c r="C220" s="120">
        <v>0.112599465882138</v>
      </c>
      <c r="D220" t="e">
        <f>VLOOKUP(Shelf_Life!A220,Demand_Fresh!A218:A312,1,FALSE())</f>
        <v>#N/A</v>
      </c>
      <c r="E220" t="e">
        <f>VLOOKUP(Shelf_Life!A220,Demand_Frozen!A215:A333,1,FALSE())</f>
        <v>#N/A</v>
      </c>
    </row>
    <row r="221" spans="1:5" x14ac:dyDescent="0.25">
      <c r="A221" t="s">
        <v>242</v>
      </c>
      <c r="B221" s="130">
        <v>1</v>
      </c>
      <c r="C221" s="120">
        <v>0.112599465882138</v>
      </c>
      <c r="D221" t="e">
        <f>VLOOKUP(Shelf_Life!A221,Demand_Fresh!A219:A313,1,FALSE())</f>
        <v>#N/A</v>
      </c>
      <c r="E221" t="e">
        <f>VLOOKUP(Shelf_Life!A221,Demand_Frozen!A216:A334,1,FALSE())</f>
        <v>#N/A</v>
      </c>
    </row>
    <row r="222" spans="1:5" x14ac:dyDescent="0.25">
      <c r="A222" t="s">
        <v>131</v>
      </c>
      <c r="B222" s="130">
        <v>1</v>
      </c>
      <c r="C222" s="120">
        <v>0.112599465882138</v>
      </c>
      <c r="D222" t="e">
        <f>VLOOKUP(Shelf_Life!A222,Demand_Fresh!A220:A314,1,FALSE())</f>
        <v>#N/A</v>
      </c>
      <c r="E222" t="e">
        <f>VLOOKUP(Shelf_Life!A222,Demand_Frozen!A217:A335,1,FALSE())</f>
        <v>#N/A</v>
      </c>
    </row>
    <row r="223" spans="1:5" x14ac:dyDescent="0.25">
      <c r="A223" t="s">
        <v>243</v>
      </c>
      <c r="B223" s="130">
        <v>1</v>
      </c>
      <c r="C223" s="120">
        <v>0.112599465882138</v>
      </c>
      <c r="D223" t="e">
        <f>VLOOKUP(Shelf_Life!A223,Demand_Fresh!A221:A315,1,FALSE())</f>
        <v>#N/A</v>
      </c>
      <c r="E223" t="e">
        <f>VLOOKUP(Shelf_Life!A223,Demand_Frozen!A218:A336,1,FALSE())</f>
        <v>#N/A</v>
      </c>
    </row>
    <row r="224" spans="1:5" x14ac:dyDescent="0.25">
      <c r="A224" t="s">
        <v>403</v>
      </c>
      <c r="B224" s="130">
        <v>1</v>
      </c>
      <c r="C224" s="120">
        <v>0.102363150801944</v>
      </c>
      <c r="D224" t="e">
        <f>VLOOKUP(Shelf_Life!A224,Demand_Fresh!A222:A316,1,FALSE())</f>
        <v>#N/A</v>
      </c>
      <c r="E224" t="e">
        <f>VLOOKUP(Shelf_Life!A224,Demand_Frozen!A219:A337,1,FALSE())</f>
        <v>#N/A</v>
      </c>
    </row>
    <row r="225" spans="1:5" x14ac:dyDescent="0.25">
      <c r="A225" t="s">
        <v>244</v>
      </c>
      <c r="B225" s="130">
        <v>1</v>
      </c>
      <c r="C225" s="120">
        <v>0.102363150801944</v>
      </c>
      <c r="D225" t="e">
        <f>VLOOKUP(Shelf_Life!A225,Demand_Fresh!A223:A317,1,FALSE())</f>
        <v>#N/A</v>
      </c>
      <c r="E225" t="e">
        <f>VLOOKUP(Shelf_Life!A225,Demand_Frozen!A220:A338,1,FALSE())</f>
        <v>#N/A</v>
      </c>
    </row>
    <row r="226" spans="1:5" x14ac:dyDescent="0.25">
      <c r="A226" t="s">
        <v>245</v>
      </c>
      <c r="B226" s="130">
        <v>1</v>
      </c>
      <c r="C226" s="120">
        <v>0.112599465882138</v>
      </c>
      <c r="D226" t="e">
        <f>VLOOKUP(Shelf_Life!A226,Demand_Fresh!A224:A318,1,FALSE())</f>
        <v>#N/A</v>
      </c>
      <c r="E226" t="e">
        <f>VLOOKUP(Shelf_Life!A226,Demand_Frozen!A221:A339,1,FALSE())</f>
        <v>#N/A</v>
      </c>
    </row>
    <row r="227" spans="1:5" x14ac:dyDescent="0.25">
      <c r="A227" t="s">
        <v>1029</v>
      </c>
      <c r="B227" s="130">
        <v>1</v>
      </c>
      <c r="C227" s="121">
        <v>0.112599465882138</v>
      </c>
      <c r="D227" t="e">
        <f>VLOOKUP(Shelf_Life!A227,Demand_Fresh!A225:A319,1,FALSE())</f>
        <v>#N/A</v>
      </c>
      <c r="E227" t="e">
        <f>VLOOKUP(Shelf_Life!A227,Demand_Frozen!A222:A340,1,FALSE())</f>
        <v>#N/A</v>
      </c>
    </row>
    <row r="228" spans="1:5" x14ac:dyDescent="0.25">
      <c r="A228" t="s">
        <v>132</v>
      </c>
      <c r="B228" s="130">
        <v>1</v>
      </c>
      <c r="C228" s="120">
        <v>0.127471093451477</v>
      </c>
      <c r="D228" t="e">
        <f>VLOOKUP(Shelf_Life!A228,Demand_Fresh!A226:A320,1,FALSE())</f>
        <v>#N/A</v>
      </c>
      <c r="E228" t="e">
        <f>VLOOKUP(Shelf_Life!A228,Demand_Frozen!A223:A341,1,FALSE())</f>
        <v>#N/A</v>
      </c>
    </row>
    <row r="229" spans="1:5" x14ac:dyDescent="0.25">
      <c r="A229" t="s">
        <v>133</v>
      </c>
      <c r="B229" s="130">
        <v>1</v>
      </c>
      <c r="C229" s="120">
        <v>0.102270177912932</v>
      </c>
      <c r="D229" t="e">
        <f>VLOOKUP(Shelf_Life!A229,Demand_Fresh!A227:A321,1,FALSE())</f>
        <v>#N/A</v>
      </c>
      <c r="E229" t="e">
        <f>VLOOKUP(Shelf_Life!A229,Demand_Frozen!A224:A342,1,FALSE())</f>
        <v>#N/A</v>
      </c>
    </row>
    <row r="230" spans="1:5" x14ac:dyDescent="0.25">
      <c r="A230" t="s">
        <v>246</v>
      </c>
      <c r="B230" s="130">
        <v>1</v>
      </c>
      <c r="C230" s="120">
        <v>0.102270177912932</v>
      </c>
      <c r="D230" t="e">
        <f>VLOOKUP(Shelf_Life!A230,Demand_Fresh!A228:A322,1,FALSE())</f>
        <v>#N/A</v>
      </c>
      <c r="E230" t="e">
        <f>VLOOKUP(Shelf_Life!A230,Demand_Frozen!A225:A343,1,FALSE())</f>
        <v>#N/A</v>
      </c>
    </row>
    <row r="231" spans="1:5" x14ac:dyDescent="0.25">
      <c r="A231" t="s">
        <v>247</v>
      </c>
      <c r="B231" s="130">
        <v>1</v>
      </c>
      <c r="C231" s="120">
        <v>6.9793057364961802E-2</v>
      </c>
      <c r="D231" t="e">
        <f>VLOOKUP(Shelf_Life!A231,Demand_Fresh!A229:A323,1,FALSE())</f>
        <v>#N/A</v>
      </c>
      <c r="E231" t="e">
        <f>VLOOKUP(Shelf_Life!A231,Demand_Frozen!A226:A344,1,FALSE())</f>
        <v>#N/A</v>
      </c>
    </row>
    <row r="232" spans="1:5" x14ac:dyDescent="0.25">
      <c r="A232" t="s">
        <v>248</v>
      </c>
      <c r="B232" s="130">
        <v>1</v>
      </c>
      <c r="C232" s="120">
        <v>9.0079572705710695E-2</v>
      </c>
      <c r="D232" t="e">
        <f>VLOOKUP(Shelf_Life!A232,Demand_Fresh!A230:A324,1,FALSE())</f>
        <v>#N/A</v>
      </c>
      <c r="E232" t="e">
        <f>VLOOKUP(Shelf_Life!A232,Demand_Frozen!A227:A345,1,FALSE())</f>
        <v>#N/A</v>
      </c>
    </row>
    <row r="233" spans="1:5" x14ac:dyDescent="0.25">
      <c r="A233" t="s">
        <v>134</v>
      </c>
      <c r="B233" s="130">
        <v>1</v>
      </c>
      <c r="C233" s="120">
        <v>7.3755108656422499E-2</v>
      </c>
      <c r="D233" t="e">
        <f>VLOOKUP(Shelf_Life!A233,Demand_Fresh!A231:A325,1,FALSE())</f>
        <v>#N/A</v>
      </c>
      <c r="E233" t="e">
        <f>VLOOKUP(Shelf_Life!A233,Demand_Frozen!A228:A346,1,FALSE())</f>
        <v>#N/A</v>
      </c>
    </row>
    <row r="234" spans="1:5" x14ac:dyDescent="0.25">
      <c r="A234" t="s">
        <v>249</v>
      </c>
      <c r="B234" s="130">
        <v>1</v>
      </c>
      <c r="C234" s="120">
        <v>7.3755108656422499E-2</v>
      </c>
      <c r="D234" t="e">
        <f>VLOOKUP(Shelf_Life!A234,Demand_Fresh!A232:A326,1,FALSE())</f>
        <v>#N/A</v>
      </c>
      <c r="E234" t="e">
        <f>VLOOKUP(Shelf_Life!A234,Demand_Frozen!A229:A347,1,FALSE())</f>
        <v>#N/A</v>
      </c>
    </row>
    <row r="235" spans="1:5" x14ac:dyDescent="0.25">
      <c r="A235" t="s">
        <v>135</v>
      </c>
      <c r="B235" s="130">
        <v>1</v>
      </c>
      <c r="C235" s="120">
        <v>6.9793057364961802E-2</v>
      </c>
      <c r="D235" t="e">
        <f>VLOOKUP(Shelf_Life!A235,Demand_Fresh!A233:A327,1,FALSE())</f>
        <v>#N/A</v>
      </c>
      <c r="E235" t="e">
        <f>VLOOKUP(Shelf_Life!A235,Demand_Frozen!A230:A348,1,FALSE())</f>
        <v>#N/A</v>
      </c>
    </row>
    <row r="236" spans="1:5" x14ac:dyDescent="0.25">
      <c r="A236" t="s">
        <v>136</v>
      </c>
      <c r="B236" s="130">
        <v>1</v>
      </c>
      <c r="C236" s="120">
        <v>9.0079572705710695E-2</v>
      </c>
      <c r="D236" t="e">
        <f>VLOOKUP(Shelf_Life!A236,Demand_Fresh!A234:A328,1,FALSE())</f>
        <v>#N/A</v>
      </c>
      <c r="E236" t="e">
        <f>VLOOKUP(Shelf_Life!A236,Demand_Frozen!A231:A349,1,FALSE())</f>
        <v>#N/A</v>
      </c>
    </row>
    <row r="237" spans="1:5" x14ac:dyDescent="0.25">
      <c r="A237" t="s">
        <v>250</v>
      </c>
      <c r="B237" s="130">
        <v>1</v>
      </c>
      <c r="C237" s="120">
        <v>9.0079572705710695E-2</v>
      </c>
      <c r="D237" t="e">
        <f>VLOOKUP(Shelf_Life!A237,Demand_Fresh!A235:A329,1,FALSE())</f>
        <v>#N/A</v>
      </c>
      <c r="E237" t="e">
        <f>VLOOKUP(Shelf_Life!A237,Demand_Frozen!A232:A350,1,FALSE())</f>
        <v>#N/A</v>
      </c>
    </row>
    <row r="238" spans="1:5" x14ac:dyDescent="0.25">
      <c r="A238" t="s">
        <v>421</v>
      </c>
      <c r="B238" s="130">
        <v>1</v>
      </c>
      <c r="C238" s="120">
        <v>0.112599465882138</v>
      </c>
      <c r="D238" t="e">
        <f>VLOOKUP(Shelf_Life!A238,Demand_Fresh!A236:A330,1,FALSE())</f>
        <v>#N/A</v>
      </c>
      <c r="E238" t="e">
        <f>VLOOKUP(Shelf_Life!A238,Demand_Frozen!A233:A351,1,FALSE())</f>
        <v>#N/A</v>
      </c>
    </row>
    <row r="239" spans="1:5" x14ac:dyDescent="0.25">
      <c r="A239" t="s">
        <v>1077</v>
      </c>
      <c r="B239" s="130">
        <v>1</v>
      </c>
      <c r="C239" s="120">
        <v>0.112599465882138</v>
      </c>
      <c r="D239" t="e">
        <f>VLOOKUP(Shelf_Life!A239,Demand_Fresh!A237:A331,1,FALSE())</f>
        <v>#N/A</v>
      </c>
      <c r="E239" t="e">
        <f>VLOOKUP(Shelf_Life!A239,Demand_Frozen!A234:A352,1,FALSE())</f>
        <v>#N/A</v>
      </c>
    </row>
    <row r="240" spans="1:5" x14ac:dyDescent="0.25">
      <c r="A240" t="s">
        <v>137</v>
      </c>
      <c r="B240" s="130">
        <v>1</v>
      </c>
      <c r="C240" s="120">
        <v>8.1890520641555206E-2</v>
      </c>
      <c r="D240" t="e">
        <f>VLOOKUP(Shelf_Life!A240,Demand_Fresh!A238:A332,1,FALSE())</f>
        <v>#N/A</v>
      </c>
      <c r="E240" t="e">
        <f>VLOOKUP(Shelf_Life!A240,Demand_Frozen!A235:A353,1,FALSE())</f>
        <v>#N/A</v>
      </c>
    </row>
    <row r="241" spans="1:5" x14ac:dyDescent="0.25">
      <c r="A241" t="s">
        <v>251</v>
      </c>
      <c r="B241" s="130">
        <v>1</v>
      </c>
      <c r="C241" s="120">
        <v>8.1890520641555206E-2</v>
      </c>
      <c r="D241" t="e">
        <f>VLOOKUP(Shelf_Life!A241,Demand_Fresh!A239:A333,1,FALSE())</f>
        <v>#N/A</v>
      </c>
      <c r="E241" t="e">
        <f>VLOOKUP(Shelf_Life!A241,Demand_Frozen!A236:A354,1,FALSE())</f>
        <v>#N/A</v>
      </c>
    </row>
    <row r="242" spans="1:5" x14ac:dyDescent="0.25">
      <c r="A242" t="s">
        <v>138</v>
      </c>
      <c r="B242" s="130">
        <v>1</v>
      </c>
      <c r="C242" s="120">
        <v>0.112599465882138</v>
      </c>
      <c r="D242" t="e">
        <f>VLOOKUP(Shelf_Life!A242,Demand_Fresh!A240:A334,1,FALSE())</f>
        <v>#N/A</v>
      </c>
      <c r="E242" t="e">
        <f>VLOOKUP(Shelf_Life!A242,Demand_Frozen!A237:A355,1,FALSE())</f>
        <v>#N/A</v>
      </c>
    </row>
    <row r="243" spans="1:5" x14ac:dyDescent="0.25">
      <c r="A243" t="s">
        <v>139</v>
      </c>
      <c r="B243" s="130">
        <v>1</v>
      </c>
      <c r="C243" s="120">
        <v>0.112599465882138</v>
      </c>
      <c r="D243" t="e">
        <f>VLOOKUP(Shelf_Life!A243,Demand_Fresh!A241:A335,1,FALSE())</f>
        <v>#N/A</v>
      </c>
      <c r="E243" t="e">
        <f>VLOOKUP(Shelf_Life!A243,Demand_Frozen!A238:A356,1,FALSE())</f>
        <v>#N/A</v>
      </c>
    </row>
    <row r="244" spans="1:5" x14ac:dyDescent="0.25">
      <c r="A244" t="s">
        <v>252</v>
      </c>
      <c r="B244" s="130">
        <v>1</v>
      </c>
      <c r="C244" s="120">
        <v>0.112599465882138</v>
      </c>
      <c r="D244" t="e">
        <f>VLOOKUP(Shelf_Life!A244,Demand_Fresh!A242:A336,1,FALSE())</f>
        <v>#N/A</v>
      </c>
      <c r="E244" t="e">
        <f>VLOOKUP(Shelf_Life!A244,Demand_Frozen!A239:A357,1,FALSE())</f>
        <v>#N/A</v>
      </c>
    </row>
    <row r="245" spans="1:5" x14ac:dyDescent="0.25">
      <c r="A245" t="s">
        <v>140</v>
      </c>
      <c r="B245" s="130">
        <v>1</v>
      </c>
      <c r="C245" s="120">
        <v>0.112599465882138</v>
      </c>
      <c r="D245" t="e">
        <f>VLOOKUP(Shelf_Life!A245,Demand_Fresh!A243:A337,1,FALSE())</f>
        <v>#N/A</v>
      </c>
      <c r="E245" t="e">
        <f>VLOOKUP(Shelf_Life!A245,Demand_Frozen!A240:A358,1,FALSE())</f>
        <v>#N/A</v>
      </c>
    </row>
    <row r="246" spans="1:5" x14ac:dyDescent="0.25">
      <c r="A246" t="s">
        <v>253</v>
      </c>
      <c r="B246" s="130">
        <v>1</v>
      </c>
      <c r="C246" s="120">
        <v>0.112599465882138</v>
      </c>
      <c r="D246" t="e">
        <f>VLOOKUP(Shelf_Life!A246,Demand_Fresh!A244:A338,1,FALSE())</f>
        <v>#N/A</v>
      </c>
      <c r="E246" t="e">
        <f>VLOOKUP(Shelf_Life!A246,Demand_Frozen!A241:A359,1,FALSE())</f>
        <v>#N/A</v>
      </c>
    </row>
    <row r="247" spans="1:5" x14ac:dyDescent="0.25">
      <c r="A247" t="s">
        <v>141</v>
      </c>
      <c r="B247" s="130">
        <v>1</v>
      </c>
      <c r="C247" s="120">
        <v>0.112599465882138</v>
      </c>
      <c r="D247" t="e">
        <f>VLOOKUP(Shelf_Life!A247,Demand_Fresh!A245:A339,1,FALSE())</f>
        <v>#N/A</v>
      </c>
      <c r="E247" t="e">
        <f>VLOOKUP(Shelf_Life!A247,Demand_Frozen!A242:A360,1,FALSE())</f>
        <v>#N/A</v>
      </c>
    </row>
    <row r="248" spans="1:5" x14ac:dyDescent="0.25">
      <c r="A248" t="s">
        <v>254</v>
      </c>
      <c r="B248" s="130">
        <v>1</v>
      </c>
      <c r="C248" s="120">
        <v>0.112599465882138</v>
      </c>
      <c r="D248" t="e">
        <f>VLOOKUP(Shelf_Life!A248,Demand_Fresh!A246:A340,1,FALSE())</f>
        <v>#N/A</v>
      </c>
      <c r="E248" t="e">
        <f>VLOOKUP(Shelf_Life!A248,Demand_Frozen!A243:A361,1,FALSE())</f>
        <v>#N/A</v>
      </c>
    </row>
    <row r="249" spans="1:5" x14ac:dyDescent="0.25">
      <c r="A249" t="s">
        <v>142</v>
      </c>
      <c r="B249" s="130">
        <v>1</v>
      </c>
      <c r="C249" s="120">
        <v>9.3832888235115305E-2</v>
      </c>
      <c r="D249" t="e">
        <f>VLOOKUP(Shelf_Life!A249,Demand_Fresh!A247:A341,1,FALSE())</f>
        <v>#N/A</v>
      </c>
      <c r="E249" t="e">
        <f>VLOOKUP(Shelf_Life!A249,Demand_Frozen!A244:A362,1,FALSE())</f>
        <v>#N/A</v>
      </c>
    </row>
    <row r="250" spans="1:5" x14ac:dyDescent="0.25">
      <c r="A250" t="s">
        <v>255</v>
      </c>
      <c r="B250" s="130">
        <v>1</v>
      </c>
      <c r="C250" s="120">
        <v>9.3832888235115305E-2</v>
      </c>
      <c r="D250" t="e">
        <f>VLOOKUP(Shelf_Life!A250,Demand_Fresh!A248:A342,1,FALSE())</f>
        <v>#N/A</v>
      </c>
      <c r="E250" t="e">
        <f>VLOOKUP(Shelf_Life!A250,Demand_Frozen!A245:A363,1,FALSE())</f>
        <v>#N/A</v>
      </c>
    </row>
    <row r="251" spans="1:5" x14ac:dyDescent="0.25">
      <c r="A251" t="s">
        <v>431</v>
      </c>
      <c r="B251" s="130">
        <v>1</v>
      </c>
      <c r="C251" s="120">
        <v>9.3832888235115305E-2</v>
      </c>
      <c r="D251" t="e">
        <f>VLOOKUP(Shelf_Life!A251,Demand_Fresh!A249:A343,1,FALSE())</f>
        <v>#N/A</v>
      </c>
      <c r="E251" t="e">
        <f>VLOOKUP(Shelf_Life!A251,Demand_Frozen!A246:A364,1,FALSE())</f>
        <v>#N/A</v>
      </c>
    </row>
    <row r="252" spans="1:5" x14ac:dyDescent="0.25">
      <c r="A252" t="s">
        <v>256</v>
      </c>
      <c r="B252" s="130">
        <v>1</v>
      </c>
      <c r="C252" s="120">
        <v>9.3832888235115305E-2</v>
      </c>
      <c r="D252" t="e">
        <f>VLOOKUP(Shelf_Life!A252,Demand_Fresh!A250:A344,1,FALSE())</f>
        <v>#N/A</v>
      </c>
      <c r="E252" t="e">
        <f>VLOOKUP(Shelf_Life!A252,Demand_Frozen!A247:A365,1,FALSE())</f>
        <v>#N/A</v>
      </c>
    </row>
    <row r="253" spans="1:5" x14ac:dyDescent="0.25">
      <c r="A253" t="s">
        <v>143</v>
      </c>
      <c r="B253" s="130">
        <v>1</v>
      </c>
      <c r="C253" s="120">
        <v>0.112599465882138</v>
      </c>
      <c r="D253" t="e">
        <f>VLOOKUP(Shelf_Life!A253,Demand_Fresh!A251:A345,1,FALSE())</f>
        <v>#N/A</v>
      </c>
      <c r="E253" t="e">
        <f>VLOOKUP(Shelf_Life!A253,Demand_Frozen!A248:A366,1,FALSE())</f>
        <v>#N/A</v>
      </c>
    </row>
    <row r="254" spans="1:5" x14ac:dyDescent="0.25">
      <c r="A254" t="s">
        <v>257</v>
      </c>
      <c r="B254" s="130">
        <v>1</v>
      </c>
      <c r="C254" s="120">
        <v>0.112599465882138</v>
      </c>
      <c r="D254" t="e">
        <f>VLOOKUP(Shelf_Life!A254,Demand_Fresh!A252:A346,1,FALSE())</f>
        <v>#N/A</v>
      </c>
      <c r="E254" t="e">
        <f>VLOOKUP(Shelf_Life!A254,Demand_Frozen!A249:A367,1,FALSE())</f>
        <v>#N/A</v>
      </c>
    </row>
    <row r="255" spans="1:5" x14ac:dyDescent="0.25">
      <c r="A255" t="s">
        <v>258</v>
      </c>
      <c r="B255" s="130">
        <v>1</v>
      </c>
      <c r="C255" s="120">
        <v>0.112599465882138</v>
      </c>
      <c r="D255" t="e">
        <f>VLOOKUP(Shelf_Life!A255,Demand_Fresh!A253:A347,1,FALSE())</f>
        <v>#N/A</v>
      </c>
      <c r="E255" t="e">
        <f>VLOOKUP(Shelf_Life!A255,Demand_Frozen!A250:A368,1,FALSE())</f>
        <v>#N/A</v>
      </c>
    </row>
    <row r="256" spans="1:5" x14ac:dyDescent="0.25">
      <c r="A256" t="s">
        <v>1127</v>
      </c>
      <c r="B256" s="130">
        <v>1</v>
      </c>
      <c r="C256" s="120">
        <v>0.112599465882138</v>
      </c>
      <c r="D256" t="e">
        <f>VLOOKUP(Shelf_Life!A256,Demand_Fresh!A254:A348,1,FALSE())</f>
        <v>#N/A</v>
      </c>
      <c r="E256" t="e">
        <f>VLOOKUP(Shelf_Life!A256,Demand_Frozen!A251:A369,1,FALSE())</f>
        <v>#N/A</v>
      </c>
    </row>
    <row r="257" spans="1:5" x14ac:dyDescent="0.25">
      <c r="A257" t="s">
        <v>436</v>
      </c>
      <c r="B257" s="130">
        <v>1</v>
      </c>
      <c r="C257" s="120">
        <v>0.112599465882138</v>
      </c>
      <c r="D257" t="e">
        <f>VLOOKUP(Shelf_Life!A257,Demand_Fresh!A255:A349,1,FALSE())</f>
        <v>#N/A</v>
      </c>
      <c r="E257" t="e">
        <f>VLOOKUP(Shelf_Life!A257,Demand_Frozen!A252:A370,1,FALSE())</f>
        <v>#N/A</v>
      </c>
    </row>
    <row r="258" spans="1:5" x14ac:dyDescent="0.25">
      <c r="A258" t="s">
        <v>259</v>
      </c>
      <c r="B258" s="130">
        <v>1</v>
      </c>
      <c r="C258" s="120">
        <v>0.112599465882138</v>
      </c>
      <c r="D258" t="e">
        <f>VLOOKUP(Shelf_Life!A258,Demand_Fresh!A256:A350,1,FALSE())</f>
        <v>#N/A</v>
      </c>
      <c r="E258" t="e">
        <f>VLOOKUP(Shelf_Life!A258,Demand_Frozen!A253:A371,1,FALSE())</f>
        <v>#N/A</v>
      </c>
    </row>
    <row r="259" spans="1:5" x14ac:dyDescent="0.25">
      <c r="A259" t="s">
        <v>438</v>
      </c>
      <c r="B259" s="130">
        <v>1</v>
      </c>
      <c r="C259" s="120">
        <v>0.112599465882138</v>
      </c>
      <c r="D259" t="e">
        <f>VLOOKUP(Shelf_Life!A259,Demand_Fresh!A257:A351,1,FALSE())</f>
        <v>#N/A</v>
      </c>
      <c r="E259" t="e">
        <f>VLOOKUP(Shelf_Life!A259,Demand_Frozen!A254:A372,1,FALSE())</f>
        <v>#N/A</v>
      </c>
    </row>
    <row r="260" spans="1:5" x14ac:dyDescent="0.25">
      <c r="A260" t="s">
        <v>260</v>
      </c>
      <c r="B260" s="130">
        <v>1</v>
      </c>
      <c r="C260" s="120">
        <v>0.112599465882138</v>
      </c>
      <c r="D260" t="e">
        <f>VLOOKUP(Shelf_Life!A260,Demand_Fresh!A258:A352,1,FALSE())</f>
        <v>#N/A</v>
      </c>
      <c r="E260" t="e">
        <f>VLOOKUP(Shelf_Life!A260,Demand_Frozen!A255:A373,1,FALSE())</f>
        <v>#N/A</v>
      </c>
    </row>
    <row r="261" spans="1:5" x14ac:dyDescent="0.25">
      <c r="A261" t="s">
        <v>144</v>
      </c>
      <c r="B261" s="130">
        <v>1</v>
      </c>
      <c r="C261" s="120">
        <v>0.112599465882138</v>
      </c>
      <c r="D261" t="e">
        <f>VLOOKUP(Shelf_Life!A261,Demand_Fresh!A259:A353,1,FALSE())</f>
        <v>#N/A</v>
      </c>
      <c r="E261" t="e">
        <f>VLOOKUP(Shelf_Life!A261,Demand_Frozen!A256:A374,1,FALSE())</f>
        <v>#N/A</v>
      </c>
    </row>
    <row r="262" spans="1:5" x14ac:dyDescent="0.25">
      <c r="A262" t="s">
        <v>261</v>
      </c>
      <c r="B262" s="130">
        <v>1</v>
      </c>
      <c r="C262" s="120">
        <v>0.112599465882138</v>
      </c>
      <c r="D262" t="e">
        <f>VLOOKUP(Shelf_Life!A262,Demand_Fresh!A260:A354,1,FALSE())</f>
        <v>#N/A</v>
      </c>
      <c r="E262" t="e">
        <f>VLOOKUP(Shelf_Life!A262,Demand_Frozen!A257:A375,1,FALSE())</f>
        <v>#N/A</v>
      </c>
    </row>
    <row r="263" spans="1:5" x14ac:dyDescent="0.25">
      <c r="A263" t="s">
        <v>1148</v>
      </c>
      <c r="B263" s="130">
        <v>1</v>
      </c>
      <c r="C263" s="120">
        <v>0.112599465882138</v>
      </c>
      <c r="D263" t="e">
        <f>VLOOKUP(Shelf_Life!A263,Demand_Fresh!A261:A355,1,FALSE())</f>
        <v>#N/A</v>
      </c>
      <c r="E263" t="e">
        <f>VLOOKUP(Shelf_Life!A263,Demand_Frozen!A258:A376,1,FALSE())</f>
        <v>#N/A</v>
      </c>
    </row>
    <row r="264" spans="1:5" x14ac:dyDescent="0.25">
      <c r="A264" t="s">
        <v>145</v>
      </c>
      <c r="B264" s="130">
        <v>1</v>
      </c>
      <c r="C264" s="120">
        <v>0.112599465882138</v>
      </c>
      <c r="D264" t="e">
        <f>VLOOKUP(Shelf_Life!A264,Demand_Fresh!A262:A356,1,FALSE())</f>
        <v>#N/A</v>
      </c>
      <c r="E264" t="e">
        <f>VLOOKUP(Shelf_Life!A264,Demand_Frozen!A259:A377,1,FALSE())</f>
        <v>#N/A</v>
      </c>
    </row>
    <row r="265" spans="1:5" x14ac:dyDescent="0.25">
      <c r="A265" t="s">
        <v>262</v>
      </c>
      <c r="B265" s="130">
        <v>1</v>
      </c>
      <c r="C265" s="120">
        <v>0.112599465882138</v>
      </c>
      <c r="D265" t="e">
        <f>VLOOKUP(Shelf_Life!A265,Demand_Fresh!A263:A357,1,FALSE())</f>
        <v>#N/A</v>
      </c>
      <c r="E265" t="e">
        <f>VLOOKUP(Shelf_Life!A265,Demand_Frozen!A260:A378,1,FALSE())</f>
        <v>#N/A</v>
      </c>
    </row>
    <row r="266" spans="1:5" x14ac:dyDescent="0.25">
      <c r="A266" t="s">
        <v>146</v>
      </c>
      <c r="B266" s="130">
        <v>1</v>
      </c>
      <c r="C266" s="120">
        <v>9.1917931332357802E-2</v>
      </c>
      <c r="D266" t="e">
        <f>VLOOKUP(Shelf_Life!A266,Demand_Fresh!A264:A358,1,FALSE())</f>
        <v>#N/A</v>
      </c>
      <c r="E266" t="e">
        <f>VLOOKUP(Shelf_Life!A266,Demand_Frozen!A261:A379,1,FALSE())</f>
        <v>#N/A</v>
      </c>
    </row>
    <row r="267" spans="1:5" x14ac:dyDescent="0.25">
      <c r="A267" t="s">
        <v>263</v>
      </c>
      <c r="B267" s="130">
        <v>1</v>
      </c>
      <c r="C267" s="120">
        <v>9.1917931332357802E-2</v>
      </c>
      <c r="D267" t="e">
        <f>VLOOKUP(Shelf_Life!A267,Demand_Fresh!A265:A359,1,FALSE())</f>
        <v>#N/A</v>
      </c>
      <c r="E267" t="e">
        <f>VLOOKUP(Shelf_Life!A267,Demand_Frozen!A262:A380,1,FALSE())</f>
        <v>#N/A</v>
      </c>
    </row>
    <row r="268" spans="1:5" x14ac:dyDescent="0.25">
      <c r="A268" t="s">
        <v>147</v>
      </c>
      <c r="B268" s="130">
        <v>1</v>
      </c>
      <c r="C268" s="120">
        <v>0.112599465882138</v>
      </c>
      <c r="D268" t="e">
        <f>VLOOKUP(Shelf_Life!A268,Demand_Fresh!A266:A360,1,FALSE())</f>
        <v>#N/A</v>
      </c>
      <c r="E268" t="e">
        <f>VLOOKUP(Shelf_Life!A268,Demand_Frozen!A263:A381,1,FALSE())</f>
        <v>#N/A</v>
      </c>
    </row>
    <row r="269" spans="1:5" x14ac:dyDescent="0.25">
      <c r="A269" t="s">
        <v>264</v>
      </c>
      <c r="B269" s="130">
        <v>1</v>
      </c>
      <c r="C269" s="120">
        <v>0.112599465882138</v>
      </c>
      <c r="D269" t="e">
        <f>VLOOKUP(Shelf_Life!A269,Demand_Fresh!A267:A361,1,FALSE())</f>
        <v>#N/A</v>
      </c>
      <c r="E269" t="e">
        <f>VLOOKUP(Shelf_Life!A269,Demand_Frozen!A264:A382,1,FALSE())</f>
        <v>#N/A</v>
      </c>
    </row>
    <row r="270" spans="1:5" x14ac:dyDescent="0.25">
      <c r="A270" t="s">
        <v>148</v>
      </c>
      <c r="B270" s="130">
        <v>1</v>
      </c>
      <c r="C270" s="120">
        <v>0.112599465882138</v>
      </c>
      <c r="D270" t="e">
        <f>VLOOKUP(Shelf_Life!A270,Demand_Fresh!A268:A362,1,FALSE())</f>
        <v>#N/A</v>
      </c>
      <c r="E270" t="e">
        <f>VLOOKUP(Shelf_Life!A270,Demand_Frozen!A265:A383,1,FALSE())</f>
        <v>#N/A</v>
      </c>
    </row>
    <row r="271" spans="1:5" x14ac:dyDescent="0.25">
      <c r="A271" t="s">
        <v>265</v>
      </c>
      <c r="B271" s="130">
        <v>1</v>
      </c>
      <c r="C271" s="120">
        <v>0.112599465882138</v>
      </c>
      <c r="D271" t="e">
        <f>VLOOKUP(Shelf_Life!A271,Demand_Fresh!A269:A363,1,FALSE())</f>
        <v>#N/A</v>
      </c>
      <c r="E271" t="e">
        <f>VLOOKUP(Shelf_Life!A271,Demand_Frozen!A266:A384,1,FALSE())</f>
        <v>#N/A</v>
      </c>
    </row>
    <row r="272" spans="1:5" x14ac:dyDescent="0.25">
      <c r="A272" t="s">
        <v>149</v>
      </c>
      <c r="B272" s="130">
        <v>1</v>
      </c>
      <c r="C272" s="120">
        <v>0.112599465882138</v>
      </c>
      <c r="D272" t="e">
        <f>VLOOKUP(Shelf_Life!A272,Demand_Fresh!A270:A364,1,FALSE())</f>
        <v>#N/A</v>
      </c>
      <c r="E272" t="e">
        <f>VLOOKUP(Shelf_Life!A272,Demand_Frozen!A267:A385,1,FALSE())</f>
        <v>#N/A</v>
      </c>
    </row>
    <row r="273" spans="1:5" x14ac:dyDescent="0.25">
      <c r="A273" t="s">
        <v>150</v>
      </c>
      <c r="B273" s="130">
        <v>1</v>
      </c>
      <c r="C273" s="120">
        <v>0.112599465882138</v>
      </c>
      <c r="D273" t="e">
        <f>VLOOKUP(Shelf_Life!A273,Demand_Fresh!A271:A365,1,FALSE())</f>
        <v>#N/A</v>
      </c>
      <c r="E273" t="e">
        <f>VLOOKUP(Shelf_Life!A273,Demand_Frozen!A268:A386,1,FALSE())</f>
        <v>#N/A</v>
      </c>
    </row>
    <row r="274" spans="1:5" x14ac:dyDescent="0.25">
      <c r="A274" t="s">
        <v>266</v>
      </c>
      <c r="B274" s="130">
        <v>1</v>
      </c>
      <c r="C274" s="120">
        <v>0.112599465882138</v>
      </c>
      <c r="D274" t="e">
        <f>VLOOKUP(Shelf_Life!A274,Demand_Fresh!A272:A366,1,FALSE())</f>
        <v>#N/A</v>
      </c>
      <c r="E274" t="e">
        <f>VLOOKUP(Shelf_Life!A274,Demand_Frozen!A269:A387,1,FALSE())</f>
        <v>#N/A</v>
      </c>
    </row>
    <row r="275" spans="1:5" x14ac:dyDescent="0.25">
      <c r="A275" t="s">
        <v>151</v>
      </c>
      <c r="B275" s="130">
        <v>1</v>
      </c>
      <c r="C275" s="120">
        <v>0.112599465882138</v>
      </c>
      <c r="D275" t="e">
        <f>VLOOKUP(Shelf_Life!A275,Demand_Fresh!A273:A367,1,FALSE())</f>
        <v>#N/A</v>
      </c>
      <c r="E275" t="e">
        <f>VLOOKUP(Shelf_Life!A275,Demand_Frozen!A270:A388,1,FALSE())</f>
        <v>#N/A</v>
      </c>
    </row>
    <row r="276" spans="1:5" x14ac:dyDescent="0.25">
      <c r="A276" t="s">
        <v>448</v>
      </c>
      <c r="B276" s="130">
        <v>1</v>
      </c>
      <c r="C276" s="120">
        <v>0.13092961149085899</v>
      </c>
      <c r="D276" t="e">
        <f>VLOOKUP(Shelf_Life!A276,Demand_Fresh!A274:A368,1,FALSE())</f>
        <v>#N/A</v>
      </c>
      <c r="E276" t="e">
        <f>VLOOKUP(Shelf_Life!A276,Demand_Frozen!A271:A389,1,FALSE())</f>
        <v>#N/A</v>
      </c>
    </row>
    <row r="277" spans="1:5" x14ac:dyDescent="0.25">
      <c r="A277" t="s">
        <v>267</v>
      </c>
      <c r="B277" s="130">
        <v>1</v>
      </c>
      <c r="C277" s="120">
        <v>0.13092961149085899</v>
      </c>
      <c r="D277" t="e">
        <f>VLOOKUP(Shelf_Life!A277,Demand_Fresh!A275:A369,1,FALSE())</f>
        <v>#N/A</v>
      </c>
      <c r="E277" t="e">
        <f>VLOOKUP(Shelf_Life!A277,Demand_Frozen!A272:A390,1,FALSE())</f>
        <v>#N/A</v>
      </c>
    </row>
    <row r="278" spans="1:5" x14ac:dyDescent="0.25">
      <c r="A278" t="s">
        <v>152</v>
      </c>
      <c r="B278" s="130">
        <v>1</v>
      </c>
      <c r="C278" s="120">
        <v>0.112599465882138</v>
      </c>
      <c r="D278" t="e">
        <f>VLOOKUP(Shelf_Life!A278,Demand_Fresh!A276:A370,1,FALSE())</f>
        <v>#N/A</v>
      </c>
      <c r="E278" t="e">
        <f>VLOOKUP(Shelf_Life!A278,Demand_Frozen!A273:A391,1,FALSE())</f>
        <v>#N/A</v>
      </c>
    </row>
    <row r="279" spans="1:5" x14ac:dyDescent="0.25">
      <c r="A279" t="s">
        <v>268</v>
      </c>
      <c r="B279" s="130">
        <v>1</v>
      </c>
      <c r="C279" s="120">
        <v>0.112599465882138</v>
      </c>
      <c r="D279" t="e">
        <f>VLOOKUP(Shelf_Life!A279,Demand_Fresh!A277:A371,1,FALSE())</f>
        <v>#N/A</v>
      </c>
      <c r="E279" t="e">
        <f>VLOOKUP(Shelf_Life!A279,Demand_Frozen!A274:A392,1,FALSE())</f>
        <v>#N/A</v>
      </c>
    </row>
    <row r="280" spans="1:5" x14ac:dyDescent="0.25">
      <c r="A280" t="s">
        <v>1197</v>
      </c>
      <c r="B280" s="130">
        <v>1</v>
      </c>
      <c r="C280" s="120">
        <v>7.7654804056647098E-2</v>
      </c>
      <c r="D280" t="e">
        <f>VLOOKUP(Shelf_Life!A280,Demand_Fresh!A278:A372,1,FALSE())</f>
        <v>#N/A</v>
      </c>
      <c r="E280" t="e">
        <f>VLOOKUP(Shelf_Life!A280,Demand_Frozen!A275:A393,1,FALSE())</f>
        <v>#N/A</v>
      </c>
    </row>
    <row r="281" spans="1:5" x14ac:dyDescent="0.25">
      <c r="A281" t="s">
        <v>269</v>
      </c>
      <c r="B281" s="130">
        <v>1</v>
      </c>
      <c r="C281" s="120">
        <v>0.11373683422438199</v>
      </c>
      <c r="D281" t="e">
        <f>VLOOKUP(Shelf_Life!A281,Demand_Fresh!A279:A373,1,FALSE())</f>
        <v>#N/A</v>
      </c>
      <c r="E281" t="e">
        <f>VLOOKUP(Shelf_Life!A281,Demand_Frozen!A276:A394,1,FALSE())</f>
        <v>#N/A</v>
      </c>
    </row>
    <row r="282" spans="1:5" x14ac:dyDescent="0.25">
      <c r="A282" t="s">
        <v>270</v>
      </c>
      <c r="B282" s="130">
        <v>1</v>
      </c>
      <c r="C282" s="120">
        <v>0.112599465882138</v>
      </c>
      <c r="D282" t="e">
        <f>VLOOKUP(Shelf_Life!A282,Demand_Fresh!A280:A374,1,FALSE())</f>
        <v>#N/A</v>
      </c>
      <c r="E282" t="e">
        <f>VLOOKUP(Shelf_Life!A282,Demand_Frozen!A277:A395,1,FALSE())</f>
        <v>#N/A</v>
      </c>
    </row>
    <row r="283" spans="1:5" x14ac:dyDescent="0.25">
      <c r="A283" t="s">
        <v>153</v>
      </c>
      <c r="B283" s="130">
        <v>1</v>
      </c>
      <c r="C283" s="120">
        <v>0.112599465882138</v>
      </c>
      <c r="D283" t="e">
        <f>VLOOKUP(Shelf_Life!A283,Demand_Fresh!A281:A375,1,FALSE())</f>
        <v>#N/A</v>
      </c>
      <c r="E283" t="e">
        <f>VLOOKUP(Shelf_Life!A283,Demand_Frozen!A278:A396,1,FALSE())</f>
        <v>#N/A</v>
      </c>
    </row>
    <row r="284" spans="1:5" x14ac:dyDescent="0.25">
      <c r="A284" t="s">
        <v>271</v>
      </c>
      <c r="B284" s="130">
        <v>1</v>
      </c>
      <c r="C284" s="120">
        <v>0.112599465882138</v>
      </c>
      <c r="D284" t="e">
        <f>VLOOKUP(Shelf_Life!A284,Demand_Fresh!A282:A376,1,FALSE())</f>
        <v>#N/A</v>
      </c>
      <c r="E284" t="e">
        <f>VLOOKUP(Shelf_Life!A284,Demand_Frozen!A279:A397,1,FALSE())</f>
        <v>#N/A</v>
      </c>
    </row>
    <row r="285" spans="1:5" x14ac:dyDescent="0.25">
      <c r="A285" t="s">
        <v>1215</v>
      </c>
      <c r="B285" s="130">
        <v>1</v>
      </c>
      <c r="C285" s="120">
        <v>6.0864576152507198E-2</v>
      </c>
      <c r="D285" t="e">
        <f>VLOOKUP(Shelf_Life!A285,Demand_Fresh!A283:A377,1,FALSE())</f>
        <v>#N/A</v>
      </c>
      <c r="E285" t="e">
        <f>VLOOKUP(Shelf_Life!A285,Demand_Frozen!A280:A398,1,FALSE())</f>
        <v>#N/A</v>
      </c>
    </row>
    <row r="286" spans="1:5" x14ac:dyDescent="0.25">
      <c r="A286" t="s">
        <v>456</v>
      </c>
      <c r="B286" s="130">
        <v>1</v>
      </c>
      <c r="C286" s="120">
        <v>9.1296864228760793E-2</v>
      </c>
      <c r="D286" t="e">
        <f>VLOOKUP(Shelf_Life!A286,Demand_Fresh!A284:A378,1,FALSE())</f>
        <v>#N/A</v>
      </c>
      <c r="E286" t="e">
        <f>VLOOKUP(Shelf_Life!A286,Demand_Frozen!A281:A399,1,FALSE())</f>
        <v>#N/A</v>
      </c>
    </row>
    <row r="287" spans="1:5" x14ac:dyDescent="0.25">
      <c r="A287" t="s">
        <v>272</v>
      </c>
      <c r="B287" s="130">
        <v>1</v>
      </c>
      <c r="C287" s="120">
        <v>9.1296864228760793E-2</v>
      </c>
      <c r="D287" t="e">
        <f>VLOOKUP(Shelf_Life!A287,Demand_Fresh!A285:A379,1,FALSE())</f>
        <v>#N/A</v>
      </c>
      <c r="E287" t="e">
        <f>VLOOKUP(Shelf_Life!A287,Demand_Frozen!A282:A400,1,FALSE())</f>
        <v>#N/A</v>
      </c>
    </row>
    <row r="288" spans="1:5" x14ac:dyDescent="0.25">
      <c r="A288" t="s">
        <v>154</v>
      </c>
      <c r="B288" s="130">
        <v>1</v>
      </c>
      <c r="C288" s="120">
        <v>0.13511935905856601</v>
      </c>
      <c r="D288" t="e">
        <f>VLOOKUP(Shelf_Life!A288,Demand_Fresh!A286:A380,1,FALSE())</f>
        <v>#N/A</v>
      </c>
      <c r="E288" t="e">
        <f>VLOOKUP(Shelf_Life!A288,Demand_Frozen!A283:A401,1,FALSE())</f>
        <v>#N/A</v>
      </c>
    </row>
    <row r="289" spans="1:5" x14ac:dyDescent="0.25">
      <c r="A289" t="s">
        <v>273</v>
      </c>
      <c r="B289" s="130">
        <v>1</v>
      </c>
      <c r="C289" s="120">
        <v>0.13511935905856601</v>
      </c>
      <c r="D289" t="e">
        <f>VLOOKUP(Shelf_Life!A289,Demand_Fresh!A287:A381,1,FALSE())</f>
        <v>#N/A</v>
      </c>
      <c r="E289" t="e">
        <f>VLOOKUP(Shelf_Life!A289,Demand_Frozen!A284:A402,1,FALSE())</f>
        <v>#N/A</v>
      </c>
    </row>
    <row r="290" spans="1:5" x14ac:dyDescent="0.25">
      <c r="A290" t="s">
        <v>607</v>
      </c>
      <c r="B290" s="130">
        <v>1</v>
      </c>
      <c r="C290" s="120">
        <v>0.112599465882138</v>
      </c>
      <c r="D290" t="e">
        <f>VLOOKUP(Shelf_Life!A290,Demand_Fresh!A288:A382,1,FALSE())</f>
        <v>#N/A</v>
      </c>
      <c r="E290" t="e">
        <f>VLOOKUP(Shelf_Life!A290,Demand_Frozen!A285:A403,1,FALSE())</f>
        <v>#N/A</v>
      </c>
    </row>
    <row r="291" spans="1:5" x14ac:dyDescent="0.25">
      <c r="A291" t="s">
        <v>274</v>
      </c>
      <c r="B291" s="130">
        <v>1</v>
      </c>
      <c r="C291" s="120">
        <v>0.112599465882138</v>
      </c>
      <c r="D291" t="e">
        <f>VLOOKUP(Shelf_Life!A291,Demand_Fresh!A289:A383,1,FALSE())</f>
        <v>#N/A</v>
      </c>
      <c r="E291" t="e">
        <f>VLOOKUP(Shelf_Life!A291,Demand_Frozen!A286:A404,1,FALSE())</f>
        <v>#N/A</v>
      </c>
    </row>
    <row r="292" spans="1:5" x14ac:dyDescent="0.25">
      <c r="A292" t="s">
        <v>613</v>
      </c>
      <c r="B292" s="130">
        <v>1</v>
      </c>
      <c r="C292" s="120">
        <v>9.0079572705710695E-2</v>
      </c>
      <c r="D292" t="e">
        <f>VLOOKUP(Shelf_Life!A292,Demand_Fresh!A290:A384,1,FALSE())</f>
        <v>#N/A</v>
      </c>
      <c r="E292" t="e">
        <f>VLOOKUP(Shelf_Life!A292,Demand_Frozen!A287:A405,1,FALSE())</f>
        <v>#N/A</v>
      </c>
    </row>
    <row r="293" spans="1:5" x14ac:dyDescent="0.25">
      <c r="A293" t="s">
        <v>275</v>
      </c>
      <c r="B293" s="130">
        <v>1</v>
      </c>
      <c r="C293" s="120">
        <v>9.0079572705710695E-2</v>
      </c>
      <c r="D293" t="e">
        <f>VLOOKUP(Shelf_Life!A293,Demand_Fresh!A291:A385,1,FALSE())</f>
        <v>#N/A</v>
      </c>
      <c r="E293" t="e">
        <f>VLOOKUP(Shelf_Life!A293,Demand_Frozen!A288:A406,1,FALSE())</f>
        <v>#N/A</v>
      </c>
    </row>
    <row r="294" spans="1:5" x14ac:dyDescent="0.25">
      <c r="A294" t="s">
        <v>1482</v>
      </c>
      <c r="B294" s="130">
        <v>1</v>
      </c>
      <c r="C294" s="120">
        <v>0.112599465882138</v>
      </c>
      <c r="D294" t="e">
        <f>VLOOKUP(Shelf_Life!A294,Demand_Fresh!A292:A386,1,FALSE())</f>
        <v>#N/A</v>
      </c>
      <c r="E294" t="e">
        <f>VLOOKUP(Shelf_Life!A294,Demand_Frozen!A289:A407,1,FALSE())</f>
        <v>#N/A</v>
      </c>
    </row>
    <row r="295" spans="1:5" x14ac:dyDescent="0.25">
      <c r="A295" t="s">
        <v>155</v>
      </c>
      <c r="B295" s="130">
        <v>1</v>
      </c>
      <c r="C295" s="120">
        <v>0.112599465882138</v>
      </c>
      <c r="D295" t="e">
        <f>VLOOKUP(Shelf_Life!A295,Demand_Fresh!A293:A387,1,FALSE())</f>
        <v>#N/A</v>
      </c>
      <c r="E295" t="e">
        <f>VLOOKUP(Shelf_Life!A295,Demand_Frozen!A290:A408,1,FALSE())</f>
        <v>#N/A</v>
      </c>
    </row>
    <row r="296" spans="1:5" x14ac:dyDescent="0.25">
      <c r="A296" t="s">
        <v>276</v>
      </c>
      <c r="B296" s="130">
        <v>1</v>
      </c>
      <c r="C296" s="120">
        <v>0.112599465882138</v>
      </c>
      <c r="D296" t="e">
        <f>VLOOKUP(Shelf_Life!A296,Demand_Fresh!A294:A388,1,FALSE())</f>
        <v>#N/A</v>
      </c>
      <c r="E296" t="e">
        <f>VLOOKUP(Shelf_Life!A296,Demand_Frozen!A291:A409,1,FALSE())</f>
        <v>#N/A</v>
      </c>
    </row>
    <row r="297" spans="1:5" x14ac:dyDescent="0.25">
      <c r="A297" t="s">
        <v>156</v>
      </c>
      <c r="B297" s="130">
        <v>1</v>
      </c>
      <c r="C297" s="120">
        <v>0.112599465882138</v>
      </c>
      <c r="D297" t="e">
        <f>VLOOKUP(Shelf_Life!A297,Demand_Fresh!A295:A389,1,FALSE())</f>
        <v>#N/A</v>
      </c>
      <c r="E297" t="e">
        <f>VLOOKUP(Shelf_Life!A297,Demand_Frozen!A292:A410,1,FALSE())</f>
        <v>#N/A</v>
      </c>
    </row>
    <row r="298" spans="1:5" x14ac:dyDescent="0.25">
      <c r="A298" t="s">
        <v>277</v>
      </c>
      <c r="B298" s="130">
        <v>1</v>
      </c>
      <c r="C298" s="120">
        <v>0.112599465882138</v>
      </c>
      <c r="D298" t="e">
        <f>VLOOKUP(Shelf_Life!A298,Demand_Fresh!A296:A390,1,FALSE())</f>
        <v>#N/A</v>
      </c>
      <c r="E298" t="e">
        <f>VLOOKUP(Shelf_Life!A298,Demand_Frozen!A293:A411,1,FALSE())</f>
        <v>#N/A</v>
      </c>
    </row>
    <row r="299" spans="1:5" x14ac:dyDescent="0.25">
      <c r="A299" t="s">
        <v>157</v>
      </c>
      <c r="B299" s="130">
        <v>1</v>
      </c>
      <c r="C299" s="120">
        <v>0.112599465882138</v>
      </c>
      <c r="D299" t="e">
        <f>VLOOKUP(Shelf_Life!A299,Demand_Fresh!A297:A391,1,FALSE())</f>
        <v>#N/A</v>
      </c>
      <c r="E299" t="e">
        <f>VLOOKUP(Shelf_Life!A299,Demand_Frozen!A294:A412,1,FALSE())</f>
        <v>#N/A</v>
      </c>
    </row>
    <row r="300" spans="1:5" x14ac:dyDescent="0.25">
      <c r="A300" t="s">
        <v>278</v>
      </c>
      <c r="B300" s="130">
        <v>1</v>
      </c>
      <c r="C300" s="120">
        <v>0.112599465882138</v>
      </c>
      <c r="D300" t="e">
        <f>VLOOKUP(Shelf_Life!A300,Demand_Fresh!A298:A392,1,FALSE())</f>
        <v>#N/A</v>
      </c>
      <c r="E300" t="e">
        <f>VLOOKUP(Shelf_Life!A300,Demand_Frozen!A295:A413,1,FALSE())</f>
        <v>#N/A</v>
      </c>
    </row>
    <row r="301" spans="1:5" x14ac:dyDescent="0.25">
      <c r="A301" t="s">
        <v>279</v>
      </c>
      <c r="B301" s="130">
        <v>1</v>
      </c>
      <c r="C301" s="120">
        <v>0.13511935905856601</v>
      </c>
      <c r="D301" t="e">
        <f>VLOOKUP(Shelf_Life!A301,Demand_Fresh!A299:A393,1,FALSE())</f>
        <v>#N/A</v>
      </c>
      <c r="E301" t="e">
        <f>VLOOKUP(Shelf_Life!A301,Demand_Frozen!A296:A414,1,FALSE())</f>
        <v>#N/A</v>
      </c>
    </row>
    <row r="302" spans="1:5" x14ac:dyDescent="0.25">
      <c r="A302" t="s">
        <v>158</v>
      </c>
      <c r="B302" s="130">
        <v>1</v>
      </c>
      <c r="C302" s="120">
        <v>0.112599465882138</v>
      </c>
      <c r="D302" t="e">
        <f>VLOOKUP(Shelf_Life!A302,Demand_Fresh!A300:A394,1,FALSE())</f>
        <v>#N/A</v>
      </c>
      <c r="E302" t="e">
        <f>VLOOKUP(Shelf_Life!A302,Demand_Frozen!A297:A415,1,FALSE())</f>
        <v>#N/A</v>
      </c>
    </row>
    <row r="303" spans="1:5" x14ac:dyDescent="0.25">
      <c r="A303" t="s">
        <v>280</v>
      </c>
      <c r="B303" s="130">
        <v>1</v>
      </c>
      <c r="C303" s="120">
        <v>0.112599465882138</v>
      </c>
      <c r="D303" t="e">
        <f>VLOOKUP(Shelf_Life!A303,Demand_Fresh!A301:A395,1,FALSE())</f>
        <v>#N/A</v>
      </c>
      <c r="E303" t="e">
        <f>VLOOKUP(Shelf_Life!A303,Demand_Frozen!A298:A416,1,FALSE())</f>
        <v>#N/A</v>
      </c>
    </row>
    <row r="304" spans="1:5" x14ac:dyDescent="0.25">
      <c r="A304" t="s">
        <v>159</v>
      </c>
      <c r="B304" s="130">
        <v>1</v>
      </c>
      <c r="C304" s="120">
        <v>9.0079572705710695E-2</v>
      </c>
      <c r="D304" t="e">
        <f>VLOOKUP(Shelf_Life!A304,Demand_Fresh!A302:A396,1,FALSE())</f>
        <v>#N/A</v>
      </c>
      <c r="E304" t="e">
        <f>VLOOKUP(Shelf_Life!A304,Demand_Frozen!A299:A417,1,FALSE())</f>
        <v>#N/A</v>
      </c>
    </row>
    <row r="305" spans="1:5" x14ac:dyDescent="0.25">
      <c r="A305" t="s">
        <v>160</v>
      </c>
      <c r="B305" s="130">
        <v>1</v>
      </c>
      <c r="C305" s="120">
        <v>0.112599465882138</v>
      </c>
      <c r="D305" t="e">
        <f>VLOOKUP(Shelf_Life!A305,Demand_Fresh!A303:A397,1,FALSE())</f>
        <v>#N/A</v>
      </c>
      <c r="E305" t="e">
        <f>VLOOKUP(Shelf_Life!A305,Demand_Frozen!A300:A418,1,FALSE())</f>
        <v>#N/A</v>
      </c>
    </row>
    <row r="306" spans="1:5" x14ac:dyDescent="0.25">
      <c r="A306" t="s">
        <v>283</v>
      </c>
      <c r="B306" s="130">
        <v>1</v>
      </c>
      <c r="C306" s="120">
        <v>0.112599465882138</v>
      </c>
      <c r="D306" t="e">
        <f>VLOOKUP(Shelf_Life!A306,Demand_Fresh!A304:A398,1,FALSE())</f>
        <v>#N/A</v>
      </c>
      <c r="E306" t="e">
        <f>VLOOKUP(Shelf_Life!A306,Demand_Frozen!A301:A419,1,FALSE())</f>
        <v>#N/A</v>
      </c>
    </row>
    <row r="307" spans="1:5" x14ac:dyDescent="0.25">
      <c r="A307" t="s">
        <v>161</v>
      </c>
      <c r="B307" s="130">
        <v>1</v>
      </c>
      <c r="C307" s="120">
        <v>0.112599465882138</v>
      </c>
      <c r="D307" t="e">
        <f>VLOOKUP(Shelf_Life!A307,Demand_Fresh!A305:A399,1,FALSE())</f>
        <v>#N/A</v>
      </c>
      <c r="E307" t="e">
        <f>VLOOKUP(Shelf_Life!A307,Demand_Frozen!A302:A420,1,FALSE())</f>
        <v>#N/A</v>
      </c>
    </row>
    <row r="308" spans="1:5" x14ac:dyDescent="0.25">
      <c r="A308" t="s">
        <v>284</v>
      </c>
      <c r="B308" s="130">
        <v>1</v>
      </c>
      <c r="C308" s="120">
        <v>0.112599465882138</v>
      </c>
      <c r="D308" t="e">
        <f>VLOOKUP(Shelf_Life!A308,Demand_Fresh!A306:A400,1,FALSE())</f>
        <v>#N/A</v>
      </c>
      <c r="E308" t="e">
        <f>VLOOKUP(Shelf_Life!A308,Demand_Frozen!A303:A421,1,FALSE())</f>
        <v>#N/A</v>
      </c>
    </row>
    <row r="309" spans="1:5" x14ac:dyDescent="0.25">
      <c r="A309" t="s">
        <v>162</v>
      </c>
      <c r="B309" s="130">
        <v>1</v>
      </c>
      <c r="C309" s="120">
        <v>0.112599465882138</v>
      </c>
      <c r="D309" t="e">
        <f>VLOOKUP(Shelf_Life!A309,Demand_Fresh!A307:A401,1,FALSE())</f>
        <v>#N/A</v>
      </c>
      <c r="E309" t="e">
        <f>VLOOKUP(Shelf_Life!A309,Demand_Frozen!A304:A422,1,FALSE())</f>
        <v>#N/A</v>
      </c>
    </row>
    <row r="310" spans="1:5" x14ac:dyDescent="0.25">
      <c r="A310" t="s">
        <v>163</v>
      </c>
      <c r="B310" s="130">
        <v>1</v>
      </c>
      <c r="C310" s="120">
        <v>0.22519893176427699</v>
      </c>
      <c r="D310" t="e">
        <f>VLOOKUP(Shelf_Life!A310,Demand_Fresh!A308:A402,1,FALSE())</f>
        <v>#N/A</v>
      </c>
      <c r="E310" t="e">
        <f>VLOOKUP(Shelf_Life!A310,Demand_Frozen!A305:A423,1,FALSE())</f>
        <v>#N/A</v>
      </c>
    </row>
    <row r="311" spans="1:5" x14ac:dyDescent="0.25">
      <c r="A311" t="s">
        <v>285</v>
      </c>
      <c r="B311" s="130">
        <v>1</v>
      </c>
      <c r="C311" s="120">
        <v>0.13511935905856601</v>
      </c>
      <c r="D311" t="e">
        <f>VLOOKUP(Shelf_Life!A311,Demand_Fresh!A309:A403,1,FALSE())</f>
        <v>#N/A</v>
      </c>
      <c r="E311" t="e">
        <f>VLOOKUP(Shelf_Life!A311,Demand_Frozen!A306:A424,1,FALSE())</f>
        <v>#N/A</v>
      </c>
    </row>
    <row r="312" spans="1:5" x14ac:dyDescent="0.25">
      <c r="A312" t="s">
        <v>164</v>
      </c>
      <c r="B312" s="130">
        <v>1</v>
      </c>
      <c r="C312" s="120">
        <v>0.112599465882138</v>
      </c>
      <c r="D312" t="e">
        <f>VLOOKUP(Shelf_Life!A312,Demand_Fresh!A310:A404,1,FALSE())</f>
        <v>#N/A</v>
      </c>
      <c r="E312" t="e">
        <f>VLOOKUP(Shelf_Life!A312,Demand_Frozen!A307:A425,1,FALSE())</f>
        <v>#N/A</v>
      </c>
    </row>
    <row r="313" spans="1:5" x14ac:dyDescent="0.25">
      <c r="A313" t="s">
        <v>286</v>
      </c>
      <c r="B313" s="130">
        <v>1</v>
      </c>
      <c r="C313" s="120">
        <v>0.112599465882138</v>
      </c>
      <c r="D313" t="e">
        <f>VLOOKUP(Shelf_Life!A313,Demand_Fresh!A311:A405,1,FALSE())</f>
        <v>#N/A</v>
      </c>
      <c r="E313" t="e">
        <f>VLOOKUP(Shelf_Life!A313,Demand_Frozen!A308:A426,1,FALSE())</f>
        <v>#N/A</v>
      </c>
    </row>
    <row r="314" spans="1:5" x14ac:dyDescent="0.25">
      <c r="A314" t="s">
        <v>629</v>
      </c>
      <c r="B314" s="130">
        <v>1</v>
      </c>
      <c r="C314" s="120">
        <v>9.0079572705710695E-2</v>
      </c>
      <c r="D314" t="e">
        <f>VLOOKUP(Shelf_Life!A314,Demand_Fresh!A312:A406,1,FALSE())</f>
        <v>#N/A</v>
      </c>
      <c r="E314" t="e">
        <f>VLOOKUP(Shelf_Life!A314,Demand_Frozen!A309:A427,1,FALSE())</f>
        <v>#N/A</v>
      </c>
    </row>
    <row r="315" spans="1:5" x14ac:dyDescent="0.25">
      <c r="A315" t="s">
        <v>1483</v>
      </c>
      <c r="B315" s="130">
        <v>1</v>
      </c>
      <c r="C315" s="120">
        <v>9.0079572705710695E-2</v>
      </c>
      <c r="D315" t="e">
        <f>VLOOKUP(Shelf_Life!A315,Demand_Fresh!A313:A407,1,FALSE())</f>
        <v>#N/A</v>
      </c>
      <c r="E315" t="e">
        <f>VLOOKUP(Shelf_Life!A315,Demand_Frozen!A310:A428,1,FALSE())</f>
        <v>#N/A</v>
      </c>
    </row>
    <row r="316" spans="1:5" x14ac:dyDescent="0.25">
      <c r="A316" t="s">
        <v>1484</v>
      </c>
      <c r="B316" s="130">
        <v>1</v>
      </c>
      <c r="C316" s="120">
        <v>0.112599465882138</v>
      </c>
      <c r="D316" t="e">
        <f>VLOOKUP(Shelf_Life!A316,Demand_Fresh!A314:A408,1,FALSE())</f>
        <v>#N/A</v>
      </c>
      <c r="E316" t="e">
        <f>VLOOKUP(Shelf_Life!A316,Demand_Frozen!A311:A429,1,FALSE())</f>
        <v>#N/A</v>
      </c>
    </row>
    <row r="317" spans="1:5" x14ac:dyDescent="0.25">
      <c r="A317" t="s">
        <v>165</v>
      </c>
      <c r="B317" s="130">
        <v>1</v>
      </c>
      <c r="C317" s="120">
        <v>8.4449599411603807E-2</v>
      </c>
      <c r="D317" t="e">
        <f>VLOOKUP(Shelf_Life!A317,Demand_Fresh!A315:A409,1,FALSE())</f>
        <v>#N/A</v>
      </c>
      <c r="E317" t="e">
        <f>VLOOKUP(Shelf_Life!A317,Demand_Frozen!A312:A430,1,FALSE())</f>
        <v>#N/A</v>
      </c>
    </row>
    <row r="318" spans="1:5" x14ac:dyDescent="0.25">
      <c r="A318" t="s">
        <v>1485</v>
      </c>
      <c r="B318" s="130">
        <v>1</v>
      </c>
      <c r="C318" s="120">
        <v>9.0079572705710695E-2</v>
      </c>
      <c r="D318" t="e">
        <f>VLOOKUP(Shelf_Life!A318,Demand_Fresh!A316:A410,1,FALSE())</f>
        <v>#N/A</v>
      </c>
      <c r="E318" t="e">
        <f>VLOOKUP(Shelf_Life!A318,Demand_Frozen!A313:A431,1,FALSE())</f>
        <v>#N/A</v>
      </c>
    </row>
    <row r="319" spans="1:5" x14ac:dyDescent="0.25">
      <c r="A319" t="s">
        <v>287</v>
      </c>
      <c r="B319" s="130">
        <v>1</v>
      </c>
      <c r="C319" s="120">
        <v>9.0079572705710695E-2</v>
      </c>
      <c r="D319" t="e">
        <f>VLOOKUP(Shelf_Life!A319,Demand_Fresh!A317:A411,1,FALSE())</f>
        <v>#N/A</v>
      </c>
      <c r="E319" t="e">
        <f>VLOOKUP(Shelf_Life!A319,Demand_Frozen!A314:A432,1,FALSE())</f>
        <v>#N/A</v>
      </c>
    </row>
    <row r="320" spans="1:5" x14ac:dyDescent="0.25">
      <c r="A320" t="s">
        <v>634</v>
      </c>
      <c r="B320" s="130">
        <v>1</v>
      </c>
      <c r="C320" s="120">
        <v>9.0079572705710695E-2</v>
      </c>
      <c r="D320" t="e">
        <f>VLOOKUP(Shelf_Life!A320,Demand_Fresh!A318:A412,1,FALSE())</f>
        <v>#N/A</v>
      </c>
      <c r="E320" t="e">
        <f>VLOOKUP(Shelf_Life!A320,Demand_Frozen!A315:A433,1,FALSE())</f>
        <v>#N/A</v>
      </c>
    </row>
    <row r="321" spans="1:5" x14ac:dyDescent="0.25">
      <c r="A321" t="s">
        <v>1486</v>
      </c>
      <c r="B321" s="130">
        <v>1</v>
      </c>
      <c r="C321" s="120">
        <v>9.0079572705710695E-2</v>
      </c>
      <c r="D321" t="e">
        <f>VLOOKUP(Shelf_Life!A321,Demand_Fresh!A319:A413,1,FALSE())</f>
        <v>#N/A</v>
      </c>
      <c r="E321" t="e">
        <f>VLOOKUP(Shelf_Life!A321,Demand_Frozen!A316:A434,1,FALSE())</f>
        <v>#N/A</v>
      </c>
    </row>
    <row r="322" spans="1:5" x14ac:dyDescent="0.25">
      <c r="A322" t="s">
        <v>166</v>
      </c>
      <c r="B322" s="130">
        <v>1</v>
      </c>
      <c r="C322" s="120">
        <v>0.112599465882138</v>
      </c>
      <c r="D322" t="e">
        <f>VLOOKUP(Shelf_Life!A322,Demand_Fresh!A320:A414,1,FALSE())</f>
        <v>#N/A</v>
      </c>
      <c r="E322" t="e">
        <f>VLOOKUP(Shelf_Life!A322,Demand_Frozen!A317:A435,1,FALSE())</f>
        <v>#N/A</v>
      </c>
    </row>
    <row r="323" spans="1:5" x14ac:dyDescent="0.25">
      <c r="A323" t="s">
        <v>289</v>
      </c>
      <c r="B323" s="130">
        <v>1</v>
      </c>
      <c r="C323" s="120">
        <v>0.112599465882138</v>
      </c>
      <c r="D323" t="e">
        <f>VLOOKUP(Shelf_Life!A323,Demand_Fresh!A321:A415,1,FALSE())</f>
        <v>#N/A</v>
      </c>
      <c r="E323" t="e">
        <f>VLOOKUP(Shelf_Life!A323,Demand_Frozen!A318:A436,1,FALSE())</f>
        <v>#N/A</v>
      </c>
    </row>
    <row r="324" spans="1:5" x14ac:dyDescent="0.25">
      <c r="A324" t="s">
        <v>305</v>
      </c>
      <c r="B324" s="130">
        <v>1</v>
      </c>
      <c r="C324" s="120">
        <v>7.9348616896808902E-2</v>
      </c>
      <c r="D324" t="e">
        <f>VLOOKUP(Shelf_Life!A324,Demand_Fresh!A322:A416,1,FALSE())</f>
        <v>#N/A</v>
      </c>
      <c r="E324" t="e">
        <f>VLOOKUP(Shelf_Life!A324,Demand_Frozen!A319:A437,1,FALSE())</f>
        <v>#N/A</v>
      </c>
    </row>
    <row r="325" spans="1:5" x14ac:dyDescent="0.25">
      <c r="A325" t="s">
        <v>306</v>
      </c>
      <c r="B325" s="130">
        <v>1</v>
      </c>
      <c r="C325" s="120">
        <v>0.10105080271474</v>
      </c>
      <c r="D325" t="e">
        <f>VLOOKUP(Shelf_Life!A325,Demand_Fresh!A323:A417,1,FALSE())</f>
        <v>#N/A</v>
      </c>
      <c r="E325" t="e">
        <f>VLOOKUP(Shelf_Life!A325,Demand_Frozen!A320:A438,1,FALSE())</f>
        <v>#N/A</v>
      </c>
    </row>
    <row r="326" spans="1:5" x14ac:dyDescent="0.25">
      <c r="A326" t="s">
        <v>697</v>
      </c>
      <c r="B326" s="130">
        <v>1</v>
      </c>
      <c r="C326" s="120">
        <v>0.112599465882138</v>
      </c>
      <c r="D326" t="e">
        <f>VLOOKUP(Shelf_Life!A326,Demand_Fresh!A324:A418,1,FALSE())</f>
        <v>#N/A</v>
      </c>
      <c r="E326" t="e">
        <f>VLOOKUP(Shelf_Life!A326,Demand_Frozen!A321:A439,1,FALSE())</f>
        <v>#N/A</v>
      </c>
    </row>
    <row r="327" spans="1:5" x14ac:dyDescent="0.25">
      <c r="A327" t="s">
        <v>320</v>
      </c>
      <c r="B327" s="130">
        <v>1</v>
      </c>
      <c r="C327" s="120">
        <v>0.112599465882138</v>
      </c>
      <c r="D327" t="e">
        <f>VLOOKUP(Shelf_Life!A327,Demand_Fresh!A325:A419,1,FALSE())</f>
        <v>#N/A</v>
      </c>
      <c r="E327" t="e">
        <f>VLOOKUP(Shelf_Life!A327,Demand_Frozen!A322:A440,1,FALSE())</f>
        <v>#N/A</v>
      </c>
    </row>
    <row r="328" spans="1:5" x14ac:dyDescent="0.25">
      <c r="A328" t="s">
        <v>199</v>
      </c>
      <c r="B328" s="130">
        <v>1</v>
      </c>
      <c r="C328" s="120">
        <v>0.112599465882138</v>
      </c>
      <c r="D328" t="e">
        <f>VLOOKUP(Shelf_Life!A328,Demand_Fresh!A326:A420,1,FALSE())</f>
        <v>#N/A</v>
      </c>
      <c r="E328" t="e">
        <f>VLOOKUP(Shelf_Life!A328,Demand_Frozen!A323:A441,1,FALSE())</f>
        <v>#N/A</v>
      </c>
    </row>
    <row r="329" spans="1:5" x14ac:dyDescent="0.25">
      <c r="A329" t="s">
        <v>321</v>
      </c>
      <c r="B329" s="130">
        <v>1</v>
      </c>
      <c r="C329" s="120">
        <v>0.112599465882138</v>
      </c>
      <c r="D329" t="e">
        <f>VLOOKUP(Shelf_Life!A329,Demand_Fresh!A327:A421,1,FALSE())</f>
        <v>#N/A</v>
      </c>
      <c r="E329" t="e">
        <f>VLOOKUP(Shelf_Life!A329,Demand_Frozen!A324:A442,1,FALSE())</f>
        <v>#N/A</v>
      </c>
    </row>
    <row r="330" spans="1:5" x14ac:dyDescent="0.25">
      <c r="A330" t="s">
        <v>200</v>
      </c>
      <c r="B330" s="130">
        <v>1</v>
      </c>
      <c r="C330" s="120">
        <v>0.112599465882138</v>
      </c>
      <c r="D330" t="e">
        <f>VLOOKUP(Shelf_Life!A330,Demand_Fresh!A328:A422,1,FALSE())</f>
        <v>#N/A</v>
      </c>
      <c r="E330" t="e">
        <f>VLOOKUP(Shelf_Life!A330,Demand_Frozen!A325:A443,1,FALSE())</f>
        <v>#N/A</v>
      </c>
    </row>
    <row r="331" spans="1:5" x14ac:dyDescent="0.25">
      <c r="A331" t="s">
        <v>322</v>
      </c>
      <c r="B331" s="130">
        <v>1</v>
      </c>
      <c r="C331" s="120">
        <v>0.112599465882138</v>
      </c>
      <c r="D331" t="e">
        <f>VLOOKUP(Shelf_Life!A331,Demand_Fresh!A329:A423,1,FALSE())</f>
        <v>#N/A</v>
      </c>
      <c r="E331" t="e">
        <f>VLOOKUP(Shelf_Life!A331,Demand_Frozen!A326:A444,1,FALSE())</f>
        <v>#N/A</v>
      </c>
    </row>
    <row r="332" spans="1:5" x14ac:dyDescent="0.25">
      <c r="A332" t="s">
        <v>1249</v>
      </c>
      <c r="B332" s="130">
        <v>1</v>
      </c>
      <c r="C332" s="120">
        <v>0.112599465882138</v>
      </c>
      <c r="D332" t="e">
        <f>VLOOKUP(Shelf_Life!A332,Demand_Fresh!A330:A424,1,FALSE())</f>
        <v>#N/A</v>
      </c>
      <c r="E332" t="e">
        <f>VLOOKUP(Shelf_Life!A332,Demand_Frozen!A327:A445,1,FALSE())</f>
        <v>#N/A</v>
      </c>
    </row>
    <row r="333" spans="1:5" x14ac:dyDescent="0.25">
      <c r="A333" t="s">
        <v>705</v>
      </c>
      <c r="B333" s="130">
        <v>1</v>
      </c>
      <c r="C333" s="120">
        <v>0.112599465882138</v>
      </c>
      <c r="D333" t="e">
        <f>VLOOKUP(Shelf_Life!A333,Demand_Fresh!A331:A425,1,FALSE())</f>
        <v>#N/A</v>
      </c>
      <c r="E333" t="e">
        <f>VLOOKUP(Shelf_Life!A333,Demand_Frozen!A328:A446,1,FALSE())</f>
        <v>#N/A</v>
      </c>
    </row>
    <row r="334" spans="1:5" x14ac:dyDescent="0.25">
      <c r="A334" t="s">
        <v>1253</v>
      </c>
      <c r="B334" s="130">
        <v>1</v>
      </c>
      <c r="C334" s="120">
        <v>0.112599465882138</v>
      </c>
      <c r="D334" t="e">
        <f>VLOOKUP(Shelf_Life!A334,Demand_Fresh!A332:A426,1,FALSE())</f>
        <v>#N/A</v>
      </c>
      <c r="E334" t="e">
        <f>VLOOKUP(Shelf_Life!A334,Demand_Frozen!A329:A447,1,FALSE())</f>
        <v>#N/A</v>
      </c>
    </row>
    <row r="335" spans="1:5" x14ac:dyDescent="0.25">
      <c r="A335" t="s">
        <v>1257</v>
      </c>
      <c r="B335" s="130">
        <v>1</v>
      </c>
      <c r="C335" s="120">
        <v>0.112599465882138</v>
      </c>
      <c r="D335" t="e">
        <f>VLOOKUP(Shelf_Life!A335,Demand_Fresh!A333:A427,1,FALSE())</f>
        <v>#N/A</v>
      </c>
      <c r="E335" t="e">
        <f>VLOOKUP(Shelf_Life!A335,Demand_Frozen!A330:A448,1,FALSE())</f>
        <v>#N/A</v>
      </c>
    </row>
    <row r="336" spans="1:5" x14ac:dyDescent="0.25">
      <c r="A336" t="s">
        <v>323</v>
      </c>
      <c r="B336" s="130">
        <v>1</v>
      </c>
      <c r="C336" s="120">
        <v>0.112599465882138</v>
      </c>
      <c r="D336" t="e">
        <f>VLOOKUP(Shelf_Life!A336,Demand_Fresh!A334:A428,1,FALSE())</f>
        <v>#N/A</v>
      </c>
      <c r="E336" t="e">
        <f>VLOOKUP(Shelf_Life!A336,Demand_Frozen!A331:A449,1,FALSE())</f>
        <v>#N/A</v>
      </c>
    </row>
    <row r="337" spans="1:5" x14ac:dyDescent="0.25">
      <c r="A337" t="s">
        <v>201</v>
      </c>
      <c r="B337" s="130">
        <v>1</v>
      </c>
      <c r="C337" s="120">
        <v>0.112599465882138</v>
      </c>
      <c r="D337" t="e">
        <f>VLOOKUP(Shelf_Life!A337,Demand_Fresh!A335:A429,1,FALSE())</f>
        <v>#N/A</v>
      </c>
      <c r="E337" t="e">
        <f>VLOOKUP(Shelf_Life!A337,Demand_Frozen!A332:A450,1,FALSE())</f>
        <v>#N/A</v>
      </c>
    </row>
    <row r="338" spans="1:5" x14ac:dyDescent="0.25">
      <c r="A338" t="s">
        <v>324</v>
      </c>
      <c r="B338" s="130">
        <v>1</v>
      </c>
      <c r="C338" s="120">
        <v>0.112599465882138</v>
      </c>
      <c r="D338" t="e">
        <f>VLOOKUP(Shelf_Life!A338,Demand_Fresh!A336:A430,1,FALSE())</f>
        <v>#N/A</v>
      </c>
      <c r="E338" t="e">
        <f>VLOOKUP(Shelf_Life!A338,Demand_Frozen!A333:A451,1,FALSE())</f>
        <v>#N/A</v>
      </c>
    </row>
    <row r="339" spans="1:5" x14ac:dyDescent="0.25">
      <c r="A339" t="s">
        <v>202</v>
      </c>
      <c r="B339" s="130">
        <v>1</v>
      </c>
      <c r="C339" s="120">
        <v>0.102363150801944</v>
      </c>
      <c r="D339" t="e">
        <f>VLOOKUP(Shelf_Life!A339,Demand_Fresh!A337:A431,1,FALSE())</f>
        <v>#N/A</v>
      </c>
      <c r="E339" t="e">
        <f>VLOOKUP(Shelf_Life!A339,Demand_Frozen!A334:A452,1,FALSE())</f>
        <v>#N/A</v>
      </c>
    </row>
    <row r="340" spans="1:5" x14ac:dyDescent="0.25">
      <c r="A340" t="s">
        <v>1280</v>
      </c>
      <c r="B340" s="130">
        <v>1</v>
      </c>
      <c r="C340" s="120">
        <v>0.112599465882138</v>
      </c>
      <c r="D340" t="e">
        <f>VLOOKUP(Shelf_Life!A340,Demand_Fresh!A338:A432,1,FALSE())</f>
        <v>#N/A</v>
      </c>
      <c r="E340" t="e">
        <f>VLOOKUP(Shelf_Life!A340,Demand_Frozen!A335:A453,1,FALSE())</f>
        <v>#N/A</v>
      </c>
    </row>
    <row r="341" spans="1:5" x14ac:dyDescent="0.25">
      <c r="A341" t="s">
        <v>717</v>
      </c>
      <c r="B341" s="130">
        <v>1</v>
      </c>
      <c r="C341" s="120">
        <v>0.112599465882138</v>
      </c>
      <c r="D341" t="e">
        <f>VLOOKUP(Shelf_Life!A341,Demand_Fresh!A339:A433,1,FALSE())</f>
        <v>#N/A</v>
      </c>
      <c r="E341" t="e">
        <f>VLOOKUP(Shelf_Life!A341,Demand_Frozen!A336:A454,1,FALSE())</f>
        <v>#N/A</v>
      </c>
    </row>
    <row r="342" spans="1:5" x14ac:dyDescent="0.25">
      <c r="A342" t="s">
        <v>1285</v>
      </c>
      <c r="B342" s="130">
        <v>1</v>
      </c>
      <c r="C342" s="120">
        <v>0.112599465882138</v>
      </c>
      <c r="D342" t="e">
        <f>VLOOKUP(Shelf_Life!A342,Demand_Fresh!A340:A434,1,FALSE())</f>
        <v>#N/A</v>
      </c>
      <c r="E342" t="e">
        <f>VLOOKUP(Shelf_Life!A342,Demand_Frozen!A337:A455,1,FALSE())</f>
        <v>#N/A</v>
      </c>
    </row>
    <row r="343" spans="1:5" x14ac:dyDescent="0.25">
      <c r="A343" t="s">
        <v>203</v>
      </c>
      <c r="B343" s="130">
        <v>1</v>
      </c>
      <c r="C343" s="120">
        <v>0.112599465882138</v>
      </c>
      <c r="D343" t="e">
        <f>VLOOKUP(Shelf_Life!A343,Demand_Fresh!A341:A435,1,FALSE())</f>
        <v>#N/A</v>
      </c>
      <c r="E343" t="e">
        <f>VLOOKUP(Shelf_Life!A343,Demand_Frozen!A338:A456,1,FALSE())</f>
        <v>#N/A</v>
      </c>
    </row>
    <row r="344" spans="1:5" x14ac:dyDescent="0.25">
      <c r="A344" t="s">
        <v>325</v>
      </c>
      <c r="B344" s="130">
        <v>1</v>
      </c>
      <c r="C344" s="120">
        <v>0.112599465882138</v>
      </c>
      <c r="D344" t="e">
        <f>VLOOKUP(Shelf_Life!A344,Demand_Fresh!A342:A436,1,FALSE())</f>
        <v>#N/A</v>
      </c>
      <c r="E344" t="e">
        <f>VLOOKUP(Shelf_Life!A344,Demand_Frozen!A339:A457,1,FALSE())</f>
        <v>#N/A</v>
      </c>
    </row>
    <row r="345" spans="1:5" x14ac:dyDescent="0.25">
      <c r="A345" t="s">
        <v>204</v>
      </c>
      <c r="B345" s="130">
        <v>1</v>
      </c>
      <c r="C345" s="120">
        <v>0.12868510386530099</v>
      </c>
      <c r="D345" t="e">
        <f>VLOOKUP(Shelf_Life!A345,Demand_Fresh!A343:A437,1,FALSE())</f>
        <v>#N/A</v>
      </c>
      <c r="E345" t="e">
        <f>VLOOKUP(Shelf_Life!A345,Demand_Frozen!A340:A458,1,FALSE())</f>
        <v>#N/A</v>
      </c>
    </row>
    <row r="346" spans="1:5" x14ac:dyDescent="0.25">
      <c r="A346" t="s">
        <v>722</v>
      </c>
      <c r="B346" s="130">
        <v>1</v>
      </c>
      <c r="C346" s="120">
        <v>9.0079572705710695E-2</v>
      </c>
      <c r="D346" t="e">
        <f>VLOOKUP(Shelf_Life!A346,Demand_Fresh!A344:A438,1,FALSE())</f>
        <v>#N/A</v>
      </c>
      <c r="E346" t="e">
        <f>VLOOKUP(Shelf_Life!A346,Demand_Frozen!A341:A459,1,FALSE())</f>
        <v>#N/A</v>
      </c>
    </row>
    <row r="347" spans="1:5" x14ac:dyDescent="0.25">
      <c r="A347" t="s">
        <v>1487</v>
      </c>
      <c r="B347" s="130">
        <v>1</v>
      </c>
      <c r="C347" s="120">
        <v>9.0079572705710695E-2</v>
      </c>
      <c r="D347" t="e">
        <f>VLOOKUP(Shelf_Life!A347,Demand_Fresh!A345:A439,1,FALSE())</f>
        <v>#N/A</v>
      </c>
      <c r="E347" t="e">
        <f>VLOOKUP(Shelf_Life!A347,Demand_Frozen!A342:A460,1,FALSE())</f>
        <v>#N/A</v>
      </c>
    </row>
    <row r="348" spans="1:5" x14ac:dyDescent="0.25">
      <c r="A348" t="s">
        <v>205</v>
      </c>
      <c r="B348" s="130">
        <v>1</v>
      </c>
      <c r="C348" s="120">
        <v>7.5024630237959994E-2</v>
      </c>
      <c r="D348" t="e">
        <f>VLOOKUP(Shelf_Life!A348,Demand_Fresh!A346:A440,1,FALSE())</f>
        <v>#N/A</v>
      </c>
      <c r="E348" t="e">
        <f>VLOOKUP(Shelf_Life!A348,Demand_Frozen!A343:A461,1,FALSE())</f>
        <v>#N/A</v>
      </c>
    </row>
    <row r="349" spans="1:5" x14ac:dyDescent="0.25">
      <c r="A349" t="s">
        <v>326</v>
      </c>
      <c r="B349" s="130">
        <v>1</v>
      </c>
      <c r="C349" s="120">
        <v>7.5024630237959994E-2</v>
      </c>
      <c r="D349" t="e">
        <f>VLOOKUP(Shelf_Life!A349,Demand_Fresh!A347:A441,1,FALSE())</f>
        <v>#N/A</v>
      </c>
      <c r="E349" t="e">
        <f>VLOOKUP(Shelf_Life!A349,Demand_Frozen!A344:A462,1,FALSE())</f>
        <v>#N/A</v>
      </c>
    </row>
    <row r="350" spans="1:5" x14ac:dyDescent="0.25">
      <c r="A350" t="s">
        <v>206</v>
      </c>
      <c r="B350" s="130">
        <v>1</v>
      </c>
      <c r="C350" s="120">
        <v>8.1890520641555206E-2</v>
      </c>
      <c r="D350" t="e">
        <f>VLOOKUP(Shelf_Life!A350,Demand_Fresh!A348:A442,1,FALSE())</f>
        <v>#N/A</v>
      </c>
      <c r="E350" t="e">
        <f>VLOOKUP(Shelf_Life!A350,Demand_Frozen!A345:A463,1,FALSE())</f>
        <v>#N/A</v>
      </c>
    </row>
    <row r="351" spans="1:5" x14ac:dyDescent="0.25">
      <c r="A351" t="s">
        <v>207</v>
      </c>
      <c r="B351" s="130">
        <v>1</v>
      </c>
      <c r="C351" s="120">
        <v>7.9481975916803504E-2</v>
      </c>
      <c r="D351" t="e">
        <f>VLOOKUP(Shelf_Life!A351,Demand_Fresh!A349:A443,1,FALSE())</f>
        <v>#N/A</v>
      </c>
      <c r="E351" t="e">
        <f>VLOOKUP(Shelf_Life!A351,Demand_Frozen!A346:A464,1,FALSE())</f>
        <v>#N/A</v>
      </c>
    </row>
    <row r="352" spans="1:5" x14ac:dyDescent="0.25">
      <c r="A352" t="s">
        <v>327</v>
      </c>
      <c r="B352" s="130">
        <v>1</v>
      </c>
      <c r="C352" s="120">
        <v>7.9481975916803504E-2</v>
      </c>
      <c r="D352" t="e">
        <f>VLOOKUP(Shelf_Life!A352,Demand_Fresh!A350:A444,1,FALSE())</f>
        <v>#N/A</v>
      </c>
      <c r="E352" t="e">
        <f>VLOOKUP(Shelf_Life!A352,Demand_Frozen!A347:A465,1,FALSE())</f>
        <v>#N/A</v>
      </c>
    </row>
    <row r="353" spans="1:5" x14ac:dyDescent="0.25">
      <c r="A353" t="s">
        <v>208</v>
      </c>
      <c r="B353" s="130">
        <v>1</v>
      </c>
      <c r="C353" s="120">
        <v>0.112505711122869</v>
      </c>
      <c r="D353" t="e">
        <f>VLOOKUP(Shelf_Life!A353,Demand_Fresh!A351:A445,1,FALSE())</f>
        <v>#N/A</v>
      </c>
      <c r="E353" t="e">
        <f>VLOOKUP(Shelf_Life!A353,Demand_Frozen!A348:A466,1,FALSE())</f>
        <v>#N/A</v>
      </c>
    </row>
    <row r="354" spans="1:5" x14ac:dyDescent="0.25">
      <c r="A354" t="s">
        <v>209</v>
      </c>
      <c r="B354" s="130">
        <v>1</v>
      </c>
      <c r="C354" s="120">
        <v>0.112505711122869</v>
      </c>
      <c r="D354" t="e">
        <f>VLOOKUP(Shelf_Life!A354,Demand_Fresh!A352:A446,1,FALSE())</f>
        <v>#N/A</v>
      </c>
      <c r="E354" t="e">
        <f>VLOOKUP(Shelf_Life!A354,Demand_Frozen!A349:A467,1,FALSE())</f>
        <v>#N/A</v>
      </c>
    </row>
    <row r="355" spans="1:5" x14ac:dyDescent="0.25">
      <c r="A355" t="s">
        <v>329</v>
      </c>
      <c r="B355" s="130">
        <v>1</v>
      </c>
      <c r="C355" s="120">
        <v>0.112505711122869</v>
      </c>
      <c r="D355" t="e">
        <f>VLOOKUP(Shelf_Life!A355,Demand_Fresh!A353:A447,1,FALSE())</f>
        <v>#N/A</v>
      </c>
      <c r="E355" t="e">
        <f>VLOOKUP(Shelf_Life!A355,Demand_Frozen!A350:A468,1,FALSE())</f>
        <v>#N/A</v>
      </c>
    </row>
    <row r="356" spans="1:5" x14ac:dyDescent="0.25">
      <c r="A356" t="s">
        <v>330</v>
      </c>
      <c r="B356" s="130">
        <v>1</v>
      </c>
      <c r="C356" s="120">
        <v>0.11499519919878</v>
      </c>
      <c r="D356" t="e">
        <f>VLOOKUP(Shelf_Life!A356,Demand_Fresh!A354:A448,1,FALSE())</f>
        <v>#N/A</v>
      </c>
      <c r="E356" t="e">
        <f>VLOOKUP(Shelf_Life!A356,Demand_Frozen!A351:A469,1,FALSE())</f>
        <v>#N/A</v>
      </c>
    </row>
    <row r="357" spans="1:5" x14ac:dyDescent="0.25">
      <c r="A357" t="s">
        <v>210</v>
      </c>
      <c r="B357" s="130">
        <v>1</v>
      </c>
      <c r="C357" s="120">
        <v>9.0019559665933405E-2</v>
      </c>
      <c r="D357" t="e">
        <f>VLOOKUP(Shelf_Life!A357,Demand_Fresh!A355:A449,1,FALSE())</f>
        <v>#N/A</v>
      </c>
      <c r="E357" t="e">
        <f>VLOOKUP(Shelf_Life!A357,Demand_Frozen!A352:A470,1,FALSE())</f>
        <v>#N/A</v>
      </c>
    </row>
    <row r="358" spans="1:5" x14ac:dyDescent="0.25">
      <c r="A358" t="s">
        <v>331</v>
      </c>
      <c r="B358" s="130">
        <v>1</v>
      </c>
      <c r="C358" s="120">
        <v>9.0019559665933405E-2</v>
      </c>
      <c r="D358" t="e">
        <f>VLOOKUP(Shelf_Life!A358,Demand_Fresh!A356:A450,1,FALSE())</f>
        <v>#N/A</v>
      </c>
      <c r="E358" t="e">
        <f>VLOOKUP(Shelf_Life!A358,Demand_Frozen!A353:A471,1,FALSE())</f>
        <v>#N/A</v>
      </c>
    </row>
    <row r="359" spans="1:5" x14ac:dyDescent="0.25">
      <c r="A359" t="s">
        <v>211</v>
      </c>
      <c r="B359" s="130">
        <v>1</v>
      </c>
      <c r="C359" s="120">
        <v>9.0019559665933405E-2</v>
      </c>
      <c r="D359" t="e">
        <f>VLOOKUP(Shelf_Life!A359,Demand_Fresh!A357:A451,1,FALSE())</f>
        <v>#N/A</v>
      </c>
      <c r="E359" t="e">
        <f>VLOOKUP(Shelf_Life!A359,Demand_Frozen!A354:A472,1,FALSE())</f>
        <v>#N/A</v>
      </c>
    </row>
    <row r="360" spans="1:5" x14ac:dyDescent="0.25">
      <c r="A360" t="s">
        <v>332</v>
      </c>
      <c r="B360" s="130">
        <v>1</v>
      </c>
      <c r="C360" s="120">
        <v>9.0019559665933405E-2</v>
      </c>
      <c r="D360" t="e">
        <f>VLOOKUP(Shelf_Life!A360,Demand_Fresh!A358:A452,1,FALSE())</f>
        <v>#N/A</v>
      </c>
      <c r="E360" t="e">
        <f>VLOOKUP(Shelf_Life!A360,Demand_Frozen!A355:A473,1,FALSE())</f>
        <v>#N/A</v>
      </c>
    </row>
    <row r="361" spans="1:5" x14ac:dyDescent="0.25">
      <c r="A361" t="s">
        <v>212</v>
      </c>
      <c r="B361" s="130">
        <v>1</v>
      </c>
      <c r="C361" s="120">
        <v>9.0079572705710695E-2</v>
      </c>
      <c r="D361" t="e">
        <f>VLOOKUP(Shelf_Life!A361,Demand_Fresh!A359:A453,1,FALSE())</f>
        <v>#N/A</v>
      </c>
      <c r="E361" t="e">
        <f>VLOOKUP(Shelf_Life!A361,Demand_Frozen!A356:A474,1,FALSE())</f>
        <v>#N/A</v>
      </c>
    </row>
    <row r="362" spans="1:5" x14ac:dyDescent="0.25">
      <c r="A362" t="s">
        <v>1488</v>
      </c>
      <c r="B362" s="130">
        <v>1</v>
      </c>
      <c r="C362" s="120">
        <v>7.5909752280093196E-2</v>
      </c>
      <c r="D362" t="e">
        <f>VLOOKUP(Shelf_Life!A362,Demand_Fresh!A360:A454,1,FALSE())</f>
        <v>#N/A</v>
      </c>
      <c r="E362" t="e">
        <f>VLOOKUP(Shelf_Life!A362,Demand_Frozen!A357:A475,1,FALSE())</f>
        <v>#N/A</v>
      </c>
    </row>
    <row r="363" spans="1:5" x14ac:dyDescent="0.25">
      <c r="A363" t="s">
        <v>1489</v>
      </c>
      <c r="B363" s="130">
        <v>1</v>
      </c>
      <c r="C363" s="120">
        <v>7.5909752280093196E-2</v>
      </c>
      <c r="D363" t="e">
        <f>VLOOKUP(Shelf_Life!A363,Demand_Fresh!A361:A455,1,FALSE())</f>
        <v>#N/A</v>
      </c>
      <c r="E363" t="e">
        <f>VLOOKUP(Shelf_Life!A363,Demand_Frozen!A358:A476,1,FALSE())</f>
        <v>#N/A</v>
      </c>
    </row>
    <row r="364" spans="1:5" x14ac:dyDescent="0.25">
      <c r="A364" t="s">
        <v>214</v>
      </c>
      <c r="B364" s="130">
        <v>1</v>
      </c>
      <c r="C364" s="120">
        <v>0.102363150801944</v>
      </c>
      <c r="D364" t="e">
        <f>VLOOKUP(Shelf_Life!A364,Demand_Fresh!A362:A456,1,FALSE())</f>
        <v>#N/A</v>
      </c>
      <c r="E364" t="e">
        <f>VLOOKUP(Shelf_Life!A364,Demand_Frozen!A359:A477,1,FALSE())</f>
        <v>#N/A</v>
      </c>
    </row>
    <row r="365" spans="1:5" x14ac:dyDescent="0.25">
      <c r="A365" t="s">
        <v>334</v>
      </c>
      <c r="B365" s="130">
        <v>1</v>
      </c>
      <c r="C365" s="120">
        <v>0.102363150801944</v>
      </c>
      <c r="D365" t="e">
        <f>VLOOKUP(Shelf_Life!A365,Demand_Fresh!A363:A457,1,FALSE())</f>
        <v>#N/A</v>
      </c>
      <c r="E365" t="e">
        <f>VLOOKUP(Shelf_Life!A365,Demand_Frozen!A360:A478,1,FALSE())</f>
        <v>#N/A</v>
      </c>
    </row>
    <row r="366" spans="1:5" x14ac:dyDescent="0.25">
      <c r="A366" t="s">
        <v>215</v>
      </c>
      <c r="B366" s="130">
        <v>1</v>
      </c>
      <c r="C366" s="120">
        <v>0.118525753560146</v>
      </c>
      <c r="D366" t="e">
        <f>VLOOKUP(Shelf_Life!A366,Demand_Fresh!A364:A458,1,FALSE())</f>
        <v>#N/A</v>
      </c>
      <c r="E366" t="e">
        <f>VLOOKUP(Shelf_Life!A366,Demand_Frozen!A361:A479,1,FALSE())</f>
        <v>#N/A</v>
      </c>
    </row>
    <row r="367" spans="1:5" x14ac:dyDescent="0.25">
      <c r="A367" t="s">
        <v>335</v>
      </c>
      <c r="B367" s="130">
        <v>1</v>
      </c>
      <c r="C367" s="120">
        <v>0.118525753560146</v>
      </c>
      <c r="D367" t="e">
        <f>VLOOKUP(Shelf_Life!A367,Demand_Fresh!A365:A459,1,FALSE())</f>
        <v>#N/A</v>
      </c>
      <c r="E367" t="e">
        <f>VLOOKUP(Shelf_Life!A367,Demand_Frozen!A362:A480,1,FALSE())</f>
        <v>#N/A</v>
      </c>
    </row>
    <row r="368" spans="1:5" x14ac:dyDescent="0.25">
      <c r="A368" t="s">
        <v>1490</v>
      </c>
      <c r="B368" s="130">
        <v>1</v>
      </c>
      <c r="C368" s="120">
        <v>0.118525753560146</v>
      </c>
      <c r="D368" t="e">
        <f>VLOOKUP(Shelf_Life!A368,Demand_Fresh!A366:A460,1,FALSE())</f>
        <v>#N/A</v>
      </c>
      <c r="E368" t="e">
        <f>VLOOKUP(Shelf_Life!A368,Demand_Frozen!A363:A481,1,FALSE())</f>
        <v>#N/A</v>
      </c>
    </row>
    <row r="369" spans="1:5" x14ac:dyDescent="0.25">
      <c r="A369" t="s">
        <v>1491</v>
      </c>
      <c r="B369" s="130">
        <v>1</v>
      </c>
      <c r="C369" s="120">
        <v>0.118525753560146</v>
      </c>
      <c r="D369" t="e">
        <f>VLOOKUP(Shelf_Life!A369,Demand_Fresh!A367:A461,1,FALSE())</f>
        <v>#N/A</v>
      </c>
      <c r="E369" t="e">
        <f>VLOOKUP(Shelf_Life!A369,Demand_Frozen!A364:A482,1,FALSE())</f>
        <v>#N/A</v>
      </c>
    </row>
  </sheetData>
  <autoFilter ref="A1:C369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D338"/>
  <sheetViews>
    <sheetView zoomScaleNormal="100" workbookViewId="0">
      <selection activeCell="A302" sqref="A302"/>
    </sheetView>
  </sheetViews>
  <sheetFormatPr defaultRowHeight="15" x14ac:dyDescent="0.25"/>
  <cols>
    <col min="1" max="1" width="20"/>
    <col min="2" max="2" width="16.5703125"/>
    <col min="3" max="20" width="8.28515625"/>
    <col min="21" max="21" width="14.28515625"/>
    <col min="22" max="28" width="8.28515625"/>
    <col min="29" max="29" width="12" bestFit="1" customWidth="1"/>
    <col min="30" max="30" width="23.85546875" bestFit="1" customWidth="1"/>
    <col min="31" max="1025" width="8.28515625"/>
  </cols>
  <sheetData>
    <row r="1" spans="1:30" x14ac:dyDescent="0.25">
      <c r="A1" s="82" t="s">
        <v>119</v>
      </c>
      <c r="B1" s="97" t="s">
        <v>1356</v>
      </c>
      <c r="C1" s="93">
        <v>1.3</v>
      </c>
      <c r="D1" s="93">
        <v>1.35</v>
      </c>
      <c r="E1" s="93">
        <v>1.4</v>
      </c>
      <c r="F1" s="93">
        <v>1.45</v>
      </c>
      <c r="G1" s="94">
        <v>1.5</v>
      </c>
      <c r="H1" s="94">
        <v>1.55</v>
      </c>
      <c r="I1" s="94">
        <v>1.6</v>
      </c>
      <c r="J1" s="94">
        <v>1.65</v>
      </c>
      <c r="K1" s="95">
        <v>1.7</v>
      </c>
      <c r="L1" s="95">
        <v>1.75</v>
      </c>
      <c r="M1" s="95">
        <v>1.8</v>
      </c>
      <c r="N1" s="95">
        <v>1.85</v>
      </c>
      <c r="O1" s="96">
        <v>1.9</v>
      </c>
      <c r="P1" s="96">
        <v>1.95</v>
      </c>
      <c r="Q1" s="96">
        <v>2</v>
      </c>
      <c r="R1" s="96">
        <v>2.0499999999999998</v>
      </c>
      <c r="S1" s="96">
        <v>2.1</v>
      </c>
      <c r="T1">
        <v>2.15</v>
      </c>
      <c r="U1">
        <v>2.2000000000000002</v>
      </c>
      <c r="V1">
        <v>2.25</v>
      </c>
      <c r="W1">
        <v>2.2999999999999998</v>
      </c>
      <c r="X1">
        <v>2.35</v>
      </c>
      <c r="Y1">
        <v>2.4</v>
      </c>
      <c r="Z1">
        <v>2.4500000000000002</v>
      </c>
      <c r="AA1">
        <v>2.5</v>
      </c>
      <c r="AB1">
        <v>2.5499999999999998</v>
      </c>
      <c r="AC1">
        <v>2.6</v>
      </c>
      <c r="AD1" s="97" t="s">
        <v>1492</v>
      </c>
    </row>
    <row r="2" spans="1:30" hidden="1" x14ac:dyDescent="0.25">
      <c r="A2" s="128" t="s">
        <v>765</v>
      </c>
      <c r="B2" s="100">
        <v>11</v>
      </c>
      <c r="C2" s="104"/>
      <c r="D2" s="104"/>
      <c r="E2" s="104"/>
      <c r="F2" s="104"/>
      <c r="G2" s="105"/>
      <c r="H2" s="105"/>
      <c r="I2" s="105">
        <v>0.30755880053342399</v>
      </c>
      <c r="J2" s="105">
        <v>0.31717001305009301</v>
      </c>
      <c r="K2" s="107">
        <v>0.32678122556676298</v>
      </c>
      <c r="L2" s="107"/>
      <c r="M2" s="107"/>
      <c r="N2" s="107"/>
      <c r="O2" s="108"/>
      <c r="P2" s="108"/>
      <c r="Q2" s="108"/>
      <c r="R2" s="108"/>
      <c r="S2" s="108"/>
      <c r="U2" s="57"/>
      <c r="AD2" s="100">
        <v>100</v>
      </c>
    </row>
    <row r="3" spans="1:30" hidden="1" x14ac:dyDescent="0.25">
      <c r="A3" s="128" t="s">
        <v>765</v>
      </c>
      <c r="B3" s="100">
        <v>18</v>
      </c>
      <c r="C3" s="104"/>
      <c r="D3" s="104"/>
      <c r="E3" s="104"/>
      <c r="F3" s="104"/>
      <c r="G3" s="105"/>
      <c r="H3" s="105"/>
      <c r="I3" s="105">
        <v>0.30755880053342399</v>
      </c>
      <c r="J3" s="105">
        <v>0.31717001305009301</v>
      </c>
      <c r="K3" s="107">
        <v>0.32678122556676298</v>
      </c>
      <c r="L3" s="107"/>
      <c r="M3" s="107"/>
      <c r="N3" s="107"/>
      <c r="O3" s="108"/>
      <c r="P3" s="108"/>
      <c r="Q3" s="108"/>
      <c r="R3" s="108"/>
      <c r="S3" s="108"/>
      <c r="U3" s="57"/>
      <c r="AD3" s="100">
        <v>100</v>
      </c>
    </row>
    <row r="4" spans="1:30" hidden="1" x14ac:dyDescent="0.25">
      <c r="A4" s="128" t="s">
        <v>120</v>
      </c>
      <c r="B4" s="100">
        <v>9</v>
      </c>
      <c r="C4" s="104"/>
      <c r="D4" s="104"/>
      <c r="E4" s="104"/>
      <c r="F4" s="104"/>
      <c r="G4" s="105"/>
      <c r="H4" s="105"/>
      <c r="I4" s="105">
        <v>0.15840154122658801</v>
      </c>
      <c r="J4" s="105">
        <v>0.16335158938991901</v>
      </c>
      <c r="K4" s="107">
        <v>0.16830163755325001</v>
      </c>
      <c r="L4" s="107">
        <v>0.17325168571658101</v>
      </c>
      <c r="M4" s="107">
        <v>0.18549986463009799</v>
      </c>
      <c r="N4" s="107">
        <v>0.19065263864760101</v>
      </c>
      <c r="O4" s="108">
        <v>0.19580541266510401</v>
      </c>
      <c r="P4" s="108">
        <v>0.20095818668260701</v>
      </c>
      <c r="Q4" s="108">
        <v>0.21421999486698301</v>
      </c>
      <c r="R4" s="108">
        <v>0.21957549473865801</v>
      </c>
      <c r="S4" s="108">
        <v>0.224930994610332</v>
      </c>
      <c r="T4">
        <v>0.230286494482007</v>
      </c>
      <c r="U4" s="57">
        <v>0.22006353092619199</v>
      </c>
      <c r="V4">
        <v>0.225064974810878</v>
      </c>
      <c r="W4">
        <v>0.23006641869556499</v>
      </c>
      <c r="X4">
        <v>0.235067862580251</v>
      </c>
      <c r="Y4">
        <v>0.24006930646493699</v>
      </c>
      <c r="Z4">
        <v>0.245070750349623</v>
      </c>
      <c r="AA4">
        <v>0.25007219423430899</v>
      </c>
      <c r="AB4">
        <v>0.25507363811899503</v>
      </c>
      <c r="AC4">
        <v>0.26007508200368201</v>
      </c>
      <c r="AD4" s="100">
        <v>100</v>
      </c>
    </row>
    <row r="5" spans="1:30" hidden="1" x14ac:dyDescent="0.25">
      <c r="A5" s="128" t="s">
        <v>120</v>
      </c>
      <c r="B5" s="100">
        <v>16</v>
      </c>
      <c r="C5" s="104"/>
      <c r="D5" s="104"/>
      <c r="E5" s="104"/>
      <c r="F5" s="104"/>
      <c r="G5" s="105"/>
      <c r="H5" s="105"/>
      <c r="I5" s="105">
        <v>0.15840154122658801</v>
      </c>
      <c r="J5" s="105">
        <v>0.16335158938991901</v>
      </c>
      <c r="K5" s="107">
        <v>0.16830163755325001</v>
      </c>
      <c r="L5" s="107">
        <v>0.17325168571658101</v>
      </c>
      <c r="M5" s="107">
        <v>0.18549986463009799</v>
      </c>
      <c r="N5" s="107">
        <v>0.19065263864760101</v>
      </c>
      <c r="O5" s="108">
        <v>0.19580541266510401</v>
      </c>
      <c r="P5" s="108">
        <v>0.20095818668260701</v>
      </c>
      <c r="Q5" s="108">
        <v>0.21421999486698301</v>
      </c>
      <c r="R5" s="108">
        <v>0.21957549473865801</v>
      </c>
      <c r="S5" s="108">
        <v>0.224930994610332</v>
      </c>
      <c r="T5">
        <v>0.230286494482007</v>
      </c>
      <c r="U5" s="57">
        <v>0.22006353092619199</v>
      </c>
      <c r="V5">
        <v>0.225064974810878</v>
      </c>
      <c r="W5">
        <v>0.23006641869556499</v>
      </c>
      <c r="X5">
        <v>0.235067862580251</v>
      </c>
      <c r="Y5">
        <v>0.24006930646493699</v>
      </c>
      <c r="Z5">
        <v>0.245070750349623</v>
      </c>
      <c r="AA5">
        <v>0.25007219423430899</v>
      </c>
      <c r="AB5">
        <v>0.25507363811899503</v>
      </c>
      <c r="AC5">
        <v>0.26007508200368201</v>
      </c>
      <c r="AD5" s="100">
        <v>100</v>
      </c>
    </row>
    <row r="6" spans="1:30" hidden="1" x14ac:dyDescent="0.25">
      <c r="A6" s="129" t="s">
        <v>120</v>
      </c>
      <c r="B6" s="100">
        <v>10</v>
      </c>
      <c r="C6" s="104"/>
      <c r="D6" s="104"/>
      <c r="E6" s="104"/>
      <c r="F6" s="104"/>
      <c r="G6" s="105"/>
      <c r="H6" s="105"/>
      <c r="I6" s="105">
        <v>0.13645710022324201</v>
      </c>
      <c r="J6" s="105">
        <v>0.14072138460521799</v>
      </c>
      <c r="K6" s="107">
        <v>0.144985668987195</v>
      </c>
      <c r="L6" s="107">
        <v>0.14924995336917099</v>
      </c>
      <c r="M6" s="107">
        <v>0.16328810094867499</v>
      </c>
      <c r="N6" s="107">
        <v>0.167823881530582</v>
      </c>
      <c r="O6" s="108">
        <v>0.17235966211248999</v>
      </c>
      <c r="P6" s="108">
        <v>0.176895442694398</v>
      </c>
      <c r="Q6" s="108">
        <v>0.19229107127355799</v>
      </c>
      <c r="R6" s="108">
        <v>0.197098348055397</v>
      </c>
      <c r="S6" s="108">
        <v>0.20190562483723601</v>
      </c>
      <c r="T6">
        <v>0.20671290161907499</v>
      </c>
      <c r="U6" s="57">
        <v>0.18992170103817199</v>
      </c>
      <c r="V6">
        <v>0.19423810333449401</v>
      </c>
      <c r="W6">
        <v>0.198554505630816</v>
      </c>
      <c r="X6">
        <v>0.20287090792713799</v>
      </c>
      <c r="Y6">
        <v>0.20718731022345999</v>
      </c>
      <c r="Z6">
        <v>0.21150371251978201</v>
      </c>
      <c r="AA6">
        <v>0.215820114816105</v>
      </c>
      <c r="AB6">
        <v>0.22013651711242699</v>
      </c>
      <c r="AC6">
        <v>0.22445291940874901</v>
      </c>
      <c r="AD6" s="100">
        <v>100</v>
      </c>
    </row>
    <row r="7" spans="1:30" hidden="1" x14ac:dyDescent="0.25">
      <c r="A7" s="122" t="s">
        <v>120</v>
      </c>
      <c r="B7" s="100">
        <v>17</v>
      </c>
      <c r="C7" s="104"/>
      <c r="D7" s="104"/>
      <c r="E7" s="104"/>
      <c r="F7" s="104"/>
      <c r="G7" s="105"/>
      <c r="H7" s="105"/>
      <c r="I7" s="105">
        <v>0.13645710022324201</v>
      </c>
      <c r="J7" s="105">
        <v>0.14072138460521799</v>
      </c>
      <c r="K7" s="107">
        <v>0.144985668987195</v>
      </c>
      <c r="L7" s="107">
        <v>0.14924995336917099</v>
      </c>
      <c r="M7" s="107">
        <v>0.16328810094867499</v>
      </c>
      <c r="N7" s="107">
        <v>0.167823881530582</v>
      </c>
      <c r="O7" s="108">
        <v>0.17235966211248999</v>
      </c>
      <c r="P7" s="108">
        <v>0.176895442694398</v>
      </c>
      <c r="Q7" s="108">
        <v>0.19229107127355799</v>
      </c>
      <c r="R7" s="108">
        <v>0.197098348055397</v>
      </c>
      <c r="S7" s="108">
        <v>0.20190562483723601</v>
      </c>
      <c r="T7">
        <v>0.20671290161907499</v>
      </c>
      <c r="U7" s="57">
        <v>0.18992170103817199</v>
      </c>
      <c r="V7">
        <v>0.19423810333449401</v>
      </c>
      <c r="W7">
        <v>0.198554505630816</v>
      </c>
      <c r="X7">
        <v>0.20287090792713799</v>
      </c>
      <c r="Y7">
        <v>0.20718731022345999</v>
      </c>
      <c r="Z7">
        <v>0.21150371251978201</v>
      </c>
      <c r="AA7">
        <v>0.215820114816105</v>
      </c>
      <c r="AB7">
        <v>0.22013651711242699</v>
      </c>
      <c r="AC7">
        <v>0.22445291940874901</v>
      </c>
      <c r="AD7" s="100">
        <v>100</v>
      </c>
    </row>
    <row r="8" spans="1:30" hidden="1" x14ac:dyDescent="0.25">
      <c r="A8" s="128" t="s">
        <v>217</v>
      </c>
      <c r="B8" s="100">
        <v>9</v>
      </c>
      <c r="C8" s="104"/>
      <c r="D8" s="104"/>
      <c r="E8" s="104"/>
      <c r="F8" s="104"/>
      <c r="G8" s="105"/>
      <c r="H8" s="105"/>
      <c r="I8" s="105">
        <v>0.15840154122658801</v>
      </c>
      <c r="J8" s="105">
        <v>0.16335158938991901</v>
      </c>
      <c r="K8" s="107">
        <v>0.16830163755325001</v>
      </c>
      <c r="L8" s="107">
        <v>0.17325168571658101</v>
      </c>
      <c r="M8" s="107">
        <v>0.18549986463009799</v>
      </c>
      <c r="N8" s="107">
        <v>0.19065263864760101</v>
      </c>
      <c r="O8" s="108">
        <v>0.19580541266510401</v>
      </c>
      <c r="P8" s="108">
        <v>0.20095818668260701</v>
      </c>
      <c r="Q8" s="108">
        <v>0.21421999486698301</v>
      </c>
      <c r="R8" s="108">
        <v>0.21957549473865801</v>
      </c>
      <c r="S8" s="108">
        <v>0.224930994610332</v>
      </c>
      <c r="T8">
        <v>0.230286494482007</v>
      </c>
      <c r="U8" s="57">
        <v>0.22006353092619199</v>
      </c>
      <c r="V8">
        <v>0.225064974810878</v>
      </c>
      <c r="W8">
        <v>0.23006641869556499</v>
      </c>
      <c r="X8">
        <v>0.235067862580251</v>
      </c>
      <c r="Y8">
        <v>0.24006930646493699</v>
      </c>
      <c r="Z8">
        <v>0.245070750349623</v>
      </c>
      <c r="AA8">
        <v>0.25007219423430899</v>
      </c>
      <c r="AB8">
        <v>0.25507363811899503</v>
      </c>
      <c r="AC8">
        <v>0.26007508200368201</v>
      </c>
      <c r="AD8" s="100">
        <v>100</v>
      </c>
    </row>
    <row r="9" spans="1:30" hidden="1" x14ac:dyDescent="0.25">
      <c r="A9" s="128" t="s">
        <v>217</v>
      </c>
      <c r="B9" s="100">
        <v>16</v>
      </c>
      <c r="C9" s="104"/>
      <c r="D9" s="104"/>
      <c r="E9" s="104"/>
      <c r="F9" s="104"/>
      <c r="G9" s="105"/>
      <c r="H9" s="105"/>
      <c r="I9" s="105">
        <v>0.15840154122658801</v>
      </c>
      <c r="J9" s="105">
        <v>0.16335158938991901</v>
      </c>
      <c r="K9" s="107">
        <v>0.16830163755325001</v>
      </c>
      <c r="L9" s="107">
        <v>0.17325168571658101</v>
      </c>
      <c r="M9" s="107">
        <v>0.18549986463009799</v>
      </c>
      <c r="N9" s="107">
        <v>0.19065263864760101</v>
      </c>
      <c r="O9" s="108">
        <v>0.19580541266510401</v>
      </c>
      <c r="P9" s="108">
        <v>0.20095818668260701</v>
      </c>
      <c r="Q9" s="108">
        <v>0.21421999486698301</v>
      </c>
      <c r="R9" s="108">
        <v>0.21957549473865801</v>
      </c>
      <c r="S9" s="108">
        <v>0.224930994610332</v>
      </c>
      <c r="T9">
        <v>0.230286494482007</v>
      </c>
      <c r="U9" s="57">
        <v>0.22006353092619199</v>
      </c>
      <c r="V9">
        <v>0.225064974810878</v>
      </c>
      <c r="W9">
        <v>0.23006641869556499</v>
      </c>
      <c r="X9">
        <v>0.235067862580251</v>
      </c>
      <c r="Y9">
        <v>0.24006930646493699</v>
      </c>
      <c r="Z9">
        <v>0.245070750349623</v>
      </c>
      <c r="AA9">
        <v>0.25007219423430899</v>
      </c>
      <c r="AB9">
        <v>0.25507363811899503</v>
      </c>
      <c r="AC9">
        <v>0.26007508200368201</v>
      </c>
      <c r="AD9" s="100">
        <v>100</v>
      </c>
    </row>
    <row r="10" spans="1:30" hidden="1" x14ac:dyDescent="0.25">
      <c r="A10" s="122" t="s">
        <v>217</v>
      </c>
      <c r="B10" s="100">
        <v>10</v>
      </c>
      <c r="C10" s="104"/>
      <c r="D10" s="104"/>
      <c r="E10" s="104"/>
      <c r="F10" s="104"/>
      <c r="G10" s="105"/>
      <c r="H10" s="105"/>
      <c r="I10" s="105">
        <v>0.13645710022324201</v>
      </c>
      <c r="J10" s="105">
        <v>0.14072138460521799</v>
      </c>
      <c r="K10" s="107">
        <v>0.144985668987195</v>
      </c>
      <c r="L10" s="107">
        <v>0.14924995336917099</v>
      </c>
      <c r="M10" s="107">
        <v>0.16328810094867499</v>
      </c>
      <c r="N10" s="107">
        <v>0.167823881530582</v>
      </c>
      <c r="O10" s="108">
        <v>0.17235966211248999</v>
      </c>
      <c r="P10" s="108">
        <v>0.176895442694398</v>
      </c>
      <c r="Q10" s="108">
        <v>0.19229107127355799</v>
      </c>
      <c r="R10" s="108">
        <v>0.197098348055397</v>
      </c>
      <c r="S10" s="108">
        <v>0.20190562483723601</v>
      </c>
      <c r="T10">
        <v>0.20671290161907499</v>
      </c>
      <c r="U10" s="57">
        <v>0.18992170103817199</v>
      </c>
      <c r="V10">
        <v>0.19423810333449401</v>
      </c>
      <c r="W10">
        <v>0.198554505630816</v>
      </c>
      <c r="X10">
        <v>0.20287090792713799</v>
      </c>
      <c r="Y10">
        <v>0.20718731022345999</v>
      </c>
      <c r="Z10">
        <v>0.21150371251978201</v>
      </c>
      <c r="AA10">
        <v>0.215820114816105</v>
      </c>
      <c r="AB10">
        <v>0.22013651711242699</v>
      </c>
      <c r="AC10">
        <v>0.22445291940874901</v>
      </c>
      <c r="AD10" s="100">
        <v>100</v>
      </c>
    </row>
    <row r="11" spans="1:30" hidden="1" x14ac:dyDescent="0.25">
      <c r="A11" s="129" t="s">
        <v>217</v>
      </c>
      <c r="B11" s="100">
        <v>17</v>
      </c>
      <c r="C11" s="104"/>
      <c r="D11" s="104"/>
      <c r="E11" s="104"/>
      <c r="F11" s="104"/>
      <c r="G11" s="105"/>
      <c r="H11" s="105"/>
      <c r="I11" s="105">
        <v>0.13645710022324201</v>
      </c>
      <c r="J11" s="105">
        <v>0.14072138460521799</v>
      </c>
      <c r="K11" s="107">
        <v>0.144985668987195</v>
      </c>
      <c r="L11" s="107">
        <v>0.14924995336917099</v>
      </c>
      <c r="M11" s="107">
        <v>0.16328810094867499</v>
      </c>
      <c r="N11" s="107">
        <v>0.167823881530582</v>
      </c>
      <c r="O11" s="108">
        <v>0.17235966211248999</v>
      </c>
      <c r="P11" s="108">
        <v>0.176895442694398</v>
      </c>
      <c r="Q11" s="108">
        <v>0.19229107127355799</v>
      </c>
      <c r="R11" s="108">
        <v>0.197098348055397</v>
      </c>
      <c r="S11" s="108">
        <v>0.20190562483723601</v>
      </c>
      <c r="T11">
        <v>0.20671290161907499</v>
      </c>
      <c r="U11" s="57">
        <v>0.18992170103817199</v>
      </c>
      <c r="V11">
        <v>0.19423810333449401</v>
      </c>
      <c r="W11">
        <v>0.198554505630816</v>
      </c>
      <c r="X11">
        <v>0.20287090792713799</v>
      </c>
      <c r="Y11">
        <v>0.20718731022345999</v>
      </c>
      <c r="Z11">
        <v>0.21150371251978201</v>
      </c>
      <c r="AA11">
        <v>0.215820114816105</v>
      </c>
      <c r="AB11">
        <v>0.22013651711242699</v>
      </c>
      <c r="AC11">
        <v>0.22445291940874901</v>
      </c>
      <c r="AD11" s="100">
        <v>100</v>
      </c>
    </row>
    <row r="12" spans="1:30" hidden="1" x14ac:dyDescent="0.25">
      <c r="A12" s="128" t="s">
        <v>774</v>
      </c>
      <c r="B12" s="100">
        <v>9</v>
      </c>
      <c r="C12" s="104"/>
      <c r="D12" s="104"/>
      <c r="E12" s="104"/>
      <c r="F12" s="104"/>
      <c r="G12" s="105"/>
      <c r="H12" s="105"/>
      <c r="I12" s="105">
        <v>0.15840154122658801</v>
      </c>
      <c r="J12" s="105">
        <v>0.16335158938991901</v>
      </c>
      <c r="K12" s="107">
        <v>0.16830163755325001</v>
      </c>
      <c r="L12" s="107">
        <v>0.17325168571658101</v>
      </c>
      <c r="M12" s="107">
        <v>0.18549986463009799</v>
      </c>
      <c r="N12" s="107">
        <v>0.19065263864760101</v>
      </c>
      <c r="O12" s="108">
        <v>0.19580541266510401</v>
      </c>
      <c r="P12" s="108">
        <v>0.20095818668260701</v>
      </c>
      <c r="Q12" s="108">
        <v>0.21421999486698301</v>
      </c>
      <c r="R12" s="108">
        <v>0.21957549473865801</v>
      </c>
      <c r="S12" s="108">
        <v>0.224930994610332</v>
      </c>
      <c r="T12">
        <v>0.230286494482007</v>
      </c>
      <c r="U12" s="57">
        <v>0.22006353092619199</v>
      </c>
      <c r="V12">
        <v>0.225064974810878</v>
      </c>
      <c r="W12">
        <v>0.23006641869556499</v>
      </c>
      <c r="X12">
        <v>0.235067862580251</v>
      </c>
      <c r="Y12">
        <v>0.24006930646493699</v>
      </c>
      <c r="Z12">
        <v>0.245070750349623</v>
      </c>
      <c r="AA12">
        <v>0.25007219423430899</v>
      </c>
      <c r="AB12">
        <v>0.25507363811899503</v>
      </c>
      <c r="AC12">
        <v>0.26007508200368201</v>
      </c>
      <c r="AD12" s="100">
        <v>100</v>
      </c>
    </row>
    <row r="13" spans="1:30" hidden="1" x14ac:dyDescent="0.25">
      <c r="A13" s="128" t="s">
        <v>774</v>
      </c>
      <c r="B13" s="100">
        <v>16</v>
      </c>
      <c r="C13" s="104"/>
      <c r="D13" s="104"/>
      <c r="E13" s="104"/>
      <c r="F13" s="104"/>
      <c r="G13" s="105"/>
      <c r="H13" s="105"/>
      <c r="I13" s="105">
        <v>0.15840154122658801</v>
      </c>
      <c r="J13" s="105">
        <v>0.16335158938991901</v>
      </c>
      <c r="K13" s="107">
        <v>0.16830163755325001</v>
      </c>
      <c r="L13" s="107">
        <v>0.17325168571658101</v>
      </c>
      <c r="M13" s="107">
        <v>0.18549986463009799</v>
      </c>
      <c r="N13" s="107">
        <v>0.19065263864760101</v>
      </c>
      <c r="O13" s="108">
        <v>0.19580541266510401</v>
      </c>
      <c r="P13" s="108">
        <v>0.20095818668260701</v>
      </c>
      <c r="Q13" s="108">
        <v>0.21421999486698301</v>
      </c>
      <c r="R13" s="108">
        <v>0.21957549473865801</v>
      </c>
      <c r="S13" s="108">
        <v>0.224930994610332</v>
      </c>
      <c r="T13">
        <v>0.230286494482007</v>
      </c>
      <c r="U13" s="57">
        <v>0.22006353092619199</v>
      </c>
      <c r="V13">
        <v>0.225064974810878</v>
      </c>
      <c r="W13">
        <v>0.23006641869556499</v>
      </c>
      <c r="X13">
        <v>0.235067862580251</v>
      </c>
      <c r="Y13">
        <v>0.24006930646493699</v>
      </c>
      <c r="Z13">
        <v>0.245070750349623</v>
      </c>
      <c r="AA13">
        <v>0.25007219423430899</v>
      </c>
      <c r="AB13">
        <v>0.25507363811899503</v>
      </c>
      <c r="AC13">
        <v>0.26007508200368201</v>
      </c>
      <c r="AD13" s="100">
        <v>100</v>
      </c>
    </row>
    <row r="14" spans="1:30" hidden="1" x14ac:dyDescent="0.25">
      <c r="A14" s="129" t="s">
        <v>774</v>
      </c>
      <c r="B14" s="100">
        <v>10</v>
      </c>
      <c r="C14" s="104"/>
      <c r="D14" s="104"/>
      <c r="E14" s="104"/>
      <c r="F14" s="104"/>
      <c r="G14" s="105"/>
      <c r="H14" s="105"/>
      <c r="I14" s="105">
        <v>0.13645710022324201</v>
      </c>
      <c r="J14" s="105">
        <v>0.14072138460521799</v>
      </c>
      <c r="K14" s="107">
        <v>0.144985668987195</v>
      </c>
      <c r="L14" s="107">
        <v>0.14924995336917099</v>
      </c>
      <c r="M14" s="107">
        <v>0.16328810094867499</v>
      </c>
      <c r="N14" s="107">
        <v>0.167823881530582</v>
      </c>
      <c r="O14" s="108">
        <v>0.17235966211248999</v>
      </c>
      <c r="P14" s="108">
        <v>0.176895442694398</v>
      </c>
      <c r="Q14" s="108">
        <v>0.19229107127355799</v>
      </c>
      <c r="R14" s="108">
        <v>0.197098348055397</v>
      </c>
      <c r="S14" s="108">
        <v>0.20190562483723601</v>
      </c>
      <c r="T14">
        <v>0.20671290161907499</v>
      </c>
      <c r="U14" s="57">
        <v>0.18992170103817199</v>
      </c>
      <c r="V14">
        <v>0.19423810333449401</v>
      </c>
      <c r="W14">
        <v>0.198554505630816</v>
      </c>
      <c r="X14">
        <v>0.20287090792713799</v>
      </c>
      <c r="Y14">
        <v>0.20718731022345999</v>
      </c>
      <c r="Z14">
        <v>0.21150371251978201</v>
      </c>
      <c r="AA14">
        <v>0.215820114816105</v>
      </c>
      <c r="AB14">
        <v>0.22013651711242699</v>
      </c>
      <c r="AC14">
        <v>0.22445291940874901</v>
      </c>
      <c r="AD14" s="100">
        <v>100</v>
      </c>
    </row>
    <row r="15" spans="1:30" hidden="1" x14ac:dyDescent="0.25">
      <c r="A15" s="122" t="s">
        <v>774</v>
      </c>
      <c r="B15" s="100">
        <v>17</v>
      </c>
      <c r="C15" s="104"/>
      <c r="D15" s="104"/>
      <c r="E15" s="104"/>
      <c r="F15" s="104"/>
      <c r="G15" s="105"/>
      <c r="H15" s="105"/>
      <c r="I15" s="105">
        <v>0.13645710022324201</v>
      </c>
      <c r="J15" s="105">
        <v>0.14072138460521799</v>
      </c>
      <c r="K15" s="107">
        <v>0.144985668987195</v>
      </c>
      <c r="L15" s="107">
        <v>0.14924995336917099</v>
      </c>
      <c r="M15" s="107">
        <v>0.16328810094867499</v>
      </c>
      <c r="N15" s="107">
        <v>0.167823881530582</v>
      </c>
      <c r="O15" s="108">
        <v>0.17235966211248999</v>
      </c>
      <c r="P15" s="108">
        <v>0.176895442694398</v>
      </c>
      <c r="Q15" s="108">
        <v>0.19229107127355799</v>
      </c>
      <c r="R15" s="108">
        <v>0.197098348055397</v>
      </c>
      <c r="S15" s="108">
        <v>0.20190562483723601</v>
      </c>
      <c r="T15">
        <v>0.20671290161907499</v>
      </c>
      <c r="U15" s="57">
        <v>0.18992170103817199</v>
      </c>
      <c r="V15">
        <v>0.19423810333449401</v>
      </c>
      <c r="W15">
        <v>0.198554505630816</v>
      </c>
      <c r="X15">
        <v>0.20287090792713799</v>
      </c>
      <c r="Y15">
        <v>0.20718731022345999</v>
      </c>
      <c r="Z15">
        <v>0.21150371251978201</v>
      </c>
      <c r="AA15">
        <v>0.215820114816105</v>
      </c>
      <c r="AB15">
        <v>0.22013651711242699</v>
      </c>
      <c r="AC15">
        <v>0.22445291940874901</v>
      </c>
      <c r="AD15" s="100">
        <v>100</v>
      </c>
    </row>
    <row r="16" spans="1:30" hidden="1" x14ac:dyDescent="0.25">
      <c r="A16" s="122" t="s">
        <v>779</v>
      </c>
      <c r="B16" s="100">
        <v>10</v>
      </c>
      <c r="C16" s="104"/>
      <c r="D16" s="104"/>
      <c r="E16" s="104"/>
      <c r="F16" s="104"/>
      <c r="G16" s="105"/>
      <c r="H16" s="105"/>
      <c r="I16" s="105">
        <v>0.13645710022324201</v>
      </c>
      <c r="J16" s="105">
        <v>0.14072138460521799</v>
      </c>
      <c r="K16" s="107">
        <v>0.144985668987195</v>
      </c>
      <c r="L16" s="107">
        <v>0.14924995336917099</v>
      </c>
      <c r="M16" s="107">
        <v>0.16328810094867499</v>
      </c>
      <c r="N16" s="107">
        <v>0.167823881530582</v>
      </c>
      <c r="O16" s="108">
        <v>0.17235966211248999</v>
      </c>
      <c r="P16" s="108">
        <v>0.176895442694398</v>
      </c>
      <c r="Q16" s="108">
        <v>0.19229107127355799</v>
      </c>
      <c r="R16" s="108">
        <v>0.197098348055397</v>
      </c>
      <c r="S16" s="108">
        <v>0.20190562483723601</v>
      </c>
      <c r="T16">
        <v>0.20671290161907499</v>
      </c>
      <c r="U16" s="57">
        <v>0.18992170103817199</v>
      </c>
      <c r="V16">
        <v>0.19423810333449401</v>
      </c>
      <c r="W16">
        <v>0.198554505630816</v>
      </c>
      <c r="X16">
        <v>0.20287090792713799</v>
      </c>
      <c r="Y16">
        <v>0.20718731022345999</v>
      </c>
      <c r="Z16">
        <v>0.21150371251978201</v>
      </c>
      <c r="AA16">
        <v>0.215820114816105</v>
      </c>
      <c r="AB16">
        <v>0.22013651711242699</v>
      </c>
      <c r="AC16">
        <v>0.22445291940874901</v>
      </c>
      <c r="AD16" s="100">
        <v>100</v>
      </c>
    </row>
    <row r="17" spans="1:30" hidden="1" x14ac:dyDescent="0.25">
      <c r="A17" s="129" t="s">
        <v>779</v>
      </c>
      <c r="B17" s="100">
        <v>17</v>
      </c>
      <c r="C17" s="104"/>
      <c r="D17" s="104"/>
      <c r="E17" s="104"/>
      <c r="F17" s="104"/>
      <c r="G17" s="105"/>
      <c r="H17" s="105"/>
      <c r="I17" s="105">
        <v>0.13645710022324201</v>
      </c>
      <c r="J17" s="105">
        <v>0.14072138460521799</v>
      </c>
      <c r="K17" s="107">
        <v>0.144985668987195</v>
      </c>
      <c r="L17" s="107">
        <v>0.14924995336917099</v>
      </c>
      <c r="M17" s="107">
        <v>0.16328810094867499</v>
      </c>
      <c r="N17" s="107">
        <v>0.167823881530582</v>
      </c>
      <c r="O17" s="108">
        <v>0.17235966211248999</v>
      </c>
      <c r="P17" s="108">
        <v>0.176895442694398</v>
      </c>
      <c r="Q17" s="108">
        <v>0.19229107127355799</v>
      </c>
      <c r="R17" s="108">
        <v>0.197098348055397</v>
      </c>
      <c r="S17" s="108">
        <v>0.20190562483723601</v>
      </c>
      <c r="T17">
        <v>0.20671290161907499</v>
      </c>
      <c r="U17" s="57">
        <v>0.18992170103817199</v>
      </c>
      <c r="V17">
        <v>0.19423810333449401</v>
      </c>
      <c r="W17">
        <v>0.198554505630816</v>
      </c>
      <c r="X17">
        <v>0.20287090792713799</v>
      </c>
      <c r="Y17">
        <v>0.20718731022345999</v>
      </c>
      <c r="Z17">
        <v>0.21150371251978201</v>
      </c>
      <c r="AA17">
        <v>0.215820114816105</v>
      </c>
      <c r="AB17">
        <v>0.22013651711242699</v>
      </c>
      <c r="AC17">
        <v>0.22445291940874901</v>
      </c>
      <c r="AD17" s="100">
        <v>100</v>
      </c>
    </row>
    <row r="18" spans="1:30" hidden="1" x14ac:dyDescent="0.25">
      <c r="A18" s="122" t="s">
        <v>338</v>
      </c>
      <c r="B18" s="100">
        <v>10</v>
      </c>
      <c r="C18" s="104"/>
      <c r="D18" s="104"/>
      <c r="E18" s="104"/>
      <c r="F18" s="104"/>
      <c r="G18" s="105"/>
      <c r="H18" s="105"/>
      <c r="I18" s="105">
        <v>0.13645710022324201</v>
      </c>
      <c r="J18" s="105">
        <v>0.14072138460521799</v>
      </c>
      <c r="K18" s="107">
        <v>0.144985668987195</v>
      </c>
      <c r="L18" s="107">
        <v>0.14924995336917099</v>
      </c>
      <c r="M18" s="107">
        <v>0.16328810094867499</v>
      </c>
      <c r="N18" s="107">
        <v>0.167823881530582</v>
      </c>
      <c r="O18" s="108">
        <v>0.17235966211248999</v>
      </c>
      <c r="P18" s="108">
        <v>0.176895442694398</v>
      </c>
      <c r="Q18" s="108">
        <v>0.19229107127355799</v>
      </c>
      <c r="R18" s="108">
        <v>0.197098348055397</v>
      </c>
      <c r="S18" s="108">
        <v>0.20190562483723601</v>
      </c>
      <c r="T18">
        <v>0.20671290161907499</v>
      </c>
      <c r="U18" s="57">
        <v>0.18992170103817199</v>
      </c>
      <c r="V18">
        <v>0.19423810333449401</v>
      </c>
      <c r="W18">
        <v>0.198554505630816</v>
      </c>
      <c r="X18">
        <v>0.20287090792713799</v>
      </c>
      <c r="Y18">
        <v>0.20718731022345999</v>
      </c>
      <c r="Z18">
        <v>0.21150371251978201</v>
      </c>
      <c r="AA18">
        <v>0.215820114816105</v>
      </c>
      <c r="AB18">
        <v>0.22013651711242699</v>
      </c>
      <c r="AC18">
        <v>0.22445291940874901</v>
      </c>
      <c r="AD18" s="100">
        <v>100</v>
      </c>
    </row>
    <row r="19" spans="1:30" hidden="1" x14ac:dyDescent="0.25">
      <c r="A19" s="129" t="s">
        <v>338</v>
      </c>
      <c r="B19" s="100">
        <v>17</v>
      </c>
      <c r="C19" s="104"/>
      <c r="D19" s="104"/>
      <c r="E19" s="104"/>
      <c r="F19" s="104"/>
      <c r="G19" s="105"/>
      <c r="H19" s="105"/>
      <c r="I19" s="105">
        <v>0.13645710022324201</v>
      </c>
      <c r="J19" s="105">
        <v>0.14072138460521799</v>
      </c>
      <c r="K19" s="107">
        <v>0.144985668987195</v>
      </c>
      <c r="L19" s="107">
        <v>0.14924995336917099</v>
      </c>
      <c r="M19" s="107">
        <v>0.16328810094867499</v>
      </c>
      <c r="N19" s="107">
        <v>0.167823881530582</v>
      </c>
      <c r="O19" s="108">
        <v>0.17235966211248999</v>
      </c>
      <c r="P19" s="108">
        <v>0.176895442694398</v>
      </c>
      <c r="Q19" s="108">
        <v>0.19229107127355799</v>
      </c>
      <c r="R19" s="108">
        <v>0.197098348055397</v>
      </c>
      <c r="S19" s="108">
        <v>0.20190562483723601</v>
      </c>
      <c r="T19">
        <v>0.20671290161907499</v>
      </c>
      <c r="U19" s="57">
        <v>0.18992170103817199</v>
      </c>
      <c r="V19">
        <v>0.19423810333449401</v>
      </c>
      <c r="W19">
        <v>0.198554505630816</v>
      </c>
      <c r="X19">
        <v>0.20287090792713799</v>
      </c>
      <c r="Y19">
        <v>0.20718731022345999</v>
      </c>
      <c r="Z19">
        <v>0.21150371251978201</v>
      </c>
      <c r="AA19">
        <v>0.215820114816105</v>
      </c>
      <c r="AB19">
        <v>0.22013651711242699</v>
      </c>
      <c r="AC19">
        <v>0.22445291940874901</v>
      </c>
      <c r="AD19" s="100">
        <v>100</v>
      </c>
    </row>
    <row r="20" spans="1:30" hidden="1" x14ac:dyDescent="0.25">
      <c r="A20" s="129" t="s">
        <v>785</v>
      </c>
      <c r="B20" s="100">
        <v>10</v>
      </c>
      <c r="C20" s="104"/>
      <c r="D20" s="104"/>
      <c r="E20" s="104"/>
      <c r="F20" s="104"/>
      <c r="G20" s="105"/>
      <c r="H20" s="105"/>
      <c r="I20" s="105">
        <v>0.13645710022324201</v>
      </c>
      <c r="J20" s="105">
        <v>0.14072138460521799</v>
      </c>
      <c r="K20" s="107">
        <v>0.144985668987195</v>
      </c>
      <c r="L20" s="107">
        <v>0.14924995336917099</v>
      </c>
      <c r="M20" s="107">
        <v>0.16328810094867499</v>
      </c>
      <c r="N20" s="107">
        <v>0.167823881530582</v>
      </c>
      <c r="O20" s="108">
        <v>0.17235966211248999</v>
      </c>
      <c r="P20" s="108">
        <v>0.176895442694398</v>
      </c>
      <c r="Q20" s="108">
        <v>0.19229107127355799</v>
      </c>
      <c r="R20" s="108">
        <v>0.197098348055397</v>
      </c>
      <c r="S20" s="108">
        <v>0.20190562483723601</v>
      </c>
      <c r="T20">
        <v>0.20671290161907499</v>
      </c>
      <c r="U20" s="57">
        <v>0.18992170103817199</v>
      </c>
      <c r="V20">
        <v>0.19423810333449401</v>
      </c>
      <c r="W20">
        <v>0.198554505630816</v>
      </c>
      <c r="X20">
        <v>0.20287090792713799</v>
      </c>
      <c r="Y20">
        <v>0.20718731022345999</v>
      </c>
      <c r="Z20">
        <v>0.21150371251978201</v>
      </c>
      <c r="AA20">
        <v>0.215820114816105</v>
      </c>
      <c r="AB20">
        <v>0.22013651711242699</v>
      </c>
      <c r="AC20">
        <v>0.22445291940874901</v>
      </c>
      <c r="AD20" s="100">
        <v>100</v>
      </c>
    </row>
    <row r="21" spans="1:30" hidden="1" x14ac:dyDescent="0.25">
      <c r="A21" s="122" t="s">
        <v>785</v>
      </c>
      <c r="B21" s="100">
        <v>17</v>
      </c>
      <c r="C21" s="104"/>
      <c r="D21" s="104"/>
      <c r="E21" s="104"/>
      <c r="F21" s="104"/>
      <c r="G21" s="105"/>
      <c r="H21" s="105"/>
      <c r="I21" s="105">
        <v>0.13645710022324201</v>
      </c>
      <c r="J21" s="105">
        <v>0.14072138460521799</v>
      </c>
      <c r="K21" s="107">
        <v>0.144985668987195</v>
      </c>
      <c r="L21" s="107">
        <v>0.14924995336917099</v>
      </c>
      <c r="M21" s="107">
        <v>0.16328810094867499</v>
      </c>
      <c r="N21" s="107">
        <v>0.167823881530582</v>
      </c>
      <c r="O21" s="108">
        <v>0.17235966211248999</v>
      </c>
      <c r="P21" s="108">
        <v>0.176895442694398</v>
      </c>
      <c r="Q21" s="108">
        <v>0.19229107127355799</v>
      </c>
      <c r="R21" s="108">
        <v>0.197098348055397</v>
      </c>
      <c r="S21" s="108">
        <v>0.20190562483723601</v>
      </c>
      <c r="T21">
        <v>0.20671290161907499</v>
      </c>
      <c r="U21" s="57">
        <v>0.18992170103817199</v>
      </c>
      <c r="V21">
        <v>0.19423810333449401</v>
      </c>
      <c r="W21">
        <v>0.198554505630816</v>
      </c>
      <c r="X21">
        <v>0.20287090792713799</v>
      </c>
      <c r="Y21">
        <v>0.20718731022345999</v>
      </c>
      <c r="Z21">
        <v>0.21150371251978201</v>
      </c>
      <c r="AA21">
        <v>0.215820114816105</v>
      </c>
      <c r="AB21">
        <v>0.22013651711242699</v>
      </c>
      <c r="AC21">
        <v>0.22445291940874901</v>
      </c>
      <c r="AD21" s="100">
        <v>100</v>
      </c>
    </row>
    <row r="22" spans="1:30" hidden="1" x14ac:dyDescent="0.25">
      <c r="A22" s="122" t="s">
        <v>340</v>
      </c>
      <c r="B22" s="100">
        <v>10</v>
      </c>
      <c r="C22" s="104"/>
      <c r="D22" s="104"/>
      <c r="E22" s="104"/>
      <c r="F22" s="104"/>
      <c r="G22" s="105"/>
      <c r="H22" s="105"/>
      <c r="I22" s="105">
        <v>0.13645710022324201</v>
      </c>
      <c r="J22" s="105">
        <v>0.14072138460521799</v>
      </c>
      <c r="K22" s="107">
        <v>0.144985668987195</v>
      </c>
      <c r="L22" s="107">
        <v>0.14924995336917099</v>
      </c>
      <c r="M22" s="107">
        <v>0.16328810094867499</v>
      </c>
      <c r="N22" s="107">
        <v>0.167823881530582</v>
      </c>
      <c r="O22" s="108">
        <v>0.17235966211248999</v>
      </c>
      <c r="P22" s="108">
        <v>0.176895442694398</v>
      </c>
      <c r="Q22" s="108">
        <v>0.19229107127355799</v>
      </c>
      <c r="R22" s="108">
        <v>0.197098348055397</v>
      </c>
      <c r="S22" s="108">
        <v>0.20190562483723601</v>
      </c>
      <c r="T22">
        <v>0.20671290161907499</v>
      </c>
      <c r="U22" s="57">
        <v>0.18992170103817199</v>
      </c>
      <c r="V22">
        <v>0.19423810333449401</v>
      </c>
      <c r="W22">
        <v>0.198554505630816</v>
      </c>
      <c r="X22">
        <v>0.20287090792713799</v>
      </c>
      <c r="Y22">
        <v>0.20718731022345999</v>
      </c>
      <c r="Z22">
        <v>0.21150371251978201</v>
      </c>
      <c r="AA22">
        <v>0.215820114816105</v>
      </c>
      <c r="AB22">
        <v>0.22013651711242699</v>
      </c>
      <c r="AC22">
        <v>0.22445291940874901</v>
      </c>
      <c r="AD22" s="100">
        <v>100</v>
      </c>
    </row>
    <row r="23" spans="1:30" hidden="1" x14ac:dyDescent="0.25">
      <c r="A23" s="129" t="s">
        <v>340</v>
      </c>
      <c r="B23" s="100">
        <v>17</v>
      </c>
      <c r="C23" s="104"/>
      <c r="D23" s="104"/>
      <c r="E23" s="104"/>
      <c r="F23" s="104"/>
      <c r="G23" s="105"/>
      <c r="H23" s="105"/>
      <c r="I23" s="105">
        <v>0.13645710022324201</v>
      </c>
      <c r="J23" s="105">
        <v>0.14072138460521799</v>
      </c>
      <c r="K23" s="107">
        <v>0.144985668987195</v>
      </c>
      <c r="L23" s="107">
        <v>0.14924995336917099</v>
      </c>
      <c r="M23" s="107">
        <v>0.16328810094867499</v>
      </c>
      <c r="N23" s="107">
        <v>0.167823881530582</v>
      </c>
      <c r="O23" s="108">
        <v>0.17235966211248999</v>
      </c>
      <c r="P23" s="108">
        <v>0.176895442694398</v>
      </c>
      <c r="Q23" s="108">
        <v>0.19229107127355799</v>
      </c>
      <c r="R23" s="108">
        <v>0.197098348055397</v>
      </c>
      <c r="S23" s="108">
        <v>0.20190562483723601</v>
      </c>
      <c r="T23">
        <v>0.20671290161907499</v>
      </c>
      <c r="U23" s="57">
        <v>0.18992170103817199</v>
      </c>
      <c r="V23">
        <v>0.19423810333449401</v>
      </c>
      <c r="W23">
        <v>0.198554505630816</v>
      </c>
      <c r="X23">
        <v>0.20287090792713799</v>
      </c>
      <c r="Y23">
        <v>0.20718731022345999</v>
      </c>
      <c r="Z23">
        <v>0.21150371251978201</v>
      </c>
      <c r="AA23">
        <v>0.215820114816105</v>
      </c>
      <c r="AB23">
        <v>0.22013651711242699</v>
      </c>
      <c r="AC23">
        <v>0.22445291940874901</v>
      </c>
      <c r="AD23" s="100">
        <v>100</v>
      </c>
    </row>
    <row r="24" spans="1:30" hidden="1" x14ac:dyDescent="0.25">
      <c r="A24" s="129" t="s">
        <v>218</v>
      </c>
      <c r="B24" s="100">
        <v>10</v>
      </c>
      <c r="C24" s="104"/>
      <c r="D24" s="104"/>
      <c r="E24" s="104"/>
      <c r="F24" s="104"/>
      <c r="G24" s="105"/>
      <c r="H24" s="105"/>
      <c r="I24" s="105">
        <v>0.13645710022324201</v>
      </c>
      <c r="J24" s="105">
        <v>0.14072138460521799</v>
      </c>
      <c r="K24" s="107">
        <v>0.144985668987195</v>
      </c>
      <c r="L24" s="107">
        <v>0.14924995336917099</v>
      </c>
      <c r="M24" s="107">
        <v>0.16328810094867499</v>
      </c>
      <c r="N24" s="107">
        <v>0.167823881530582</v>
      </c>
      <c r="O24" s="108">
        <v>0.17235966211248999</v>
      </c>
      <c r="P24" s="108">
        <v>0.176895442694398</v>
      </c>
      <c r="Q24" s="108">
        <v>0.19229107127355799</v>
      </c>
      <c r="R24" s="108">
        <v>0.197098348055397</v>
      </c>
      <c r="S24" s="108">
        <v>0.20190562483723601</v>
      </c>
      <c r="T24">
        <v>0.20671290161907499</v>
      </c>
      <c r="U24" s="57">
        <v>0.18992170103817199</v>
      </c>
      <c r="V24">
        <v>0.19423810333449401</v>
      </c>
      <c r="W24">
        <v>0.198554505630816</v>
      </c>
      <c r="X24">
        <v>0.20287090792713799</v>
      </c>
      <c r="Y24">
        <v>0.20718731022345999</v>
      </c>
      <c r="Z24">
        <v>0.21150371251978201</v>
      </c>
      <c r="AA24">
        <v>0.215820114816105</v>
      </c>
      <c r="AB24">
        <v>0.22013651711242699</v>
      </c>
      <c r="AC24">
        <v>0.22445291940874901</v>
      </c>
      <c r="AD24" s="100">
        <v>100</v>
      </c>
    </row>
    <row r="25" spans="1:30" hidden="1" x14ac:dyDescent="0.25">
      <c r="A25" s="129" t="s">
        <v>218</v>
      </c>
      <c r="B25" s="100">
        <v>17</v>
      </c>
      <c r="C25" s="112"/>
      <c r="D25" s="112"/>
      <c r="E25" s="112"/>
      <c r="F25" s="113"/>
      <c r="G25" s="114"/>
      <c r="H25" s="114"/>
      <c r="I25" s="114">
        <v>0.27291420044648401</v>
      </c>
      <c r="J25" s="114">
        <v>0.28144276921043598</v>
      </c>
      <c r="K25" s="107">
        <v>0.28997133797438901</v>
      </c>
      <c r="L25" s="92">
        <v>0.29849990673834198</v>
      </c>
      <c r="M25" s="92"/>
      <c r="N25" s="92"/>
      <c r="O25" s="89"/>
      <c r="P25" s="89"/>
      <c r="Q25" s="89"/>
      <c r="R25" s="89"/>
      <c r="S25" s="89"/>
      <c r="AD25" s="100">
        <v>100</v>
      </c>
    </row>
    <row r="26" spans="1:30" hidden="1" x14ac:dyDescent="0.25">
      <c r="A26" s="129" t="s">
        <v>792</v>
      </c>
      <c r="B26" s="100">
        <v>10</v>
      </c>
      <c r="C26" s="104"/>
      <c r="D26" s="104"/>
      <c r="E26" s="104"/>
      <c r="F26" s="104"/>
      <c r="G26" s="105"/>
      <c r="H26" s="105"/>
      <c r="I26" s="105">
        <v>0.13645710022324201</v>
      </c>
      <c r="J26" s="105">
        <v>0.14072138460521799</v>
      </c>
      <c r="K26" s="107">
        <v>0.144985668987195</v>
      </c>
      <c r="L26" s="107">
        <v>0.14924995336917099</v>
      </c>
      <c r="M26" s="107">
        <v>0.16328810094867499</v>
      </c>
      <c r="N26" s="107">
        <v>0.167823881530582</v>
      </c>
      <c r="O26" s="108">
        <v>0.17235966211248999</v>
      </c>
      <c r="P26" s="108">
        <v>0.176895442694398</v>
      </c>
      <c r="Q26" s="108">
        <v>0.19229107127355799</v>
      </c>
      <c r="R26" s="108">
        <v>0.197098348055397</v>
      </c>
      <c r="S26" s="108">
        <v>0.20190562483723601</v>
      </c>
      <c r="T26">
        <v>0.20671290161907499</v>
      </c>
      <c r="U26" s="57">
        <v>0.18992170103817199</v>
      </c>
      <c r="V26">
        <v>0.19423810333449401</v>
      </c>
      <c r="W26">
        <v>0.198554505630816</v>
      </c>
      <c r="X26">
        <v>0.20287090792713799</v>
      </c>
      <c r="Y26">
        <v>0.20718731022345999</v>
      </c>
      <c r="Z26">
        <v>0.21150371251978201</v>
      </c>
      <c r="AA26">
        <v>0.215820114816105</v>
      </c>
      <c r="AB26">
        <v>0.22013651711242699</v>
      </c>
      <c r="AC26">
        <v>0.22445291940874901</v>
      </c>
      <c r="AD26" s="100">
        <v>100</v>
      </c>
    </row>
    <row r="27" spans="1:30" hidden="1" x14ac:dyDescent="0.25">
      <c r="A27" s="129" t="s">
        <v>792</v>
      </c>
      <c r="B27" s="100">
        <v>17</v>
      </c>
      <c r="C27" s="104"/>
      <c r="D27" s="104"/>
      <c r="E27" s="104"/>
      <c r="F27" s="104"/>
      <c r="G27" s="105"/>
      <c r="H27" s="105"/>
      <c r="I27" s="105">
        <v>0.27291420044648401</v>
      </c>
      <c r="J27" s="105">
        <v>0.28144276921043598</v>
      </c>
      <c r="K27" s="107">
        <v>0.28997133797438901</v>
      </c>
      <c r="L27" s="107">
        <v>0.29849990673834198</v>
      </c>
      <c r="M27" s="107"/>
      <c r="N27" s="107"/>
      <c r="O27" s="108"/>
      <c r="P27" s="108"/>
      <c r="Q27" s="108"/>
      <c r="R27" s="108"/>
      <c r="S27" s="108"/>
      <c r="U27" s="57"/>
      <c r="AD27" s="100">
        <v>100</v>
      </c>
    </row>
    <row r="28" spans="1:30" hidden="1" x14ac:dyDescent="0.25">
      <c r="A28" s="122" t="s">
        <v>795</v>
      </c>
      <c r="B28" s="100">
        <v>10</v>
      </c>
      <c r="C28" s="104"/>
      <c r="D28" s="104"/>
      <c r="E28" s="104"/>
      <c r="F28" s="104"/>
      <c r="G28" s="105"/>
      <c r="H28" s="105"/>
      <c r="I28" s="105">
        <v>0.13645710022324201</v>
      </c>
      <c r="J28" s="105">
        <v>0.14072138460521799</v>
      </c>
      <c r="K28" s="107">
        <v>0.144985668987195</v>
      </c>
      <c r="L28" s="107">
        <v>0.14924995336917099</v>
      </c>
      <c r="M28" s="107">
        <v>0.16328810094867499</v>
      </c>
      <c r="N28" s="107">
        <v>0.167823881530582</v>
      </c>
      <c r="O28" s="108">
        <v>0.17235966211248999</v>
      </c>
      <c r="P28" s="108">
        <v>0.176895442694398</v>
      </c>
      <c r="Q28" s="108">
        <v>0.19229107127355799</v>
      </c>
      <c r="R28" s="108">
        <v>0.197098348055397</v>
      </c>
      <c r="S28" s="108">
        <v>0.20190562483723601</v>
      </c>
      <c r="T28">
        <v>0.20671290161907499</v>
      </c>
      <c r="U28" s="57">
        <v>0.18992170103817199</v>
      </c>
      <c r="V28">
        <v>0.19423810333449401</v>
      </c>
      <c r="W28">
        <v>0.198554505630816</v>
      </c>
      <c r="X28">
        <v>0.20287090792713799</v>
      </c>
      <c r="Y28">
        <v>0.20718731022345999</v>
      </c>
      <c r="Z28">
        <v>0.21150371251978201</v>
      </c>
      <c r="AA28">
        <v>0.215820114816105</v>
      </c>
      <c r="AB28">
        <v>0.22013651711242699</v>
      </c>
      <c r="AC28">
        <v>0.22445291940874901</v>
      </c>
      <c r="AD28" s="100">
        <v>100</v>
      </c>
    </row>
    <row r="29" spans="1:30" hidden="1" x14ac:dyDescent="0.25">
      <c r="A29" s="122" t="s">
        <v>795</v>
      </c>
      <c r="B29" s="100">
        <v>17</v>
      </c>
      <c r="C29" s="104"/>
      <c r="D29" s="104"/>
      <c r="E29" s="104"/>
      <c r="F29" s="104"/>
      <c r="G29" s="105"/>
      <c r="H29" s="105"/>
      <c r="I29" s="105">
        <v>0.27291420044648401</v>
      </c>
      <c r="J29" s="105">
        <v>0.28144276921043598</v>
      </c>
      <c r="K29" s="107">
        <v>0.28997133797438901</v>
      </c>
      <c r="L29" s="107">
        <v>0.29849990673834198</v>
      </c>
      <c r="M29" s="107"/>
      <c r="N29" s="107"/>
      <c r="O29" s="108"/>
      <c r="P29" s="108"/>
      <c r="Q29" s="108"/>
      <c r="R29" s="108"/>
      <c r="S29" s="108"/>
      <c r="U29" s="57"/>
      <c r="AD29" s="100">
        <v>100</v>
      </c>
    </row>
    <row r="30" spans="1:30" hidden="1" x14ac:dyDescent="0.25">
      <c r="A30" t="s">
        <v>344</v>
      </c>
      <c r="B30" s="100">
        <v>13</v>
      </c>
      <c r="C30" s="104"/>
      <c r="D30" s="104"/>
      <c r="E30" s="104"/>
      <c r="F30" s="104"/>
      <c r="G30" s="105"/>
      <c r="H30" s="105"/>
      <c r="I30" s="105"/>
      <c r="J30" s="105"/>
      <c r="K30" s="107"/>
      <c r="L30" s="107"/>
      <c r="M30" s="107">
        <v>0.32657620189734898</v>
      </c>
      <c r="N30" s="107">
        <v>0.33564776306116501</v>
      </c>
      <c r="O30" s="108">
        <v>0.34471932422497997</v>
      </c>
      <c r="P30" s="108">
        <v>0.353790885388795</v>
      </c>
      <c r="Q30" s="89">
        <v>0.38458214254711598</v>
      </c>
      <c r="R30" s="89"/>
      <c r="S30" s="89"/>
      <c r="AD30" s="100">
        <v>100</v>
      </c>
    </row>
    <row r="31" spans="1:30" hidden="1" x14ac:dyDescent="0.25">
      <c r="A31" t="s">
        <v>344</v>
      </c>
      <c r="B31" s="100">
        <v>20</v>
      </c>
      <c r="C31" s="113"/>
      <c r="D31" s="113"/>
      <c r="E31" s="113"/>
      <c r="F31" s="113"/>
      <c r="G31" s="114"/>
      <c r="H31" s="114"/>
      <c r="I31" s="114"/>
      <c r="J31" s="73"/>
      <c r="K31" s="115"/>
      <c r="L31" s="115"/>
      <c r="M31" s="115">
        <v>0.32657620189734898</v>
      </c>
      <c r="N31" s="115">
        <v>0.33564776306116501</v>
      </c>
      <c r="O31" s="116">
        <v>0.34471932422497997</v>
      </c>
      <c r="P31" s="116">
        <v>0.353790885388795</v>
      </c>
      <c r="Q31" s="116">
        <v>0.38458214254711598</v>
      </c>
      <c r="R31" s="116"/>
      <c r="S31" s="116"/>
      <c r="U31" s="39"/>
      <c r="AD31" s="100">
        <v>100</v>
      </c>
    </row>
    <row r="32" spans="1:30" hidden="1" x14ac:dyDescent="0.25">
      <c r="A32" t="s">
        <v>219</v>
      </c>
      <c r="B32" s="100">
        <v>13</v>
      </c>
      <c r="C32" s="104"/>
      <c r="D32" s="104"/>
      <c r="E32" s="104"/>
      <c r="F32" s="104"/>
      <c r="G32" s="105"/>
      <c r="H32" s="105"/>
      <c r="I32" s="105"/>
      <c r="J32" s="105"/>
      <c r="K32" s="107"/>
      <c r="L32" s="107"/>
      <c r="M32" s="107">
        <v>0.32657620189734898</v>
      </c>
      <c r="N32" s="107">
        <v>0.33564776306116501</v>
      </c>
      <c r="O32" s="108">
        <v>0.34471932422497997</v>
      </c>
      <c r="P32" s="108">
        <v>0.353790885388795</v>
      </c>
      <c r="Q32" s="89">
        <v>0.38458214254711598</v>
      </c>
      <c r="R32" s="89"/>
      <c r="S32" s="89"/>
      <c r="AD32" s="100">
        <v>100</v>
      </c>
    </row>
    <row r="33" spans="1:30" hidden="1" x14ac:dyDescent="0.25">
      <c r="A33" t="s">
        <v>219</v>
      </c>
      <c r="B33" s="100">
        <v>20</v>
      </c>
      <c r="C33" s="104"/>
      <c r="D33" s="104"/>
      <c r="E33" s="104"/>
      <c r="F33" s="104"/>
      <c r="G33" s="105"/>
      <c r="H33" s="105"/>
      <c r="I33" s="105"/>
      <c r="J33" s="91"/>
      <c r="K33" s="92"/>
      <c r="L33" s="92"/>
      <c r="M33" s="92">
        <v>0.32657620189734898</v>
      </c>
      <c r="N33" s="92">
        <v>0.33564776306116501</v>
      </c>
      <c r="O33" s="89">
        <v>0.34471932422497997</v>
      </c>
      <c r="P33" s="89">
        <v>0.353790885388795</v>
      </c>
      <c r="Q33" s="89">
        <v>0.38458214254711598</v>
      </c>
      <c r="R33" s="89"/>
      <c r="S33" s="89"/>
      <c r="AD33" s="100">
        <v>100</v>
      </c>
    </row>
    <row r="34" spans="1:30" hidden="1" x14ac:dyDescent="0.25">
      <c r="A34" t="s">
        <v>346</v>
      </c>
      <c r="B34" s="100">
        <v>12</v>
      </c>
      <c r="C34" s="104"/>
      <c r="D34" s="104"/>
      <c r="E34" s="104"/>
      <c r="F34" s="104"/>
      <c r="G34" s="105"/>
      <c r="H34" s="105"/>
      <c r="I34" s="105">
        <v>0.27291420044648401</v>
      </c>
      <c r="J34" s="105">
        <v>0.28144276921043598</v>
      </c>
      <c r="K34" s="107">
        <v>0.28997133797438901</v>
      </c>
      <c r="L34" s="107">
        <v>0.29849990673834198</v>
      </c>
      <c r="M34" s="107"/>
      <c r="N34" s="107"/>
      <c r="O34" s="108"/>
      <c r="P34" s="108"/>
      <c r="Q34" s="89"/>
      <c r="R34" s="89"/>
      <c r="S34" s="89"/>
      <c r="AD34" s="100">
        <v>100</v>
      </c>
    </row>
    <row r="35" spans="1:30" hidden="1" x14ac:dyDescent="0.25">
      <c r="A35" t="s">
        <v>346</v>
      </c>
      <c r="B35" s="100">
        <v>19</v>
      </c>
      <c r="C35" s="104"/>
      <c r="D35" s="104"/>
      <c r="E35" s="104"/>
      <c r="F35" s="104"/>
      <c r="G35" s="105"/>
      <c r="H35" s="105"/>
      <c r="I35" s="105">
        <v>0.27291420044648401</v>
      </c>
      <c r="J35" s="105">
        <v>0.28144276921043598</v>
      </c>
      <c r="K35" s="107">
        <v>0.28997133797438901</v>
      </c>
      <c r="L35" s="107">
        <v>0.29849990673834198</v>
      </c>
      <c r="M35" s="107"/>
      <c r="N35" s="107"/>
      <c r="O35" s="108"/>
      <c r="P35" s="108"/>
      <c r="Q35" s="89"/>
      <c r="R35" s="89"/>
      <c r="S35" s="89"/>
      <c r="AD35" s="100">
        <v>100</v>
      </c>
    </row>
    <row r="36" spans="1:30" hidden="1" x14ac:dyDescent="0.25">
      <c r="A36" t="s">
        <v>220</v>
      </c>
      <c r="B36" s="100">
        <v>12</v>
      </c>
      <c r="C36" s="104"/>
      <c r="D36" s="104"/>
      <c r="E36" s="104"/>
      <c r="F36" s="104"/>
      <c r="G36" s="105"/>
      <c r="H36" s="105"/>
      <c r="I36" s="105">
        <v>0.27291420044648401</v>
      </c>
      <c r="J36" s="105">
        <v>0.28144276921043598</v>
      </c>
      <c r="K36" s="92">
        <v>0.28997133797438901</v>
      </c>
      <c r="L36" s="92">
        <v>0.29849990673834198</v>
      </c>
      <c r="M36" s="92"/>
      <c r="N36" s="92"/>
      <c r="O36" s="89"/>
      <c r="P36" s="89"/>
      <c r="Q36" s="89"/>
      <c r="R36" s="89"/>
      <c r="S36" s="89"/>
      <c r="AD36" s="100">
        <v>100</v>
      </c>
    </row>
    <row r="37" spans="1:30" hidden="1" x14ac:dyDescent="0.25">
      <c r="A37" t="s">
        <v>220</v>
      </c>
      <c r="B37" s="100">
        <v>19</v>
      </c>
      <c r="C37" s="104"/>
      <c r="D37" s="104"/>
      <c r="E37" s="104"/>
      <c r="F37" s="104"/>
      <c r="G37" s="105"/>
      <c r="H37" s="105"/>
      <c r="I37" s="105">
        <v>0.27291420044648401</v>
      </c>
      <c r="J37" s="105">
        <v>0.28144276921043598</v>
      </c>
      <c r="K37" s="107">
        <v>0.28997133797438901</v>
      </c>
      <c r="L37" s="107">
        <v>0.29849990673834198</v>
      </c>
      <c r="M37" s="107"/>
      <c r="N37" s="107"/>
      <c r="O37" s="108"/>
      <c r="P37" s="108"/>
      <c r="Q37" s="89"/>
      <c r="R37" s="89"/>
      <c r="S37" s="89"/>
      <c r="AD37" s="100">
        <v>100</v>
      </c>
    </row>
    <row r="38" spans="1:30" hidden="1" x14ac:dyDescent="0.25">
      <c r="A38" t="s">
        <v>221</v>
      </c>
      <c r="B38" s="100">
        <v>12</v>
      </c>
      <c r="C38" s="104"/>
      <c r="D38" s="104"/>
      <c r="E38" s="104"/>
      <c r="F38" s="104"/>
      <c r="G38" s="105"/>
      <c r="H38" s="105"/>
      <c r="I38" s="105">
        <v>0.27291420044648401</v>
      </c>
      <c r="J38" s="105">
        <v>0.28144276921043598</v>
      </c>
      <c r="K38" s="107">
        <v>0.28997133797438901</v>
      </c>
      <c r="L38" s="107">
        <v>0.29849990673834198</v>
      </c>
      <c r="M38" s="107"/>
      <c r="N38" s="107"/>
      <c r="O38" s="108"/>
      <c r="P38" s="108"/>
      <c r="Q38" s="89"/>
      <c r="R38" s="89"/>
      <c r="S38" s="89"/>
      <c r="AD38" s="100">
        <v>100</v>
      </c>
    </row>
    <row r="39" spans="1:30" hidden="1" x14ac:dyDescent="0.25">
      <c r="A39" t="s">
        <v>221</v>
      </c>
      <c r="B39" s="100">
        <v>19</v>
      </c>
      <c r="C39" s="104"/>
      <c r="D39" s="104"/>
      <c r="E39" s="104"/>
      <c r="F39" s="104"/>
      <c r="G39" s="105"/>
      <c r="H39" s="105"/>
      <c r="I39" s="105">
        <v>0.27291420044648401</v>
      </c>
      <c r="J39" s="105">
        <v>0.28144276921043598</v>
      </c>
      <c r="K39" s="107">
        <v>0.28997133797438901</v>
      </c>
      <c r="L39" s="107">
        <v>0.29849990673834198</v>
      </c>
      <c r="M39" s="107"/>
      <c r="N39" s="107"/>
      <c r="O39" s="108"/>
      <c r="P39" s="108"/>
      <c r="Q39" s="89"/>
      <c r="R39" s="89"/>
      <c r="S39" s="89"/>
      <c r="AD39" s="100">
        <v>100</v>
      </c>
    </row>
    <row r="40" spans="1:30" hidden="1" x14ac:dyDescent="0.25">
      <c r="A40" t="s">
        <v>350</v>
      </c>
      <c r="B40" s="100">
        <v>12</v>
      </c>
      <c r="C40" s="104"/>
      <c r="D40" s="104"/>
      <c r="E40" s="104"/>
      <c r="F40" s="104"/>
      <c r="G40" s="105"/>
      <c r="H40" s="105"/>
      <c r="I40" s="105">
        <v>0.27291420044648401</v>
      </c>
      <c r="J40" s="105">
        <v>0.28144276921043598</v>
      </c>
      <c r="K40" s="92">
        <v>0.28997133797438901</v>
      </c>
      <c r="L40" s="92">
        <v>0.29849990673834198</v>
      </c>
      <c r="M40" s="92"/>
      <c r="N40" s="92"/>
      <c r="O40" s="89"/>
      <c r="P40" s="89"/>
      <c r="Q40" s="89"/>
      <c r="R40" s="89"/>
      <c r="S40" s="89"/>
      <c r="AD40" s="100">
        <v>100</v>
      </c>
    </row>
    <row r="41" spans="1:30" hidden="1" x14ac:dyDescent="0.25">
      <c r="A41" t="s">
        <v>350</v>
      </c>
      <c r="B41" s="100">
        <v>19</v>
      </c>
      <c r="C41" s="104"/>
      <c r="D41" s="104"/>
      <c r="E41" s="104"/>
      <c r="F41" s="104"/>
      <c r="G41" s="105"/>
      <c r="H41" s="105"/>
      <c r="I41" s="105">
        <v>0.27291420044648401</v>
      </c>
      <c r="J41" s="105">
        <v>0.28144276921043598</v>
      </c>
      <c r="K41" s="107">
        <v>0.28997133797438901</v>
      </c>
      <c r="L41" s="107">
        <v>0.29849990673834198</v>
      </c>
      <c r="M41" s="107"/>
      <c r="N41" s="107"/>
      <c r="O41" s="108"/>
      <c r="P41" s="108"/>
      <c r="Q41" s="89"/>
      <c r="R41" s="89"/>
      <c r="S41" s="89"/>
      <c r="AD41" s="100">
        <v>100</v>
      </c>
    </row>
    <row r="42" spans="1:30" hidden="1" x14ac:dyDescent="0.25">
      <c r="A42" t="s">
        <v>222</v>
      </c>
      <c r="B42" s="100">
        <v>12</v>
      </c>
      <c r="C42" s="104"/>
      <c r="D42" s="104"/>
      <c r="E42" s="104"/>
      <c r="F42" s="104"/>
      <c r="G42" s="105"/>
      <c r="H42" s="105"/>
      <c r="I42" s="105">
        <v>0.27291420044648401</v>
      </c>
      <c r="J42" s="105">
        <v>0.28144276921043598</v>
      </c>
      <c r="K42" s="92">
        <v>0.28997133797438901</v>
      </c>
      <c r="L42" s="92">
        <v>0.29849990673834198</v>
      </c>
      <c r="M42" s="92"/>
      <c r="N42" s="92"/>
      <c r="O42" s="89"/>
      <c r="P42" s="89"/>
      <c r="Q42" s="89"/>
      <c r="R42" s="89"/>
      <c r="S42" s="89"/>
      <c r="AD42" s="100">
        <v>100</v>
      </c>
    </row>
    <row r="43" spans="1:30" hidden="1" x14ac:dyDescent="0.25">
      <c r="A43" t="s">
        <v>222</v>
      </c>
      <c r="B43" s="100">
        <v>19</v>
      </c>
      <c r="C43" s="104"/>
      <c r="D43" s="104"/>
      <c r="E43" s="104"/>
      <c r="F43" s="104"/>
      <c r="G43" s="105"/>
      <c r="H43" s="105"/>
      <c r="I43" s="105">
        <v>0.27291420044648401</v>
      </c>
      <c r="J43" s="105">
        <v>0.28144276921043598</v>
      </c>
      <c r="K43" s="107">
        <v>0.28997133797438901</v>
      </c>
      <c r="L43" s="107">
        <v>0.29849990673834198</v>
      </c>
      <c r="M43" s="107"/>
      <c r="N43" s="107"/>
      <c r="O43" s="108"/>
      <c r="P43" s="108"/>
      <c r="Q43" s="89"/>
      <c r="R43" s="89"/>
      <c r="S43" s="89"/>
      <c r="AD43" s="100">
        <v>100</v>
      </c>
    </row>
    <row r="44" spans="1:30" hidden="1" x14ac:dyDescent="0.25">
      <c r="A44" s="122" t="s">
        <v>812</v>
      </c>
      <c r="B44" s="100">
        <v>10</v>
      </c>
      <c r="C44" s="104"/>
      <c r="D44" s="104"/>
      <c r="E44" s="104"/>
      <c r="F44" s="104"/>
      <c r="G44" s="105"/>
      <c r="H44" s="105"/>
      <c r="I44" s="105">
        <v>0.13645710022324201</v>
      </c>
      <c r="J44" s="105">
        <v>0.14072138460521799</v>
      </c>
      <c r="K44" s="107">
        <v>0.144985668987195</v>
      </c>
      <c r="L44" s="107">
        <v>0.14924995336917099</v>
      </c>
      <c r="M44" s="107">
        <v>0.16328810094867499</v>
      </c>
      <c r="N44" s="107">
        <v>0.167823881530582</v>
      </c>
      <c r="O44" s="108">
        <v>0.17235966211248999</v>
      </c>
      <c r="P44" s="108">
        <v>0.176895442694398</v>
      </c>
      <c r="Q44" s="108">
        <v>0.19229107127355799</v>
      </c>
      <c r="R44" s="108">
        <v>0.197098348055397</v>
      </c>
      <c r="S44" s="108">
        <v>0.20190562483723601</v>
      </c>
      <c r="T44">
        <v>0.20671290161907499</v>
      </c>
      <c r="U44" s="57">
        <v>0.18992170103817199</v>
      </c>
      <c r="V44">
        <v>0.19423810333449401</v>
      </c>
      <c r="W44">
        <v>0.198554505630816</v>
      </c>
      <c r="X44">
        <v>0.20287090792713799</v>
      </c>
      <c r="Y44">
        <v>0.20718731022345999</v>
      </c>
      <c r="Z44">
        <v>0.21150371251978201</v>
      </c>
      <c r="AA44">
        <v>0.215820114816105</v>
      </c>
      <c r="AB44">
        <v>0.22013651711242699</v>
      </c>
      <c r="AC44">
        <v>0.22445291940874901</v>
      </c>
      <c r="AD44" s="100">
        <v>100</v>
      </c>
    </row>
    <row r="45" spans="1:30" hidden="1" x14ac:dyDescent="0.25">
      <c r="A45" s="122" t="s">
        <v>812</v>
      </c>
      <c r="B45" s="100">
        <v>17</v>
      </c>
      <c r="C45" s="104"/>
      <c r="D45" s="104"/>
      <c r="E45" s="104"/>
      <c r="F45" s="104"/>
      <c r="G45" s="105"/>
      <c r="H45" s="105"/>
      <c r="I45" s="105">
        <v>0.13645710022324201</v>
      </c>
      <c r="J45" s="105">
        <v>0.14072138460521799</v>
      </c>
      <c r="K45" s="107">
        <v>0.144985668987195</v>
      </c>
      <c r="L45" s="107">
        <v>0.14924995336917099</v>
      </c>
      <c r="M45" s="107">
        <v>0.16328810094867499</v>
      </c>
      <c r="N45" s="107">
        <v>0.167823881530582</v>
      </c>
      <c r="O45" s="108">
        <v>0.17235966211248999</v>
      </c>
      <c r="P45" s="108">
        <v>0.176895442694398</v>
      </c>
      <c r="Q45" s="108">
        <v>0.19229107127355799</v>
      </c>
      <c r="R45" s="108">
        <v>0.197098348055397</v>
      </c>
      <c r="S45" s="108">
        <v>0.20190562483723601</v>
      </c>
      <c r="T45">
        <v>0.20671290161907499</v>
      </c>
      <c r="U45" s="57">
        <v>0.18992170103817199</v>
      </c>
      <c r="V45">
        <v>0.19423810333449401</v>
      </c>
      <c r="W45">
        <v>0.198554505630816</v>
      </c>
      <c r="X45">
        <v>0.20287090792713799</v>
      </c>
      <c r="Y45">
        <v>0.20718731022345999</v>
      </c>
      <c r="Z45">
        <v>0.21150371251978201</v>
      </c>
      <c r="AA45">
        <v>0.215820114816105</v>
      </c>
      <c r="AB45">
        <v>0.22013651711242699</v>
      </c>
      <c r="AC45">
        <v>0.22445291940874901</v>
      </c>
      <c r="AD45" s="100">
        <v>100</v>
      </c>
    </row>
    <row r="46" spans="1:30" hidden="1" x14ac:dyDescent="0.25">
      <c r="A46" s="122" t="s">
        <v>121</v>
      </c>
      <c r="B46" s="100">
        <v>10</v>
      </c>
      <c r="C46" s="104"/>
      <c r="D46" s="104"/>
      <c r="E46" s="104"/>
      <c r="F46" s="104"/>
      <c r="G46" s="105"/>
      <c r="H46" s="105"/>
      <c r="I46" s="105">
        <v>0.13645710022324201</v>
      </c>
      <c r="J46" s="105">
        <v>0.14072138460521799</v>
      </c>
      <c r="K46" s="107">
        <v>0.144985668987195</v>
      </c>
      <c r="L46" s="107">
        <v>0.14924995336917099</v>
      </c>
      <c r="M46" s="107">
        <v>0.16328810094867499</v>
      </c>
      <c r="N46" s="107">
        <v>0.167823881530582</v>
      </c>
      <c r="O46" s="108">
        <v>0.17235966211248999</v>
      </c>
      <c r="P46" s="108">
        <v>0.176895442694398</v>
      </c>
      <c r="Q46" s="108">
        <v>0.19229107127355799</v>
      </c>
      <c r="R46" s="108">
        <v>0.197098348055397</v>
      </c>
      <c r="S46" s="108">
        <v>0.20190562483723601</v>
      </c>
      <c r="T46">
        <v>0.20671290161907499</v>
      </c>
      <c r="U46" s="57">
        <v>0.18992170103817199</v>
      </c>
      <c r="V46">
        <v>0.19423810333449401</v>
      </c>
      <c r="W46">
        <v>0.198554505630816</v>
      </c>
      <c r="X46">
        <v>0.20287090792713799</v>
      </c>
      <c r="Y46">
        <v>0.20718731022345999</v>
      </c>
      <c r="Z46">
        <v>0.21150371251978201</v>
      </c>
      <c r="AA46">
        <v>0.215820114816105</v>
      </c>
      <c r="AB46">
        <v>0.22013651711242699</v>
      </c>
      <c r="AC46">
        <v>0.22445291940874901</v>
      </c>
      <c r="AD46" s="100">
        <v>100</v>
      </c>
    </row>
    <row r="47" spans="1:30" hidden="1" x14ac:dyDescent="0.25">
      <c r="A47" s="122" t="s">
        <v>121</v>
      </c>
      <c r="B47" s="100">
        <v>17</v>
      </c>
      <c r="C47" s="104"/>
      <c r="D47" s="104"/>
      <c r="E47" s="104"/>
      <c r="F47" s="104"/>
      <c r="G47" s="105"/>
      <c r="H47" s="105"/>
      <c r="I47" s="105">
        <v>0.13645710022324201</v>
      </c>
      <c r="J47" s="105">
        <v>0.14072138460521799</v>
      </c>
      <c r="K47" s="107">
        <v>0.144985668987195</v>
      </c>
      <c r="L47" s="107">
        <v>0.14924995336917099</v>
      </c>
      <c r="M47" s="107">
        <v>0.16328810094867499</v>
      </c>
      <c r="N47" s="107">
        <v>0.167823881530582</v>
      </c>
      <c r="O47" s="108">
        <v>0.17235966211248999</v>
      </c>
      <c r="P47" s="108">
        <v>0.176895442694398</v>
      </c>
      <c r="Q47" s="108">
        <v>0.19229107127355799</v>
      </c>
      <c r="R47" s="108">
        <v>0.197098348055397</v>
      </c>
      <c r="S47" s="108">
        <v>0.20190562483723601</v>
      </c>
      <c r="T47">
        <v>0.20671290161907499</v>
      </c>
      <c r="U47" s="57">
        <v>0.18992170103817199</v>
      </c>
      <c r="V47">
        <v>0.19423810333449401</v>
      </c>
      <c r="W47">
        <v>0.198554505630816</v>
      </c>
      <c r="X47">
        <v>0.20287090792713799</v>
      </c>
      <c r="Y47">
        <v>0.20718731022345999</v>
      </c>
      <c r="Z47">
        <v>0.21150371251978201</v>
      </c>
      <c r="AA47">
        <v>0.215820114816105</v>
      </c>
      <c r="AB47">
        <v>0.22013651711242699</v>
      </c>
      <c r="AC47">
        <v>0.22445291940874901</v>
      </c>
      <c r="AD47" s="100">
        <v>100</v>
      </c>
    </row>
    <row r="48" spans="1:30" hidden="1" x14ac:dyDescent="0.25">
      <c r="A48" s="122" t="s">
        <v>223</v>
      </c>
      <c r="B48" s="100">
        <v>10</v>
      </c>
      <c r="C48" s="104"/>
      <c r="D48" s="104"/>
      <c r="E48" s="104"/>
      <c r="F48" s="104"/>
      <c r="G48" s="105"/>
      <c r="H48" s="105"/>
      <c r="I48" s="105">
        <v>0.13645710022324201</v>
      </c>
      <c r="J48" s="105">
        <v>0.14072138460521799</v>
      </c>
      <c r="K48" s="107">
        <v>0.144985668987195</v>
      </c>
      <c r="L48" s="107">
        <v>0.14924995336917099</v>
      </c>
      <c r="M48" s="107">
        <v>0.16328810094867499</v>
      </c>
      <c r="N48" s="107">
        <v>0.167823881530582</v>
      </c>
      <c r="O48" s="108">
        <v>0.17235966211248999</v>
      </c>
      <c r="P48" s="108">
        <v>0.176895442694398</v>
      </c>
      <c r="Q48" s="108">
        <v>0.19229107127355799</v>
      </c>
      <c r="R48" s="108">
        <v>0.197098348055397</v>
      </c>
      <c r="S48" s="108">
        <v>0.20190562483723601</v>
      </c>
      <c r="T48">
        <v>0.20671290161907499</v>
      </c>
      <c r="U48" s="57">
        <v>0.18992170103817199</v>
      </c>
      <c r="V48">
        <v>0.19423810333449401</v>
      </c>
      <c r="W48">
        <v>0.198554505630816</v>
      </c>
      <c r="X48">
        <v>0.20287090792713799</v>
      </c>
      <c r="Y48">
        <v>0.20718731022345999</v>
      </c>
      <c r="Z48">
        <v>0.21150371251978201</v>
      </c>
      <c r="AA48">
        <v>0.215820114816105</v>
      </c>
      <c r="AB48">
        <v>0.22013651711242699</v>
      </c>
      <c r="AC48">
        <v>0.22445291940874901</v>
      </c>
      <c r="AD48" s="100">
        <v>100</v>
      </c>
    </row>
    <row r="49" spans="1:30" hidden="1" x14ac:dyDescent="0.25">
      <c r="A49" s="122" t="s">
        <v>223</v>
      </c>
      <c r="B49" s="100">
        <v>17</v>
      </c>
      <c r="C49" s="104"/>
      <c r="D49" s="104"/>
      <c r="E49" s="104"/>
      <c r="F49" s="104"/>
      <c r="G49" s="105"/>
      <c r="H49" s="105"/>
      <c r="I49" s="105">
        <v>0.13645710022324201</v>
      </c>
      <c r="J49" s="105">
        <v>0.14072138460521799</v>
      </c>
      <c r="K49" s="107">
        <v>0.144985668987195</v>
      </c>
      <c r="L49" s="107">
        <v>0.14924995336917099</v>
      </c>
      <c r="M49" s="107">
        <v>0.16328810094867499</v>
      </c>
      <c r="N49" s="107">
        <v>0.167823881530582</v>
      </c>
      <c r="O49" s="108">
        <v>0.17235966211248999</v>
      </c>
      <c r="P49" s="108">
        <v>0.176895442694398</v>
      </c>
      <c r="Q49" s="108">
        <v>0.19229107127355799</v>
      </c>
      <c r="R49" s="108">
        <v>0.197098348055397</v>
      </c>
      <c r="S49" s="108">
        <v>0.20190562483723601</v>
      </c>
      <c r="T49">
        <v>0.20671290161907499</v>
      </c>
      <c r="U49" s="57">
        <v>0.18992170103817199</v>
      </c>
      <c r="V49">
        <v>0.19423810333449401</v>
      </c>
      <c r="W49">
        <v>0.198554505630816</v>
      </c>
      <c r="X49">
        <v>0.20287090792713799</v>
      </c>
      <c r="Y49">
        <v>0.20718731022345999</v>
      </c>
      <c r="Z49">
        <v>0.21150371251978201</v>
      </c>
      <c r="AA49">
        <v>0.215820114816105</v>
      </c>
      <c r="AB49">
        <v>0.22013651711242699</v>
      </c>
      <c r="AC49">
        <v>0.22445291940874901</v>
      </c>
      <c r="AD49" s="100">
        <v>100</v>
      </c>
    </row>
    <row r="50" spans="1:30" hidden="1" x14ac:dyDescent="0.25">
      <c r="A50" s="122" t="s">
        <v>819</v>
      </c>
      <c r="B50" s="100">
        <v>10</v>
      </c>
      <c r="C50" s="104"/>
      <c r="D50" s="104"/>
      <c r="E50" s="104"/>
      <c r="F50" s="104"/>
      <c r="G50" s="105"/>
      <c r="H50" s="105"/>
      <c r="I50" s="105">
        <v>0.13645710022324201</v>
      </c>
      <c r="J50" s="105">
        <v>0.14072138460521799</v>
      </c>
      <c r="K50" s="107">
        <v>0.144985668987195</v>
      </c>
      <c r="L50" s="107">
        <v>0.14924995336917099</v>
      </c>
      <c r="M50" s="107">
        <v>0.16328810094867499</v>
      </c>
      <c r="N50" s="107">
        <v>0.167823881530582</v>
      </c>
      <c r="O50" s="108">
        <v>0.17235966211248999</v>
      </c>
      <c r="P50" s="108">
        <v>0.176895442694398</v>
      </c>
      <c r="Q50" s="108">
        <v>0.19229107127355799</v>
      </c>
      <c r="R50" s="108">
        <v>0.197098348055397</v>
      </c>
      <c r="S50" s="108">
        <v>0.20190562483723601</v>
      </c>
      <c r="T50">
        <v>0.20671290161907499</v>
      </c>
      <c r="U50" s="57">
        <v>0.18992170103817199</v>
      </c>
      <c r="V50">
        <v>0.19423810333449401</v>
      </c>
      <c r="W50">
        <v>0.198554505630816</v>
      </c>
      <c r="X50">
        <v>0.20287090792713799</v>
      </c>
      <c r="Y50">
        <v>0.20718731022345999</v>
      </c>
      <c r="Z50">
        <v>0.21150371251978201</v>
      </c>
      <c r="AA50">
        <v>0.215820114816105</v>
      </c>
      <c r="AB50">
        <v>0.22013651711242699</v>
      </c>
      <c r="AC50">
        <v>0.22445291940874901</v>
      </c>
      <c r="AD50" s="100">
        <v>100</v>
      </c>
    </row>
    <row r="51" spans="1:30" hidden="1" x14ac:dyDescent="0.25">
      <c r="A51" s="122" t="s">
        <v>819</v>
      </c>
      <c r="B51" s="100">
        <v>17</v>
      </c>
      <c r="C51" s="104"/>
      <c r="D51" s="104"/>
      <c r="E51" s="104"/>
      <c r="F51" s="104"/>
      <c r="G51" s="105"/>
      <c r="H51" s="105"/>
      <c r="I51" s="105">
        <v>0.13645710022324201</v>
      </c>
      <c r="J51" s="105">
        <v>0.14072138460521799</v>
      </c>
      <c r="K51" s="107">
        <v>0.144985668987195</v>
      </c>
      <c r="L51" s="107">
        <v>0.14924995336917099</v>
      </c>
      <c r="M51" s="107">
        <v>0.16328810094867499</v>
      </c>
      <c r="N51" s="107">
        <v>0.167823881530582</v>
      </c>
      <c r="O51" s="108">
        <v>0.17235966211248999</v>
      </c>
      <c r="P51" s="108">
        <v>0.176895442694398</v>
      </c>
      <c r="Q51" s="108">
        <v>0.19229107127355799</v>
      </c>
      <c r="R51" s="108">
        <v>0.197098348055397</v>
      </c>
      <c r="S51" s="108">
        <v>0.20190562483723601</v>
      </c>
      <c r="T51">
        <v>0.20671290161907499</v>
      </c>
      <c r="U51" s="57">
        <v>0.18992170103817199</v>
      </c>
      <c r="V51">
        <v>0.19423810333449401</v>
      </c>
      <c r="W51">
        <v>0.198554505630816</v>
      </c>
      <c r="X51">
        <v>0.20287090792713799</v>
      </c>
      <c r="Y51">
        <v>0.20718731022345999</v>
      </c>
      <c r="Z51">
        <v>0.21150371251978201</v>
      </c>
      <c r="AA51">
        <v>0.215820114816105</v>
      </c>
      <c r="AB51">
        <v>0.22013651711242699</v>
      </c>
      <c r="AC51">
        <v>0.22445291940874901</v>
      </c>
      <c r="AD51" s="100">
        <v>100</v>
      </c>
    </row>
    <row r="52" spans="1:30" hidden="1" x14ac:dyDescent="0.25">
      <c r="A52" s="99" t="s">
        <v>822</v>
      </c>
      <c r="B52" s="100">
        <v>10</v>
      </c>
      <c r="C52" s="104"/>
      <c r="D52" s="104"/>
      <c r="E52" s="104"/>
      <c r="F52" s="104"/>
      <c r="G52" s="105"/>
      <c r="H52" s="105"/>
      <c r="I52" s="105">
        <v>0.13645710022324201</v>
      </c>
      <c r="J52" s="105">
        <v>0.14072138460521799</v>
      </c>
      <c r="K52" s="107">
        <v>0.144985668987195</v>
      </c>
      <c r="L52" s="107">
        <v>0.14924995336917099</v>
      </c>
      <c r="M52" s="107">
        <v>0.16328810094867499</v>
      </c>
      <c r="N52" s="107">
        <v>0.167823881530582</v>
      </c>
      <c r="O52" s="108">
        <v>0.17235966211248999</v>
      </c>
      <c r="P52" s="108">
        <v>0.176895442694398</v>
      </c>
      <c r="Q52" s="108">
        <v>0.19229107127355799</v>
      </c>
      <c r="R52" s="108">
        <v>0.197098348055397</v>
      </c>
      <c r="S52" s="108">
        <v>0.20190562483723601</v>
      </c>
      <c r="T52">
        <v>0.20671290161907499</v>
      </c>
      <c r="U52" s="57">
        <v>0.18992170103817199</v>
      </c>
      <c r="V52">
        <v>0.19423810333449401</v>
      </c>
      <c r="W52">
        <v>0.198554505630816</v>
      </c>
      <c r="X52">
        <v>0.20287090792713799</v>
      </c>
      <c r="Y52">
        <v>0.20718731022345999</v>
      </c>
      <c r="Z52">
        <v>0.21150371251978201</v>
      </c>
      <c r="AA52">
        <v>0.215820114816105</v>
      </c>
      <c r="AB52">
        <v>0.22013651711242699</v>
      </c>
      <c r="AC52">
        <v>0.22445291940874901</v>
      </c>
      <c r="AD52" s="100">
        <v>100</v>
      </c>
    </row>
    <row r="53" spans="1:30" hidden="1" x14ac:dyDescent="0.25">
      <c r="A53" s="122" t="s">
        <v>822</v>
      </c>
      <c r="B53" s="100">
        <v>17</v>
      </c>
      <c r="C53" s="104"/>
      <c r="D53" s="104"/>
      <c r="E53" s="104"/>
      <c r="F53" s="104"/>
      <c r="G53" s="105"/>
      <c r="H53" s="105"/>
      <c r="I53" s="105">
        <v>0.13645710022324201</v>
      </c>
      <c r="J53" s="105">
        <v>0.14072138460521799</v>
      </c>
      <c r="K53" s="107">
        <v>0.144985668987195</v>
      </c>
      <c r="L53" s="107">
        <v>0.14924995336917099</v>
      </c>
      <c r="M53" s="107">
        <v>0.16328810094867499</v>
      </c>
      <c r="N53" s="107">
        <v>0.167823881530582</v>
      </c>
      <c r="O53" s="108">
        <v>0.17235966211248999</v>
      </c>
      <c r="P53" s="108">
        <v>0.176895442694398</v>
      </c>
      <c r="Q53" s="108">
        <v>0.19229107127355799</v>
      </c>
      <c r="R53" s="108">
        <v>0.197098348055397</v>
      </c>
      <c r="S53" s="108">
        <v>0.20190562483723601</v>
      </c>
      <c r="T53">
        <v>0.20671290161907499</v>
      </c>
      <c r="U53" s="57">
        <v>0.18992170103817199</v>
      </c>
      <c r="V53">
        <v>0.19423810333449401</v>
      </c>
      <c r="W53">
        <v>0.198554505630816</v>
      </c>
      <c r="X53">
        <v>0.20287090792713799</v>
      </c>
      <c r="Y53">
        <v>0.20718731022345999</v>
      </c>
      <c r="Z53">
        <v>0.21150371251978201</v>
      </c>
      <c r="AA53">
        <v>0.215820114816105</v>
      </c>
      <c r="AB53">
        <v>0.22013651711242699</v>
      </c>
      <c r="AC53">
        <v>0.22445291940874901</v>
      </c>
      <c r="AD53" s="100">
        <v>100</v>
      </c>
    </row>
    <row r="54" spans="1:30" hidden="1" x14ac:dyDescent="0.25">
      <c r="A54" s="122" t="s">
        <v>826</v>
      </c>
      <c r="B54" s="100">
        <v>10</v>
      </c>
      <c r="C54" s="104"/>
      <c r="D54" s="104"/>
      <c r="E54" s="104"/>
      <c r="F54" s="104"/>
      <c r="G54" s="105"/>
      <c r="H54" s="105"/>
      <c r="I54" s="105">
        <v>0.13645710022324201</v>
      </c>
      <c r="J54" s="105">
        <v>0.14072138460521799</v>
      </c>
      <c r="K54" s="107">
        <v>0.144985668987195</v>
      </c>
      <c r="L54" s="107">
        <v>0.14924995336917099</v>
      </c>
      <c r="M54" s="107">
        <v>0.16328810094867499</v>
      </c>
      <c r="N54" s="107">
        <v>0.167823881530582</v>
      </c>
      <c r="O54" s="108">
        <v>0.17235966211248999</v>
      </c>
      <c r="P54" s="108">
        <v>0.176895442694398</v>
      </c>
      <c r="Q54" s="108">
        <v>0.19229107127355799</v>
      </c>
      <c r="R54" s="108">
        <v>0.197098348055397</v>
      </c>
      <c r="S54" s="108">
        <v>0.20190562483723601</v>
      </c>
      <c r="T54">
        <v>0.20671290161907499</v>
      </c>
      <c r="U54" s="57">
        <v>0.18992170103817199</v>
      </c>
      <c r="V54">
        <v>0.19423810333449401</v>
      </c>
      <c r="W54">
        <v>0.198554505630816</v>
      </c>
      <c r="X54">
        <v>0.20287090792713799</v>
      </c>
      <c r="Y54">
        <v>0.20718731022345999</v>
      </c>
      <c r="Z54">
        <v>0.21150371251978201</v>
      </c>
      <c r="AA54">
        <v>0.215820114816105</v>
      </c>
      <c r="AB54">
        <v>0.22013651711242699</v>
      </c>
      <c r="AC54">
        <v>0.22445291940874901</v>
      </c>
      <c r="AD54" s="100">
        <v>100</v>
      </c>
    </row>
    <row r="55" spans="1:30" hidden="1" x14ac:dyDescent="0.25">
      <c r="A55" s="122" t="s">
        <v>826</v>
      </c>
      <c r="B55" s="100">
        <v>17</v>
      </c>
      <c r="C55" s="104"/>
      <c r="D55" s="104"/>
      <c r="E55" s="104"/>
      <c r="F55" s="104"/>
      <c r="G55" s="105"/>
      <c r="H55" s="105"/>
      <c r="I55" s="105">
        <v>0.13645710022324201</v>
      </c>
      <c r="J55" s="105">
        <v>0.14072138460521799</v>
      </c>
      <c r="K55" s="107">
        <v>0.144985668987195</v>
      </c>
      <c r="L55" s="107">
        <v>0.14924995336917099</v>
      </c>
      <c r="M55" s="107">
        <v>0.16328810094867499</v>
      </c>
      <c r="N55" s="107">
        <v>0.167823881530582</v>
      </c>
      <c r="O55" s="108">
        <v>0.17235966211248999</v>
      </c>
      <c r="P55" s="108">
        <v>0.176895442694398</v>
      </c>
      <c r="Q55" s="108">
        <v>0.19229107127355799</v>
      </c>
      <c r="R55" s="108">
        <v>0.197098348055397</v>
      </c>
      <c r="S55" s="108">
        <v>0.20190562483723601</v>
      </c>
      <c r="T55">
        <v>0.20671290161907499</v>
      </c>
      <c r="U55" s="57">
        <v>0.18992170103817199</v>
      </c>
      <c r="V55">
        <v>0.19423810333449401</v>
      </c>
      <c r="W55">
        <v>0.198554505630816</v>
      </c>
      <c r="X55">
        <v>0.20287090792713799</v>
      </c>
      <c r="Y55">
        <v>0.20718731022345999</v>
      </c>
      <c r="Z55">
        <v>0.21150371251978201</v>
      </c>
      <c r="AA55">
        <v>0.215820114816105</v>
      </c>
      <c r="AB55">
        <v>0.22013651711242699</v>
      </c>
      <c r="AC55">
        <v>0.22445291940874901</v>
      </c>
      <c r="AD55" s="100">
        <v>100</v>
      </c>
    </row>
    <row r="56" spans="1:30" hidden="1" x14ac:dyDescent="0.25">
      <c r="A56" t="s">
        <v>829</v>
      </c>
      <c r="B56" s="100">
        <v>13</v>
      </c>
      <c r="C56" s="113"/>
      <c r="D56" s="113"/>
      <c r="E56" s="113"/>
      <c r="F56" s="113"/>
      <c r="G56" s="91"/>
      <c r="H56" s="91"/>
      <c r="I56" s="91">
        <v>0.27291420044648401</v>
      </c>
      <c r="J56" s="91">
        <v>0.28144276921043598</v>
      </c>
      <c r="K56" s="92">
        <v>0.28997133797438901</v>
      </c>
      <c r="L56" s="92">
        <v>0.29849990673834198</v>
      </c>
      <c r="M56" s="92"/>
      <c r="N56" s="92"/>
      <c r="O56" s="89"/>
      <c r="P56" s="89"/>
      <c r="Q56" s="89"/>
      <c r="R56" s="89"/>
      <c r="S56" s="89"/>
      <c r="AD56" s="100">
        <v>100</v>
      </c>
    </row>
    <row r="57" spans="1:30" hidden="1" x14ac:dyDescent="0.25">
      <c r="A57" t="s">
        <v>829</v>
      </c>
      <c r="B57" s="100">
        <v>20</v>
      </c>
      <c r="C57" s="104"/>
      <c r="D57" s="104"/>
      <c r="E57" s="104"/>
      <c r="F57" s="104"/>
      <c r="G57" s="105"/>
      <c r="H57" s="105"/>
      <c r="I57" s="105">
        <v>0.27291420044648401</v>
      </c>
      <c r="J57" s="105">
        <v>0.28144276921043598</v>
      </c>
      <c r="K57" s="107">
        <v>0.28997133797438901</v>
      </c>
      <c r="L57" s="107">
        <v>0.29849990673834198</v>
      </c>
      <c r="M57" s="107"/>
      <c r="N57" s="107"/>
      <c r="O57" s="108"/>
      <c r="P57" s="108"/>
      <c r="Q57" s="108"/>
      <c r="R57" s="108"/>
      <c r="S57" s="108"/>
      <c r="AD57" s="100">
        <v>100</v>
      </c>
    </row>
    <row r="58" spans="1:30" hidden="1" x14ac:dyDescent="0.25">
      <c r="A58" t="s">
        <v>832</v>
      </c>
      <c r="B58" s="100">
        <v>15</v>
      </c>
      <c r="C58" s="104"/>
      <c r="D58" s="104"/>
      <c r="E58" s="104"/>
      <c r="F58" s="104"/>
      <c r="G58" s="105"/>
      <c r="H58" s="105"/>
      <c r="I58" s="105">
        <v>0.13645710022324201</v>
      </c>
      <c r="J58" s="105">
        <v>0.14072138460521799</v>
      </c>
      <c r="K58" s="107">
        <v>0.144985668987195</v>
      </c>
      <c r="L58" s="107">
        <v>0.14924995336917099</v>
      </c>
      <c r="M58" s="107">
        <v>0.16328810094867499</v>
      </c>
      <c r="N58" s="107">
        <v>0.167823881530582</v>
      </c>
      <c r="O58" s="108">
        <v>0.17235966211248999</v>
      </c>
      <c r="P58" s="108">
        <v>0.176895442694398</v>
      </c>
      <c r="Q58" s="108">
        <v>0.19229107127355799</v>
      </c>
      <c r="R58" s="108">
        <v>0.197098348055397</v>
      </c>
      <c r="S58" s="108">
        <v>0.20190562483723601</v>
      </c>
      <c r="T58">
        <v>0.20671290161907499</v>
      </c>
      <c r="U58">
        <v>0.18992170103817199</v>
      </c>
      <c r="V58">
        <v>0.19423810333449401</v>
      </c>
      <c r="W58">
        <v>0.198554505630816</v>
      </c>
      <c r="X58">
        <v>0.20287090792713799</v>
      </c>
      <c r="Y58">
        <v>0.20718731022345999</v>
      </c>
      <c r="Z58">
        <v>0.21150371251978201</v>
      </c>
      <c r="AA58">
        <v>0.215820114816105</v>
      </c>
      <c r="AB58">
        <v>0.22013651711242699</v>
      </c>
      <c r="AC58">
        <v>0.22445291940874901</v>
      </c>
      <c r="AD58" s="100">
        <v>100</v>
      </c>
    </row>
    <row r="59" spans="1:30" hidden="1" x14ac:dyDescent="0.25">
      <c r="A59" t="s">
        <v>832</v>
      </c>
      <c r="B59" s="100">
        <v>22</v>
      </c>
      <c r="C59" s="104"/>
      <c r="D59" s="104"/>
      <c r="E59" s="104"/>
      <c r="F59" s="104"/>
      <c r="G59" s="105"/>
      <c r="H59" s="105"/>
      <c r="I59" s="105">
        <v>0.13645710022324201</v>
      </c>
      <c r="J59" s="105">
        <v>0.14072138460521799</v>
      </c>
      <c r="K59" s="107">
        <v>0.144985668987195</v>
      </c>
      <c r="L59" s="107">
        <v>0.14924995336917099</v>
      </c>
      <c r="M59" s="107">
        <v>0.16328810094867499</v>
      </c>
      <c r="N59" s="107">
        <v>0.167823881530582</v>
      </c>
      <c r="O59" s="108">
        <v>0.17235966211248999</v>
      </c>
      <c r="P59" s="108">
        <v>0.176895442694398</v>
      </c>
      <c r="Q59" s="108">
        <v>0.19229107127355799</v>
      </c>
      <c r="R59" s="108">
        <v>0.197098348055397</v>
      </c>
      <c r="S59" s="108">
        <v>0.20190562483723601</v>
      </c>
      <c r="T59">
        <v>0.20671290161907499</v>
      </c>
      <c r="U59">
        <v>0.18992170103817199</v>
      </c>
      <c r="V59">
        <v>0.19423810333449401</v>
      </c>
      <c r="W59">
        <v>0.198554505630816</v>
      </c>
      <c r="X59">
        <v>0.20287090792713799</v>
      </c>
      <c r="Y59">
        <v>0.20718731022345999</v>
      </c>
      <c r="Z59">
        <v>0.21150371251978201</v>
      </c>
      <c r="AA59">
        <v>0.215820114816105</v>
      </c>
      <c r="AB59">
        <v>0.22013651711242699</v>
      </c>
      <c r="AC59">
        <v>0.22445291940874901</v>
      </c>
      <c r="AD59" s="100">
        <v>100</v>
      </c>
    </row>
    <row r="60" spans="1:30" hidden="1" x14ac:dyDescent="0.25">
      <c r="A60" s="122" t="s">
        <v>224</v>
      </c>
      <c r="B60" s="100">
        <v>10</v>
      </c>
      <c r="C60" s="104"/>
      <c r="D60" s="104"/>
      <c r="E60" s="104"/>
      <c r="F60" s="104"/>
      <c r="G60" s="105"/>
      <c r="H60" s="105"/>
      <c r="I60" s="105">
        <v>0.13645710022324201</v>
      </c>
      <c r="J60" s="105">
        <v>0.14072138460521799</v>
      </c>
      <c r="K60" s="107">
        <v>0.144985668987195</v>
      </c>
      <c r="L60" s="107">
        <v>0.14924995336917099</v>
      </c>
      <c r="M60" s="107">
        <v>0.16328810094867499</v>
      </c>
      <c r="N60" s="107">
        <v>0.167823881530582</v>
      </c>
      <c r="O60" s="108">
        <v>0.17235966211248999</v>
      </c>
      <c r="P60" s="108">
        <v>0.176895442694398</v>
      </c>
      <c r="Q60" s="108">
        <v>0.19229107127355799</v>
      </c>
      <c r="R60" s="108">
        <v>0.197098348055397</v>
      </c>
      <c r="S60" s="108">
        <v>0.20190562483723601</v>
      </c>
      <c r="T60">
        <v>0.20671290161907499</v>
      </c>
      <c r="U60" s="57">
        <v>0.18992170103817199</v>
      </c>
      <c r="V60">
        <v>0.19423810333449401</v>
      </c>
      <c r="W60">
        <v>0.198554505630816</v>
      </c>
      <c r="X60">
        <v>0.20287090792713799</v>
      </c>
      <c r="Y60">
        <v>0.20718731022345999</v>
      </c>
      <c r="Z60">
        <v>0.21150371251978201</v>
      </c>
      <c r="AA60">
        <v>0.215820114816105</v>
      </c>
      <c r="AB60">
        <v>0.22013651711242699</v>
      </c>
      <c r="AC60">
        <v>0.22445291940874901</v>
      </c>
      <c r="AD60" s="100">
        <v>100</v>
      </c>
    </row>
    <row r="61" spans="1:30" hidden="1" x14ac:dyDescent="0.25">
      <c r="A61" s="122" t="s">
        <v>224</v>
      </c>
      <c r="B61" s="100">
        <v>17</v>
      </c>
      <c r="C61" s="104"/>
      <c r="D61" s="104"/>
      <c r="E61" s="104"/>
      <c r="F61" s="104"/>
      <c r="G61" s="105"/>
      <c r="H61" s="105"/>
      <c r="I61" s="105">
        <v>0.13645710022324201</v>
      </c>
      <c r="J61" s="105">
        <v>0.14072138460521799</v>
      </c>
      <c r="K61" s="107">
        <v>0.144985668987195</v>
      </c>
      <c r="L61" s="107">
        <v>0.14924995336917099</v>
      </c>
      <c r="M61" s="107">
        <v>0.16328810094867499</v>
      </c>
      <c r="N61" s="107">
        <v>0.167823881530582</v>
      </c>
      <c r="O61" s="108">
        <v>0.17235966211248999</v>
      </c>
      <c r="P61" s="108">
        <v>0.176895442694398</v>
      </c>
      <c r="Q61" s="108">
        <v>0.19229107127355799</v>
      </c>
      <c r="R61" s="108">
        <v>0.197098348055397</v>
      </c>
      <c r="S61" s="108">
        <v>0.20190562483723601</v>
      </c>
      <c r="T61">
        <v>0.20671290161907499</v>
      </c>
      <c r="U61" s="57">
        <v>0.18992170103817199</v>
      </c>
      <c r="V61">
        <v>0.19423810333449401</v>
      </c>
      <c r="W61">
        <v>0.198554505630816</v>
      </c>
      <c r="X61">
        <v>0.20287090792713799</v>
      </c>
      <c r="Y61">
        <v>0.20718731022345999</v>
      </c>
      <c r="Z61">
        <v>0.21150371251978201</v>
      </c>
      <c r="AA61">
        <v>0.215820114816105</v>
      </c>
      <c r="AB61">
        <v>0.22013651711242699</v>
      </c>
      <c r="AC61">
        <v>0.22445291940874901</v>
      </c>
      <c r="AD61" s="100">
        <v>100</v>
      </c>
    </row>
    <row r="62" spans="1:30" hidden="1" x14ac:dyDescent="0.25">
      <c r="A62" t="s">
        <v>224</v>
      </c>
      <c r="B62" s="100">
        <v>14</v>
      </c>
      <c r="C62" s="104"/>
      <c r="D62" s="104"/>
      <c r="E62" s="104"/>
      <c r="F62" s="104"/>
      <c r="G62" s="105"/>
      <c r="H62" s="105"/>
      <c r="I62" s="105">
        <v>0.122811390200918</v>
      </c>
      <c r="J62" s="105">
        <v>0.126649246144696</v>
      </c>
      <c r="K62" s="107">
        <v>0.130487102088475</v>
      </c>
      <c r="L62" s="107">
        <v>0.134324958032254</v>
      </c>
      <c r="M62" s="107">
        <v>0.14695929085380699</v>
      </c>
      <c r="N62" s="107">
        <v>0.15104149337752401</v>
      </c>
      <c r="O62" s="108">
        <v>0.155123695901241</v>
      </c>
      <c r="P62" s="108">
        <v>0.159205898424958</v>
      </c>
      <c r="Q62" s="108">
        <v>0.17306196414620201</v>
      </c>
      <c r="R62" s="108">
        <v>0.17738851324985699</v>
      </c>
      <c r="S62" s="108">
        <v>0.18171506235351201</v>
      </c>
      <c r="T62">
        <v>0.18604161145716699</v>
      </c>
      <c r="U62">
        <v>0.17092953093435501</v>
      </c>
      <c r="V62">
        <v>0.17481429300104501</v>
      </c>
      <c r="W62">
        <v>0.17869905506773501</v>
      </c>
      <c r="X62">
        <v>0.18258381713442401</v>
      </c>
      <c r="Y62">
        <v>0.18646857920111401</v>
      </c>
      <c r="Z62">
        <v>0.19035334126780401</v>
      </c>
      <c r="AA62">
        <v>0.19423810333449401</v>
      </c>
      <c r="AB62">
        <v>0.19812286540118401</v>
      </c>
      <c r="AC62">
        <v>0.20200762746787401</v>
      </c>
      <c r="AD62" s="100">
        <v>100</v>
      </c>
    </row>
    <row r="63" spans="1:30" hidden="1" x14ac:dyDescent="0.25">
      <c r="A63" t="s">
        <v>224</v>
      </c>
      <c r="B63" s="100">
        <v>21</v>
      </c>
      <c r="C63" s="104"/>
      <c r="D63" s="104"/>
      <c r="E63" s="104"/>
      <c r="F63" s="104"/>
      <c r="G63" s="105"/>
      <c r="H63" s="105"/>
      <c r="I63" s="105">
        <v>0.122811390200918</v>
      </c>
      <c r="J63" s="105">
        <v>0.126649246144696</v>
      </c>
      <c r="K63" s="107">
        <v>0.130487102088475</v>
      </c>
      <c r="L63" s="107">
        <v>0.134324958032254</v>
      </c>
      <c r="M63" s="107">
        <v>0.14695929085380699</v>
      </c>
      <c r="N63" s="107">
        <v>0.15104149337752401</v>
      </c>
      <c r="O63" s="108">
        <v>0.155123695901241</v>
      </c>
      <c r="P63" s="108">
        <v>0.159205898424958</v>
      </c>
      <c r="Q63" s="108">
        <v>0.17306196414620201</v>
      </c>
      <c r="R63" s="108">
        <v>0.17738851324985699</v>
      </c>
      <c r="S63" s="108">
        <v>0.18171506235351201</v>
      </c>
      <c r="T63">
        <v>0.18604161145716699</v>
      </c>
      <c r="U63">
        <v>0.17092953093435501</v>
      </c>
      <c r="V63">
        <v>0.17481429300104501</v>
      </c>
      <c r="W63">
        <v>0.17869905506773501</v>
      </c>
      <c r="X63">
        <v>0.18258381713442401</v>
      </c>
      <c r="Y63">
        <v>0.18646857920111401</v>
      </c>
      <c r="Z63">
        <v>0.19035334126780401</v>
      </c>
      <c r="AA63">
        <v>0.19423810333449401</v>
      </c>
      <c r="AB63">
        <v>0.19812286540118401</v>
      </c>
      <c r="AC63">
        <v>0.20200762746787401</v>
      </c>
      <c r="AD63" s="100">
        <v>100</v>
      </c>
    </row>
    <row r="64" spans="1:30" hidden="1" x14ac:dyDescent="0.25">
      <c r="A64" t="s">
        <v>837</v>
      </c>
      <c r="B64" s="100">
        <v>14</v>
      </c>
      <c r="C64" s="104"/>
      <c r="D64" s="104"/>
      <c r="E64" s="104"/>
      <c r="F64" s="104"/>
      <c r="G64" s="105"/>
      <c r="H64" s="105"/>
      <c r="I64" s="105">
        <v>0.122811390200918</v>
      </c>
      <c r="J64" s="105">
        <v>0.126649246144696</v>
      </c>
      <c r="K64" s="107">
        <v>0.130487102088475</v>
      </c>
      <c r="L64" s="107">
        <v>0.134324958032254</v>
      </c>
      <c r="M64" s="107">
        <v>0.14695929085380699</v>
      </c>
      <c r="N64" s="107">
        <v>0.15104149337752401</v>
      </c>
      <c r="O64" s="108">
        <v>0.155123695901241</v>
      </c>
      <c r="P64" s="108">
        <v>0.159205898424958</v>
      </c>
      <c r="Q64" s="108">
        <v>0.17306196414620201</v>
      </c>
      <c r="R64" s="108">
        <v>0.17738851324985699</v>
      </c>
      <c r="S64" s="108">
        <v>0.18171506235351201</v>
      </c>
      <c r="T64">
        <v>0.18604161145716699</v>
      </c>
      <c r="U64">
        <v>0.17092953093435501</v>
      </c>
      <c r="V64">
        <v>0.17481429300104501</v>
      </c>
      <c r="W64">
        <v>0.17869905506773501</v>
      </c>
      <c r="X64">
        <v>0.18258381713442401</v>
      </c>
      <c r="Y64">
        <v>0.18646857920111401</v>
      </c>
      <c r="Z64">
        <v>0.19035334126780401</v>
      </c>
      <c r="AA64">
        <v>0.19423810333449401</v>
      </c>
      <c r="AB64">
        <v>0.19812286540118401</v>
      </c>
      <c r="AC64">
        <v>0.20200762746787401</v>
      </c>
      <c r="AD64" s="100">
        <v>100</v>
      </c>
    </row>
    <row r="65" spans="1:30" hidden="1" x14ac:dyDescent="0.25">
      <c r="A65" t="s">
        <v>837</v>
      </c>
      <c r="B65" s="100">
        <v>21</v>
      </c>
      <c r="C65" s="104"/>
      <c r="D65" s="104"/>
      <c r="E65" s="104"/>
      <c r="F65" s="104"/>
      <c r="G65" s="105"/>
      <c r="H65" s="105"/>
      <c r="I65" s="105">
        <v>0.122811390200918</v>
      </c>
      <c r="J65" s="105">
        <v>0.126649246144696</v>
      </c>
      <c r="K65" s="107">
        <v>0.130487102088475</v>
      </c>
      <c r="L65" s="107">
        <v>0.134324958032254</v>
      </c>
      <c r="M65" s="107">
        <v>0.14695929085380699</v>
      </c>
      <c r="N65" s="107">
        <v>0.15104149337752401</v>
      </c>
      <c r="O65" s="108">
        <v>0.155123695901241</v>
      </c>
      <c r="P65" s="108">
        <v>0.159205898424958</v>
      </c>
      <c r="Q65" s="108">
        <v>0.17306196414620201</v>
      </c>
      <c r="R65" s="108">
        <v>0.17738851324985699</v>
      </c>
      <c r="S65" s="108">
        <v>0.18171506235351201</v>
      </c>
      <c r="T65">
        <v>0.18604161145716699</v>
      </c>
      <c r="U65">
        <v>0.17092953093435501</v>
      </c>
      <c r="V65">
        <v>0.17481429300104501</v>
      </c>
      <c r="W65">
        <v>0.17869905506773501</v>
      </c>
      <c r="X65">
        <v>0.18258381713442401</v>
      </c>
      <c r="Y65">
        <v>0.18646857920111401</v>
      </c>
      <c r="Z65">
        <v>0.19035334126780401</v>
      </c>
      <c r="AA65">
        <v>0.19423810333449401</v>
      </c>
      <c r="AB65">
        <v>0.19812286540118401</v>
      </c>
      <c r="AC65">
        <v>0.20200762746787401</v>
      </c>
      <c r="AD65" s="100">
        <v>100</v>
      </c>
    </row>
    <row r="66" spans="1:30" hidden="1" x14ac:dyDescent="0.25">
      <c r="A66" t="s">
        <v>842</v>
      </c>
      <c r="B66" s="100">
        <v>15</v>
      </c>
      <c r="C66" s="104"/>
      <c r="D66" s="104"/>
      <c r="E66" s="104"/>
      <c r="F66" s="104"/>
      <c r="G66" s="105"/>
      <c r="H66" s="105"/>
      <c r="I66" s="105">
        <v>0.13645710022324201</v>
      </c>
      <c r="J66" s="105">
        <v>0.14072138460521799</v>
      </c>
      <c r="K66" s="107">
        <v>0.144985668987195</v>
      </c>
      <c r="L66" s="107">
        <v>0.14924995336917099</v>
      </c>
      <c r="M66" s="107">
        <v>0.16328810094867499</v>
      </c>
      <c r="N66" s="107">
        <v>0.167823881530582</v>
      </c>
      <c r="O66" s="108">
        <v>0.17235966211248999</v>
      </c>
      <c r="P66" s="108">
        <v>0.176895442694398</v>
      </c>
      <c r="Q66" s="108">
        <v>0.19229107127355799</v>
      </c>
      <c r="R66" s="108">
        <v>0.197098348055397</v>
      </c>
      <c r="S66" s="108">
        <v>0.20190562483723601</v>
      </c>
      <c r="T66">
        <v>0.20671290161907499</v>
      </c>
      <c r="U66">
        <v>0.18992170103817199</v>
      </c>
      <c r="V66">
        <v>0.19423810333449401</v>
      </c>
      <c r="W66">
        <v>0.198554505630816</v>
      </c>
      <c r="X66">
        <v>0.20287090792713799</v>
      </c>
      <c r="Y66">
        <v>0.20718731022345999</v>
      </c>
      <c r="Z66">
        <v>0.21150371251978201</v>
      </c>
      <c r="AA66">
        <v>0.215820114816105</v>
      </c>
      <c r="AB66">
        <v>0.22013651711242699</v>
      </c>
      <c r="AC66">
        <v>0.22445291940874901</v>
      </c>
      <c r="AD66" s="100">
        <v>100</v>
      </c>
    </row>
    <row r="67" spans="1:30" hidden="1" x14ac:dyDescent="0.25">
      <c r="A67" t="s">
        <v>842</v>
      </c>
      <c r="B67" s="100">
        <v>22</v>
      </c>
      <c r="C67" s="104"/>
      <c r="D67" s="104"/>
      <c r="E67" s="104"/>
      <c r="F67" s="104"/>
      <c r="G67" s="105"/>
      <c r="H67" s="105"/>
      <c r="I67" s="105">
        <v>0.13645710022324201</v>
      </c>
      <c r="J67" s="105">
        <v>0.14072138460521799</v>
      </c>
      <c r="K67" s="107">
        <v>0.144985668987195</v>
      </c>
      <c r="L67" s="107">
        <v>0.14924995336917099</v>
      </c>
      <c r="M67" s="107">
        <v>0.16328810094867499</v>
      </c>
      <c r="N67" s="107">
        <v>0.167823881530582</v>
      </c>
      <c r="O67" s="108">
        <v>0.17235966211248999</v>
      </c>
      <c r="P67" s="108">
        <v>0.176895442694398</v>
      </c>
      <c r="Q67" s="108">
        <v>0.19229107127355799</v>
      </c>
      <c r="R67" s="108">
        <v>0.197098348055397</v>
      </c>
      <c r="S67" s="108">
        <v>0.20190562483723601</v>
      </c>
      <c r="T67">
        <v>0.20671290161907499</v>
      </c>
      <c r="U67">
        <v>0.18992170103817199</v>
      </c>
      <c r="V67">
        <v>0.19423810333449401</v>
      </c>
      <c r="W67">
        <v>0.198554505630816</v>
      </c>
      <c r="X67">
        <v>0.20287090792713799</v>
      </c>
      <c r="Y67">
        <v>0.20718731022345999</v>
      </c>
      <c r="Z67">
        <v>0.21150371251978201</v>
      </c>
      <c r="AA67">
        <v>0.215820114816105</v>
      </c>
      <c r="AB67">
        <v>0.22013651711242699</v>
      </c>
      <c r="AC67">
        <v>0.22445291940874901</v>
      </c>
      <c r="AD67" s="100">
        <v>100</v>
      </c>
    </row>
    <row r="68" spans="1:30" hidden="1" x14ac:dyDescent="0.25">
      <c r="A68" s="122" t="s">
        <v>122</v>
      </c>
      <c r="B68" s="100">
        <v>10</v>
      </c>
      <c r="C68" s="104"/>
      <c r="D68" s="104"/>
      <c r="E68" s="104"/>
      <c r="F68" s="104"/>
      <c r="G68" s="105"/>
      <c r="H68" s="105"/>
      <c r="I68" s="105">
        <v>0.13645710022324201</v>
      </c>
      <c r="J68" s="105">
        <v>0.14072138460521799</v>
      </c>
      <c r="K68" s="107">
        <v>0.144985668987195</v>
      </c>
      <c r="L68" s="107">
        <v>0.14924995336917099</v>
      </c>
      <c r="M68" s="107">
        <v>0.16328810094867499</v>
      </c>
      <c r="N68" s="107">
        <v>0.167823881530582</v>
      </c>
      <c r="O68" s="108">
        <v>0.17235966211248999</v>
      </c>
      <c r="P68" s="108">
        <v>0.176895442694398</v>
      </c>
      <c r="Q68" s="108">
        <v>0.19229107127355799</v>
      </c>
      <c r="R68" s="108">
        <v>0.197098348055397</v>
      </c>
      <c r="S68" s="108">
        <v>0.20190562483723601</v>
      </c>
      <c r="T68">
        <v>0.20671290161907499</v>
      </c>
      <c r="U68" s="57">
        <v>0.18992170103817199</v>
      </c>
      <c r="V68">
        <v>0.19423810333449401</v>
      </c>
      <c r="W68">
        <v>0.198554505630816</v>
      </c>
      <c r="X68">
        <v>0.20287090792713799</v>
      </c>
      <c r="Y68">
        <v>0.20718731022345999</v>
      </c>
      <c r="Z68">
        <v>0.21150371251978201</v>
      </c>
      <c r="AA68">
        <v>0.215820114816105</v>
      </c>
      <c r="AB68">
        <v>0.22013651711242699</v>
      </c>
      <c r="AC68">
        <v>0.22445291940874901</v>
      </c>
      <c r="AD68" s="100">
        <v>100</v>
      </c>
    </row>
    <row r="69" spans="1:30" hidden="1" x14ac:dyDescent="0.25">
      <c r="A69" s="122" t="s">
        <v>122</v>
      </c>
      <c r="B69" s="100">
        <v>17</v>
      </c>
      <c r="C69" s="104"/>
      <c r="D69" s="104"/>
      <c r="E69" s="104"/>
      <c r="F69" s="104"/>
      <c r="G69" s="105"/>
      <c r="H69" s="105"/>
      <c r="I69" s="105">
        <v>0.13645710022324201</v>
      </c>
      <c r="J69" s="105">
        <v>0.14072138460521799</v>
      </c>
      <c r="K69" s="107">
        <v>0.144985668987195</v>
      </c>
      <c r="L69" s="107">
        <v>0.14924995336917099</v>
      </c>
      <c r="M69" s="107">
        <v>0.16328810094867499</v>
      </c>
      <c r="N69" s="107">
        <v>0.167823881530582</v>
      </c>
      <c r="O69" s="108">
        <v>0.17235966211248999</v>
      </c>
      <c r="P69" s="108">
        <v>0.176895442694398</v>
      </c>
      <c r="Q69" s="108">
        <v>0.19229107127355799</v>
      </c>
      <c r="R69" s="108">
        <v>0.197098348055397</v>
      </c>
      <c r="S69" s="108">
        <v>0.20190562483723601</v>
      </c>
      <c r="T69">
        <v>0.20671290161907499</v>
      </c>
      <c r="U69" s="57">
        <v>0.18992170103817199</v>
      </c>
      <c r="V69">
        <v>0.19423810333449401</v>
      </c>
      <c r="W69">
        <v>0.198554505630816</v>
      </c>
      <c r="X69">
        <v>0.20287090792713799</v>
      </c>
      <c r="Y69">
        <v>0.20718731022345999</v>
      </c>
      <c r="Z69">
        <v>0.21150371251978201</v>
      </c>
      <c r="AA69">
        <v>0.215820114816105</v>
      </c>
      <c r="AB69">
        <v>0.22013651711242699</v>
      </c>
      <c r="AC69">
        <v>0.22445291940874901</v>
      </c>
      <c r="AD69" s="100">
        <v>100</v>
      </c>
    </row>
    <row r="70" spans="1:30" hidden="1" x14ac:dyDescent="0.25">
      <c r="A70" s="122" t="s">
        <v>847</v>
      </c>
      <c r="B70" s="100">
        <v>10</v>
      </c>
      <c r="C70" s="104"/>
      <c r="D70" s="104"/>
      <c r="E70" s="104"/>
      <c r="F70" s="104"/>
      <c r="G70" s="105"/>
      <c r="H70" s="105"/>
      <c r="I70" s="105">
        <v>0.13645710022324201</v>
      </c>
      <c r="J70" s="105">
        <v>0.14072138460521799</v>
      </c>
      <c r="K70" s="107">
        <v>0.144985668987195</v>
      </c>
      <c r="L70" s="107">
        <v>0.14924995336917099</v>
      </c>
      <c r="M70" s="107">
        <v>0.16328810094867499</v>
      </c>
      <c r="N70" s="107">
        <v>0.167823881530582</v>
      </c>
      <c r="O70" s="108">
        <v>0.17235966211248999</v>
      </c>
      <c r="P70" s="108">
        <v>0.176895442694398</v>
      </c>
      <c r="Q70" s="108">
        <v>0.19229107127355799</v>
      </c>
      <c r="R70" s="108">
        <v>0.197098348055397</v>
      </c>
      <c r="S70" s="108">
        <v>0.20190562483723601</v>
      </c>
      <c r="T70">
        <v>0.20671290161907499</v>
      </c>
      <c r="U70" s="57">
        <v>0.18992170103817199</v>
      </c>
      <c r="V70">
        <v>0.19423810333449401</v>
      </c>
      <c r="W70">
        <v>0.198554505630816</v>
      </c>
      <c r="X70">
        <v>0.20287090792713799</v>
      </c>
      <c r="Y70">
        <v>0.20718731022345999</v>
      </c>
      <c r="Z70">
        <v>0.21150371251978201</v>
      </c>
      <c r="AA70">
        <v>0.215820114816105</v>
      </c>
      <c r="AB70">
        <v>0.22013651711242699</v>
      </c>
      <c r="AC70">
        <v>0.22445291940874901</v>
      </c>
      <c r="AD70" s="100">
        <v>100</v>
      </c>
    </row>
    <row r="71" spans="1:30" hidden="1" x14ac:dyDescent="0.25">
      <c r="A71" s="122" t="s">
        <v>847</v>
      </c>
      <c r="B71" s="100">
        <v>17</v>
      </c>
      <c r="C71" s="104"/>
      <c r="D71" s="104"/>
      <c r="E71" s="104"/>
      <c r="F71" s="104"/>
      <c r="G71" s="105"/>
      <c r="H71" s="105"/>
      <c r="I71" s="105">
        <v>0.13645710022324201</v>
      </c>
      <c r="J71" s="105">
        <v>0.14072138460521799</v>
      </c>
      <c r="K71" s="107">
        <v>0.144985668987195</v>
      </c>
      <c r="L71" s="107">
        <v>0.14924995336917099</v>
      </c>
      <c r="M71" s="107">
        <v>0.16328810094867499</v>
      </c>
      <c r="N71" s="107">
        <v>0.167823881530582</v>
      </c>
      <c r="O71" s="108">
        <v>0.17235966211248999</v>
      </c>
      <c r="P71" s="108">
        <v>0.176895442694398</v>
      </c>
      <c r="Q71" s="108">
        <v>0.19229107127355799</v>
      </c>
      <c r="R71" s="108">
        <v>0.197098348055397</v>
      </c>
      <c r="S71" s="108">
        <v>0.20190562483723601</v>
      </c>
      <c r="T71">
        <v>0.20671290161907499</v>
      </c>
      <c r="U71" s="57">
        <v>0.18992170103817199</v>
      </c>
      <c r="V71">
        <v>0.19423810333449401</v>
      </c>
      <c r="W71">
        <v>0.198554505630816</v>
      </c>
      <c r="X71">
        <v>0.20287090792713799</v>
      </c>
      <c r="Y71">
        <v>0.20718731022345999</v>
      </c>
      <c r="Z71">
        <v>0.21150371251978201</v>
      </c>
      <c r="AA71">
        <v>0.215820114816105</v>
      </c>
      <c r="AB71">
        <v>0.22013651711242699</v>
      </c>
      <c r="AC71">
        <v>0.22445291940874901</v>
      </c>
      <c r="AD71" s="100">
        <v>100</v>
      </c>
    </row>
    <row r="72" spans="1:30" hidden="1" x14ac:dyDescent="0.25">
      <c r="A72" s="122" t="s">
        <v>851</v>
      </c>
      <c r="B72" s="100">
        <v>10</v>
      </c>
      <c r="C72" s="104"/>
      <c r="D72" s="104"/>
      <c r="E72" s="104"/>
      <c r="F72" s="104"/>
      <c r="G72" s="105"/>
      <c r="H72" s="105"/>
      <c r="I72" s="105">
        <v>0.13645710022324201</v>
      </c>
      <c r="J72" s="105">
        <v>0.14072138460521799</v>
      </c>
      <c r="K72" s="107">
        <v>0.144985668987195</v>
      </c>
      <c r="L72" s="107">
        <v>0.14924995336917099</v>
      </c>
      <c r="M72" s="107">
        <v>0.16328810094867499</v>
      </c>
      <c r="N72" s="107">
        <v>0.167823881530582</v>
      </c>
      <c r="O72" s="108">
        <v>0.17235966211248999</v>
      </c>
      <c r="P72" s="108">
        <v>0.176895442694398</v>
      </c>
      <c r="Q72" s="108">
        <v>0.19229107127355799</v>
      </c>
      <c r="R72" s="108">
        <v>0.197098348055397</v>
      </c>
      <c r="S72" s="108">
        <v>0.20190562483723601</v>
      </c>
      <c r="T72">
        <v>0.20671290161907499</v>
      </c>
      <c r="U72" s="57">
        <v>0.18992170103817199</v>
      </c>
      <c r="V72">
        <v>0.19423810333449401</v>
      </c>
      <c r="W72">
        <v>0.198554505630816</v>
      </c>
      <c r="X72">
        <v>0.20287090792713799</v>
      </c>
      <c r="Y72">
        <v>0.20718731022345999</v>
      </c>
      <c r="Z72">
        <v>0.21150371251978201</v>
      </c>
      <c r="AA72">
        <v>0.215820114816105</v>
      </c>
      <c r="AB72">
        <v>0.22013651711242699</v>
      </c>
      <c r="AC72">
        <v>0.22445291940874901</v>
      </c>
      <c r="AD72" s="100">
        <v>100</v>
      </c>
    </row>
    <row r="73" spans="1:30" hidden="1" x14ac:dyDescent="0.25">
      <c r="A73" s="122" t="s">
        <v>851</v>
      </c>
      <c r="B73" s="100">
        <v>17</v>
      </c>
      <c r="C73" s="104"/>
      <c r="D73" s="104"/>
      <c r="E73" s="104"/>
      <c r="F73" s="104"/>
      <c r="G73" s="105"/>
      <c r="H73" s="105"/>
      <c r="I73" s="105">
        <v>0.13645710022324201</v>
      </c>
      <c r="J73" s="105">
        <v>0.14072138460521799</v>
      </c>
      <c r="K73" s="107">
        <v>0.144985668987195</v>
      </c>
      <c r="L73" s="107">
        <v>0.14924995336917099</v>
      </c>
      <c r="M73" s="107">
        <v>0.16328810094867499</v>
      </c>
      <c r="N73" s="107">
        <v>0.167823881530582</v>
      </c>
      <c r="O73" s="108">
        <v>0.17235966211248999</v>
      </c>
      <c r="P73" s="108">
        <v>0.176895442694398</v>
      </c>
      <c r="Q73" s="108">
        <v>0.19229107127355799</v>
      </c>
      <c r="R73" s="108">
        <v>0.197098348055397</v>
      </c>
      <c r="S73" s="108">
        <v>0.20190562483723601</v>
      </c>
      <c r="T73">
        <v>0.20671290161907499</v>
      </c>
      <c r="U73" s="57">
        <v>0.18992170103817199</v>
      </c>
      <c r="V73">
        <v>0.19423810333449401</v>
      </c>
      <c r="W73">
        <v>0.198554505630816</v>
      </c>
      <c r="X73">
        <v>0.20287090792713799</v>
      </c>
      <c r="Y73">
        <v>0.20718731022345999</v>
      </c>
      <c r="Z73">
        <v>0.21150371251978201</v>
      </c>
      <c r="AA73">
        <v>0.215820114816105</v>
      </c>
      <c r="AB73">
        <v>0.22013651711242699</v>
      </c>
      <c r="AC73">
        <v>0.22445291940874901</v>
      </c>
      <c r="AD73" s="100">
        <v>100</v>
      </c>
    </row>
    <row r="74" spans="1:30" hidden="1" x14ac:dyDescent="0.25">
      <c r="A74" s="122" t="s">
        <v>854</v>
      </c>
      <c r="B74" s="100">
        <v>10</v>
      </c>
      <c r="C74" s="104"/>
      <c r="D74" s="104"/>
      <c r="E74" s="104"/>
      <c r="F74" s="104"/>
      <c r="G74" s="105"/>
      <c r="H74" s="105"/>
      <c r="I74" s="105">
        <v>0.13645710022324201</v>
      </c>
      <c r="J74" s="105">
        <v>0.14072138460521799</v>
      </c>
      <c r="K74" s="107">
        <v>0.144985668987195</v>
      </c>
      <c r="L74" s="107">
        <v>0.14924995336917099</v>
      </c>
      <c r="M74" s="107">
        <v>0.16328810094867499</v>
      </c>
      <c r="N74" s="107">
        <v>0.167823881530582</v>
      </c>
      <c r="O74" s="108">
        <v>0.17235966211248999</v>
      </c>
      <c r="P74" s="108">
        <v>0.176895442694398</v>
      </c>
      <c r="Q74" s="108">
        <v>0.19229107127355799</v>
      </c>
      <c r="R74" s="108">
        <v>0.197098348055397</v>
      </c>
      <c r="S74" s="108">
        <v>0.20190562483723601</v>
      </c>
      <c r="T74">
        <v>0.20671290161907499</v>
      </c>
      <c r="U74" s="57">
        <v>0.18992170103817199</v>
      </c>
      <c r="V74">
        <v>0.19423810333449401</v>
      </c>
      <c r="W74">
        <v>0.198554505630816</v>
      </c>
      <c r="X74">
        <v>0.20287090792713799</v>
      </c>
      <c r="Y74">
        <v>0.20718731022345999</v>
      </c>
      <c r="Z74">
        <v>0.21150371251978201</v>
      </c>
      <c r="AA74">
        <v>0.215820114816105</v>
      </c>
      <c r="AB74">
        <v>0.22013651711242699</v>
      </c>
      <c r="AC74">
        <v>0.22445291940874901</v>
      </c>
      <c r="AD74" s="100">
        <v>100</v>
      </c>
    </row>
    <row r="75" spans="1:30" hidden="1" x14ac:dyDescent="0.25">
      <c r="A75" s="122" t="s">
        <v>854</v>
      </c>
      <c r="B75" s="100">
        <v>17</v>
      </c>
      <c r="C75" s="104"/>
      <c r="D75" s="104"/>
      <c r="E75" s="104"/>
      <c r="F75" s="104"/>
      <c r="G75" s="105"/>
      <c r="H75" s="105"/>
      <c r="I75" s="105">
        <v>0.13645710022324201</v>
      </c>
      <c r="J75" s="105">
        <v>0.14072138460521799</v>
      </c>
      <c r="K75" s="107">
        <v>0.144985668987195</v>
      </c>
      <c r="L75" s="107">
        <v>0.14924995336917099</v>
      </c>
      <c r="M75" s="107">
        <v>0.16328810094867499</v>
      </c>
      <c r="N75" s="107">
        <v>0.167823881530582</v>
      </c>
      <c r="O75" s="108">
        <v>0.17235966211248999</v>
      </c>
      <c r="P75" s="108">
        <v>0.176895442694398</v>
      </c>
      <c r="Q75" s="108">
        <v>0.19229107127355799</v>
      </c>
      <c r="R75" s="108">
        <v>0.197098348055397</v>
      </c>
      <c r="S75" s="108">
        <v>0.20190562483723601</v>
      </c>
      <c r="T75">
        <v>0.20671290161907499</v>
      </c>
      <c r="U75" s="57">
        <v>0.18992170103817199</v>
      </c>
      <c r="V75">
        <v>0.19423810333449401</v>
      </c>
      <c r="W75">
        <v>0.198554505630816</v>
      </c>
      <c r="X75">
        <v>0.20287090792713799</v>
      </c>
      <c r="Y75">
        <v>0.20718731022345999</v>
      </c>
      <c r="Z75">
        <v>0.21150371251978201</v>
      </c>
      <c r="AA75">
        <v>0.215820114816105</v>
      </c>
      <c r="AB75">
        <v>0.22013651711242699</v>
      </c>
      <c r="AC75">
        <v>0.22445291940874901</v>
      </c>
      <c r="AD75" s="100">
        <v>100</v>
      </c>
    </row>
    <row r="76" spans="1:30" hidden="1" x14ac:dyDescent="0.25">
      <c r="A76" s="122" t="s">
        <v>858</v>
      </c>
      <c r="B76" s="100">
        <v>10</v>
      </c>
      <c r="C76" s="104"/>
      <c r="D76" s="104"/>
      <c r="E76" s="104"/>
      <c r="F76" s="104"/>
      <c r="G76" s="105"/>
      <c r="H76" s="105"/>
      <c r="I76" s="105">
        <v>0.13645710022324201</v>
      </c>
      <c r="J76" s="105">
        <v>0.14072138460521799</v>
      </c>
      <c r="K76" s="107">
        <v>0.144985668987195</v>
      </c>
      <c r="L76" s="107">
        <v>0.14924995336917099</v>
      </c>
      <c r="M76" s="107">
        <v>0.16328810094867499</v>
      </c>
      <c r="N76" s="107">
        <v>0.167823881530582</v>
      </c>
      <c r="O76" s="108">
        <v>0.17235966211248999</v>
      </c>
      <c r="P76" s="108">
        <v>0.176895442694398</v>
      </c>
      <c r="Q76" s="108">
        <v>0.19229107127355799</v>
      </c>
      <c r="R76" s="108">
        <v>0.197098348055397</v>
      </c>
      <c r="S76" s="108">
        <v>0.20190562483723601</v>
      </c>
      <c r="T76">
        <v>0.20671290161907499</v>
      </c>
      <c r="U76" s="57">
        <v>0.18992170103817199</v>
      </c>
      <c r="V76">
        <v>0.19423810333449401</v>
      </c>
      <c r="W76">
        <v>0.198554505630816</v>
      </c>
      <c r="X76">
        <v>0.20287090792713799</v>
      </c>
      <c r="Y76">
        <v>0.20718731022345999</v>
      </c>
      <c r="Z76">
        <v>0.21150371251978201</v>
      </c>
      <c r="AA76">
        <v>0.215820114816105</v>
      </c>
      <c r="AB76">
        <v>0.22013651711242699</v>
      </c>
      <c r="AC76">
        <v>0.22445291940874901</v>
      </c>
      <c r="AD76" s="100">
        <v>100</v>
      </c>
    </row>
    <row r="77" spans="1:30" hidden="1" x14ac:dyDescent="0.25">
      <c r="A77" s="122" t="s">
        <v>858</v>
      </c>
      <c r="B77" s="100">
        <v>17</v>
      </c>
      <c r="C77" s="104"/>
      <c r="D77" s="104"/>
      <c r="E77" s="104"/>
      <c r="F77" s="104"/>
      <c r="G77" s="105"/>
      <c r="H77" s="105"/>
      <c r="I77" s="105">
        <v>0.13645710022324201</v>
      </c>
      <c r="J77" s="105">
        <v>0.14072138460521799</v>
      </c>
      <c r="K77" s="107">
        <v>0.144985668987195</v>
      </c>
      <c r="L77" s="107">
        <v>0.14924995336917099</v>
      </c>
      <c r="M77" s="107">
        <v>0.16328810094867499</v>
      </c>
      <c r="N77" s="107">
        <v>0.167823881530582</v>
      </c>
      <c r="O77" s="108">
        <v>0.17235966211248999</v>
      </c>
      <c r="P77" s="108">
        <v>0.176895442694398</v>
      </c>
      <c r="Q77" s="108">
        <v>0.19229107127355799</v>
      </c>
      <c r="R77" s="108">
        <v>0.197098348055397</v>
      </c>
      <c r="S77" s="108">
        <v>0.20190562483723601</v>
      </c>
      <c r="T77">
        <v>0.20671290161907499</v>
      </c>
      <c r="U77" s="57">
        <v>0.18992170103817199</v>
      </c>
      <c r="V77">
        <v>0.19423810333449401</v>
      </c>
      <c r="W77">
        <v>0.198554505630816</v>
      </c>
      <c r="X77">
        <v>0.20287090792713799</v>
      </c>
      <c r="Y77">
        <v>0.20718731022345999</v>
      </c>
      <c r="Z77">
        <v>0.21150371251978201</v>
      </c>
      <c r="AA77">
        <v>0.215820114816105</v>
      </c>
      <c r="AB77">
        <v>0.22013651711242699</v>
      </c>
      <c r="AC77">
        <v>0.22445291940874901</v>
      </c>
      <c r="AD77" s="100">
        <v>100</v>
      </c>
    </row>
    <row r="78" spans="1:30" hidden="1" x14ac:dyDescent="0.25">
      <c r="A78" s="57" t="s">
        <v>225</v>
      </c>
      <c r="B78" s="100">
        <v>29</v>
      </c>
      <c r="C78" s="104"/>
      <c r="D78" s="104"/>
      <c r="E78" s="104"/>
      <c r="F78" s="104"/>
      <c r="G78" s="105"/>
      <c r="H78" s="105"/>
      <c r="I78" s="105"/>
      <c r="J78" s="105"/>
      <c r="K78" s="92"/>
      <c r="L78" s="92"/>
      <c r="M78" s="92"/>
      <c r="N78" s="92">
        <v>0.381363786937782</v>
      </c>
      <c r="O78" s="89">
        <v>0.39167091631447798</v>
      </c>
      <c r="P78" s="89">
        <v>0.40197804569117501</v>
      </c>
      <c r="Q78" s="89">
        <v>0.40184307740847103</v>
      </c>
      <c r="R78" s="89">
        <v>0.41188915434368301</v>
      </c>
      <c r="S78" s="89">
        <v>0.42193523127889498</v>
      </c>
      <c r="T78">
        <v>0.43198130821410602</v>
      </c>
      <c r="U78" s="99"/>
      <c r="AD78" s="100">
        <v>100</v>
      </c>
    </row>
    <row r="79" spans="1:30" hidden="1" x14ac:dyDescent="0.25">
      <c r="A79" s="57" t="s">
        <v>864</v>
      </c>
      <c r="B79" s="100">
        <v>29</v>
      </c>
      <c r="C79" s="104"/>
      <c r="D79" s="104"/>
      <c r="E79" s="104"/>
      <c r="F79" s="104"/>
      <c r="G79" s="105"/>
      <c r="H79" s="105"/>
      <c r="I79" s="105"/>
      <c r="J79" s="105"/>
      <c r="K79" s="92"/>
      <c r="L79" s="92"/>
      <c r="M79" s="92"/>
      <c r="N79" s="92">
        <v>0.381363786937782</v>
      </c>
      <c r="O79" s="89">
        <v>0.39167091631447798</v>
      </c>
      <c r="P79" s="89">
        <v>0.40197804569117501</v>
      </c>
      <c r="Q79" s="89">
        <v>0.40184307740847103</v>
      </c>
      <c r="R79" s="89">
        <v>0.41188915434368301</v>
      </c>
      <c r="S79" s="89">
        <v>0.42193523127889498</v>
      </c>
      <c r="T79">
        <v>0.43198130821410602</v>
      </c>
      <c r="U79" s="99"/>
      <c r="AD79" s="100">
        <v>100</v>
      </c>
    </row>
    <row r="80" spans="1:30" hidden="1" x14ac:dyDescent="0.25">
      <c r="A80" s="57" t="s">
        <v>867</v>
      </c>
      <c r="B80" s="100">
        <v>29</v>
      </c>
      <c r="C80" s="104"/>
      <c r="D80" s="104"/>
      <c r="E80" s="104"/>
      <c r="F80" s="104"/>
      <c r="G80" s="105"/>
      <c r="H80" s="105"/>
      <c r="I80" s="105">
        <v>0.33818181818181797</v>
      </c>
      <c r="J80" s="105">
        <v>0.34875</v>
      </c>
      <c r="K80" s="92">
        <v>0.35931818181818198</v>
      </c>
      <c r="L80" s="92">
        <v>0.36988636363636401</v>
      </c>
      <c r="M80" s="92"/>
      <c r="N80" s="92"/>
      <c r="O80" s="89"/>
      <c r="P80" s="89"/>
      <c r="Q80" s="89"/>
      <c r="R80" s="89"/>
      <c r="S80" s="89"/>
      <c r="U80" s="99"/>
      <c r="AD80" s="100">
        <v>100</v>
      </c>
    </row>
    <row r="81" spans="1:30" hidden="1" x14ac:dyDescent="0.25">
      <c r="A81" s="57" t="s">
        <v>870</v>
      </c>
      <c r="B81" s="100">
        <v>29</v>
      </c>
      <c r="C81" s="104"/>
      <c r="D81" s="104"/>
      <c r="E81" s="104"/>
      <c r="F81" s="104"/>
      <c r="G81" s="105"/>
      <c r="H81" s="105"/>
      <c r="I81" s="105"/>
      <c r="J81" s="105"/>
      <c r="K81" s="107"/>
      <c r="L81" s="107"/>
      <c r="M81" s="107"/>
      <c r="N81" s="107"/>
      <c r="O81" s="108"/>
      <c r="P81" s="108"/>
      <c r="Q81" s="108"/>
      <c r="R81" s="108"/>
      <c r="S81" s="108">
        <v>0.42193523127889498</v>
      </c>
      <c r="T81">
        <v>0.43198130821410602</v>
      </c>
      <c r="U81" s="99">
        <v>0.46843443513380101</v>
      </c>
      <c r="V81">
        <v>0.47908067229593199</v>
      </c>
      <c r="AD81" s="100">
        <v>100</v>
      </c>
    </row>
    <row r="82" spans="1:30" hidden="1" x14ac:dyDescent="0.25">
      <c r="A82" s="57" t="s">
        <v>226</v>
      </c>
      <c r="B82" s="100">
        <v>16</v>
      </c>
      <c r="C82" s="104"/>
      <c r="D82" s="104"/>
      <c r="E82" s="104"/>
      <c r="F82" s="104"/>
      <c r="G82" s="105"/>
      <c r="H82" s="105"/>
      <c r="I82" s="105"/>
      <c r="J82" s="105"/>
      <c r="K82" s="107"/>
      <c r="L82" s="107"/>
      <c r="M82" s="107"/>
      <c r="N82" s="107">
        <v>6.9080602753809894E-2</v>
      </c>
      <c r="O82" s="108">
        <v>7.0947646071480505E-2</v>
      </c>
      <c r="P82" s="108">
        <v>7.2814689389151005E-2</v>
      </c>
      <c r="Q82" s="89">
        <v>7.7483167339140596E-2</v>
      </c>
      <c r="R82" s="89">
        <v>7.9420246522619101E-2</v>
      </c>
      <c r="S82" s="89">
        <v>8.1357325706097605E-2</v>
      </c>
      <c r="T82">
        <v>8.3294404889576096E-2</v>
      </c>
      <c r="U82" s="99">
        <v>7.9747001624601202E-2</v>
      </c>
      <c r="V82">
        <v>8.1559433479705706E-2</v>
      </c>
      <c r="W82">
        <v>8.3371865334810294E-2</v>
      </c>
      <c r="AD82" s="100">
        <v>100</v>
      </c>
    </row>
    <row r="83" spans="1:30" hidden="1" x14ac:dyDescent="0.25">
      <c r="A83" s="57" t="s">
        <v>226</v>
      </c>
      <c r="B83" s="100">
        <v>17</v>
      </c>
      <c r="C83" s="104"/>
      <c r="D83" s="104"/>
      <c r="E83" s="104"/>
      <c r="F83" s="104"/>
      <c r="G83" s="105"/>
      <c r="H83" s="105"/>
      <c r="I83" s="105"/>
      <c r="J83" s="105"/>
      <c r="K83" s="107"/>
      <c r="L83" s="107"/>
      <c r="M83" s="107"/>
      <c r="N83" s="107">
        <v>6.9080602753809894E-2</v>
      </c>
      <c r="O83" s="108">
        <v>7.0947646071480505E-2</v>
      </c>
      <c r="P83" s="108">
        <v>7.2814689389151005E-2</v>
      </c>
      <c r="Q83" s="89">
        <v>7.7483167339140596E-2</v>
      </c>
      <c r="R83" s="89">
        <v>7.9420246522619101E-2</v>
      </c>
      <c r="S83" s="89">
        <v>8.1357325706097605E-2</v>
      </c>
      <c r="T83">
        <v>8.3294404889576096E-2</v>
      </c>
      <c r="U83" s="99">
        <v>7.9747001624601202E-2</v>
      </c>
      <c r="V83">
        <v>8.1559433479705706E-2</v>
      </c>
      <c r="W83">
        <v>8.3371865334810294E-2</v>
      </c>
      <c r="AD83" s="100">
        <v>100</v>
      </c>
    </row>
    <row r="84" spans="1:30" hidden="1" x14ac:dyDescent="0.25">
      <c r="A84" s="57" t="s">
        <v>226</v>
      </c>
      <c r="B84" s="100">
        <v>18</v>
      </c>
      <c r="C84" s="104"/>
      <c r="D84" s="104"/>
      <c r="E84" s="104"/>
      <c r="F84" s="104"/>
      <c r="G84" s="105"/>
      <c r="H84" s="105"/>
      <c r="I84" s="105"/>
      <c r="J84" s="105"/>
      <c r="K84" s="107"/>
      <c r="L84" s="107"/>
      <c r="M84" s="107"/>
      <c r="N84" s="107">
        <v>6.9080602753809894E-2</v>
      </c>
      <c r="O84" s="108">
        <v>7.0947646071480505E-2</v>
      </c>
      <c r="P84" s="108">
        <v>7.2814689389151005E-2</v>
      </c>
      <c r="Q84" s="89">
        <v>7.7483167339140596E-2</v>
      </c>
      <c r="R84" s="89">
        <v>7.9420246522619101E-2</v>
      </c>
      <c r="S84" s="89">
        <v>8.1357325706097605E-2</v>
      </c>
      <c r="T84">
        <v>8.3294404889576096E-2</v>
      </c>
      <c r="U84" s="99">
        <v>7.9747001624601202E-2</v>
      </c>
      <c r="V84">
        <v>8.1559433479705706E-2</v>
      </c>
      <c r="W84">
        <v>8.3371865334810294E-2</v>
      </c>
      <c r="AD84" s="100">
        <v>100</v>
      </c>
    </row>
    <row r="85" spans="1:30" hidden="1" x14ac:dyDescent="0.25">
      <c r="A85" s="57" t="s">
        <v>226</v>
      </c>
      <c r="B85" s="100">
        <v>19</v>
      </c>
      <c r="C85" s="104"/>
      <c r="D85" s="104"/>
      <c r="E85" s="104"/>
      <c r="F85" s="104"/>
      <c r="G85" s="105"/>
      <c r="H85" s="105"/>
      <c r="I85" s="105"/>
      <c r="J85" s="105"/>
      <c r="K85" s="107"/>
      <c r="L85" s="107"/>
      <c r="M85" s="107"/>
      <c r="N85" s="107">
        <v>6.9080602753809894E-2</v>
      </c>
      <c r="O85" s="108">
        <v>7.0947646071480505E-2</v>
      </c>
      <c r="P85" s="108">
        <v>7.2814689389151005E-2</v>
      </c>
      <c r="Q85" s="89">
        <v>7.7483167339140596E-2</v>
      </c>
      <c r="R85" s="89">
        <v>7.9420246522619101E-2</v>
      </c>
      <c r="S85" s="89">
        <v>8.1357325706097605E-2</v>
      </c>
      <c r="T85">
        <v>8.3294404889576096E-2</v>
      </c>
      <c r="U85">
        <v>7.9747001624601202E-2</v>
      </c>
      <c r="V85">
        <v>8.1559433479705706E-2</v>
      </c>
      <c r="W85">
        <v>8.3371865334810294E-2</v>
      </c>
      <c r="AD85" s="100">
        <v>100</v>
      </c>
    </row>
    <row r="86" spans="1:30" hidden="1" x14ac:dyDescent="0.25">
      <c r="A86" s="57" t="s">
        <v>226</v>
      </c>
      <c r="B86" s="100">
        <v>20</v>
      </c>
      <c r="C86" s="104"/>
      <c r="D86" s="104"/>
      <c r="E86" s="104"/>
      <c r="F86" s="104"/>
      <c r="G86" s="105"/>
      <c r="H86" s="105"/>
      <c r="I86" s="105"/>
      <c r="J86" s="105"/>
      <c r="K86" s="107"/>
      <c r="L86" s="107"/>
      <c r="M86" s="107"/>
      <c r="N86" s="107">
        <v>6.9080602753809894E-2</v>
      </c>
      <c r="O86" s="108">
        <v>7.0947646071480505E-2</v>
      </c>
      <c r="P86" s="108">
        <v>7.2814689389151005E-2</v>
      </c>
      <c r="Q86" s="89">
        <v>7.7483167339140596E-2</v>
      </c>
      <c r="R86" s="89">
        <v>7.9420246522619101E-2</v>
      </c>
      <c r="S86" s="89">
        <v>8.1357325706097605E-2</v>
      </c>
      <c r="T86">
        <v>8.3294404889576096E-2</v>
      </c>
      <c r="U86">
        <v>7.9747001624601202E-2</v>
      </c>
      <c r="V86">
        <v>8.1559433479705706E-2</v>
      </c>
      <c r="W86">
        <v>8.3371865334810294E-2</v>
      </c>
      <c r="AD86" s="100">
        <v>100</v>
      </c>
    </row>
    <row r="87" spans="1:30" hidden="1" x14ac:dyDescent="0.25">
      <c r="A87" s="57" t="s">
        <v>226</v>
      </c>
      <c r="B87" s="100">
        <v>21</v>
      </c>
      <c r="C87" s="104"/>
      <c r="D87" s="104"/>
      <c r="E87" s="104"/>
      <c r="F87" s="104"/>
      <c r="G87" s="105"/>
      <c r="H87" s="105"/>
      <c r="I87" s="105"/>
      <c r="J87" s="105"/>
      <c r="K87" s="107"/>
      <c r="L87" s="107"/>
      <c r="M87" s="107"/>
      <c r="N87" s="107">
        <v>6.9080602753809894E-2</v>
      </c>
      <c r="O87" s="108">
        <v>7.0947646071480505E-2</v>
      </c>
      <c r="P87" s="108">
        <v>7.2814689389151005E-2</v>
      </c>
      <c r="Q87" s="89">
        <v>7.7483167339140596E-2</v>
      </c>
      <c r="R87" s="89">
        <v>7.9420246522619101E-2</v>
      </c>
      <c r="S87" s="89">
        <v>8.1357325706097605E-2</v>
      </c>
      <c r="T87">
        <v>8.3294404889576096E-2</v>
      </c>
      <c r="U87" s="99">
        <v>7.9747001624601202E-2</v>
      </c>
      <c r="V87">
        <v>8.1559433479705706E-2</v>
      </c>
      <c r="W87">
        <v>8.3371865334810294E-2</v>
      </c>
      <c r="AD87" s="100">
        <v>100</v>
      </c>
    </row>
    <row r="88" spans="1:30" hidden="1" x14ac:dyDescent="0.25">
      <c r="A88" s="57" t="s">
        <v>875</v>
      </c>
      <c r="B88" s="100">
        <v>16</v>
      </c>
      <c r="C88" s="104"/>
      <c r="D88" s="104"/>
      <c r="E88" s="104"/>
      <c r="F88" s="104"/>
      <c r="G88" s="105"/>
      <c r="H88" s="105"/>
      <c r="I88" s="105">
        <v>2.8752119229801001E-2</v>
      </c>
      <c r="J88" s="105">
        <v>2.96506229557323E-2</v>
      </c>
      <c r="K88" s="107">
        <v>3.0549126681663499E-2</v>
      </c>
      <c r="L88" s="107">
        <v>3.1447630407594802E-2</v>
      </c>
      <c r="M88" s="107">
        <v>3.3606779718069697E-2</v>
      </c>
      <c r="N88" s="107">
        <v>3.4540301376905003E-2</v>
      </c>
      <c r="O88" s="108">
        <v>3.5473823035740197E-2</v>
      </c>
      <c r="P88" s="108">
        <v>3.6407344694575502E-2</v>
      </c>
      <c r="Q88" s="89">
        <v>3.8741583669570298E-2</v>
      </c>
      <c r="R88" s="89">
        <v>3.9710123261309502E-2</v>
      </c>
      <c r="S88" s="89">
        <v>4.0678662853048803E-2</v>
      </c>
      <c r="T88">
        <v>4.1647202444788103E-2</v>
      </c>
      <c r="U88" s="99">
        <v>3.9873500812300601E-2</v>
      </c>
      <c r="V88">
        <v>4.0779716739852902E-2</v>
      </c>
      <c r="W88">
        <v>4.1685932667405202E-2</v>
      </c>
      <c r="X88">
        <v>4.2592148594957399E-2</v>
      </c>
      <c r="Y88">
        <v>4.34983645225097E-2</v>
      </c>
      <c r="Z88">
        <v>4.4404580450062001E-2</v>
      </c>
      <c r="AA88">
        <v>4.5310796377614301E-2</v>
      </c>
      <c r="AB88">
        <v>4.6217012305166602E-2</v>
      </c>
      <c r="AC88">
        <v>4.7123228232718903E-2</v>
      </c>
      <c r="AD88" s="100">
        <v>100</v>
      </c>
    </row>
    <row r="89" spans="1:30" hidden="1" x14ac:dyDescent="0.25">
      <c r="A89" s="57" t="s">
        <v>875</v>
      </c>
      <c r="B89" s="100">
        <v>17</v>
      </c>
      <c r="C89" s="104"/>
      <c r="D89" s="104"/>
      <c r="E89" s="104"/>
      <c r="F89" s="104"/>
      <c r="G89" s="105"/>
      <c r="H89" s="105"/>
      <c r="I89" s="105">
        <v>2.8752119229801001E-2</v>
      </c>
      <c r="J89" s="105">
        <v>2.96506229557323E-2</v>
      </c>
      <c r="K89" s="107">
        <v>3.0549126681663499E-2</v>
      </c>
      <c r="L89" s="107">
        <v>3.1447630407594802E-2</v>
      </c>
      <c r="M89" s="107">
        <v>3.3606779718069697E-2</v>
      </c>
      <c r="N89" s="107">
        <v>3.4540301376905003E-2</v>
      </c>
      <c r="O89" s="108">
        <v>3.5473823035740197E-2</v>
      </c>
      <c r="P89" s="108">
        <v>3.6407344694575502E-2</v>
      </c>
      <c r="Q89" s="89">
        <v>3.8741583669570298E-2</v>
      </c>
      <c r="R89" s="89">
        <v>3.9710123261309502E-2</v>
      </c>
      <c r="S89" s="89">
        <v>4.0678662853048803E-2</v>
      </c>
      <c r="T89">
        <v>4.1647202444788103E-2</v>
      </c>
      <c r="U89" s="99">
        <v>3.9873500812300601E-2</v>
      </c>
      <c r="V89">
        <v>4.0779716739852902E-2</v>
      </c>
      <c r="W89">
        <v>4.1685932667405202E-2</v>
      </c>
      <c r="X89">
        <v>4.2592148594957399E-2</v>
      </c>
      <c r="Y89">
        <v>4.34983645225097E-2</v>
      </c>
      <c r="Z89">
        <v>4.4404580450062001E-2</v>
      </c>
      <c r="AA89">
        <v>4.5310796377614301E-2</v>
      </c>
      <c r="AB89">
        <v>4.6217012305166602E-2</v>
      </c>
      <c r="AC89">
        <v>4.7123228232718903E-2</v>
      </c>
      <c r="AD89" s="100">
        <v>100</v>
      </c>
    </row>
    <row r="90" spans="1:30" hidden="1" x14ac:dyDescent="0.25">
      <c r="A90" s="57" t="s">
        <v>875</v>
      </c>
      <c r="B90" s="100">
        <v>18</v>
      </c>
      <c r="C90" s="104"/>
      <c r="D90" s="104"/>
      <c r="E90" s="104"/>
      <c r="F90" s="104"/>
      <c r="G90" s="105"/>
      <c r="H90" s="105"/>
      <c r="I90" s="105">
        <v>2.8752119229801001E-2</v>
      </c>
      <c r="J90" s="105">
        <v>2.96506229557323E-2</v>
      </c>
      <c r="K90" s="107">
        <v>3.0549126681663499E-2</v>
      </c>
      <c r="L90" s="107">
        <v>3.1447630407594802E-2</v>
      </c>
      <c r="M90" s="107">
        <v>3.3606779718069697E-2</v>
      </c>
      <c r="N90" s="107">
        <v>3.4540301376905003E-2</v>
      </c>
      <c r="O90" s="108">
        <v>3.5473823035740197E-2</v>
      </c>
      <c r="P90" s="108">
        <v>3.6407344694575502E-2</v>
      </c>
      <c r="Q90" s="89">
        <v>3.8741583669570298E-2</v>
      </c>
      <c r="R90" s="89">
        <v>3.9710123261309502E-2</v>
      </c>
      <c r="S90" s="89">
        <v>4.0678662853048803E-2</v>
      </c>
      <c r="T90">
        <v>4.1647202444788103E-2</v>
      </c>
      <c r="U90" s="99">
        <v>3.9873500812300601E-2</v>
      </c>
      <c r="V90">
        <v>4.0779716739852902E-2</v>
      </c>
      <c r="W90">
        <v>4.1685932667405202E-2</v>
      </c>
      <c r="X90">
        <v>4.2592148594957399E-2</v>
      </c>
      <c r="Y90">
        <v>4.34983645225097E-2</v>
      </c>
      <c r="Z90">
        <v>4.4404580450062001E-2</v>
      </c>
      <c r="AA90">
        <v>4.5310796377614301E-2</v>
      </c>
      <c r="AB90">
        <v>4.6217012305166602E-2</v>
      </c>
      <c r="AC90">
        <v>4.7123228232718903E-2</v>
      </c>
      <c r="AD90" s="100">
        <v>100</v>
      </c>
    </row>
    <row r="91" spans="1:30" hidden="1" x14ac:dyDescent="0.25">
      <c r="A91" s="57" t="s">
        <v>875</v>
      </c>
      <c r="B91" s="100">
        <v>19</v>
      </c>
      <c r="C91" s="104"/>
      <c r="D91" s="104"/>
      <c r="E91" s="104"/>
      <c r="F91" s="104"/>
      <c r="G91" s="105"/>
      <c r="H91" s="105"/>
      <c r="I91" s="105">
        <v>2.8752119229801001E-2</v>
      </c>
      <c r="J91" s="105">
        <v>2.96506229557323E-2</v>
      </c>
      <c r="K91" s="107">
        <v>3.0549126681663499E-2</v>
      </c>
      <c r="L91" s="107">
        <v>3.1447630407594802E-2</v>
      </c>
      <c r="M91" s="107">
        <v>3.3606779718069697E-2</v>
      </c>
      <c r="N91" s="107">
        <v>3.4540301376905003E-2</v>
      </c>
      <c r="O91" s="108">
        <v>3.5473823035740197E-2</v>
      </c>
      <c r="P91" s="108">
        <v>3.6407344694575502E-2</v>
      </c>
      <c r="Q91" s="89">
        <v>3.8741583669570298E-2</v>
      </c>
      <c r="R91" s="89">
        <v>3.9710123261309502E-2</v>
      </c>
      <c r="S91" s="89">
        <v>4.0678662853048803E-2</v>
      </c>
      <c r="T91">
        <v>4.1647202444788103E-2</v>
      </c>
      <c r="U91">
        <v>3.9873500812300601E-2</v>
      </c>
      <c r="V91">
        <v>4.0779716739852902E-2</v>
      </c>
      <c r="W91">
        <v>4.1685932667405202E-2</v>
      </c>
      <c r="X91">
        <v>4.2592148594957399E-2</v>
      </c>
      <c r="Y91">
        <v>4.34983645225097E-2</v>
      </c>
      <c r="Z91">
        <v>4.4404580450062001E-2</v>
      </c>
      <c r="AA91">
        <v>4.5310796377614301E-2</v>
      </c>
      <c r="AB91">
        <v>4.6217012305166602E-2</v>
      </c>
      <c r="AC91">
        <v>4.7123228232718903E-2</v>
      </c>
      <c r="AD91" s="100">
        <v>100</v>
      </c>
    </row>
    <row r="92" spans="1:30" hidden="1" x14ac:dyDescent="0.25">
      <c r="A92" s="57" t="s">
        <v>875</v>
      </c>
      <c r="B92" s="100">
        <v>20</v>
      </c>
      <c r="C92" s="104"/>
      <c r="D92" s="104"/>
      <c r="E92" s="104"/>
      <c r="F92" s="104"/>
      <c r="G92" s="105"/>
      <c r="H92" s="105"/>
      <c r="I92" s="105">
        <v>2.8752119229801001E-2</v>
      </c>
      <c r="J92" s="105">
        <v>2.96506229557323E-2</v>
      </c>
      <c r="K92" s="107">
        <v>3.0549126681663499E-2</v>
      </c>
      <c r="L92" s="107">
        <v>3.1447630407594802E-2</v>
      </c>
      <c r="M92" s="107">
        <v>3.3606779718069697E-2</v>
      </c>
      <c r="N92" s="107">
        <v>3.4540301376905003E-2</v>
      </c>
      <c r="O92" s="108">
        <v>3.5473823035740197E-2</v>
      </c>
      <c r="P92" s="108">
        <v>3.6407344694575502E-2</v>
      </c>
      <c r="Q92" s="89">
        <v>3.8741583669570298E-2</v>
      </c>
      <c r="R92" s="89">
        <v>3.9710123261309502E-2</v>
      </c>
      <c r="S92" s="89">
        <v>4.0678662853048803E-2</v>
      </c>
      <c r="T92">
        <v>4.1647202444788103E-2</v>
      </c>
      <c r="U92" s="99">
        <v>3.9873500812300601E-2</v>
      </c>
      <c r="V92">
        <v>4.0779716739852902E-2</v>
      </c>
      <c r="W92">
        <v>4.1685932667405202E-2</v>
      </c>
      <c r="X92">
        <v>4.2592148594957399E-2</v>
      </c>
      <c r="Y92">
        <v>4.34983645225097E-2</v>
      </c>
      <c r="Z92">
        <v>4.4404580450062001E-2</v>
      </c>
      <c r="AA92">
        <v>4.5310796377614301E-2</v>
      </c>
      <c r="AB92">
        <v>4.6217012305166602E-2</v>
      </c>
      <c r="AC92">
        <v>4.7123228232718903E-2</v>
      </c>
      <c r="AD92" s="100">
        <v>100</v>
      </c>
    </row>
    <row r="93" spans="1:30" hidden="1" x14ac:dyDescent="0.25">
      <c r="A93" s="57" t="s">
        <v>875</v>
      </c>
      <c r="B93" s="100">
        <v>21</v>
      </c>
      <c r="C93" s="104"/>
      <c r="D93" s="104"/>
      <c r="E93" s="104"/>
      <c r="F93" s="104"/>
      <c r="G93" s="105"/>
      <c r="H93" s="105"/>
      <c r="I93" s="105">
        <v>2.8752119229801001E-2</v>
      </c>
      <c r="J93" s="105">
        <v>2.96506229557323E-2</v>
      </c>
      <c r="K93" s="107">
        <v>3.0549126681663499E-2</v>
      </c>
      <c r="L93" s="107">
        <v>3.1447630407594802E-2</v>
      </c>
      <c r="M93" s="107">
        <v>3.3606779718069697E-2</v>
      </c>
      <c r="N93" s="107">
        <v>3.4540301376905003E-2</v>
      </c>
      <c r="O93" s="108">
        <v>3.5473823035740197E-2</v>
      </c>
      <c r="P93" s="108">
        <v>3.6407344694575502E-2</v>
      </c>
      <c r="Q93" s="89">
        <v>3.8741583669570298E-2</v>
      </c>
      <c r="R93" s="89">
        <v>3.9710123261309502E-2</v>
      </c>
      <c r="S93" s="89">
        <v>4.0678662853048803E-2</v>
      </c>
      <c r="T93">
        <v>4.1647202444788103E-2</v>
      </c>
      <c r="U93">
        <v>3.9873500812300601E-2</v>
      </c>
      <c r="V93">
        <v>4.0779716739852902E-2</v>
      </c>
      <c r="W93">
        <v>4.1685932667405202E-2</v>
      </c>
      <c r="X93">
        <v>4.2592148594957399E-2</v>
      </c>
      <c r="Y93">
        <v>4.34983645225097E-2</v>
      </c>
      <c r="Z93">
        <v>4.4404580450062001E-2</v>
      </c>
      <c r="AA93">
        <v>4.5310796377614301E-2</v>
      </c>
      <c r="AB93">
        <v>4.6217012305166602E-2</v>
      </c>
      <c r="AC93">
        <v>4.7123228232718903E-2</v>
      </c>
      <c r="AD93" s="100">
        <v>100</v>
      </c>
    </row>
    <row r="94" spans="1:30" hidden="1" x14ac:dyDescent="0.25">
      <c r="A94" s="57" t="s">
        <v>878</v>
      </c>
      <c r="B94" s="100">
        <v>16</v>
      </c>
      <c r="C94" s="104"/>
      <c r="D94" s="104"/>
      <c r="E94" s="104"/>
      <c r="F94" s="104"/>
      <c r="G94" s="105"/>
      <c r="H94" s="105"/>
      <c r="I94" s="105">
        <v>5.7504238459602001E-2</v>
      </c>
      <c r="J94" s="105">
        <v>5.9301245911464497E-2</v>
      </c>
      <c r="K94" s="107">
        <v>6.1098253363327103E-2</v>
      </c>
      <c r="L94" s="107">
        <v>6.2895260815189702E-2</v>
      </c>
      <c r="M94" s="107">
        <v>6.7213559436139395E-2</v>
      </c>
      <c r="N94" s="107">
        <v>6.9080602753809894E-2</v>
      </c>
      <c r="O94" s="108">
        <v>7.0947646071480505E-2</v>
      </c>
      <c r="P94" s="108"/>
      <c r="Q94" s="89"/>
      <c r="R94" s="89"/>
      <c r="S94" s="89"/>
      <c r="U94" s="99"/>
      <c r="AD94" s="100">
        <v>100</v>
      </c>
    </row>
    <row r="95" spans="1:30" hidden="1" x14ac:dyDescent="0.25">
      <c r="A95" s="57" t="s">
        <v>878</v>
      </c>
      <c r="B95" s="100">
        <v>17</v>
      </c>
      <c r="C95" s="104"/>
      <c r="D95" s="104"/>
      <c r="E95" s="104"/>
      <c r="F95" s="104"/>
      <c r="G95" s="105"/>
      <c r="H95" s="105"/>
      <c r="I95" s="105">
        <v>5.7504238459602001E-2</v>
      </c>
      <c r="J95" s="105">
        <v>5.9301245911464497E-2</v>
      </c>
      <c r="K95" s="107">
        <v>6.1098253363327103E-2</v>
      </c>
      <c r="L95" s="107">
        <v>6.2895260815189702E-2</v>
      </c>
      <c r="M95" s="107">
        <v>6.7213559436139395E-2</v>
      </c>
      <c r="N95" s="107">
        <v>6.9080602753809894E-2</v>
      </c>
      <c r="O95" s="108">
        <v>7.0947646071480505E-2</v>
      </c>
      <c r="P95" s="108"/>
      <c r="Q95" s="89"/>
      <c r="R95" s="89"/>
      <c r="S95" s="89"/>
      <c r="U95" s="99"/>
      <c r="AD95" s="100">
        <v>100</v>
      </c>
    </row>
    <row r="96" spans="1:30" hidden="1" x14ac:dyDescent="0.25">
      <c r="A96" s="57" t="s">
        <v>878</v>
      </c>
      <c r="B96" s="100">
        <v>18</v>
      </c>
      <c r="C96" s="104"/>
      <c r="D96" s="104"/>
      <c r="E96" s="104"/>
      <c r="F96" s="104"/>
      <c r="G96" s="105"/>
      <c r="H96" s="105"/>
      <c r="I96" s="105">
        <v>5.7504238459602001E-2</v>
      </c>
      <c r="J96" s="105">
        <v>5.9301245911464497E-2</v>
      </c>
      <c r="K96" s="107">
        <v>6.1098253363327103E-2</v>
      </c>
      <c r="L96" s="107">
        <v>6.2895260815189702E-2</v>
      </c>
      <c r="M96" s="107">
        <v>6.7213559436139395E-2</v>
      </c>
      <c r="N96" s="107">
        <v>6.9080602753809894E-2</v>
      </c>
      <c r="O96" s="108">
        <v>7.0947646071480505E-2</v>
      </c>
      <c r="P96" s="108"/>
      <c r="Q96" s="89"/>
      <c r="R96" s="89"/>
      <c r="S96" s="89"/>
      <c r="U96" s="99"/>
      <c r="AD96" s="100">
        <v>100</v>
      </c>
    </row>
    <row r="97" spans="1:30" hidden="1" x14ac:dyDescent="0.25">
      <c r="A97" s="57" t="s">
        <v>878</v>
      </c>
      <c r="B97" s="100">
        <v>19</v>
      </c>
      <c r="C97" s="104"/>
      <c r="D97" s="104"/>
      <c r="E97" s="104"/>
      <c r="F97" s="104"/>
      <c r="G97" s="105"/>
      <c r="H97" s="105"/>
      <c r="I97" s="105">
        <v>5.7504238459602001E-2</v>
      </c>
      <c r="J97" s="105">
        <v>5.9301245911464497E-2</v>
      </c>
      <c r="K97" s="107">
        <v>6.1098253363327103E-2</v>
      </c>
      <c r="L97" s="107">
        <v>6.2895260815189702E-2</v>
      </c>
      <c r="M97" s="107">
        <v>6.7213559436139395E-2</v>
      </c>
      <c r="N97" s="107">
        <v>6.9080602753809894E-2</v>
      </c>
      <c r="O97" s="108">
        <v>7.0947646071480505E-2</v>
      </c>
      <c r="P97" s="108"/>
      <c r="Q97" s="89"/>
      <c r="R97" s="89"/>
      <c r="S97" s="89"/>
      <c r="U97" s="99"/>
      <c r="AD97" s="100">
        <v>100</v>
      </c>
    </row>
    <row r="98" spans="1:30" hidden="1" x14ac:dyDescent="0.25">
      <c r="A98" s="57" t="s">
        <v>878</v>
      </c>
      <c r="B98" s="100">
        <v>20</v>
      </c>
      <c r="C98" s="104"/>
      <c r="D98" s="104"/>
      <c r="E98" s="104"/>
      <c r="F98" s="104"/>
      <c r="G98" s="105"/>
      <c r="H98" s="105"/>
      <c r="I98" s="105">
        <v>5.7504238459602001E-2</v>
      </c>
      <c r="J98" s="105">
        <v>5.9301245911464497E-2</v>
      </c>
      <c r="K98" s="107">
        <v>6.1098253363327103E-2</v>
      </c>
      <c r="L98" s="107">
        <v>6.2895260815189702E-2</v>
      </c>
      <c r="M98" s="107">
        <v>6.7213559436139395E-2</v>
      </c>
      <c r="N98" s="107">
        <v>6.9080602753809894E-2</v>
      </c>
      <c r="O98" s="108">
        <v>7.0947646071480505E-2</v>
      </c>
      <c r="P98" s="108"/>
      <c r="Q98" s="89"/>
      <c r="R98" s="89"/>
      <c r="S98" s="89"/>
      <c r="AD98" s="100">
        <v>100</v>
      </c>
    </row>
    <row r="99" spans="1:30" hidden="1" x14ac:dyDescent="0.25">
      <c r="A99" s="57" t="s">
        <v>878</v>
      </c>
      <c r="B99" s="100">
        <v>21</v>
      </c>
      <c r="C99" s="104"/>
      <c r="D99" s="104"/>
      <c r="E99" s="104"/>
      <c r="F99" s="104"/>
      <c r="G99" s="105"/>
      <c r="H99" s="105"/>
      <c r="I99" s="105">
        <v>5.7504238459602001E-2</v>
      </c>
      <c r="J99" s="105">
        <v>5.9301245911464497E-2</v>
      </c>
      <c r="K99" s="107">
        <v>6.1098253363327103E-2</v>
      </c>
      <c r="L99" s="107">
        <v>6.2895260815189702E-2</v>
      </c>
      <c r="M99" s="107">
        <v>6.7213559436139395E-2</v>
      </c>
      <c r="N99" s="107">
        <v>6.9080602753809894E-2</v>
      </c>
      <c r="O99" s="108">
        <v>7.0947646071480505E-2</v>
      </c>
      <c r="P99" s="108"/>
      <c r="Q99" s="89"/>
      <c r="R99" s="89"/>
      <c r="S99" s="89"/>
      <c r="AD99" s="100">
        <v>100</v>
      </c>
    </row>
    <row r="100" spans="1:30" hidden="1" x14ac:dyDescent="0.25">
      <c r="A100" s="57" t="s">
        <v>881</v>
      </c>
      <c r="B100" s="100">
        <v>16</v>
      </c>
      <c r="C100" s="104"/>
      <c r="D100" s="104"/>
      <c r="E100" s="104"/>
      <c r="F100" s="104"/>
      <c r="G100" s="105"/>
      <c r="H100" s="105"/>
      <c r="I100" s="105"/>
      <c r="J100" s="105"/>
      <c r="K100" s="107"/>
      <c r="L100" s="107"/>
      <c r="M100" s="107"/>
      <c r="N100" s="107">
        <v>6.9080602753809894E-2</v>
      </c>
      <c r="O100" s="108">
        <v>7.0947646071480505E-2</v>
      </c>
      <c r="P100" s="108">
        <v>7.2814689389151005E-2</v>
      </c>
      <c r="Q100" s="89">
        <v>7.7483167339140596E-2</v>
      </c>
      <c r="R100" s="89">
        <v>7.9420246522619101E-2</v>
      </c>
      <c r="S100" s="89">
        <v>8.1357325706097605E-2</v>
      </c>
      <c r="T100">
        <v>8.3294404889576096E-2</v>
      </c>
      <c r="U100" s="99">
        <v>7.9747001624601202E-2</v>
      </c>
      <c r="V100">
        <v>8.1559433479705706E-2</v>
      </c>
      <c r="W100">
        <v>8.3371865334810294E-2</v>
      </c>
      <c r="X100">
        <v>8.5184297189914895E-2</v>
      </c>
      <c r="Y100">
        <v>8.69967290450194E-2</v>
      </c>
      <c r="Z100">
        <v>8.8809160900124001E-2</v>
      </c>
      <c r="AA100">
        <v>9.0621592755228603E-2</v>
      </c>
      <c r="AB100">
        <v>9.2434024610333093E-2</v>
      </c>
      <c r="AC100">
        <v>9.4246456465437695E-2</v>
      </c>
      <c r="AD100" s="100">
        <v>100</v>
      </c>
    </row>
    <row r="101" spans="1:30" hidden="1" x14ac:dyDescent="0.25">
      <c r="A101" s="57" t="s">
        <v>881</v>
      </c>
      <c r="B101" s="100">
        <v>17</v>
      </c>
      <c r="C101" s="104"/>
      <c r="D101" s="104"/>
      <c r="E101" s="104"/>
      <c r="F101" s="104"/>
      <c r="G101" s="105"/>
      <c r="H101" s="105"/>
      <c r="I101" s="105"/>
      <c r="J101" s="105"/>
      <c r="K101" s="107"/>
      <c r="L101" s="107"/>
      <c r="M101" s="107"/>
      <c r="N101" s="107">
        <v>6.9080602753809894E-2</v>
      </c>
      <c r="O101" s="108">
        <v>7.0947646071480505E-2</v>
      </c>
      <c r="P101" s="108">
        <v>7.2814689389151005E-2</v>
      </c>
      <c r="Q101" s="89">
        <v>7.7483167339140596E-2</v>
      </c>
      <c r="R101" s="89">
        <v>7.9420246522619101E-2</v>
      </c>
      <c r="S101" s="89">
        <v>8.1357325706097605E-2</v>
      </c>
      <c r="T101">
        <v>8.3294404889576096E-2</v>
      </c>
      <c r="U101" s="99">
        <v>7.9747001624601202E-2</v>
      </c>
      <c r="V101">
        <v>8.1559433479705706E-2</v>
      </c>
      <c r="W101">
        <v>8.3371865334810294E-2</v>
      </c>
      <c r="X101">
        <v>8.5184297189914895E-2</v>
      </c>
      <c r="Y101">
        <v>8.69967290450194E-2</v>
      </c>
      <c r="Z101">
        <v>8.8809160900124001E-2</v>
      </c>
      <c r="AA101">
        <v>9.0621592755228603E-2</v>
      </c>
      <c r="AB101">
        <v>9.2434024610333093E-2</v>
      </c>
      <c r="AC101">
        <v>9.4246456465437695E-2</v>
      </c>
      <c r="AD101" s="100">
        <v>100</v>
      </c>
    </row>
    <row r="102" spans="1:30" hidden="1" x14ac:dyDescent="0.25">
      <c r="A102" s="57" t="s">
        <v>881</v>
      </c>
      <c r="B102" s="100">
        <v>18</v>
      </c>
      <c r="C102" s="104"/>
      <c r="D102" s="104"/>
      <c r="E102" s="104"/>
      <c r="F102" s="104"/>
      <c r="G102" s="105"/>
      <c r="H102" s="105"/>
      <c r="I102" s="105"/>
      <c r="J102" s="105"/>
      <c r="K102" s="107"/>
      <c r="L102" s="107"/>
      <c r="M102" s="107"/>
      <c r="N102" s="107">
        <v>6.9080602753809894E-2</v>
      </c>
      <c r="O102" s="108">
        <v>7.0947646071480505E-2</v>
      </c>
      <c r="P102" s="108">
        <v>7.2814689389151005E-2</v>
      </c>
      <c r="Q102" s="89">
        <v>7.7483167339140596E-2</v>
      </c>
      <c r="R102" s="89">
        <v>7.9420246522619101E-2</v>
      </c>
      <c r="S102" s="89">
        <v>8.1357325706097605E-2</v>
      </c>
      <c r="T102">
        <v>8.3294404889576096E-2</v>
      </c>
      <c r="U102" s="99">
        <v>7.9747001624601202E-2</v>
      </c>
      <c r="V102">
        <v>8.1559433479705706E-2</v>
      </c>
      <c r="W102">
        <v>8.3371865334810294E-2</v>
      </c>
      <c r="X102">
        <v>8.5184297189914895E-2</v>
      </c>
      <c r="Y102">
        <v>8.69967290450194E-2</v>
      </c>
      <c r="Z102">
        <v>8.8809160900124001E-2</v>
      </c>
      <c r="AA102">
        <v>9.0621592755228603E-2</v>
      </c>
      <c r="AB102">
        <v>9.2434024610333093E-2</v>
      </c>
      <c r="AC102">
        <v>9.4246456465437695E-2</v>
      </c>
      <c r="AD102" s="100">
        <v>100</v>
      </c>
    </row>
    <row r="103" spans="1:30" hidden="1" x14ac:dyDescent="0.25">
      <c r="A103" s="57" t="s">
        <v>881</v>
      </c>
      <c r="B103" s="100">
        <v>19</v>
      </c>
      <c r="C103" s="104"/>
      <c r="D103" s="104"/>
      <c r="E103" s="104"/>
      <c r="F103" s="104"/>
      <c r="G103" s="105"/>
      <c r="H103" s="105"/>
      <c r="I103" s="105"/>
      <c r="J103" s="105"/>
      <c r="K103" s="107"/>
      <c r="L103" s="107"/>
      <c r="M103" s="107"/>
      <c r="N103" s="107">
        <v>6.9080602753809894E-2</v>
      </c>
      <c r="O103" s="108">
        <v>7.0947646071480505E-2</v>
      </c>
      <c r="P103" s="108">
        <v>7.2814689389151005E-2</v>
      </c>
      <c r="Q103" s="89">
        <v>7.7483167339140596E-2</v>
      </c>
      <c r="R103" s="89">
        <v>7.9420246522619101E-2</v>
      </c>
      <c r="S103" s="89">
        <v>8.1357325706097605E-2</v>
      </c>
      <c r="T103">
        <v>8.3294404889576096E-2</v>
      </c>
      <c r="U103">
        <v>7.9747001624601202E-2</v>
      </c>
      <c r="V103">
        <v>8.1559433479705706E-2</v>
      </c>
      <c r="W103">
        <v>8.3371865334810294E-2</v>
      </c>
      <c r="X103">
        <v>8.5184297189914895E-2</v>
      </c>
      <c r="Y103">
        <v>8.69967290450194E-2</v>
      </c>
      <c r="Z103">
        <v>8.8809160900124001E-2</v>
      </c>
      <c r="AA103">
        <v>9.0621592755228603E-2</v>
      </c>
      <c r="AB103">
        <v>9.2434024610333093E-2</v>
      </c>
      <c r="AC103">
        <v>9.4246456465437695E-2</v>
      </c>
      <c r="AD103" s="100">
        <v>100</v>
      </c>
    </row>
    <row r="104" spans="1:30" hidden="1" x14ac:dyDescent="0.25">
      <c r="A104" s="57" t="s">
        <v>881</v>
      </c>
      <c r="B104" s="100">
        <v>20</v>
      </c>
      <c r="C104" s="104"/>
      <c r="D104" s="104"/>
      <c r="E104" s="104"/>
      <c r="F104" s="104"/>
      <c r="G104" s="105"/>
      <c r="H104" s="105"/>
      <c r="I104" s="105"/>
      <c r="J104" s="105"/>
      <c r="K104" s="107"/>
      <c r="L104" s="107"/>
      <c r="M104" s="107"/>
      <c r="N104" s="107">
        <v>6.9080602753809894E-2</v>
      </c>
      <c r="O104" s="108">
        <v>7.0947646071480505E-2</v>
      </c>
      <c r="P104" s="108">
        <v>7.2814689389151005E-2</v>
      </c>
      <c r="Q104" s="89">
        <v>7.7483167339140596E-2</v>
      </c>
      <c r="R104" s="89">
        <v>7.9420246522619101E-2</v>
      </c>
      <c r="S104" s="89">
        <v>8.1357325706097605E-2</v>
      </c>
      <c r="T104">
        <v>8.3294404889576096E-2</v>
      </c>
      <c r="U104" s="99">
        <v>7.9747001624601202E-2</v>
      </c>
      <c r="V104">
        <v>8.1559433479705706E-2</v>
      </c>
      <c r="W104">
        <v>8.3371865334810294E-2</v>
      </c>
      <c r="X104">
        <v>8.5184297189914895E-2</v>
      </c>
      <c r="Y104">
        <v>8.69967290450194E-2</v>
      </c>
      <c r="Z104">
        <v>8.8809160900124001E-2</v>
      </c>
      <c r="AA104">
        <v>9.0621592755228603E-2</v>
      </c>
      <c r="AB104">
        <v>9.2434024610333093E-2</v>
      </c>
      <c r="AC104">
        <v>9.4246456465437695E-2</v>
      </c>
      <c r="AD104" s="100">
        <v>100</v>
      </c>
    </row>
    <row r="105" spans="1:30" hidden="1" x14ac:dyDescent="0.25">
      <c r="A105" s="57" t="s">
        <v>881</v>
      </c>
      <c r="B105" s="100">
        <v>21</v>
      </c>
      <c r="C105" s="104"/>
      <c r="D105" s="104"/>
      <c r="E105" s="104"/>
      <c r="F105" s="104"/>
      <c r="G105" s="105"/>
      <c r="H105" s="105"/>
      <c r="I105" s="105"/>
      <c r="J105" s="105"/>
      <c r="K105" s="107"/>
      <c r="L105" s="107"/>
      <c r="M105" s="107"/>
      <c r="N105" s="107">
        <v>6.9080602753809894E-2</v>
      </c>
      <c r="O105" s="108">
        <v>7.0947646071480505E-2</v>
      </c>
      <c r="P105" s="108">
        <v>7.2814689389151005E-2</v>
      </c>
      <c r="Q105" s="89">
        <v>7.7483167339140596E-2</v>
      </c>
      <c r="R105" s="89">
        <v>7.9420246522619101E-2</v>
      </c>
      <c r="S105" s="89">
        <v>8.1357325706097605E-2</v>
      </c>
      <c r="T105">
        <v>8.3294404889576096E-2</v>
      </c>
      <c r="U105">
        <v>7.9747001624601202E-2</v>
      </c>
      <c r="V105">
        <v>8.1559433479705706E-2</v>
      </c>
      <c r="W105">
        <v>8.3371865334810294E-2</v>
      </c>
      <c r="X105">
        <v>8.5184297189914895E-2</v>
      </c>
      <c r="Y105">
        <v>8.69967290450194E-2</v>
      </c>
      <c r="Z105">
        <v>8.8809160900124001E-2</v>
      </c>
      <c r="AA105">
        <v>9.0621592755228603E-2</v>
      </c>
      <c r="AB105">
        <v>9.2434024610333093E-2</v>
      </c>
      <c r="AC105">
        <v>9.4246456465437695E-2</v>
      </c>
      <c r="AD105" s="100">
        <v>100</v>
      </c>
    </row>
    <row r="106" spans="1:30" hidden="1" x14ac:dyDescent="0.25">
      <c r="A106" t="s">
        <v>123</v>
      </c>
      <c r="B106" s="100">
        <v>9</v>
      </c>
      <c r="C106" s="104"/>
      <c r="D106" s="104"/>
      <c r="E106" s="104"/>
      <c r="F106" s="104"/>
      <c r="G106" s="105"/>
      <c r="H106" s="105"/>
      <c r="I106" s="105">
        <v>2.82399646538668E-2</v>
      </c>
      <c r="J106" s="105">
        <v>2.91224635493001E-2</v>
      </c>
      <c r="K106" s="107">
        <v>3.00049624447335E-2</v>
      </c>
      <c r="L106" s="107">
        <v>3.0887461340166799E-2</v>
      </c>
      <c r="M106" s="107">
        <v>3.3689927272782499E-2</v>
      </c>
      <c r="N106" s="107">
        <v>3.4625758585915399E-2</v>
      </c>
      <c r="O106" s="108">
        <v>3.5561589899048299E-2</v>
      </c>
      <c r="P106" s="108">
        <v>3.6497421212181101E-2</v>
      </c>
      <c r="Q106" s="89">
        <v>3.9566549233294397E-2</v>
      </c>
      <c r="R106" s="89">
        <v>4.05557129641268E-2</v>
      </c>
      <c r="S106" s="89">
        <v>4.1544876694959099E-2</v>
      </c>
      <c r="T106">
        <v>4.2534040425791501E-2</v>
      </c>
      <c r="U106" s="99">
        <v>4.1382052257736897E-2</v>
      </c>
      <c r="V106">
        <v>4.2322553445412699E-2</v>
      </c>
      <c r="W106">
        <v>4.3263054633088598E-2</v>
      </c>
      <c r="X106">
        <v>4.4203555820764399E-2</v>
      </c>
      <c r="Y106">
        <v>4.5144057008440298E-2</v>
      </c>
      <c r="Z106">
        <v>4.60845581961161E-2</v>
      </c>
      <c r="AA106">
        <v>4.7025059383791902E-2</v>
      </c>
      <c r="AB106">
        <v>4.7965560571467801E-2</v>
      </c>
      <c r="AC106">
        <v>4.8906061759143603E-2</v>
      </c>
      <c r="AD106" s="100">
        <v>100</v>
      </c>
    </row>
    <row r="107" spans="1:30" hidden="1" x14ac:dyDescent="0.25">
      <c r="A107" t="s">
        <v>123</v>
      </c>
      <c r="B107" s="100">
        <v>10</v>
      </c>
      <c r="C107" s="104"/>
      <c r="D107" s="104"/>
      <c r="E107" s="104"/>
      <c r="F107" s="104"/>
      <c r="G107" s="105"/>
      <c r="H107" s="105"/>
      <c r="I107" s="105">
        <v>2.82399646538668E-2</v>
      </c>
      <c r="J107" s="105">
        <v>2.91224635493001E-2</v>
      </c>
      <c r="K107" s="107">
        <v>3.00049624447335E-2</v>
      </c>
      <c r="L107" s="107">
        <v>3.0887461340166799E-2</v>
      </c>
      <c r="M107" s="107">
        <v>3.3689927272782499E-2</v>
      </c>
      <c r="N107" s="107">
        <v>3.4625758585915399E-2</v>
      </c>
      <c r="O107" s="108">
        <v>3.5561589899048299E-2</v>
      </c>
      <c r="P107" s="108">
        <v>3.6497421212181101E-2</v>
      </c>
      <c r="Q107" s="89">
        <v>3.9566549233294397E-2</v>
      </c>
      <c r="R107" s="89">
        <v>4.05557129641268E-2</v>
      </c>
      <c r="S107" s="89">
        <v>4.1544876694959099E-2</v>
      </c>
      <c r="T107">
        <v>4.2534040425791501E-2</v>
      </c>
      <c r="U107" s="99">
        <v>4.1382052257736897E-2</v>
      </c>
      <c r="V107">
        <v>4.2322553445412699E-2</v>
      </c>
      <c r="W107">
        <v>4.3263054633088598E-2</v>
      </c>
      <c r="X107">
        <v>4.4203555820764399E-2</v>
      </c>
      <c r="Y107">
        <v>4.5144057008440298E-2</v>
      </c>
      <c r="Z107">
        <v>4.60845581961161E-2</v>
      </c>
      <c r="AA107">
        <v>4.7025059383791902E-2</v>
      </c>
      <c r="AB107">
        <v>4.7965560571467801E-2</v>
      </c>
      <c r="AC107">
        <v>4.8906061759143603E-2</v>
      </c>
      <c r="AD107" s="100">
        <v>100</v>
      </c>
    </row>
    <row r="108" spans="1:30" hidden="1" x14ac:dyDescent="0.25">
      <c r="A108" t="s">
        <v>123</v>
      </c>
      <c r="B108" s="100">
        <v>11</v>
      </c>
      <c r="C108" s="104"/>
      <c r="D108" s="104"/>
      <c r="E108" s="104"/>
      <c r="F108" s="104"/>
      <c r="G108" s="105"/>
      <c r="H108" s="105"/>
      <c r="I108" s="105">
        <v>2.82399646538668E-2</v>
      </c>
      <c r="J108" s="105">
        <v>2.91224635493001E-2</v>
      </c>
      <c r="K108" s="107">
        <v>3.00049624447335E-2</v>
      </c>
      <c r="L108" s="107">
        <v>3.0887461340166799E-2</v>
      </c>
      <c r="M108" s="107">
        <v>3.3689927272782499E-2</v>
      </c>
      <c r="N108" s="107">
        <v>3.4625758585915399E-2</v>
      </c>
      <c r="O108" s="108">
        <v>3.5561589899048299E-2</v>
      </c>
      <c r="P108" s="108">
        <v>3.6497421212181101E-2</v>
      </c>
      <c r="Q108" s="89">
        <v>3.9566549233294397E-2</v>
      </c>
      <c r="R108" s="89">
        <v>4.05557129641268E-2</v>
      </c>
      <c r="S108" s="89">
        <v>4.1544876694959099E-2</v>
      </c>
      <c r="T108">
        <v>4.2534040425791501E-2</v>
      </c>
      <c r="U108" s="99">
        <v>4.1382052257736897E-2</v>
      </c>
      <c r="V108">
        <v>4.2322553445412699E-2</v>
      </c>
      <c r="W108">
        <v>4.3263054633088598E-2</v>
      </c>
      <c r="X108">
        <v>4.4203555820764399E-2</v>
      </c>
      <c r="Y108">
        <v>4.5144057008440298E-2</v>
      </c>
      <c r="Z108">
        <v>4.60845581961161E-2</v>
      </c>
      <c r="AA108">
        <v>4.7025059383791902E-2</v>
      </c>
      <c r="AB108">
        <v>4.7965560571467801E-2</v>
      </c>
      <c r="AC108">
        <v>4.8906061759143603E-2</v>
      </c>
      <c r="AD108" s="100">
        <v>100</v>
      </c>
    </row>
    <row r="109" spans="1:30" hidden="1" x14ac:dyDescent="0.25">
      <c r="A109" t="s">
        <v>123</v>
      </c>
      <c r="B109" s="100">
        <v>12</v>
      </c>
      <c r="C109" s="104"/>
      <c r="D109" s="104"/>
      <c r="E109" s="104"/>
      <c r="F109" s="104"/>
      <c r="G109" s="105"/>
      <c r="H109" s="105"/>
      <c r="I109" s="105">
        <v>2.82399646538668E-2</v>
      </c>
      <c r="J109" s="105">
        <v>2.91224635493001E-2</v>
      </c>
      <c r="K109" s="107">
        <v>3.00049624447335E-2</v>
      </c>
      <c r="L109" s="107">
        <v>3.0887461340166799E-2</v>
      </c>
      <c r="M109" s="107">
        <v>3.3689927272782499E-2</v>
      </c>
      <c r="N109" s="107">
        <v>3.4625758585915399E-2</v>
      </c>
      <c r="O109" s="108">
        <v>3.5561589899048299E-2</v>
      </c>
      <c r="P109" s="108">
        <v>3.6497421212181101E-2</v>
      </c>
      <c r="Q109" s="89">
        <v>3.9566549233294397E-2</v>
      </c>
      <c r="R109" s="89">
        <v>4.05557129641268E-2</v>
      </c>
      <c r="S109" s="89">
        <v>4.1544876694959099E-2</v>
      </c>
      <c r="T109">
        <v>4.2534040425791501E-2</v>
      </c>
      <c r="U109" s="99">
        <v>4.1382052257736897E-2</v>
      </c>
      <c r="V109">
        <v>4.2322553445412699E-2</v>
      </c>
      <c r="W109">
        <v>4.3263054633088598E-2</v>
      </c>
      <c r="X109">
        <v>4.4203555820764399E-2</v>
      </c>
      <c r="Y109">
        <v>4.5144057008440298E-2</v>
      </c>
      <c r="Z109">
        <v>4.60845581961161E-2</v>
      </c>
      <c r="AA109">
        <v>4.7025059383791902E-2</v>
      </c>
      <c r="AB109">
        <v>4.7965560571467801E-2</v>
      </c>
      <c r="AC109">
        <v>4.8906061759143603E-2</v>
      </c>
      <c r="AD109" s="100">
        <v>100</v>
      </c>
    </row>
    <row r="110" spans="1:30" hidden="1" x14ac:dyDescent="0.25">
      <c r="A110" t="s">
        <v>123</v>
      </c>
      <c r="B110" s="100">
        <v>13</v>
      </c>
      <c r="C110" s="104"/>
      <c r="D110" s="104"/>
      <c r="E110" s="104"/>
      <c r="F110" s="104"/>
      <c r="G110" s="105"/>
      <c r="H110" s="105"/>
      <c r="I110" s="105">
        <v>2.82399646538668E-2</v>
      </c>
      <c r="J110" s="105">
        <v>2.91224635493001E-2</v>
      </c>
      <c r="K110" s="107">
        <v>3.00049624447335E-2</v>
      </c>
      <c r="L110" s="107">
        <v>3.0887461340166799E-2</v>
      </c>
      <c r="M110" s="107">
        <v>3.3689927272782499E-2</v>
      </c>
      <c r="N110" s="107">
        <v>3.4625758585915399E-2</v>
      </c>
      <c r="O110" s="108">
        <v>3.5561589899048299E-2</v>
      </c>
      <c r="P110" s="108">
        <v>3.6497421212181101E-2</v>
      </c>
      <c r="Q110" s="108">
        <v>3.9566549233294397E-2</v>
      </c>
      <c r="R110" s="108">
        <v>4.05557129641268E-2</v>
      </c>
      <c r="S110" s="108">
        <v>4.1544876694959099E-2</v>
      </c>
      <c r="T110">
        <v>4.2534040425791501E-2</v>
      </c>
      <c r="U110" s="99">
        <v>4.1382052257736897E-2</v>
      </c>
      <c r="V110">
        <v>4.2322553445412699E-2</v>
      </c>
      <c r="W110">
        <v>4.3263054633088598E-2</v>
      </c>
      <c r="X110">
        <v>4.4203555820764399E-2</v>
      </c>
      <c r="Y110">
        <v>4.5144057008440298E-2</v>
      </c>
      <c r="Z110">
        <v>4.60845581961161E-2</v>
      </c>
      <c r="AA110">
        <v>4.7025059383791902E-2</v>
      </c>
      <c r="AB110">
        <v>4.7965560571467801E-2</v>
      </c>
      <c r="AC110">
        <v>4.8906061759143603E-2</v>
      </c>
      <c r="AD110" s="100">
        <v>100</v>
      </c>
    </row>
    <row r="111" spans="1:30" hidden="1" x14ac:dyDescent="0.25">
      <c r="A111" t="s">
        <v>123</v>
      </c>
      <c r="B111" s="100">
        <v>14</v>
      </c>
      <c r="C111" s="104"/>
      <c r="D111" s="104"/>
      <c r="E111" s="104"/>
      <c r="F111" s="104"/>
      <c r="G111" s="105"/>
      <c r="H111" s="105"/>
      <c r="I111" s="105">
        <v>2.82399646538668E-2</v>
      </c>
      <c r="J111" s="105">
        <v>2.91224635493001E-2</v>
      </c>
      <c r="K111" s="107">
        <v>3.00049624447335E-2</v>
      </c>
      <c r="L111" s="107">
        <v>3.0887461340166799E-2</v>
      </c>
      <c r="M111" s="107">
        <v>3.3689927272782499E-2</v>
      </c>
      <c r="N111" s="107">
        <v>3.4625758585915399E-2</v>
      </c>
      <c r="O111" s="108">
        <v>3.5561589899048299E-2</v>
      </c>
      <c r="P111" s="108">
        <v>3.6497421212181101E-2</v>
      </c>
      <c r="Q111" s="89">
        <v>3.9566549233294397E-2</v>
      </c>
      <c r="R111" s="89">
        <v>4.05557129641268E-2</v>
      </c>
      <c r="S111" s="89">
        <v>4.1544876694959099E-2</v>
      </c>
      <c r="T111">
        <v>4.2534040425791501E-2</v>
      </c>
      <c r="U111" s="99">
        <v>4.1382052257736897E-2</v>
      </c>
      <c r="V111">
        <v>4.2322553445412699E-2</v>
      </c>
      <c r="W111">
        <v>4.3263054633088598E-2</v>
      </c>
      <c r="X111">
        <v>4.4203555820764399E-2</v>
      </c>
      <c r="Y111">
        <v>4.5144057008440298E-2</v>
      </c>
      <c r="Z111">
        <v>4.60845581961161E-2</v>
      </c>
      <c r="AA111">
        <v>4.7025059383791902E-2</v>
      </c>
      <c r="AB111">
        <v>4.7965560571467801E-2</v>
      </c>
      <c r="AC111">
        <v>4.8906061759143603E-2</v>
      </c>
      <c r="AD111" s="100">
        <v>100</v>
      </c>
    </row>
    <row r="112" spans="1:30" hidden="1" x14ac:dyDescent="0.25">
      <c r="A112" t="s">
        <v>123</v>
      </c>
      <c r="B112" s="100">
        <v>15</v>
      </c>
      <c r="C112" s="104"/>
      <c r="D112" s="104"/>
      <c r="E112" s="104"/>
      <c r="F112" s="104"/>
      <c r="G112" s="105"/>
      <c r="H112" s="105"/>
      <c r="I112" s="105">
        <v>2.82399646538668E-2</v>
      </c>
      <c r="J112" s="105">
        <v>2.91224635493001E-2</v>
      </c>
      <c r="K112" s="107">
        <v>3.00049624447335E-2</v>
      </c>
      <c r="L112" s="107">
        <v>3.0887461340166799E-2</v>
      </c>
      <c r="M112" s="107">
        <v>3.3689927272782499E-2</v>
      </c>
      <c r="N112" s="107">
        <v>3.4625758585915399E-2</v>
      </c>
      <c r="O112" s="108">
        <v>3.5561589899048299E-2</v>
      </c>
      <c r="P112" s="108">
        <v>3.6497421212181101E-2</v>
      </c>
      <c r="Q112" s="89">
        <v>3.9566549233294397E-2</v>
      </c>
      <c r="R112" s="89">
        <v>4.05557129641268E-2</v>
      </c>
      <c r="S112" s="89">
        <v>4.1544876694959099E-2</v>
      </c>
      <c r="T112">
        <v>4.2534040425791501E-2</v>
      </c>
      <c r="U112" s="99">
        <v>4.1382052257736897E-2</v>
      </c>
      <c r="V112">
        <v>4.2322553445412699E-2</v>
      </c>
      <c r="W112">
        <v>4.3263054633088598E-2</v>
      </c>
      <c r="X112">
        <v>4.4203555820764399E-2</v>
      </c>
      <c r="Y112">
        <v>4.5144057008440298E-2</v>
      </c>
      <c r="Z112">
        <v>4.60845581961161E-2</v>
      </c>
      <c r="AA112">
        <v>4.7025059383791902E-2</v>
      </c>
      <c r="AB112">
        <v>4.7965560571467801E-2</v>
      </c>
      <c r="AC112">
        <v>4.8906061759143603E-2</v>
      </c>
      <c r="AD112" s="100">
        <v>100</v>
      </c>
    </row>
    <row r="113" spans="1:30" hidden="1" x14ac:dyDescent="0.25">
      <c r="A113" t="s">
        <v>227</v>
      </c>
      <c r="B113" s="100">
        <v>9</v>
      </c>
      <c r="C113" s="104"/>
      <c r="D113" s="104"/>
      <c r="E113" s="104"/>
      <c r="F113" s="104"/>
      <c r="G113" s="105"/>
      <c r="H113" s="105"/>
      <c r="I113" s="105">
        <v>2.82399646538668E-2</v>
      </c>
      <c r="J113" s="105">
        <v>2.91224635493001E-2</v>
      </c>
      <c r="K113" s="107">
        <v>3.00049624447335E-2</v>
      </c>
      <c r="L113" s="107">
        <v>3.0887461340166799E-2</v>
      </c>
      <c r="M113" s="107">
        <v>3.3689927272782499E-2</v>
      </c>
      <c r="N113" s="107">
        <v>3.4625758585915399E-2</v>
      </c>
      <c r="O113" s="108">
        <v>3.5561589899048299E-2</v>
      </c>
      <c r="P113" s="108">
        <v>3.6497421212181101E-2</v>
      </c>
      <c r="Q113" s="89">
        <v>3.9566549233294397E-2</v>
      </c>
      <c r="R113" s="89">
        <v>4.05557129641268E-2</v>
      </c>
      <c r="S113" s="89">
        <v>4.1544876694959099E-2</v>
      </c>
      <c r="T113">
        <v>4.2534040425791501E-2</v>
      </c>
      <c r="U113" s="99">
        <v>4.1382052257736897E-2</v>
      </c>
      <c r="V113">
        <v>4.2322553445412699E-2</v>
      </c>
      <c r="W113">
        <v>4.3263054633088598E-2</v>
      </c>
      <c r="X113">
        <v>4.4203555820764399E-2</v>
      </c>
      <c r="Y113">
        <v>4.5144057008440298E-2</v>
      </c>
      <c r="Z113">
        <v>4.60845581961161E-2</v>
      </c>
      <c r="AA113">
        <v>4.7025059383791902E-2</v>
      </c>
      <c r="AB113">
        <v>4.7965560571467801E-2</v>
      </c>
      <c r="AC113">
        <v>4.8906061759143603E-2</v>
      </c>
      <c r="AD113" s="100">
        <v>100</v>
      </c>
    </row>
    <row r="114" spans="1:30" hidden="1" x14ac:dyDescent="0.25">
      <c r="A114" t="s">
        <v>227</v>
      </c>
      <c r="B114" s="100">
        <v>10</v>
      </c>
      <c r="C114" s="104"/>
      <c r="D114" s="104"/>
      <c r="E114" s="104"/>
      <c r="F114" s="104"/>
      <c r="G114" s="105"/>
      <c r="H114" s="105"/>
      <c r="I114" s="105">
        <v>2.82399646538668E-2</v>
      </c>
      <c r="J114" s="105">
        <v>2.91224635493001E-2</v>
      </c>
      <c r="K114" s="107">
        <v>3.00049624447335E-2</v>
      </c>
      <c r="L114" s="107">
        <v>3.0887461340166799E-2</v>
      </c>
      <c r="M114" s="107">
        <v>3.3689927272782499E-2</v>
      </c>
      <c r="N114" s="107">
        <v>3.4625758585915399E-2</v>
      </c>
      <c r="O114" s="108">
        <v>3.5561589899048299E-2</v>
      </c>
      <c r="P114" s="108">
        <v>3.6497421212181101E-2</v>
      </c>
      <c r="Q114" s="108">
        <v>3.9566549233294397E-2</v>
      </c>
      <c r="R114" s="108">
        <v>4.05557129641268E-2</v>
      </c>
      <c r="S114" s="108">
        <v>4.1544876694959099E-2</v>
      </c>
      <c r="T114">
        <v>4.2534040425791501E-2</v>
      </c>
      <c r="U114" s="99">
        <v>4.1382052257736897E-2</v>
      </c>
      <c r="V114">
        <v>4.2322553445412699E-2</v>
      </c>
      <c r="W114">
        <v>4.3263054633088598E-2</v>
      </c>
      <c r="X114">
        <v>4.4203555820764399E-2</v>
      </c>
      <c r="Y114">
        <v>4.5144057008440298E-2</v>
      </c>
      <c r="Z114">
        <v>4.60845581961161E-2</v>
      </c>
      <c r="AA114">
        <v>4.7025059383791902E-2</v>
      </c>
      <c r="AB114">
        <v>4.7965560571467801E-2</v>
      </c>
      <c r="AC114">
        <v>4.8906061759143603E-2</v>
      </c>
      <c r="AD114" s="100">
        <v>100</v>
      </c>
    </row>
    <row r="115" spans="1:30" hidden="1" x14ac:dyDescent="0.25">
      <c r="A115" t="s">
        <v>227</v>
      </c>
      <c r="B115" s="100">
        <v>11</v>
      </c>
      <c r="C115" s="104"/>
      <c r="D115" s="104"/>
      <c r="E115" s="104"/>
      <c r="F115" s="104"/>
      <c r="G115" s="105"/>
      <c r="H115" s="105"/>
      <c r="I115" s="105">
        <v>2.82399646538668E-2</v>
      </c>
      <c r="J115" s="105">
        <v>2.91224635493001E-2</v>
      </c>
      <c r="K115" s="107">
        <v>3.00049624447335E-2</v>
      </c>
      <c r="L115" s="107">
        <v>3.0887461340166799E-2</v>
      </c>
      <c r="M115" s="107">
        <v>3.3689927272782499E-2</v>
      </c>
      <c r="N115" s="107">
        <v>3.4625758585915399E-2</v>
      </c>
      <c r="O115" s="108">
        <v>3.5561589899048299E-2</v>
      </c>
      <c r="P115" s="108">
        <v>3.6497421212181101E-2</v>
      </c>
      <c r="Q115" s="89">
        <v>3.9566549233294397E-2</v>
      </c>
      <c r="R115" s="89">
        <v>4.05557129641268E-2</v>
      </c>
      <c r="S115" s="89">
        <v>4.1544876694959099E-2</v>
      </c>
      <c r="T115">
        <v>4.2534040425791501E-2</v>
      </c>
      <c r="U115" s="99">
        <v>4.1382052257736897E-2</v>
      </c>
      <c r="V115">
        <v>4.2322553445412699E-2</v>
      </c>
      <c r="W115">
        <v>4.3263054633088598E-2</v>
      </c>
      <c r="X115">
        <v>4.4203555820764399E-2</v>
      </c>
      <c r="Y115">
        <v>4.5144057008440298E-2</v>
      </c>
      <c r="Z115">
        <v>4.60845581961161E-2</v>
      </c>
      <c r="AA115">
        <v>4.7025059383791902E-2</v>
      </c>
      <c r="AB115">
        <v>4.7965560571467801E-2</v>
      </c>
      <c r="AC115">
        <v>4.8906061759143603E-2</v>
      </c>
      <c r="AD115" s="100">
        <v>100</v>
      </c>
    </row>
    <row r="116" spans="1:30" hidden="1" x14ac:dyDescent="0.25">
      <c r="A116" t="s">
        <v>227</v>
      </c>
      <c r="B116" s="100">
        <v>12</v>
      </c>
      <c r="C116" s="104"/>
      <c r="D116" s="104"/>
      <c r="E116" s="104"/>
      <c r="F116" s="104"/>
      <c r="G116" s="105"/>
      <c r="H116" s="105"/>
      <c r="I116" s="105">
        <v>2.82399646538668E-2</v>
      </c>
      <c r="J116" s="105">
        <v>2.91224635493001E-2</v>
      </c>
      <c r="K116" s="107">
        <v>3.00049624447335E-2</v>
      </c>
      <c r="L116" s="107">
        <v>3.0887461340166799E-2</v>
      </c>
      <c r="M116" s="107">
        <v>3.3689927272782499E-2</v>
      </c>
      <c r="N116" s="107">
        <v>3.4625758585915399E-2</v>
      </c>
      <c r="O116" s="108">
        <v>3.5561589899048299E-2</v>
      </c>
      <c r="P116" s="108">
        <v>3.6497421212181101E-2</v>
      </c>
      <c r="Q116" s="89">
        <v>3.9566549233294397E-2</v>
      </c>
      <c r="R116" s="89">
        <v>4.05557129641268E-2</v>
      </c>
      <c r="S116" s="89">
        <v>4.1544876694959099E-2</v>
      </c>
      <c r="T116">
        <v>4.2534040425791501E-2</v>
      </c>
      <c r="U116" s="99">
        <v>4.1382052257736897E-2</v>
      </c>
      <c r="V116">
        <v>4.2322553445412699E-2</v>
      </c>
      <c r="W116">
        <v>4.3263054633088598E-2</v>
      </c>
      <c r="X116">
        <v>4.4203555820764399E-2</v>
      </c>
      <c r="Y116">
        <v>4.5144057008440298E-2</v>
      </c>
      <c r="Z116">
        <v>4.60845581961161E-2</v>
      </c>
      <c r="AA116">
        <v>4.7025059383791902E-2</v>
      </c>
      <c r="AB116">
        <v>4.7965560571467801E-2</v>
      </c>
      <c r="AC116">
        <v>4.8906061759143603E-2</v>
      </c>
      <c r="AD116" s="100">
        <v>100</v>
      </c>
    </row>
    <row r="117" spans="1:30" hidden="1" x14ac:dyDescent="0.25">
      <c r="A117" t="s">
        <v>227</v>
      </c>
      <c r="B117" s="100">
        <v>13</v>
      </c>
      <c r="C117" s="104"/>
      <c r="D117" s="104"/>
      <c r="E117" s="104"/>
      <c r="F117" s="104"/>
      <c r="G117" s="105"/>
      <c r="H117" s="105"/>
      <c r="I117" s="105">
        <v>2.82399646538668E-2</v>
      </c>
      <c r="J117" s="105">
        <v>2.91224635493001E-2</v>
      </c>
      <c r="K117" s="107">
        <v>3.00049624447335E-2</v>
      </c>
      <c r="L117" s="107">
        <v>3.0887461340166799E-2</v>
      </c>
      <c r="M117" s="107">
        <v>3.3689927272782499E-2</v>
      </c>
      <c r="N117" s="107">
        <v>3.4625758585915399E-2</v>
      </c>
      <c r="O117" s="108">
        <v>3.5561589899048299E-2</v>
      </c>
      <c r="P117" s="108">
        <v>3.6497421212181101E-2</v>
      </c>
      <c r="Q117" s="89">
        <v>3.9566549233294397E-2</v>
      </c>
      <c r="R117" s="89">
        <v>4.05557129641268E-2</v>
      </c>
      <c r="S117" s="89">
        <v>4.1544876694959099E-2</v>
      </c>
      <c r="T117">
        <v>4.2534040425791501E-2</v>
      </c>
      <c r="U117" s="99">
        <v>4.1382052257736897E-2</v>
      </c>
      <c r="V117">
        <v>4.2322553445412699E-2</v>
      </c>
      <c r="W117">
        <v>4.3263054633088598E-2</v>
      </c>
      <c r="X117">
        <v>4.4203555820764399E-2</v>
      </c>
      <c r="Y117">
        <v>4.5144057008440298E-2</v>
      </c>
      <c r="Z117">
        <v>4.60845581961161E-2</v>
      </c>
      <c r="AA117">
        <v>4.7025059383791902E-2</v>
      </c>
      <c r="AB117">
        <v>4.7965560571467801E-2</v>
      </c>
      <c r="AC117">
        <v>4.8906061759143603E-2</v>
      </c>
      <c r="AD117" s="100">
        <v>100</v>
      </c>
    </row>
    <row r="118" spans="1:30" hidden="1" x14ac:dyDescent="0.25">
      <c r="A118" t="s">
        <v>227</v>
      </c>
      <c r="B118" s="100">
        <v>14</v>
      </c>
      <c r="C118" s="104"/>
      <c r="D118" s="104"/>
      <c r="E118" s="104"/>
      <c r="F118" s="104"/>
      <c r="G118" s="105"/>
      <c r="H118" s="105"/>
      <c r="I118" s="105">
        <v>2.82399646538668E-2</v>
      </c>
      <c r="J118" s="105">
        <v>2.91224635493001E-2</v>
      </c>
      <c r="K118" s="107">
        <v>3.00049624447335E-2</v>
      </c>
      <c r="L118" s="107">
        <v>3.0887461340166799E-2</v>
      </c>
      <c r="M118" s="107">
        <v>3.3689927272782499E-2</v>
      </c>
      <c r="N118" s="107">
        <v>3.4625758585915399E-2</v>
      </c>
      <c r="O118" s="108">
        <v>3.5561589899048299E-2</v>
      </c>
      <c r="P118" s="108">
        <v>3.6497421212181101E-2</v>
      </c>
      <c r="Q118" s="89">
        <v>3.9566549233294397E-2</v>
      </c>
      <c r="R118" s="89">
        <v>4.05557129641268E-2</v>
      </c>
      <c r="S118" s="89">
        <v>4.1544876694959099E-2</v>
      </c>
      <c r="T118">
        <v>4.2534040425791501E-2</v>
      </c>
      <c r="U118" s="99">
        <v>4.1382052257736897E-2</v>
      </c>
      <c r="V118">
        <v>4.2322553445412699E-2</v>
      </c>
      <c r="W118">
        <v>4.3263054633088598E-2</v>
      </c>
      <c r="X118">
        <v>4.4203555820764399E-2</v>
      </c>
      <c r="Y118">
        <v>4.5144057008440298E-2</v>
      </c>
      <c r="Z118">
        <v>4.60845581961161E-2</v>
      </c>
      <c r="AA118">
        <v>4.7025059383791902E-2</v>
      </c>
      <c r="AB118">
        <v>4.7965560571467801E-2</v>
      </c>
      <c r="AC118">
        <v>4.8906061759143603E-2</v>
      </c>
      <c r="AD118" s="100">
        <v>100</v>
      </c>
    </row>
    <row r="119" spans="1:30" hidden="1" x14ac:dyDescent="0.25">
      <c r="A119" t="s">
        <v>227</v>
      </c>
      <c r="B119" s="100">
        <v>15</v>
      </c>
      <c r="C119" s="104"/>
      <c r="D119" s="104"/>
      <c r="E119" s="104"/>
      <c r="F119" s="104"/>
      <c r="G119" s="105"/>
      <c r="H119" s="105"/>
      <c r="I119" s="105">
        <v>2.82399646538668E-2</v>
      </c>
      <c r="J119" s="105">
        <v>2.91224635493001E-2</v>
      </c>
      <c r="K119" s="107">
        <v>3.00049624447335E-2</v>
      </c>
      <c r="L119" s="107">
        <v>3.0887461340166799E-2</v>
      </c>
      <c r="M119" s="107">
        <v>3.3689927272782499E-2</v>
      </c>
      <c r="N119" s="107">
        <v>3.4625758585915399E-2</v>
      </c>
      <c r="O119" s="108">
        <v>3.5561589899048299E-2</v>
      </c>
      <c r="P119" s="108">
        <v>3.6497421212181101E-2</v>
      </c>
      <c r="Q119" s="89">
        <v>3.9566549233294397E-2</v>
      </c>
      <c r="R119" s="89">
        <v>4.05557129641268E-2</v>
      </c>
      <c r="S119" s="89">
        <v>4.1544876694959099E-2</v>
      </c>
      <c r="T119">
        <v>4.2534040425791501E-2</v>
      </c>
      <c r="U119" s="99">
        <v>4.1382052257736897E-2</v>
      </c>
      <c r="V119">
        <v>4.2322553445412699E-2</v>
      </c>
      <c r="W119">
        <v>4.3263054633088598E-2</v>
      </c>
      <c r="X119">
        <v>4.4203555820764399E-2</v>
      </c>
      <c r="Y119">
        <v>4.5144057008440298E-2</v>
      </c>
      <c r="Z119">
        <v>4.60845581961161E-2</v>
      </c>
      <c r="AA119">
        <v>4.7025059383791902E-2</v>
      </c>
      <c r="AB119">
        <v>4.7965560571467801E-2</v>
      </c>
      <c r="AC119">
        <v>4.8906061759143603E-2</v>
      </c>
      <c r="AD119" s="100">
        <v>100</v>
      </c>
    </row>
    <row r="120" spans="1:30" hidden="1" x14ac:dyDescent="0.25">
      <c r="A120" t="s">
        <v>888</v>
      </c>
      <c r="B120" s="100">
        <v>9</v>
      </c>
      <c r="C120" s="104"/>
      <c r="D120" s="104"/>
      <c r="E120" s="104"/>
      <c r="F120" s="104"/>
      <c r="G120" s="105"/>
      <c r="H120" s="105"/>
      <c r="I120" s="105">
        <v>2.82399646538668E-2</v>
      </c>
      <c r="J120" s="105">
        <v>2.91224635493001E-2</v>
      </c>
      <c r="K120" s="107">
        <v>3.00049624447335E-2</v>
      </c>
      <c r="L120" s="107">
        <v>3.0887461340166799E-2</v>
      </c>
      <c r="M120" s="107">
        <v>3.3689927272782499E-2</v>
      </c>
      <c r="N120" s="107">
        <v>3.4625758585915399E-2</v>
      </c>
      <c r="O120" s="108">
        <v>3.5561589899048299E-2</v>
      </c>
      <c r="P120" s="108">
        <v>3.6497421212181101E-2</v>
      </c>
      <c r="Q120" s="89">
        <v>3.9566549233294397E-2</v>
      </c>
      <c r="R120" s="89">
        <v>4.05557129641268E-2</v>
      </c>
      <c r="S120" s="89">
        <v>4.1544876694959099E-2</v>
      </c>
      <c r="T120">
        <v>4.2534040425791501E-2</v>
      </c>
      <c r="U120" s="99">
        <v>4.1382052257736897E-2</v>
      </c>
      <c r="V120">
        <v>4.2322553445412699E-2</v>
      </c>
      <c r="W120">
        <v>4.3263054633088598E-2</v>
      </c>
      <c r="X120">
        <v>4.4203555820764399E-2</v>
      </c>
      <c r="Y120">
        <v>4.5144057008440298E-2</v>
      </c>
      <c r="Z120">
        <v>4.60845581961161E-2</v>
      </c>
      <c r="AA120">
        <v>4.7025059383791902E-2</v>
      </c>
      <c r="AB120">
        <v>4.7965560571467801E-2</v>
      </c>
      <c r="AC120">
        <v>4.8906061759143603E-2</v>
      </c>
      <c r="AD120" s="100">
        <v>100</v>
      </c>
    </row>
    <row r="121" spans="1:30" hidden="1" x14ac:dyDescent="0.25">
      <c r="A121" t="s">
        <v>888</v>
      </c>
      <c r="B121" s="100">
        <v>10</v>
      </c>
      <c r="C121" s="104"/>
      <c r="D121" s="104"/>
      <c r="E121" s="104"/>
      <c r="F121" s="104"/>
      <c r="G121" s="105"/>
      <c r="H121" s="105"/>
      <c r="I121" s="105">
        <v>2.82399646538668E-2</v>
      </c>
      <c r="J121" s="105">
        <v>2.91224635493001E-2</v>
      </c>
      <c r="K121" s="107">
        <v>3.00049624447335E-2</v>
      </c>
      <c r="L121" s="107">
        <v>3.0887461340166799E-2</v>
      </c>
      <c r="M121" s="107">
        <v>3.3689927272782499E-2</v>
      </c>
      <c r="N121" s="107">
        <v>3.4625758585915399E-2</v>
      </c>
      <c r="O121" s="108">
        <v>3.5561589899048299E-2</v>
      </c>
      <c r="P121" s="108">
        <v>3.6497421212181101E-2</v>
      </c>
      <c r="Q121" s="89">
        <v>3.9566549233294397E-2</v>
      </c>
      <c r="R121" s="89">
        <v>4.05557129641268E-2</v>
      </c>
      <c r="S121" s="89">
        <v>4.1544876694959099E-2</v>
      </c>
      <c r="T121">
        <v>4.2534040425791501E-2</v>
      </c>
      <c r="U121" s="99">
        <v>4.1382052257736897E-2</v>
      </c>
      <c r="V121">
        <v>4.2322553445412699E-2</v>
      </c>
      <c r="W121">
        <v>4.3263054633088598E-2</v>
      </c>
      <c r="X121">
        <v>4.4203555820764399E-2</v>
      </c>
      <c r="Y121">
        <v>4.5144057008440298E-2</v>
      </c>
      <c r="Z121">
        <v>4.60845581961161E-2</v>
      </c>
      <c r="AA121">
        <v>4.7025059383791902E-2</v>
      </c>
      <c r="AB121">
        <v>4.7965560571467801E-2</v>
      </c>
      <c r="AC121">
        <v>4.8906061759143603E-2</v>
      </c>
      <c r="AD121" s="100">
        <v>100</v>
      </c>
    </row>
    <row r="122" spans="1:30" hidden="1" x14ac:dyDescent="0.25">
      <c r="A122" t="s">
        <v>888</v>
      </c>
      <c r="B122" s="100">
        <v>11</v>
      </c>
      <c r="C122" s="104"/>
      <c r="D122" s="104"/>
      <c r="E122" s="104"/>
      <c r="F122" s="104"/>
      <c r="G122" s="105"/>
      <c r="H122" s="105"/>
      <c r="I122" s="105">
        <v>2.82399646538668E-2</v>
      </c>
      <c r="J122" s="105">
        <v>2.91224635493001E-2</v>
      </c>
      <c r="K122" s="107">
        <v>3.00049624447335E-2</v>
      </c>
      <c r="L122" s="107">
        <v>3.0887461340166799E-2</v>
      </c>
      <c r="M122" s="107">
        <v>3.3689927272782499E-2</v>
      </c>
      <c r="N122" s="107">
        <v>3.4625758585915399E-2</v>
      </c>
      <c r="O122" s="108">
        <v>3.5561589899048299E-2</v>
      </c>
      <c r="P122" s="108">
        <v>3.6497421212181101E-2</v>
      </c>
      <c r="Q122" s="89">
        <v>3.9566549233294397E-2</v>
      </c>
      <c r="R122" s="89">
        <v>4.05557129641268E-2</v>
      </c>
      <c r="S122" s="89">
        <v>4.1544876694959099E-2</v>
      </c>
      <c r="T122">
        <v>4.2534040425791501E-2</v>
      </c>
      <c r="U122" s="99">
        <v>4.1382052257736897E-2</v>
      </c>
      <c r="V122">
        <v>4.2322553445412699E-2</v>
      </c>
      <c r="W122">
        <v>4.3263054633088598E-2</v>
      </c>
      <c r="X122">
        <v>4.4203555820764399E-2</v>
      </c>
      <c r="Y122">
        <v>4.5144057008440298E-2</v>
      </c>
      <c r="Z122">
        <v>4.60845581961161E-2</v>
      </c>
      <c r="AA122">
        <v>4.7025059383791902E-2</v>
      </c>
      <c r="AB122">
        <v>4.7965560571467801E-2</v>
      </c>
      <c r="AC122">
        <v>4.8906061759143603E-2</v>
      </c>
      <c r="AD122" s="100">
        <v>100</v>
      </c>
    </row>
    <row r="123" spans="1:30" hidden="1" x14ac:dyDescent="0.25">
      <c r="A123" t="s">
        <v>888</v>
      </c>
      <c r="B123" s="100">
        <v>12</v>
      </c>
      <c r="C123" s="104"/>
      <c r="D123" s="104"/>
      <c r="E123" s="104"/>
      <c r="F123" s="104"/>
      <c r="G123" s="105"/>
      <c r="H123" s="105"/>
      <c r="I123" s="105">
        <v>2.82399646538668E-2</v>
      </c>
      <c r="J123" s="105">
        <v>2.91224635493001E-2</v>
      </c>
      <c r="K123" s="107">
        <v>3.00049624447335E-2</v>
      </c>
      <c r="L123" s="107">
        <v>3.0887461340166799E-2</v>
      </c>
      <c r="M123" s="107">
        <v>3.3689927272782499E-2</v>
      </c>
      <c r="N123" s="107">
        <v>3.4625758585915399E-2</v>
      </c>
      <c r="O123" s="108">
        <v>3.5561589899048299E-2</v>
      </c>
      <c r="P123" s="108">
        <v>3.6497421212181101E-2</v>
      </c>
      <c r="Q123" s="89">
        <v>3.9566549233294397E-2</v>
      </c>
      <c r="R123" s="89">
        <v>4.05557129641268E-2</v>
      </c>
      <c r="S123" s="89">
        <v>4.1544876694959099E-2</v>
      </c>
      <c r="T123">
        <v>4.2534040425791501E-2</v>
      </c>
      <c r="U123">
        <v>4.1382052257736897E-2</v>
      </c>
      <c r="V123">
        <v>4.2322553445412699E-2</v>
      </c>
      <c r="W123">
        <v>4.3263054633088598E-2</v>
      </c>
      <c r="X123">
        <v>4.4203555820764399E-2</v>
      </c>
      <c r="Y123">
        <v>4.5144057008440298E-2</v>
      </c>
      <c r="Z123">
        <v>4.60845581961161E-2</v>
      </c>
      <c r="AA123">
        <v>4.7025059383791902E-2</v>
      </c>
      <c r="AB123">
        <v>4.7965560571467801E-2</v>
      </c>
      <c r="AC123">
        <v>4.8906061759143603E-2</v>
      </c>
      <c r="AD123" s="100">
        <v>100</v>
      </c>
    </row>
    <row r="124" spans="1:30" hidden="1" x14ac:dyDescent="0.25">
      <c r="A124" t="s">
        <v>888</v>
      </c>
      <c r="B124" s="100">
        <v>13</v>
      </c>
      <c r="C124" s="104"/>
      <c r="D124" s="104"/>
      <c r="E124" s="104"/>
      <c r="F124" s="104"/>
      <c r="G124" s="105"/>
      <c r="H124" s="105"/>
      <c r="I124" s="105">
        <v>2.82399646538668E-2</v>
      </c>
      <c r="J124" s="105">
        <v>2.91224635493001E-2</v>
      </c>
      <c r="K124" s="107">
        <v>3.00049624447335E-2</v>
      </c>
      <c r="L124" s="107">
        <v>3.0887461340166799E-2</v>
      </c>
      <c r="M124" s="107">
        <v>3.3689927272782499E-2</v>
      </c>
      <c r="N124" s="107">
        <v>3.4625758585915399E-2</v>
      </c>
      <c r="O124" s="108">
        <v>3.5561589899048299E-2</v>
      </c>
      <c r="P124" s="108">
        <v>3.6497421212181101E-2</v>
      </c>
      <c r="Q124" s="89">
        <v>3.9566549233294397E-2</v>
      </c>
      <c r="R124" s="89">
        <v>4.05557129641268E-2</v>
      </c>
      <c r="S124" s="89">
        <v>4.1544876694959099E-2</v>
      </c>
      <c r="T124">
        <v>4.2534040425791501E-2</v>
      </c>
      <c r="U124" s="99">
        <v>4.1382052257736897E-2</v>
      </c>
      <c r="V124">
        <v>4.2322553445412699E-2</v>
      </c>
      <c r="W124">
        <v>4.3263054633088598E-2</v>
      </c>
      <c r="X124">
        <v>4.4203555820764399E-2</v>
      </c>
      <c r="Y124">
        <v>4.5144057008440298E-2</v>
      </c>
      <c r="Z124">
        <v>4.60845581961161E-2</v>
      </c>
      <c r="AA124">
        <v>4.7025059383791902E-2</v>
      </c>
      <c r="AB124">
        <v>4.7965560571467801E-2</v>
      </c>
      <c r="AC124">
        <v>4.8906061759143603E-2</v>
      </c>
      <c r="AD124" s="100">
        <v>100</v>
      </c>
    </row>
    <row r="125" spans="1:30" hidden="1" x14ac:dyDescent="0.25">
      <c r="A125" t="s">
        <v>888</v>
      </c>
      <c r="B125" s="100">
        <v>14</v>
      </c>
      <c r="C125" s="104"/>
      <c r="D125" s="104"/>
      <c r="E125" s="104"/>
      <c r="F125" s="104"/>
      <c r="G125" s="105"/>
      <c r="H125" s="105"/>
      <c r="I125" s="105">
        <v>2.82399646538668E-2</v>
      </c>
      <c r="J125" s="105">
        <v>2.91224635493001E-2</v>
      </c>
      <c r="K125" s="107">
        <v>3.00049624447335E-2</v>
      </c>
      <c r="L125" s="107">
        <v>3.0887461340166799E-2</v>
      </c>
      <c r="M125" s="107">
        <v>3.3689927272782499E-2</v>
      </c>
      <c r="N125" s="107">
        <v>3.4625758585915399E-2</v>
      </c>
      <c r="O125" s="108">
        <v>3.5561589899048299E-2</v>
      </c>
      <c r="P125" s="108">
        <v>3.6497421212181101E-2</v>
      </c>
      <c r="Q125" s="89">
        <v>3.9566549233294397E-2</v>
      </c>
      <c r="R125" s="89">
        <v>4.05557129641268E-2</v>
      </c>
      <c r="S125" s="89">
        <v>4.1544876694959099E-2</v>
      </c>
      <c r="T125">
        <v>4.2534040425791501E-2</v>
      </c>
      <c r="U125" s="99">
        <v>4.1382052257736897E-2</v>
      </c>
      <c r="V125">
        <v>4.2322553445412699E-2</v>
      </c>
      <c r="W125">
        <v>4.3263054633088598E-2</v>
      </c>
      <c r="X125">
        <v>4.4203555820764399E-2</v>
      </c>
      <c r="Y125">
        <v>4.5144057008440298E-2</v>
      </c>
      <c r="Z125">
        <v>4.60845581961161E-2</v>
      </c>
      <c r="AA125">
        <v>4.7025059383791902E-2</v>
      </c>
      <c r="AB125">
        <v>4.7965560571467801E-2</v>
      </c>
      <c r="AC125">
        <v>4.8906061759143603E-2</v>
      </c>
      <c r="AD125" s="100">
        <v>100</v>
      </c>
    </row>
    <row r="126" spans="1:30" hidden="1" x14ac:dyDescent="0.25">
      <c r="A126" t="s">
        <v>888</v>
      </c>
      <c r="B126" s="100">
        <v>15</v>
      </c>
      <c r="C126" s="104"/>
      <c r="D126" s="104"/>
      <c r="E126" s="104"/>
      <c r="F126" s="104"/>
      <c r="G126" s="105"/>
      <c r="H126" s="105"/>
      <c r="I126" s="105">
        <v>2.82399646538668E-2</v>
      </c>
      <c r="J126" s="105">
        <v>2.91224635493001E-2</v>
      </c>
      <c r="K126" s="107">
        <v>3.00049624447335E-2</v>
      </c>
      <c r="L126" s="107">
        <v>3.0887461340166799E-2</v>
      </c>
      <c r="M126" s="107">
        <v>3.3689927272782499E-2</v>
      </c>
      <c r="N126" s="107">
        <v>3.4625758585915399E-2</v>
      </c>
      <c r="O126" s="108">
        <v>3.5561589899048299E-2</v>
      </c>
      <c r="P126" s="108">
        <v>3.6497421212181101E-2</v>
      </c>
      <c r="Q126" s="89">
        <v>3.9566549233294397E-2</v>
      </c>
      <c r="R126" s="89">
        <v>4.05557129641268E-2</v>
      </c>
      <c r="S126" s="89">
        <v>4.1544876694959099E-2</v>
      </c>
      <c r="T126">
        <v>4.2534040425791501E-2</v>
      </c>
      <c r="U126" s="99">
        <v>4.1382052257736897E-2</v>
      </c>
      <c r="V126">
        <v>4.2322553445412699E-2</v>
      </c>
      <c r="W126">
        <v>4.3263054633088598E-2</v>
      </c>
      <c r="X126">
        <v>4.4203555820764399E-2</v>
      </c>
      <c r="Y126">
        <v>4.5144057008440298E-2</v>
      </c>
      <c r="Z126">
        <v>4.60845581961161E-2</v>
      </c>
      <c r="AA126">
        <v>4.7025059383791902E-2</v>
      </c>
      <c r="AB126">
        <v>4.7965560571467801E-2</v>
      </c>
      <c r="AC126">
        <v>4.8906061759143603E-2</v>
      </c>
      <c r="AD126" s="100">
        <v>100</v>
      </c>
    </row>
    <row r="127" spans="1:30" hidden="1" x14ac:dyDescent="0.25">
      <c r="A127" t="s">
        <v>891</v>
      </c>
      <c r="B127" s="100">
        <v>9</v>
      </c>
      <c r="C127" s="104"/>
      <c r="D127" s="104"/>
      <c r="E127" s="104"/>
      <c r="F127" s="104"/>
      <c r="G127" s="105"/>
      <c r="H127" s="105"/>
      <c r="I127" s="105">
        <v>2.82399646538668E-2</v>
      </c>
      <c r="J127" s="105">
        <v>2.91224635493001E-2</v>
      </c>
      <c r="K127" s="107">
        <v>3.00049624447335E-2</v>
      </c>
      <c r="L127" s="107">
        <v>3.0887461340166799E-2</v>
      </c>
      <c r="M127" s="107">
        <v>3.3689927272782499E-2</v>
      </c>
      <c r="N127" s="107">
        <v>3.4625758585915399E-2</v>
      </c>
      <c r="O127" s="89">
        <v>3.5561589899048299E-2</v>
      </c>
      <c r="P127" s="89">
        <v>3.6497421212181101E-2</v>
      </c>
      <c r="Q127" s="89">
        <v>3.9566549233294397E-2</v>
      </c>
      <c r="R127" s="89">
        <v>4.05557129641268E-2</v>
      </c>
      <c r="S127" s="89">
        <v>4.1544876694959099E-2</v>
      </c>
      <c r="T127">
        <v>4.2534040425791501E-2</v>
      </c>
      <c r="U127">
        <v>4.1382052257736897E-2</v>
      </c>
      <c r="V127">
        <v>4.2322553445412699E-2</v>
      </c>
      <c r="W127">
        <v>4.3263054633088598E-2</v>
      </c>
      <c r="X127">
        <v>4.4203555820764399E-2</v>
      </c>
      <c r="Y127">
        <v>4.5144057008440298E-2</v>
      </c>
      <c r="Z127">
        <v>4.60845581961161E-2</v>
      </c>
      <c r="AA127">
        <v>4.7025059383791902E-2</v>
      </c>
      <c r="AB127">
        <v>4.7965560571467801E-2</v>
      </c>
      <c r="AC127">
        <v>4.8906061759143603E-2</v>
      </c>
      <c r="AD127" s="100">
        <v>100</v>
      </c>
    </row>
    <row r="128" spans="1:30" hidden="1" x14ac:dyDescent="0.25">
      <c r="A128" t="s">
        <v>891</v>
      </c>
      <c r="B128" s="100">
        <v>10</v>
      </c>
      <c r="C128" s="104"/>
      <c r="D128" s="104"/>
      <c r="E128" s="104"/>
      <c r="F128" s="104"/>
      <c r="G128" s="105"/>
      <c r="H128" s="105"/>
      <c r="I128" s="105">
        <v>2.82399646538668E-2</v>
      </c>
      <c r="J128" s="105">
        <v>2.91224635493001E-2</v>
      </c>
      <c r="K128" s="107">
        <v>3.00049624447335E-2</v>
      </c>
      <c r="L128" s="107">
        <v>3.0887461340166799E-2</v>
      </c>
      <c r="M128" s="107">
        <v>3.3689927272782499E-2</v>
      </c>
      <c r="N128" s="107">
        <v>3.4625758585915399E-2</v>
      </c>
      <c r="O128" s="108">
        <v>3.5561589899048299E-2</v>
      </c>
      <c r="P128" s="108">
        <v>3.6497421212181101E-2</v>
      </c>
      <c r="Q128" s="89">
        <v>3.9566549233294397E-2</v>
      </c>
      <c r="R128" s="89">
        <v>4.05557129641268E-2</v>
      </c>
      <c r="S128" s="89">
        <v>4.1544876694959099E-2</v>
      </c>
      <c r="T128">
        <v>4.2534040425791501E-2</v>
      </c>
      <c r="U128" s="99">
        <v>4.1382052257736897E-2</v>
      </c>
      <c r="V128">
        <v>4.2322553445412699E-2</v>
      </c>
      <c r="W128">
        <v>4.3263054633088598E-2</v>
      </c>
      <c r="X128">
        <v>4.4203555820764399E-2</v>
      </c>
      <c r="Y128">
        <v>4.5144057008440298E-2</v>
      </c>
      <c r="Z128">
        <v>4.60845581961161E-2</v>
      </c>
      <c r="AA128">
        <v>4.7025059383791902E-2</v>
      </c>
      <c r="AB128">
        <v>4.7965560571467801E-2</v>
      </c>
      <c r="AC128">
        <v>4.8906061759143603E-2</v>
      </c>
      <c r="AD128" s="100">
        <v>100</v>
      </c>
    </row>
    <row r="129" spans="1:30" hidden="1" x14ac:dyDescent="0.25">
      <c r="A129" t="s">
        <v>891</v>
      </c>
      <c r="B129" s="100">
        <v>11</v>
      </c>
      <c r="C129" s="104"/>
      <c r="D129" s="104"/>
      <c r="E129" s="104"/>
      <c r="F129" s="104"/>
      <c r="G129" s="105"/>
      <c r="H129" s="105"/>
      <c r="I129" s="105">
        <v>2.82399646538668E-2</v>
      </c>
      <c r="J129" s="105">
        <v>2.91224635493001E-2</v>
      </c>
      <c r="K129" s="107">
        <v>3.00049624447335E-2</v>
      </c>
      <c r="L129" s="107">
        <v>3.0887461340166799E-2</v>
      </c>
      <c r="M129" s="107">
        <v>3.3689927272782499E-2</v>
      </c>
      <c r="N129" s="107">
        <v>3.4625758585915399E-2</v>
      </c>
      <c r="O129" s="108">
        <v>3.5561589899048299E-2</v>
      </c>
      <c r="P129" s="108">
        <v>3.6497421212181101E-2</v>
      </c>
      <c r="Q129" s="89">
        <v>3.9566549233294397E-2</v>
      </c>
      <c r="R129" s="89">
        <v>4.05557129641268E-2</v>
      </c>
      <c r="S129" s="89">
        <v>4.1544876694959099E-2</v>
      </c>
      <c r="T129">
        <v>4.2534040425791501E-2</v>
      </c>
      <c r="U129">
        <v>4.1382052257736897E-2</v>
      </c>
      <c r="V129">
        <v>4.2322553445412699E-2</v>
      </c>
      <c r="W129">
        <v>4.3263054633088598E-2</v>
      </c>
      <c r="X129">
        <v>4.4203555820764399E-2</v>
      </c>
      <c r="Y129">
        <v>4.5144057008440298E-2</v>
      </c>
      <c r="Z129">
        <v>4.60845581961161E-2</v>
      </c>
      <c r="AA129">
        <v>4.7025059383791902E-2</v>
      </c>
      <c r="AB129">
        <v>4.7965560571467801E-2</v>
      </c>
      <c r="AC129">
        <v>4.8906061759143603E-2</v>
      </c>
      <c r="AD129" s="100">
        <v>100</v>
      </c>
    </row>
    <row r="130" spans="1:30" hidden="1" x14ac:dyDescent="0.25">
      <c r="A130" t="s">
        <v>891</v>
      </c>
      <c r="B130" s="100">
        <v>12</v>
      </c>
      <c r="C130" s="104"/>
      <c r="D130" s="104"/>
      <c r="E130" s="104"/>
      <c r="F130" s="104"/>
      <c r="G130" s="105"/>
      <c r="H130" s="105"/>
      <c r="I130" s="105">
        <v>2.82399646538668E-2</v>
      </c>
      <c r="J130" s="105">
        <v>2.91224635493001E-2</v>
      </c>
      <c r="K130" s="107">
        <v>3.00049624447335E-2</v>
      </c>
      <c r="L130" s="107">
        <v>3.0887461340166799E-2</v>
      </c>
      <c r="M130" s="107">
        <v>3.3689927272782499E-2</v>
      </c>
      <c r="N130" s="107">
        <v>3.4625758585915399E-2</v>
      </c>
      <c r="O130" s="108">
        <v>3.5561589899048299E-2</v>
      </c>
      <c r="P130" s="108">
        <v>3.6497421212181101E-2</v>
      </c>
      <c r="Q130" s="89">
        <v>3.9566549233294397E-2</v>
      </c>
      <c r="R130" s="89">
        <v>4.05557129641268E-2</v>
      </c>
      <c r="S130" s="89">
        <v>4.1544876694959099E-2</v>
      </c>
      <c r="T130">
        <v>4.2534040425791501E-2</v>
      </c>
      <c r="U130" s="99">
        <v>4.1382052257736897E-2</v>
      </c>
      <c r="V130">
        <v>4.2322553445412699E-2</v>
      </c>
      <c r="W130">
        <v>4.3263054633088598E-2</v>
      </c>
      <c r="X130">
        <v>4.4203555820764399E-2</v>
      </c>
      <c r="Y130">
        <v>4.5144057008440298E-2</v>
      </c>
      <c r="Z130">
        <v>4.60845581961161E-2</v>
      </c>
      <c r="AA130">
        <v>4.7025059383791902E-2</v>
      </c>
      <c r="AB130">
        <v>4.7965560571467801E-2</v>
      </c>
      <c r="AC130">
        <v>4.8906061759143603E-2</v>
      </c>
      <c r="AD130" s="100">
        <v>100</v>
      </c>
    </row>
    <row r="131" spans="1:30" hidden="1" x14ac:dyDescent="0.25">
      <c r="A131" t="s">
        <v>891</v>
      </c>
      <c r="B131" s="100">
        <v>13</v>
      </c>
      <c r="C131" s="104"/>
      <c r="D131" s="104"/>
      <c r="E131" s="104"/>
      <c r="F131" s="104"/>
      <c r="G131" s="105"/>
      <c r="H131" s="105"/>
      <c r="I131" s="105">
        <v>2.82399646538668E-2</v>
      </c>
      <c r="J131" s="105">
        <v>2.91224635493001E-2</v>
      </c>
      <c r="K131" s="107">
        <v>3.00049624447335E-2</v>
      </c>
      <c r="L131" s="107">
        <v>3.0887461340166799E-2</v>
      </c>
      <c r="M131" s="107">
        <v>3.3689927272782499E-2</v>
      </c>
      <c r="N131" s="107">
        <v>3.4625758585915399E-2</v>
      </c>
      <c r="O131" s="108">
        <v>3.5561589899048299E-2</v>
      </c>
      <c r="P131" s="108">
        <v>3.6497421212181101E-2</v>
      </c>
      <c r="Q131" s="89">
        <v>3.9566549233294397E-2</v>
      </c>
      <c r="R131" s="89">
        <v>4.05557129641268E-2</v>
      </c>
      <c r="S131" s="89">
        <v>4.1544876694959099E-2</v>
      </c>
      <c r="T131">
        <v>4.2534040425791501E-2</v>
      </c>
      <c r="U131" s="99">
        <v>4.1382052257736897E-2</v>
      </c>
      <c r="V131">
        <v>4.2322553445412699E-2</v>
      </c>
      <c r="W131">
        <v>4.3263054633088598E-2</v>
      </c>
      <c r="X131">
        <v>4.4203555820764399E-2</v>
      </c>
      <c r="Y131">
        <v>4.5144057008440298E-2</v>
      </c>
      <c r="Z131">
        <v>4.60845581961161E-2</v>
      </c>
      <c r="AA131">
        <v>4.7025059383791902E-2</v>
      </c>
      <c r="AB131">
        <v>4.7965560571467801E-2</v>
      </c>
      <c r="AC131">
        <v>4.8906061759143603E-2</v>
      </c>
      <c r="AD131" s="100">
        <v>100</v>
      </c>
    </row>
    <row r="132" spans="1:30" hidden="1" x14ac:dyDescent="0.25">
      <c r="A132" t="s">
        <v>891</v>
      </c>
      <c r="B132" s="100">
        <v>14</v>
      </c>
      <c r="C132" s="104"/>
      <c r="D132" s="104"/>
      <c r="E132" s="104"/>
      <c r="F132" s="104"/>
      <c r="G132" s="105"/>
      <c r="H132" s="105"/>
      <c r="I132" s="105">
        <v>2.82399646538668E-2</v>
      </c>
      <c r="J132" s="105">
        <v>2.91224635493001E-2</v>
      </c>
      <c r="K132" s="107">
        <v>3.00049624447335E-2</v>
      </c>
      <c r="L132" s="107">
        <v>3.0887461340166799E-2</v>
      </c>
      <c r="M132" s="107">
        <v>3.3689927272782499E-2</v>
      </c>
      <c r="N132" s="107">
        <v>3.4625758585915399E-2</v>
      </c>
      <c r="O132" s="108">
        <v>3.5561589899048299E-2</v>
      </c>
      <c r="P132" s="108">
        <v>3.6497421212181101E-2</v>
      </c>
      <c r="Q132" s="89">
        <v>3.9566549233294397E-2</v>
      </c>
      <c r="R132" s="89">
        <v>4.05557129641268E-2</v>
      </c>
      <c r="S132" s="89">
        <v>4.1544876694959099E-2</v>
      </c>
      <c r="T132">
        <v>4.2534040425791501E-2</v>
      </c>
      <c r="U132" s="99">
        <v>4.1382052257736897E-2</v>
      </c>
      <c r="V132">
        <v>4.2322553445412699E-2</v>
      </c>
      <c r="W132">
        <v>4.3263054633088598E-2</v>
      </c>
      <c r="X132">
        <v>4.4203555820764399E-2</v>
      </c>
      <c r="Y132">
        <v>4.5144057008440298E-2</v>
      </c>
      <c r="Z132">
        <v>4.60845581961161E-2</v>
      </c>
      <c r="AA132">
        <v>4.7025059383791902E-2</v>
      </c>
      <c r="AB132">
        <v>4.7965560571467801E-2</v>
      </c>
      <c r="AC132">
        <v>4.8906061759143603E-2</v>
      </c>
      <c r="AD132" s="100">
        <v>100</v>
      </c>
    </row>
    <row r="133" spans="1:30" hidden="1" x14ac:dyDescent="0.25">
      <c r="A133" t="s">
        <v>891</v>
      </c>
      <c r="B133" s="100">
        <v>15</v>
      </c>
      <c r="C133" s="104"/>
      <c r="D133" s="104"/>
      <c r="E133" s="104"/>
      <c r="F133" s="104"/>
      <c r="G133" s="105"/>
      <c r="H133" s="105"/>
      <c r="I133" s="105">
        <v>2.82399646538668E-2</v>
      </c>
      <c r="J133" s="105">
        <v>2.91224635493001E-2</v>
      </c>
      <c r="K133" s="107">
        <v>3.00049624447335E-2</v>
      </c>
      <c r="L133" s="107">
        <v>3.0887461340166799E-2</v>
      </c>
      <c r="M133" s="107">
        <v>3.3689927272782499E-2</v>
      </c>
      <c r="N133" s="107">
        <v>3.4625758585915399E-2</v>
      </c>
      <c r="O133" s="108">
        <v>3.5561589899048299E-2</v>
      </c>
      <c r="P133" s="108">
        <v>3.6497421212181101E-2</v>
      </c>
      <c r="Q133" s="89">
        <v>3.9566549233294397E-2</v>
      </c>
      <c r="R133" s="89">
        <v>4.05557129641268E-2</v>
      </c>
      <c r="S133" s="89">
        <v>4.1544876694959099E-2</v>
      </c>
      <c r="T133">
        <v>4.2534040425791501E-2</v>
      </c>
      <c r="U133" s="99">
        <v>4.1382052257736897E-2</v>
      </c>
      <c r="V133">
        <v>4.2322553445412699E-2</v>
      </c>
      <c r="W133">
        <v>4.3263054633088598E-2</v>
      </c>
      <c r="X133">
        <v>4.4203555820764399E-2</v>
      </c>
      <c r="Y133">
        <v>4.5144057008440298E-2</v>
      </c>
      <c r="Z133">
        <v>4.60845581961161E-2</v>
      </c>
      <c r="AA133">
        <v>4.7025059383791902E-2</v>
      </c>
      <c r="AB133">
        <v>4.7965560571467801E-2</v>
      </c>
      <c r="AC133">
        <v>4.8906061759143603E-2</v>
      </c>
      <c r="AD133" s="100">
        <v>100</v>
      </c>
    </row>
    <row r="134" spans="1:30" hidden="1" x14ac:dyDescent="0.25">
      <c r="A134" t="s">
        <v>894</v>
      </c>
      <c r="B134" s="100">
        <v>9</v>
      </c>
      <c r="C134" s="104"/>
      <c r="D134" s="104"/>
      <c r="E134" s="104"/>
      <c r="F134" s="104"/>
      <c r="G134" s="105"/>
      <c r="H134" s="105"/>
      <c r="I134" s="105">
        <v>5.6479929307733601E-2</v>
      </c>
      <c r="J134" s="105">
        <v>5.8244927098600303E-2</v>
      </c>
      <c r="K134" s="107">
        <v>6.0009924889466902E-2</v>
      </c>
      <c r="L134" s="107">
        <v>6.1774922680333598E-2</v>
      </c>
      <c r="M134" s="107">
        <v>6.7379854545565096E-2</v>
      </c>
      <c r="N134" s="107"/>
      <c r="O134" s="89"/>
      <c r="P134" s="89"/>
      <c r="Q134" s="89"/>
      <c r="R134" s="89"/>
      <c r="S134" s="89"/>
      <c r="AD134" s="100">
        <v>100</v>
      </c>
    </row>
    <row r="135" spans="1:30" hidden="1" x14ac:dyDescent="0.25">
      <c r="A135" t="s">
        <v>894</v>
      </c>
      <c r="B135" s="100">
        <v>10</v>
      </c>
      <c r="C135" s="104"/>
      <c r="D135" s="104"/>
      <c r="E135" s="104"/>
      <c r="F135" s="104"/>
      <c r="G135" s="105"/>
      <c r="H135" s="105"/>
      <c r="I135" s="105">
        <v>5.6479929307733601E-2</v>
      </c>
      <c r="J135" s="105">
        <v>5.8244927098600303E-2</v>
      </c>
      <c r="K135" s="107">
        <v>6.0009924889466902E-2</v>
      </c>
      <c r="L135" s="107">
        <v>6.1774922680333598E-2</v>
      </c>
      <c r="M135" s="107">
        <v>6.7379854545565096E-2</v>
      </c>
      <c r="N135" s="107"/>
      <c r="O135" s="108"/>
      <c r="P135" s="108"/>
      <c r="Q135" s="89"/>
      <c r="R135" s="89"/>
      <c r="S135" s="89"/>
      <c r="U135" s="99"/>
      <c r="AD135" s="100">
        <v>100</v>
      </c>
    </row>
    <row r="136" spans="1:30" hidden="1" x14ac:dyDescent="0.25">
      <c r="A136" t="s">
        <v>894</v>
      </c>
      <c r="B136" s="100">
        <v>11</v>
      </c>
      <c r="C136" s="104"/>
      <c r="D136" s="104"/>
      <c r="E136" s="104"/>
      <c r="F136" s="104"/>
      <c r="G136" s="105"/>
      <c r="H136" s="105"/>
      <c r="I136" s="105">
        <v>5.6479929307733601E-2</v>
      </c>
      <c r="J136" s="105">
        <v>5.8244927098600303E-2</v>
      </c>
      <c r="K136" s="107">
        <v>6.0009924889466902E-2</v>
      </c>
      <c r="L136" s="107">
        <v>6.1774922680333598E-2</v>
      </c>
      <c r="M136" s="107">
        <v>6.7379854545565096E-2</v>
      </c>
      <c r="N136" s="107"/>
      <c r="O136" s="108"/>
      <c r="P136" s="108"/>
      <c r="Q136" s="89"/>
      <c r="R136" s="89"/>
      <c r="S136" s="89"/>
      <c r="U136" s="99"/>
      <c r="AD136" s="100">
        <v>100</v>
      </c>
    </row>
    <row r="137" spans="1:30" hidden="1" x14ac:dyDescent="0.25">
      <c r="A137" t="s">
        <v>894</v>
      </c>
      <c r="B137" s="100">
        <v>12</v>
      </c>
      <c r="C137" s="104"/>
      <c r="D137" s="104"/>
      <c r="E137" s="104"/>
      <c r="F137" s="104"/>
      <c r="G137" s="105"/>
      <c r="H137" s="105"/>
      <c r="I137" s="105">
        <v>5.6479929307733601E-2</v>
      </c>
      <c r="J137" s="105">
        <v>5.8244927098600303E-2</v>
      </c>
      <c r="K137" s="107">
        <v>6.0009924889466902E-2</v>
      </c>
      <c r="L137" s="107">
        <v>6.1774922680333598E-2</v>
      </c>
      <c r="M137" s="107">
        <v>6.7379854545565096E-2</v>
      </c>
      <c r="N137" s="107"/>
      <c r="O137" s="108"/>
      <c r="P137" s="108"/>
      <c r="Q137" s="89"/>
      <c r="R137" s="89"/>
      <c r="S137" s="89"/>
      <c r="U137" s="99"/>
      <c r="AD137" s="100">
        <v>100</v>
      </c>
    </row>
    <row r="138" spans="1:30" hidden="1" x14ac:dyDescent="0.25">
      <c r="A138" t="s">
        <v>894</v>
      </c>
      <c r="B138" s="100">
        <v>13</v>
      </c>
      <c r="C138" s="104"/>
      <c r="D138" s="104"/>
      <c r="E138" s="104"/>
      <c r="F138" s="104"/>
      <c r="G138" s="105"/>
      <c r="H138" s="105"/>
      <c r="I138" s="105">
        <v>5.6479929307733601E-2</v>
      </c>
      <c r="J138" s="105">
        <v>5.8244927098600303E-2</v>
      </c>
      <c r="K138" s="107">
        <v>6.0009924889466902E-2</v>
      </c>
      <c r="L138" s="107">
        <v>6.1774922680333598E-2</v>
      </c>
      <c r="M138" s="107">
        <v>6.7379854545565096E-2</v>
      </c>
      <c r="N138" s="107"/>
      <c r="O138" s="108"/>
      <c r="P138" s="108"/>
      <c r="Q138" s="89"/>
      <c r="R138" s="89"/>
      <c r="S138" s="89"/>
      <c r="U138" s="99"/>
      <c r="AD138" s="100">
        <v>100</v>
      </c>
    </row>
    <row r="139" spans="1:30" hidden="1" x14ac:dyDescent="0.25">
      <c r="A139" t="s">
        <v>894</v>
      </c>
      <c r="B139" s="100">
        <v>14</v>
      </c>
      <c r="C139" s="104"/>
      <c r="D139" s="104"/>
      <c r="E139" s="104"/>
      <c r="F139" s="104"/>
      <c r="G139" s="105"/>
      <c r="H139" s="105"/>
      <c r="I139" s="105">
        <v>5.6479929307733601E-2</v>
      </c>
      <c r="J139" s="105">
        <v>5.8244927098600303E-2</v>
      </c>
      <c r="K139" s="107">
        <v>6.0009924889466902E-2</v>
      </c>
      <c r="L139" s="107">
        <v>6.1774922680333598E-2</v>
      </c>
      <c r="M139" s="107">
        <v>6.7379854545565096E-2</v>
      </c>
      <c r="N139" s="107"/>
      <c r="O139" s="108"/>
      <c r="P139" s="108"/>
      <c r="Q139" s="89"/>
      <c r="R139" s="89"/>
      <c r="S139" s="89"/>
      <c r="U139" s="99"/>
      <c r="AD139" s="100">
        <v>100</v>
      </c>
    </row>
    <row r="140" spans="1:30" hidden="1" x14ac:dyDescent="0.25">
      <c r="A140" t="s">
        <v>894</v>
      </c>
      <c r="B140" s="100">
        <v>15</v>
      </c>
      <c r="C140" s="104"/>
      <c r="D140" s="104"/>
      <c r="E140" s="104"/>
      <c r="F140" s="104"/>
      <c r="G140" s="105"/>
      <c r="H140" s="105"/>
      <c r="I140" s="105">
        <v>5.6479929307733601E-2</v>
      </c>
      <c r="J140" s="105">
        <v>5.8244927098600303E-2</v>
      </c>
      <c r="K140" s="107">
        <v>6.0009924889466902E-2</v>
      </c>
      <c r="L140" s="107">
        <v>6.1774922680333598E-2</v>
      </c>
      <c r="M140" s="107">
        <v>6.7379854545565096E-2</v>
      </c>
      <c r="N140" s="107"/>
      <c r="O140" s="108"/>
      <c r="P140" s="108"/>
      <c r="Q140" s="89"/>
      <c r="R140" s="89"/>
      <c r="S140" s="89"/>
      <c r="U140" s="99"/>
      <c r="AD140" s="100">
        <v>100</v>
      </c>
    </row>
    <row r="141" spans="1:30" hidden="1" x14ac:dyDescent="0.25">
      <c r="A141" s="57" t="s">
        <v>898</v>
      </c>
      <c r="B141" s="100">
        <v>22</v>
      </c>
      <c r="C141" s="104"/>
      <c r="D141" s="104"/>
      <c r="E141" s="104"/>
      <c r="F141" s="104"/>
      <c r="G141" s="105"/>
      <c r="H141" s="105"/>
      <c r="I141" s="105">
        <v>2.8752119229801001E-2</v>
      </c>
      <c r="J141" s="105">
        <v>2.96506229557323E-2</v>
      </c>
      <c r="K141" s="107">
        <v>3.0549126681663499E-2</v>
      </c>
      <c r="L141" s="107">
        <v>3.1447630407594802E-2</v>
      </c>
      <c r="M141" s="107">
        <v>3.3606779718069697E-2</v>
      </c>
      <c r="N141" s="107">
        <v>3.4540301376905003E-2</v>
      </c>
      <c r="O141" s="108">
        <v>3.5473823035740197E-2</v>
      </c>
      <c r="P141" s="108">
        <v>3.6407344694575502E-2</v>
      </c>
      <c r="Q141" s="89">
        <v>3.8741583669570298E-2</v>
      </c>
      <c r="R141" s="89">
        <v>3.9710123261309502E-2</v>
      </c>
      <c r="S141" s="89">
        <v>4.0678662853048803E-2</v>
      </c>
      <c r="T141">
        <v>4.1647202444788103E-2</v>
      </c>
      <c r="U141" s="99">
        <v>3.9873500812300601E-2</v>
      </c>
      <c r="V141">
        <v>4.0779716739852902E-2</v>
      </c>
      <c r="W141">
        <v>4.1685932667405202E-2</v>
      </c>
      <c r="X141">
        <v>4.2592148594957399E-2</v>
      </c>
      <c r="Y141">
        <v>4.34983645225097E-2</v>
      </c>
      <c r="Z141">
        <v>4.4404580450062001E-2</v>
      </c>
      <c r="AA141">
        <v>4.5310796377614301E-2</v>
      </c>
      <c r="AB141">
        <v>4.6217012305166602E-2</v>
      </c>
      <c r="AC141">
        <v>4.7123228232718903E-2</v>
      </c>
      <c r="AD141" s="100">
        <v>100</v>
      </c>
    </row>
    <row r="142" spans="1:30" hidden="1" x14ac:dyDescent="0.25">
      <c r="A142" s="57" t="s">
        <v>365</v>
      </c>
      <c r="B142" s="100">
        <v>16</v>
      </c>
      <c r="C142" s="104"/>
      <c r="D142" s="104"/>
      <c r="E142" s="104"/>
      <c r="F142" s="104"/>
      <c r="G142" s="105"/>
      <c r="H142" s="105"/>
      <c r="I142" s="105">
        <v>2.8752119229801001E-2</v>
      </c>
      <c r="J142" s="105">
        <v>2.96506229557323E-2</v>
      </c>
      <c r="K142" s="107">
        <v>3.0549126681663499E-2</v>
      </c>
      <c r="L142" s="107">
        <v>3.1447630407594802E-2</v>
      </c>
      <c r="M142" s="107">
        <v>3.3606779718069697E-2</v>
      </c>
      <c r="N142" s="107">
        <v>3.4540301376905003E-2</v>
      </c>
      <c r="O142" s="108">
        <v>3.5473823035740197E-2</v>
      </c>
      <c r="P142" s="108">
        <v>3.6407344694575502E-2</v>
      </c>
      <c r="Q142" s="89">
        <v>3.8741583669570298E-2</v>
      </c>
      <c r="R142" s="89">
        <v>3.9710123261309502E-2</v>
      </c>
      <c r="S142" s="89">
        <v>4.0678662853048803E-2</v>
      </c>
      <c r="T142">
        <v>4.1647202444788103E-2</v>
      </c>
      <c r="U142" s="99">
        <v>3.9873500812300601E-2</v>
      </c>
      <c r="V142">
        <v>4.0779716739852902E-2</v>
      </c>
      <c r="W142">
        <v>4.1685932667405202E-2</v>
      </c>
      <c r="X142">
        <v>4.2592148594957399E-2</v>
      </c>
      <c r="Y142">
        <v>4.34983645225097E-2</v>
      </c>
      <c r="Z142">
        <v>4.4404580450062001E-2</v>
      </c>
      <c r="AA142">
        <v>4.5310796377614301E-2</v>
      </c>
      <c r="AB142">
        <v>4.6217012305166602E-2</v>
      </c>
      <c r="AC142">
        <v>4.7123228232718903E-2</v>
      </c>
      <c r="AD142" s="100">
        <v>100</v>
      </c>
    </row>
    <row r="143" spans="1:30" hidden="1" x14ac:dyDescent="0.25">
      <c r="A143" s="57" t="s">
        <v>365</v>
      </c>
      <c r="B143" s="100">
        <v>17</v>
      </c>
      <c r="C143" s="104"/>
      <c r="D143" s="104"/>
      <c r="E143" s="104"/>
      <c r="F143" s="104"/>
      <c r="G143" s="105"/>
      <c r="H143" s="105"/>
      <c r="I143" s="105">
        <v>2.8752119229801001E-2</v>
      </c>
      <c r="J143" s="105">
        <v>2.96506229557323E-2</v>
      </c>
      <c r="K143" s="107">
        <v>3.0549126681663499E-2</v>
      </c>
      <c r="L143" s="107">
        <v>3.1447630407594802E-2</v>
      </c>
      <c r="M143" s="107">
        <v>3.3606779718069697E-2</v>
      </c>
      <c r="N143" s="107">
        <v>3.4540301376905003E-2</v>
      </c>
      <c r="O143" s="108">
        <v>3.5473823035740197E-2</v>
      </c>
      <c r="P143" s="108">
        <v>3.6407344694575502E-2</v>
      </c>
      <c r="Q143" s="89">
        <v>3.8741583669570298E-2</v>
      </c>
      <c r="R143" s="89">
        <v>3.9710123261309502E-2</v>
      </c>
      <c r="S143" s="89">
        <v>4.0678662853048803E-2</v>
      </c>
      <c r="T143">
        <v>4.1647202444788103E-2</v>
      </c>
      <c r="U143" s="99">
        <v>3.9873500812300601E-2</v>
      </c>
      <c r="V143">
        <v>4.0779716739852902E-2</v>
      </c>
      <c r="W143">
        <v>4.1685932667405202E-2</v>
      </c>
      <c r="X143">
        <v>4.2592148594957399E-2</v>
      </c>
      <c r="Y143">
        <v>4.34983645225097E-2</v>
      </c>
      <c r="Z143">
        <v>4.4404580450062001E-2</v>
      </c>
      <c r="AA143">
        <v>4.5310796377614301E-2</v>
      </c>
      <c r="AB143">
        <v>4.6217012305166602E-2</v>
      </c>
      <c r="AC143">
        <v>4.7123228232718903E-2</v>
      </c>
      <c r="AD143" s="100">
        <v>100</v>
      </c>
    </row>
    <row r="144" spans="1:30" hidden="1" x14ac:dyDescent="0.25">
      <c r="A144" s="57" t="s">
        <v>365</v>
      </c>
      <c r="B144" s="100">
        <v>18</v>
      </c>
      <c r="C144" s="104"/>
      <c r="D144" s="104"/>
      <c r="E144" s="104"/>
      <c r="F144" s="104"/>
      <c r="G144" s="105"/>
      <c r="H144" s="105"/>
      <c r="I144" s="105">
        <v>2.8752119229801001E-2</v>
      </c>
      <c r="J144" s="105">
        <v>2.96506229557323E-2</v>
      </c>
      <c r="K144" s="107">
        <v>3.0549126681663499E-2</v>
      </c>
      <c r="L144" s="107">
        <v>3.1447630407594802E-2</v>
      </c>
      <c r="M144" s="107">
        <v>3.3606779718069697E-2</v>
      </c>
      <c r="N144" s="107">
        <v>3.4540301376905003E-2</v>
      </c>
      <c r="O144" s="108">
        <v>3.5473823035740197E-2</v>
      </c>
      <c r="P144" s="108">
        <v>3.6407344694575502E-2</v>
      </c>
      <c r="Q144" s="89">
        <v>3.8741583669570298E-2</v>
      </c>
      <c r="R144" s="89">
        <v>3.9710123261309502E-2</v>
      </c>
      <c r="S144" s="89">
        <v>4.0678662853048803E-2</v>
      </c>
      <c r="T144">
        <v>4.1647202444788103E-2</v>
      </c>
      <c r="U144" s="99">
        <v>3.9873500812300601E-2</v>
      </c>
      <c r="V144">
        <v>4.0779716739852902E-2</v>
      </c>
      <c r="W144">
        <v>4.1685932667405202E-2</v>
      </c>
      <c r="X144">
        <v>4.2592148594957399E-2</v>
      </c>
      <c r="Y144">
        <v>4.34983645225097E-2</v>
      </c>
      <c r="Z144">
        <v>4.4404580450062001E-2</v>
      </c>
      <c r="AA144">
        <v>4.5310796377614301E-2</v>
      </c>
      <c r="AB144">
        <v>4.6217012305166602E-2</v>
      </c>
      <c r="AC144">
        <v>4.7123228232718903E-2</v>
      </c>
      <c r="AD144" s="100">
        <v>100</v>
      </c>
    </row>
    <row r="145" spans="1:30" hidden="1" x14ac:dyDescent="0.25">
      <c r="A145" s="57" t="s">
        <v>365</v>
      </c>
      <c r="B145" s="100">
        <v>19</v>
      </c>
      <c r="C145" s="104"/>
      <c r="D145" s="104"/>
      <c r="E145" s="104"/>
      <c r="F145" s="104"/>
      <c r="G145" s="105"/>
      <c r="H145" s="105"/>
      <c r="I145" s="105">
        <v>2.8752119229801001E-2</v>
      </c>
      <c r="J145" s="105">
        <v>2.96506229557323E-2</v>
      </c>
      <c r="K145" s="107">
        <v>3.0549126681663499E-2</v>
      </c>
      <c r="L145" s="107">
        <v>3.1447630407594802E-2</v>
      </c>
      <c r="M145" s="107">
        <v>3.3606779718069697E-2</v>
      </c>
      <c r="N145" s="107">
        <v>3.4540301376905003E-2</v>
      </c>
      <c r="O145" s="108">
        <v>3.5473823035740197E-2</v>
      </c>
      <c r="P145" s="108">
        <v>3.6407344694575502E-2</v>
      </c>
      <c r="Q145" s="89">
        <v>3.8741583669570298E-2</v>
      </c>
      <c r="R145" s="89">
        <v>3.9710123261309502E-2</v>
      </c>
      <c r="S145" s="89">
        <v>4.0678662853048803E-2</v>
      </c>
      <c r="T145">
        <v>4.1647202444788103E-2</v>
      </c>
      <c r="U145" s="99">
        <v>3.9873500812300601E-2</v>
      </c>
      <c r="V145">
        <v>4.0779716739852902E-2</v>
      </c>
      <c r="W145">
        <v>4.1685932667405202E-2</v>
      </c>
      <c r="X145">
        <v>4.2592148594957399E-2</v>
      </c>
      <c r="Y145">
        <v>4.34983645225097E-2</v>
      </c>
      <c r="Z145">
        <v>4.4404580450062001E-2</v>
      </c>
      <c r="AA145">
        <v>4.5310796377614301E-2</v>
      </c>
      <c r="AB145">
        <v>4.6217012305166602E-2</v>
      </c>
      <c r="AC145">
        <v>4.7123228232718903E-2</v>
      </c>
      <c r="AD145" s="100">
        <v>100</v>
      </c>
    </row>
    <row r="146" spans="1:30" hidden="1" x14ac:dyDescent="0.25">
      <c r="A146" s="57" t="s">
        <v>365</v>
      </c>
      <c r="B146" s="100">
        <v>20</v>
      </c>
      <c r="C146" s="104"/>
      <c r="D146" s="104"/>
      <c r="E146" s="104"/>
      <c r="F146" s="104"/>
      <c r="G146" s="105"/>
      <c r="H146" s="105"/>
      <c r="I146" s="105">
        <v>2.8752119229801001E-2</v>
      </c>
      <c r="J146" s="105">
        <v>2.96506229557323E-2</v>
      </c>
      <c r="K146" s="107">
        <v>3.0549126681663499E-2</v>
      </c>
      <c r="L146" s="107">
        <v>3.1447630407594802E-2</v>
      </c>
      <c r="M146" s="107">
        <v>3.3606779718069697E-2</v>
      </c>
      <c r="N146" s="107">
        <v>3.4540301376905003E-2</v>
      </c>
      <c r="O146" s="108">
        <v>3.5473823035740197E-2</v>
      </c>
      <c r="P146" s="108">
        <v>3.6407344694575502E-2</v>
      </c>
      <c r="Q146" s="89">
        <v>3.8741583669570298E-2</v>
      </c>
      <c r="R146" s="89">
        <v>3.9710123261309502E-2</v>
      </c>
      <c r="S146" s="89">
        <v>4.0678662853048803E-2</v>
      </c>
      <c r="T146">
        <v>4.1647202444788103E-2</v>
      </c>
      <c r="U146">
        <v>3.9873500812300601E-2</v>
      </c>
      <c r="V146">
        <v>4.0779716739852902E-2</v>
      </c>
      <c r="W146">
        <v>4.1685932667405202E-2</v>
      </c>
      <c r="X146">
        <v>4.2592148594957399E-2</v>
      </c>
      <c r="Y146">
        <v>4.34983645225097E-2</v>
      </c>
      <c r="Z146">
        <v>4.4404580450062001E-2</v>
      </c>
      <c r="AA146">
        <v>4.5310796377614301E-2</v>
      </c>
      <c r="AB146">
        <v>4.6217012305166602E-2</v>
      </c>
      <c r="AC146">
        <v>4.7123228232718903E-2</v>
      </c>
      <c r="AD146" s="100">
        <v>100</v>
      </c>
    </row>
    <row r="147" spans="1:30" hidden="1" x14ac:dyDescent="0.25">
      <c r="A147" s="57" t="s">
        <v>365</v>
      </c>
      <c r="B147" s="100">
        <v>21</v>
      </c>
      <c r="C147" s="104"/>
      <c r="D147" s="104"/>
      <c r="E147" s="104"/>
      <c r="F147" s="104"/>
      <c r="G147" s="105"/>
      <c r="H147" s="105"/>
      <c r="I147" s="105">
        <v>2.8752119229801001E-2</v>
      </c>
      <c r="J147" s="105">
        <v>2.96506229557323E-2</v>
      </c>
      <c r="K147" s="107">
        <v>3.0549126681663499E-2</v>
      </c>
      <c r="L147" s="107">
        <v>3.1447630407594802E-2</v>
      </c>
      <c r="M147" s="107">
        <v>3.3606779718069697E-2</v>
      </c>
      <c r="N147" s="107">
        <v>3.4540301376905003E-2</v>
      </c>
      <c r="O147" s="108">
        <v>3.5473823035740197E-2</v>
      </c>
      <c r="P147" s="108">
        <v>3.6407344694575502E-2</v>
      </c>
      <c r="Q147" s="89">
        <v>3.8741583669570298E-2</v>
      </c>
      <c r="R147" s="89">
        <v>3.9710123261309502E-2</v>
      </c>
      <c r="S147" s="89">
        <v>4.0678662853048803E-2</v>
      </c>
      <c r="T147">
        <v>4.1647202444788103E-2</v>
      </c>
      <c r="U147">
        <v>3.9873500812300601E-2</v>
      </c>
      <c r="V147">
        <v>4.0779716739852902E-2</v>
      </c>
      <c r="W147">
        <v>4.1685932667405202E-2</v>
      </c>
      <c r="X147">
        <v>4.2592148594957399E-2</v>
      </c>
      <c r="Y147">
        <v>4.34983645225097E-2</v>
      </c>
      <c r="Z147">
        <v>4.4404580450062001E-2</v>
      </c>
      <c r="AA147">
        <v>4.5310796377614301E-2</v>
      </c>
      <c r="AB147">
        <v>4.6217012305166602E-2</v>
      </c>
      <c r="AC147">
        <v>4.7123228232718903E-2</v>
      </c>
      <c r="AD147" s="100">
        <v>100</v>
      </c>
    </row>
    <row r="148" spans="1:30" hidden="1" x14ac:dyDescent="0.25">
      <c r="A148" s="57" t="s">
        <v>367</v>
      </c>
      <c r="B148" s="100">
        <v>16</v>
      </c>
      <c r="C148" s="104"/>
      <c r="D148" s="104"/>
      <c r="E148" s="104"/>
      <c r="F148" s="104"/>
      <c r="G148" s="105"/>
      <c r="H148" s="105"/>
      <c r="I148" s="105">
        <v>2.8752119229801001E-2</v>
      </c>
      <c r="J148" s="105">
        <v>2.96506229557323E-2</v>
      </c>
      <c r="K148" s="107">
        <v>3.0549126681663499E-2</v>
      </c>
      <c r="L148" s="107">
        <v>3.1447630407594802E-2</v>
      </c>
      <c r="M148" s="107">
        <v>3.3606779718069697E-2</v>
      </c>
      <c r="N148" s="107">
        <v>3.4540301376905003E-2</v>
      </c>
      <c r="O148" s="108">
        <v>3.5473823035740197E-2</v>
      </c>
      <c r="P148" s="108">
        <v>3.6407344694575502E-2</v>
      </c>
      <c r="Q148" s="89">
        <v>3.8741583669570298E-2</v>
      </c>
      <c r="R148" s="89">
        <v>3.9710123261309502E-2</v>
      </c>
      <c r="S148" s="89">
        <v>4.0678662853048803E-2</v>
      </c>
      <c r="T148">
        <v>4.1647202444788103E-2</v>
      </c>
      <c r="U148" s="99">
        <v>3.9873500812300601E-2</v>
      </c>
      <c r="V148">
        <v>4.0779716739852902E-2</v>
      </c>
      <c r="W148">
        <v>4.1685932667405202E-2</v>
      </c>
      <c r="X148">
        <v>4.2592148594957399E-2</v>
      </c>
      <c r="Y148">
        <v>4.34983645225097E-2</v>
      </c>
      <c r="Z148">
        <v>4.4404580450062001E-2</v>
      </c>
      <c r="AA148">
        <v>4.5310796377614301E-2</v>
      </c>
      <c r="AB148">
        <v>4.6217012305166602E-2</v>
      </c>
      <c r="AC148">
        <v>4.7123228232718903E-2</v>
      </c>
      <c r="AD148" s="100">
        <v>100</v>
      </c>
    </row>
    <row r="149" spans="1:30" hidden="1" x14ac:dyDescent="0.25">
      <c r="A149" s="57" t="s">
        <v>367</v>
      </c>
      <c r="B149" s="100">
        <v>17</v>
      </c>
      <c r="C149" s="104"/>
      <c r="D149" s="104"/>
      <c r="E149" s="104"/>
      <c r="F149" s="104"/>
      <c r="G149" s="105"/>
      <c r="H149" s="105"/>
      <c r="I149" s="105">
        <v>2.8752119229801001E-2</v>
      </c>
      <c r="J149" s="105">
        <v>2.96506229557323E-2</v>
      </c>
      <c r="K149" s="107">
        <v>3.0549126681663499E-2</v>
      </c>
      <c r="L149" s="107">
        <v>3.1447630407594802E-2</v>
      </c>
      <c r="M149" s="107">
        <v>3.3606779718069697E-2</v>
      </c>
      <c r="N149" s="107">
        <v>3.4540301376905003E-2</v>
      </c>
      <c r="O149" s="108">
        <v>3.5473823035740197E-2</v>
      </c>
      <c r="P149" s="108">
        <v>3.6407344694575502E-2</v>
      </c>
      <c r="Q149" s="89">
        <v>3.8741583669570298E-2</v>
      </c>
      <c r="R149" s="89">
        <v>3.9710123261309502E-2</v>
      </c>
      <c r="S149" s="89">
        <v>4.0678662853048803E-2</v>
      </c>
      <c r="T149">
        <v>4.1647202444788103E-2</v>
      </c>
      <c r="U149" s="99">
        <v>3.9873500812300601E-2</v>
      </c>
      <c r="V149">
        <v>4.0779716739852902E-2</v>
      </c>
      <c r="W149">
        <v>4.1685932667405202E-2</v>
      </c>
      <c r="X149">
        <v>4.2592148594957399E-2</v>
      </c>
      <c r="Y149">
        <v>4.34983645225097E-2</v>
      </c>
      <c r="Z149">
        <v>4.4404580450062001E-2</v>
      </c>
      <c r="AA149">
        <v>4.5310796377614301E-2</v>
      </c>
      <c r="AB149">
        <v>4.6217012305166602E-2</v>
      </c>
      <c r="AC149">
        <v>4.7123228232718903E-2</v>
      </c>
      <c r="AD149" s="100">
        <v>100</v>
      </c>
    </row>
    <row r="150" spans="1:30" hidden="1" x14ac:dyDescent="0.25">
      <c r="A150" s="57" t="s">
        <v>367</v>
      </c>
      <c r="B150" s="100">
        <v>18</v>
      </c>
      <c r="C150" s="104"/>
      <c r="D150" s="104"/>
      <c r="E150" s="104"/>
      <c r="F150" s="104"/>
      <c r="G150" s="105"/>
      <c r="H150" s="105"/>
      <c r="I150" s="105">
        <v>2.8752119229801001E-2</v>
      </c>
      <c r="J150" s="105">
        <v>2.96506229557323E-2</v>
      </c>
      <c r="K150" s="107">
        <v>3.0549126681663499E-2</v>
      </c>
      <c r="L150" s="107">
        <v>3.1447630407594802E-2</v>
      </c>
      <c r="M150" s="107">
        <v>3.3606779718069697E-2</v>
      </c>
      <c r="N150" s="107">
        <v>3.4540301376905003E-2</v>
      </c>
      <c r="O150" s="108">
        <v>3.5473823035740197E-2</v>
      </c>
      <c r="P150" s="108">
        <v>3.6407344694575502E-2</v>
      </c>
      <c r="Q150" s="89">
        <v>3.8741583669570298E-2</v>
      </c>
      <c r="R150" s="89">
        <v>3.9710123261309502E-2</v>
      </c>
      <c r="S150" s="89">
        <v>4.0678662853048803E-2</v>
      </c>
      <c r="T150">
        <v>4.1647202444788103E-2</v>
      </c>
      <c r="U150" s="99">
        <v>3.9873500812300601E-2</v>
      </c>
      <c r="V150">
        <v>4.0779716739852902E-2</v>
      </c>
      <c r="W150">
        <v>4.1685932667405202E-2</v>
      </c>
      <c r="X150">
        <v>4.2592148594957399E-2</v>
      </c>
      <c r="Y150">
        <v>4.34983645225097E-2</v>
      </c>
      <c r="Z150">
        <v>4.4404580450062001E-2</v>
      </c>
      <c r="AA150">
        <v>4.5310796377614301E-2</v>
      </c>
      <c r="AB150">
        <v>4.6217012305166602E-2</v>
      </c>
      <c r="AC150">
        <v>4.7123228232718903E-2</v>
      </c>
      <c r="AD150" s="100">
        <v>100</v>
      </c>
    </row>
    <row r="151" spans="1:30" hidden="1" x14ac:dyDescent="0.25">
      <c r="A151" s="57" t="s">
        <v>367</v>
      </c>
      <c r="B151" s="100">
        <v>19</v>
      </c>
      <c r="C151" s="104"/>
      <c r="D151" s="104"/>
      <c r="E151" s="104"/>
      <c r="F151" s="104"/>
      <c r="G151" s="105"/>
      <c r="H151" s="105"/>
      <c r="I151" s="105">
        <v>2.8752119229801001E-2</v>
      </c>
      <c r="J151" s="105">
        <v>2.96506229557323E-2</v>
      </c>
      <c r="K151" s="107">
        <v>3.0549126681663499E-2</v>
      </c>
      <c r="L151" s="107">
        <v>3.1447630407594802E-2</v>
      </c>
      <c r="M151" s="107">
        <v>3.3606779718069697E-2</v>
      </c>
      <c r="N151" s="107">
        <v>3.4540301376905003E-2</v>
      </c>
      <c r="O151" s="108">
        <v>3.5473823035740197E-2</v>
      </c>
      <c r="P151" s="108">
        <v>3.6407344694575502E-2</v>
      </c>
      <c r="Q151" s="89">
        <v>3.8741583669570298E-2</v>
      </c>
      <c r="R151" s="89">
        <v>3.9710123261309502E-2</v>
      </c>
      <c r="S151" s="89">
        <v>4.0678662853048803E-2</v>
      </c>
      <c r="T151">
        <v>4.1647202444788103E-2</v>
      </c>
      <c r="U151" s="99">
        <v>3.9873500812300601E-2</v>
      </c>
      <c r="V151">
        <v>4.0779716739852902E-2</v>
      </c>
      <c r="W151">
        <v>4.1685932667405202E-2</v>
      </c>
      <c r="X151">
        <v>4.2592148594957399E-2</v>
      </c>
      <c r="Y151">
        <v>4.34983645225097E-2</v>
      </c>
      <c r="Z151">
        <v>4.4404580450062001E-2</v>
      </c>
      <c r="AA151">
        <v>4.5310796377614301E-2</v>
      </c>
      <c r="AB151">
        <v>4.6217012305166602E-2</v>
      </c>
      <c r="AC151">
        <v>4.7123228232718903E-2</v>
      </c>
      <c r="AD151" s="100">
        <v>100</v>
      </c>
    </row>
    <row r="152" spans="1:30" hidden="1" x14ac:dyDescent="0.25">
      <c r="A152" s="57" t="s">
        <v>367</v>
      </c>
      <c r="B152" s="100">
        <v>20</v>
      </c>
      <c r="C152" s="104"/>
      <c r="D152" s="104"/>
      <c r="E152" s="104"/>
      <c r="F152" s="104"/>
      <c r="G152" s="105"/>
      <c r="H152" s="105"/>
      <c r="I152" s="105">
        <v>2.8752119229801001E-2</v>
      </c>
      <c r="J152" s="105">
        <v>2.96506229557323E-2</v>
      </c>
      <c r="K152" s="107">
        <v>3.0549126681663499E-2</v>
      </c>
      <c r="L152" s="107">
        <v>3.1447630407594802E-2</v>
      </c>
      <c r="M152" s="107">
        <v>3.3606779718069697E-2</v>
      </c>
      <c r="N152" s="107">
        <v>3.4540301376905003E-2</v>
      </c>
      <c r="O152" s="108">
        <v>3.5473823035740197E-2</v>
      </c>
      <c r="P152" s="108">
        <v>3.6407344694575502E-2</v>
      </c>
      <c r="Q152" s="89">
        <v>3.8741583669570298E-2</v>
      </c>
      <c r="R152" s="89">
        <v>3.9710123261309502E-2</v>
      </c>
      <c r="S152" s="89">
        <v>4.0678662853048803E-2</v>
      </c>
      <c r="T152">
        <v>4.1647202444788103E-2</v>
      </c>
      <c r="U152" s="99">
        <v>3.9873500812300601E-2</v>
      </c>
      <c r="V152">
        <v>4.0779716739852902E-2</v>
      </c>
      <c r="W152">
        <v>4.1685932667405202E-2</v>
      </c>
      <c r="X152">
        <v>4.2592148594957399E-2</v>
      </c>
      <c r="Y152">
        <v>4.34983645225097E-2</v>
      </c>
      <c r="Z152">
        <v>4.4404580450062001E-2</v>
      </c>
      <c r="AA152">
        <v>4.5310796377614301E-2</v>
      </c>
      <c r="AB152">
        <v>4.6217012305166602E-2</v>
      </c>
      <c r="AC152">
        <v>4.7123228232718903E-2</v>
      </c>
      <c r="AD152" s="100">
        <v>100</v>
      </c>
    </row>
    <row r="153" spans="1:30" hidden="1" x14ac:dyDescent="0.25">
      <c r="A153" s="57" t="s">
        <v>367</v>
      </c>
      <c r="B153" s="100">
        <v>21</v>
      </c>
      <c r="C153" s="104"/>
      <c r="D153" s="104"/>
      <c r="E153" s="104"/>
      <c r="F153" s="104"/>
      <c r="G153" s="105"/>
      <c r="H153" s="105"/>
      <c r="I153" s="105">
        <v>2.8752119229801001E-2</v>
      </c>
      <c r="J153" s="105">
        <v>2.96506229557323E-2</v>
      </c>
      <c r="K153" s="107">
        <v>3.0549126681663499E-2</v>
      </c>
      <c r="L153" s="107">
        <v>3.1447630407594802E-2</v>
      </c>
      <c r="M153" s="107">
        <v>3.3606779718069697E-2</v>
      </c>
      <c r="N153" s="107">
        <v>3.4540301376905003E-2</v>
      </c>
      <c r="O153" s="108">
        <v>3.5473823035740197E-2</v>
      </c>
      <c r="P153" s="108">
        <v>3.6407344694575502E-2</v>
      </c>
      <c r="Q153" s="89">
        <v>3.8741583669570298E-2</v>
      </c>
      <c r="R153" s="89">
        <v>3.9710123261309502E-2</v>
      </c>
      <c r="S153" s="89">
        <v>4.0678662853048803E-2</v>
      </c>
      <c r="T153">
        <v>4.1647202444788103E-2</v>
      </c>
      <c r="U153" s="99">
        <v>3.9873500812300601E-2</v>
      </c>
      <c r="V153">
        <v>4.0779716739852902E-2</v>
      </c>
      <c r="W153">
        <v>4.1685932667405202E-2</v>
      </c>
      <c r="X153">
        <v>4.2592148594957399E-2</v>
      </c>
      <c r="Y153">
        <v>4.34983645225097E-2</v>
      </c>
      <c r="Z153">
        <v>4.4404580450062001E-2</v>
      </c>
      <c r="AA153">
        <v>4.5310796377614301E-2</v>
      </c>
      <c r="AB153">
        <v>4.6217012305166602E-2</v>
      </c>
      <c r="AC153">
        <v>4.7123228232718903E-2</v>
      </c>
      <c r="AD153" s="100">
        <v>100</v>
      </c>
    </row>
    <row r="154" spans="1:30" hidden="1" x14ac:dyDescent="0.25">
      <c r="A154" s="57" t="s">
        <v>228</v>
      </c>
      <c r="B154" s="100">
        <v>27</v>
      </c>
      <c r="C154" s="104"/>
      <c r="D154" s="104"/>
      <c r="E154" s="104"/>
      <c r="F154" s="104"/>
      <c r="G154" s="105"/>
      <c r="H154" s="105"/>
      <c r="I154" s="105"/>
      <c r="J154" s="105"/>
      <c r="K154" s="107"/>
      <c r="L154" s="107"/>
      <c r="M154" s="107"/>
      <c r="N154" s="107"/>
      <c r="O154" s="108"/>
      <c r="P154" s="108">
        <v>0.36156554095528598</v>
      </c>
      <c r="Q154" s="108">
        <v>0.386976169290559</v>
      </c>
      <c r="R154" s="108">
        <v>0.39665057352282301</v>
      </c>
      <c r="S154" s="108">
        <v>0.40632497775508702</v>
      </c>
      <c r="T154">
        <v>0.41599938198735098</v>
      </c>
      <c r="U154" s="99">
        <v>0.42567378621961499</v>
      </c>
      <c r="V154">
        <v>0.435348190451879</v>
      </c>
      <c r="W154">
        <v>0.44502259468414301</v>
      </c>
      <c r="X154">
        <v>0.45469699891640702</v>
      </c>
      <c r="Y154">
        <v>0.46437140314867098</v>
      </c>
      <c r="Z154">
        <v>0.47404580738093399</v>
      </c>
      <c r="AA154">
        <v>0.483720211613198</v>
      </c>
      <c r="AB154">
        <v>0.49339461584546201</v>
      </c>
      <c r="AC154">
        <v>0.50306902007772603</v>
      </c>
      <c r="AD154" s="100">
        <v>100</v>
      </c>
    </row>
    <row r="155" spans="1:30" hidden="1" x14ac:dyDescent="0.25">
      <c r="A155" s="57" t="s">
        <v>124</v>
      </c>
      <c r="B155" s="100">
        <v>27</v>
      </c>
      <c r="C155" s="104"/>
      <c r="D155" s="104"/>
      <c r="E155" s="104"/>
      <c r="F155" s="104"/>
      <c r="G155" s="105"/>
      <c r="H155" s="105"/>
      <c r="I155" s="105">
        <v>0.118529727616372</v>
      </c>
      <c r="J155" s="105">
        <v>0.122233781604384</v>
      </c>
      <c r="K155" s="107">
        <v>0.12593783559239599</v>
      </c>
      <c r="L155" s="107">
        <v>0.12964188958040701</v>
      </c>
      <c r="M155" s="107">
        <v>0.16687640351782401</v>
      </c>
      <c r="N155" s="107">
        <v>0.17151185917109699</v>
      </c>
      <c r="O155" s="108">
        <v>0.17614731482436999</v>
      </c>
      <c r="P155" s="108">
        <v>0.18078277047764299</v>
      </c>
      <c r="Q155" s="108">
        <v>0.19348808464528</v>
      </c>
      <c r="R155" s="108">
        <v>0.19832528676141101</v>
      </c>
      <c r="S155" s="108">
        <v>0.20316248887754301</v>
      </c>
      <c r="T155">
        <v>0.20799969099367499</v>
      </c>
      <c r="U155" s="99">
        <v>0.212836893109807</v>
      </c>
      <c r="V155">
        <v>0.217674095225939</v>
      </c>
      <c r="W155">
        <v>0.22251129734207101</v>
      </c>
      <c r="X155">
        <v>0.22734849945820301</v>
      </c>
      <c r="Y155">
        <v>0.23218570157433499</v>
      </c>
      <c r="Z155">
        <v>0.237022903690467</v>
      </c>
      <c r="AA155">
        <v>0.241860105806599</v>
      </c>
      <c r="AB155">
        <v>0.24669730792273101</v>
      </c>
      <c r="AC155">
        <v>0.25153451003886301</v>
      </c>
      <c r="AD155" s="100">
        <v>100</v>
      </c>
    </row>
    <row r="156" spans="1:30" hidden="1" x14ac:dyDescent="0.25">
      <c r="A156" s="57" t="s">
        <v>229</v>
      </c>
      <c r="B156" s="100">
        <v>27</v>
      </c>
      <c r="C156" s="104"/>
      <c r="D156" s="104"/>
      <c r="E156" s="104"/>
      <c r="F156" s="104"/>
      <c r="G156" s="105"/>
      <c r="H156" s="105"/>
      <c r="I156" s="105">
        <v>0.118529727616372</v>
      </c>
      <c r="J156" s="105">
        <v>0.122233781604384</v>
      </c>
      <c r="K156" s="107">
        <v>0.12593783559239599</v>
      </c>
      <c r="L156" s="107">
        <v>0.12964188958040701</v>
      </c>
      <c r="M156" s="107">
        <v>0.16687640351782401</v>
      </c>
      <c r="N156" s="107">
        <v>0.17151185917109699</v>
      </c>
      <c r="O156" s="108">
        <v>0.17614731482436999</v>
      </c>
      <c r="P156" s="108">
        <v>0.18078277047764299</v>
      </c>
      <c r="Q156" s="108">
        <v>0.19348808464528</v>
      </c>
      <c r="R156" s="108">
        <v>0.19832528676141101</v>
      </c>
      <c r="S156" s="108">
        <v>0.20316248887754301</v>
      </c>
      <c r="T156">
        <v>0.20799969099367499</v>
      </c>
      <c r="U156" s="99">
        <v>0.212836893109807</v>
      </c>
      <c r="V156">
        <v>0.217674095225939</v>
      </c>
      <c r="W156">
        <v>0.22251129734207101</v>
      </c>
      <c r="X156">
        <v>0.22734849945820301</v>
      </c>
      <c r="Y156">
        <v>0.23218570157433499</v>
      </c>
      <c r="Z156">
        <v>0.237022903690467</v>
      </c>
      <c r="AA156">
        <v>0.241860105806599</v>
      </c>
      <c r="AB156">
        <v>0.24669730792273101</v>
      </c>
      <c r="AC156">
        <v>0.25153451003886301</v>
      </c>
      <c r="AD156" s="100">
        <v>100</v>
      </c>
    </row>
    <row r="157" spans="1:30" hidden="1" x14ac:dyDescent="0.25">
      <c r="A157" s="57" t="s">
        <v>912</v>
      </c>
      <c r="B157" s="100">
        <v>27</v>
      </c>
      <c r="C157" s="104"/>
      <c r="D157" s="104"/>
      <c r="E157" s="104"/>
      <c r="F157" s="104"/>
      <c r="G157" s="105"/>
      <c r="H157" s="105"/>
      <c r="I157" s="105">
        <v>0.118529727616372</v>
      </c>
      <c r="J157" s="105">
        <v>0.122233781604384</v>
      </c>
      <c r="K157" s="107">
        <v>0.12593783559239599</v>
      </c>
      <c r="L157" s="107">
        <v>0.12964188958040701</v>
      </c>
      <c r="M157" s="107">
        <v>0.16687640351782401</v>
      </c>
      <c r="N157" s="107">
        <v>0.17151185917109699</v>
      </c>
      <c r="O157" s="108">
        <v>0.17614731482436999</v>
      </c>
      <c r="P157" s="108">
        <v>0.18078277047764299</v>
      </c>
      <c r="Q157" s="108">
        <v>0.19348808464528</v>
      </c>
      <c r="R157" s="108">
        <v>0.19832528676141101</v>
      </c>
      <c r="S157" s="108">
        <v>0.20316248887754301</v>
      </c>
      <c r="T157">
        <v>0.20799969099367499</v>
      </c>
      <c r="U157" s="99">
        <v>0.212836893109807</v>
      </c>
      <c r="V157">
        <v>0.217674095225939</v>
      </c>
      <c r="W157">
        <v>0.22251129734207101</v>
      </c>
      <c r="X157">
        <v>0.22734849945820301</v>
      </c>
      <c r="Y157">
        <v>0.23218570157433499</v>
      </c>
      <c r="Z157">
        <v>0.237022903690467</v>
      </c>
      <c r="AA157">
        <v>0.241860105806599</v>
      </c>
      <c r="AB157">
        <v>0.24669730792273101</v>
      </c>
      <c r="AC157">
        <v>0.25153451003886301</v>
      </c>
      <c r="AD157" s="100">
        <v>100</v>
      </c>
    </row>
    <row r="158" spans="1:30" hidden="1" x14ac:dyDescent="0.25">
      <c r="A158" s="57" t="s">
        <v>230</v>
      </c>
      <c r="B158" s="100">
        <v>28</v>
      </c>
      <c r="C158" s="104"/>
      <c r="D158" s="104"/>
      <c r="E158" s="104"/>
      <c r="F158" s="104"/>
      <c r="G158" s="105"/>
      <c r="H158" s="105"/>
      <c r="I158" s="105">
        <v>0.253536967142377</v>
      </c>
      <c r="J158" s="105">
        <v>0.26145999736557701</v>
      </c>
      <c r="K158" s="107"/>
      <c r="L158" s="107"/>
      <c r="M158" s="107"/>
      <c r="N158" s="107"/>
      <c r="O158" s="108"/>
      <c r="P158" s="108"/>
      <c r="Q158" s="108"/>
      <c r="R158" s="108"/>
      <c r="S158" s="108"/>
      <c r="U158" s="99"/>
      <c r="AD158" s="100">
        <v>100</v>
      </c>
    </row>
    <row r="159" spans="1:30" hidden="1" x14ac:dyDescent="0.25">
      <c r="A159" s="57" t="s">
        <v>125</v>
      </c>
      <c r="B159" s="100">
        <v>28</v>
      </c>
      <c r="C159" s="104"/>
      <c r="D159" s="104"/>
      <c r="E159" s="104"/>
      <c r="F159" s="104"/>
      <c r="G159" s="105"/>
      <c r="H159" s="105"/>
      <c r="I159" s="105">
        <v>0.126768483571189</v>
      </c>
      <c r="J159" s="105">
        <v>0.13072999868278801</v>
      </c>
      <c r="K159" s="107">
        <v>0.13469151379438801</v>
      </c>
      <c r="L159" s="107">
        <v>0.13865302890598799</v>
      </c>
      <c r="M159" s="107">
        <v>0.14309249871369301</v>
      </c>
      <c r="N159" s="107">
        <v>0.14706729034462901</v>
      </c>
      <c r="O159" s="108">
        <v>0.15104208197556501</v>
      </c>
      <c r="P159" s="108">
        <v>0.15501687360650099</v>
      </c>
      <c r="Q159" s="108">
        <v>0.15952272601088699</v>
      </c>
      <c r="R159" s="108">
        <v>0.16351079416115899</v>
      </c>
      <c r="S159" s="108">
        <v>0.16749886231143199</v>
      </c>
      <c r="T159">
        <v>0.17148693046170399</v>
      </c>
      <c r="U159" s="99">
        <v>0.18453813348186299</v>
      </c>
      <c r="V159">
        <v>0.18873218197008701</v>
      </c>
      <c r="W159">
        <v>0.192926230458312</v>
      </c>
      <c r="X159">
        <v>0.197120278946536</v>
      </c>
      <c r="Y159">
        <v>0.20131432743475999</v>
      </c>
      <c r="Z159">
        <v>0.20550837592298399</v>
      </c>
      <c r="AA159">
        <v>0.20970242441120801</v>
      </c>
      <c r="AB159">
        <v>0.21389647289943201</v>
      </c>
      <c r="AC159">
        <v>0.218090521387656</v>
      </c>
      <c r="AD159" s="100">
        <v>100</v>
      </c>
    </row>
    <row r="160" spans="1:30" hidden="1" x14ac:dyDescent="0.25">
      <c r="A160" s="57" t="s">
        <v>231</v>
      </c>
      <c r="B160" s="100">
        <v>28</v>
      </c>
      <c r="C160" s="104"/>
      <c r="D160" s="104"/>
      <c r="E160" s="104"/>
      <c r="F160" s="104"/>
      <c r="G160" s="105"/>
      <c r="H160" s="105"/>
      <c r="I160" s="105">
        <v>0.126768483571189</v>
      </c>
      <c r="J160" s="105">
        <v>0.13072999868278801</v>
      </c>
      <c r="K160" s="107">
        <v>0.13469151379438801</v>
      </c>
      <c r="L160" s="107">
        <v>0.13865302890598799</v>
      </c>
      <c r="M160" s="107">
        <v>0.14309249871369301</v>
      </c>
      <c r="N160" s="107">
        <v>0.14706729034462901</v>
      </c>
      <c r="O160" s="108">
        <v>0.15104208197556501</v>
      </c>
      <c r="P160" s="108">
        <v>0.15501687360650099</v>
      </c>
      <c r="Q160" s="108">
        <v>0.15952272601088699</v>
      </c>
      <c r="R160" s="108">
        <v>0.16351079416115899</v>
      </c>
      <c r="S160" s="108">
        <v>0.16749886231143199</v>
      </c>
      <c r="T160">
        <v>0.17148693046170399</v>
      </c>
      <c r="U160" s="99">
        <v>0.18453813348186299</v>
      </c>
      <c r="V160">
        <v>0.18873218197008701</v>
      </c>
      <c r="W160">
        <v>0.192926230458312</v>
      </c>
      <c r="X160">
        <v>0.197120278946536</v>
      </c>
      <c r="Y160">
        <v>0.20131432743475999</v>
      </c>
      <c r="Z160">
        <v>0.20550837592298399</v>
      </c>
      <c r="AA160">
        <v>0.20970242441120801</v>
      </c>
      <c r="AB160">
        <v>0.21389647289943201</v>
      </c>
      <c r="AC160">
        <v>0.218090521387656</v>
      </c>
      <c r="AD160" s="100">
        <v>100</v>
      </c>
    </row>
    <row r="161" spans="1:30" hidden="1" x14ac:dyDescent="0.25">
      <c r="A161" s="57" t="s">
        <v>921</v>
      </c>
      <c r="B161" s="100">
        <v>28</v>
      </c>
      <c r="C161" s="104"/>
      <c r="D161" s="104"/>
      <c r="E161" s="104"/>
      <c r="F161" s="104"/>
      <c r="G161" s="105"/>
      <c r="H161" s="105"/>
      <c r="I161" s="105">
        <v>0.126768483571189</v>
      </c>
      <c r="J161" s="105">
        <v>0.13072999868278801</v>
      </c>
      <c r="K161" s="107">
        <v>0.13469151379438801</v>
      </c>
      <c r="L161" s="107">
        <v>0.13865302890598799</v>
      </c>
      <c r="M161" s="107">
        <v>0.14309249871369301</v>
      </c>
      <c r="N161" s="107">
        <v>0.14706729034462901</v>
      </c>
      <c r="O161" s="108">
        <v>0.15104208197556501</v>
      </c>
      <c r="P161" s="108">
        <v>0.15501687360650099</v>
      </c>
      <c r="Q161" s="108">
        <v>0.15952272601088699</v>
      </c>
      <c r="R161" s="108">
        <v>0.16351079416115899</v>
      </c>
      <c r="S161" s="108">
        <v>0.16749886231143199</v>
      </c>
      <c r="T161">
        <v>0.17148693046170399</v>
      </c>
      <c r="U161" s="99">
        <v>0.18453813348186299</v>
      </c>
      <c r="V161">
        <v>0.18873218197008701</v>
      </c>
      <c r="W161">
        <v>0.192926230458312</v>
      </c>
      <c r="X161">
        <v>0.197120278946536</v>
      </c>
      <c r="Y161">
        <v>0.20131432743475999</v>
      </c>
      <c r="Z161">
        <v>0.20550837592298399</v>
      </c>
      <c r="AA161">
        <v>0.20970242441120801</v>
      </c>
      <c r="AB161">
        <v>0.21389647289943201</v>
      </c>
      <c r="AC161">
        <v>0.218090521387656</v>
      </c>
      <c r="AD161" s="100">
        <v>100</v>
      </c>
    </row>
    <row r="162" spans="1:30" hidden="1" x14ac:dyDescent="0.25">
      <c r="A162" s="57" t="s">
        <v>924</v>
      </c>
      <c r="B162" s="100">
        <v>28</v>
      </c>
      <c r="C162" s="104"/>
      <c r="D162" s="104"/>
      <c r="E162" s="104"/>
      <c r="F162" s="104"/>
      <c r="G162" s="105"/>
      <c r="H162" s="105"/>
      <c r="I162" s="105">
        <v>0.126768483571189</v>
      </c>
      <c r="J162" s="105">
        <v>0.13072999868278801</v>
      </c>
      <c r="K162" s="107">
        <v>0.13469151379438801</v>
      </c>
      <c r="L162" s="107">
        <v>0.13865302890598799</v>
      </c>
      <c r="M162" s="107">
        <v>0.14309249871369301</v>
      </c>
      <c r="N162" s="107">
        <v>0.14706729034462901</v>
      </c>
      <c r="O162" s="108">
        <v>0.15104208197556501</v>
      </c>
      <c r="P162" s="108">
        <v>0.15501687360650099</v>
      </c>
      <c r="Q162" s="108">
        <v>0.15952272601088699</v>
      </c>
      <c r="R162" s="108">
        <v>0.16351079416115899</v>
      </c>
      <c r="S162" s="108">
        <v>0.16749886231143199</v>
      </c>
      <c r="T162">
        <v>0.17148693046170399</v>
      </c>
      <c r="U162" s="99">
        <v>0.18453813348186299</v>
      </c>
      <c r="V162">
        <v>0.18873218197008701</v>
      </c>
      <c r="W162">
        <v>0.192926230458312</v>
      </c>
      <c r="X162">
        <v>0.197120278946536</v>
      </c>
      <c r="Y162">
        <v>0.20131432743475999</v>
      </c>
      <c r="Z162">
        <v>0.20550837592298399</v>
      </c>
      <c r="AA162">
        <v>0.20970242441120801</v>
      </c>
      <c r="AB162">
        <v>0.21389647289943201</v>
      </c>
      <c r="AC162">
        <v>0.218090521387656</v>
      </c>
      <c r="AD162" s="100">
        <v>100</v>
      </c>
    </row>
    <row r="163" spans="1:30" hidden="1" x14ac:dyDescent="0.25">
      <c r="A163" s="57" t="s">
        <v>376</v>
      </c>
      <c r="B163" s="100">
        <v>32</v>
      </c>
      <c r="I163">
        <v>4.5398732150057901E-2</v>
      </c>
      <c r="J163">
        <v>4.6817442529747198E-2</v>
      </c>
      <c r="K163">
        <v>4.8236152909436503E-2</v>
      </c>
      <c r="L163">
        <v>4.9654863289125897E-2</v>
      </c>
      <c r="M163">
        <v>5.0203220955224302E-2</v>
      </c>
      <c r="N163">
        <v>5.1597754870647203E-2</v>
      </c>
      <c r="O163">
        <v>5.2992288786070103E-2</v>
      </c>
      <c r="P163">
        <v>5.4386822701492997E-2</v>
      </c>
      <c r="Q163">
        <v>5.4814298046259299E-2</v>
      </c>
      <c r="R163">
        <v>5.6184655497415803E-2</v>
      </c>
      <c r="S163">
        <v>5.75550129485723E-2</v>
      </c>
      <c r="T163">
        <v>5.8925370399728699E-2</v>
      </c>
      <c r="U163">
        <v>6.4955354602207097E-2</v>
      </c>
      <c r="V163">
        <v>6.6431612661348102E-2</v>
      </c>
      <c r="W163">
        <v>6.7907870720489205E-2</v>
      </c>
      <c r="X163">
        <v>6.9384128779630197E-2</v>
      </c>
      <c r="Y163">
        <v>7.08603868387713E-2</v>
      </c>
      <c r="Z163">
        <v>7.2336644897912403E-2</v>
      </c>
      <c r="AA163">
        <v>7.3812902957053395E-2</v>
      </c>
      <c r="AB163">
        <v>7.5289161016194497E-2</v>
      </c>
      <c r="AC163">
        <v>7.67654190753356E-2</v>
      </c>
      <c r="AD163" s="100">
        <v>100</v>
      </c>
    </row>
    <row r="164" spans="1:30" hidden="1" x14ac:dyDescent="0.25">
      <c r="A164" s="57" t="s">
        <v>929</v>
      </c>
      <c r="B164" s="100">
        <v>32</v>
      </c>
      <c r="I164">
        <v>4.5398732150057901E-2</v>
      </c>
      <c r="J164">
        <v>4.6817442529747198E-2</v>
      </c>
      <c r="K164">
        <v>4.8236152909436503E-2</v>
      </c>
      <c r="L164">
        <v>4.9654863289125897E-2</v>
      </c>
      <c r="M164">
        <v>5.0203220955224302E-2</v>
      </c>
      <c r="N164">
        <v>5.1597754870647203E-2</v>
      </c>
      <c r="O164">
        <v>5.2992288786070103E-2</v>
      </c>
      <c r="P164">
        <v>5.4386822701492997E-2</v>
      </c>
      <c r="Q164">
        <v>5.4814298046259299E-2</v>
      </c>
      <c r="R164">
        <v>5.6184655497415803E-2</v>
      </c>
      <c r="S164">
        <v>5.75550129485723E-2</v>
      </c>
      <c r="T164">
        <v>5.8925370399728699E-2</v>
      </c>
      <c r="U164">
        <v>6.4955354602207097E-2</v>
      </c>
      <c r="V164">
        <v>6.6431612661348102E-2</v>
      </c>
      <c r="W164">
        <v>6.7907870720489205E-2</v>
      </c>
      <c r="X164">
        <v>6.9384128779630197E-2</v>
      </c>
      <c r="Y164">
        <v>7.08603868387713E-2</v>
      </c>
      <c r="Z164">
        <v>7.2336644897912403E-2</v>
      </c>
      <c r="AA164">
        <v>7.3812902957053395E-2</v>
      </c>
      <c r="AB164">
        <v>7.5289161016194497E-2</v>
      </c>
      <c r="AC164">
        <v>7.67654190753356E-2</v>
      </c>
      <c r="AD164" s="100">
        <v>100</v>
      </c>
    </row>
    <row r="165" spans="1:30" hidden="1" x14ac:dyDescent="0.25">
      <c r="A165" s="57" t="s">
        <v>933</v>
      </c>
      <c r="B165" s="100">
        <v>34</v>
      </c>
      <c r="I165">
        <v>0.126768483571189</v>
      </c>
      <c r="J165">
        <v>0.13072999868278801</v>
      </c>
      <c r="K165">
        <v>0.13469151379438801</v>
      </c>
      <c r="L165">
        <v>0.13865302890598799</v>
      </c>
      <c r="M165">
        <v>0.14309249871369301</v>
      </c>
      <c r="N165">
        <v>0.14706729034462901</v>
      </c>
      <c r="O165">
        <v>0.15104208197556501</v>
      </c>
      <c r="P165">
        <v>0.15501687360650099</v>
      </c>
      <c r="Q165">
        <v>0.15952272601088699</v>
      </c>
      <c r="R165">
        <v>0.16351079416115899</v>
      </c>
      <c r="S165">
        <v>0.16749886231143199</v>
      </c>
      <c r="T165">
        <v>0.17148693046170399</v>
      </c>
      <c r="U165">
        <v>0.18453813348186299</v>
      </c>
      <c r="V165">
        <v>0.18873218197008701</v>
      </c>
      <c r="W165">
        <v>0.192926230458312</v>
      </c>
      <c r="X165">
        <v>0.197120278946536</v>
      </c>
      <c r="Y165">
        <v>0.20131432743475999</v>
      </c>
      <c r="Z165">
        <v>0.20550837592298399</v>
      </c>
      <c r="AA165">
        <v>0.20970242441120801</v>
      </c>
      <c r="AB165">
        <v>0.21389647289943201</v>
      </c>
      <c r="AC165">
        <v>0.218090521387656</v>
      </c>
      <c r="AD165" s="100">
        <v>100</v>
      </c>
    </row>
    <row r="166" spans="1:30" hidden="1" x14ac:dyDescent="0.25">
      <c r="A166" s="57" t="s">
        <v>378</v>
      </c>
      <c r="B166" s="100">
        <v>28</v>
      </c>
      <c r="C166" s="104"/>
      <c r="D166" s="104"/>
      <c r="E166" s="104"/>
      <c r="F166" s="104"/>
      <c r="G166" s="105"/>
      <c r="H166" s="105"/>
      <c r="I166" s="105">
        <v>0.126768483571189</v>
      </c>
      <c r="J166" s="105">
        <v>0.13072999868278801</v>
      </c>
      <c r="K166" s="107">
        <v>0.13469151379438801</v>
      </c>
      <c r="L166" s="107">
        <v>0.13865302890598799</v>
      </c>
      <c r="M166" s="107">
        <v>0.14309249871369301</v>
      </c>
      <c r="N166" s="107">
        <v>0.14706729034462901</v>
      </c>
      <c r="O166" s="108">
        <v>0.15104208197556501</v>
      </c>
      <c r="P166" s="108">
        <v>0.15501687360650099</v>
      </c>
      <c r="Q166" s="108">
        <v>0.15952272601088699</v>
      </c>
      <c r="R166" s="108">
        <v>0.16351079416115899</v>
      </c>
      <c r="S166" s="108">
        <v>0.16749886231143199</v>
      </c>
      <c r="T166">
        <v>0.17148693046170399</v>
      </c>
      <c r="U166" s="99">
        <v>0.18453813348186299</v>
      </c>
      <c r="V166">
        <v>0.18873218197008701</v>
      </c>
      <c r="W166">
        <v>0.192926230458312</v>
      </c>
      <c r="X166">
        <v>0.197120278946536</v>
      </c>
      <c r="Y166">
        <v>0.20131432743475999</v>
      </c>
      <c r="Z166">
        <v>0.20550837592298399</v>
      </c>
      <c r="AA166">
        <v>0.20970242441120801</v>
      </c>
      <c r="AB166">
        <v>0.21389647289943201</v>
      </c>
      <c r="AC166">
        <v>0.218090521387656</v>
      </c>
      <c r="AD166" s="100">
        <v>100</v>
      </c>
    </row>
    <row r="167" spans="1:30" hidden="1" x14ac:dyDescent="0.25">
      <c r="A167" s="57" t="s">
        <v>232</v>
      </c>
      <c r="B167" s="100">
        <v>30</v>
      </c>
      <c r="C167" s="104"/>
      <c r="D167" s="104"/>
      <c r="E167" s="104"/>
      <c r="F167" s="104"/>
      <c r="G167" s="105"/>
      <c r="H167" s="105"/>
      <c r="I167" s="105">
        <v>0.178806327436523</v>
      </c>
      <c r="J167" s="105">
        <v>0.18439402516891501</v>
      </c>
      <c r="K167" s="107">
        <v>0.18998172290130599</v>
      </c>
      <c r="L167" s="107">
        <v>0.195569420633698</v>
      </c>
      <c r="M167" s="107"/>
      <c r="N167" s="107"/>
      <c r="O167" s="108"/>
      <c r="P167" s="108"/>
      <c r="Q167" s="108"/>
      <c r="R167" s="108"/>
      <c r="S167" s="108"/>
      <c r="U167" s="99"/>
      <c r="AD167" s="100">
        <v>100</v>
      </c>
    </row>
    <row r="168" spans="1:30" hidden="1" x14ac:dyDescent="0.25">
      <c r="A168" s="57" t="s">
        <v>126</v>
      </c>
      <c r="B168" s="100">
        <v>30</v>
      </c>
      <c r="C168" s="104"/>
      <c r="D168" s="104"/>
      <c r="E168" s="104"/>
      <c r="F168" s="104"/>
      <c r="G168" s="105"/>
      <c r="H168" s="105"/>
      <c r="I168" s="105"/>
      <c r="J168" s="105"/>
      <c r="K168" s="107"/>
      <c r="L168" s="107"/>
      <c r="M168" s="107">
        <v>0.20755989649388801</v>
      </c>
      <c r="N168" s="107">
        <v>0.21332544917427301</v>
      </c>
      <c r="O168" s="108">
        <v>0.21909100185465899</v>
      </c>
      <c r="P168" s="108">
        <v>0.22485655453504499</v>
      </c>
      <c r="Q168" s="108">
        <v>0.23773630513520699</v>
      </c>
      <c r="R168" s="108">
        <v>0.24367971276358699</v>
      </c>
      <c r="S168" s="108">
        <v>0.24962312039196699</v>
      </c>
      <c r="T168">
        <v>0.25556652802034702</v>
      </c>
      <c r="U168" s="99"/>
      <c r="AD168" s="100">
        <v>100</v>
      </c>
    </row>
    <row r="169" spans="1:30" hidden="1" x14ac:dyDescent="0.25">
      <c r="A169" s="57" t="s">
        <v>942</v>
      </c>
      <c r="B169" s="100">
        <v>30</v>
      </c>
      <c r="C169" s="104"/>
      <c r="D169" s="104"/>
      <c r="E169" s="104"/>
      <c r="F169" s="104"/>
      <c r="G169" s="105"/>
      <c r="H169" s="105"/>
      <c r="I169" s="105"/>
      <c r="J169" s="105"/>
      <c r="K169" s="107"/>
      <c r="L169" s="107"/>
      <c r="M169" s="107">
        <v>0.20755989649388801</v>
      </c>
      <c r="N169" s="107">
        <v>0.21332544917427301</v>
      </c>
      <c r="O169" s="108">
        <v>0.21909100185465899</v>
      </c>
      <c r="P169" s="108">
        <v>0.22485655453504499</v>
      </c>
      <c r="Q169" s="108">
        <v>0.23773630513520699</v>
      </c>
      <c r="R169" s="108">
        <v>0.24367971276358699</v>
      </c>
      <c r="S169" s="108">
        <v>0.24962312039196699</v>
      </c>
      <c r="T169">
        <v>0.25556652802034702</v>
      </c>
      <c r="U169" s="99"/>
      <c r="AD169" s="100">
        <v>100</v>
      </c>
    </row>
    <row r="170" spans="1:30" hidden="1" x14ac:dyDescent="0.25">
      <c r="A170" s="57" t="s">
        <v>233</v>
      </c>
      <c r="B170" s="100">
        <v>30</v>
      </c>
      <c r="C170" s="104"/>
      <c r="D170" s="104"/>
      <c r="E170" s="104"/>
      <c r="F170" s="104"/>
      <c r="G170" s="105"/>
      <c r="H170" s="105"/>
      <c r="I170" s="105"/>
      <c r="J170" s="105"/>
      <c r="K170" s="107"/>
      <c r="L170" s="107"/>
      <c r="M170" s="107"/>
      <c r="N170" s="107"/>
      <c r="O170" s="108">
        <v>0.21909100185465899</v>
      </c>
      <c r="P170" s="108">
        <v>0.22485655453504499</v>
      </c>
      <c r="Q170" s="108">
        <v>0.23773630513520699</v>
      </c>
      <c r="R170" s="108">
        <v>0.24367971276358699</v>
      </c>
      <c r="S170" s="108">
        <v>0.24962312039196699</v>
      </c>
      <c r="T170">
        <v>0.25556652802034702</v>
      </c>
      <c r="U170" s="99"/>
      <c r="AD170" s="100">
        <v>100</v>
      </c>
    </row>
    <row r="171" spans="1:30" hidden="1" x14ac:dyDescent="0.25">
      <c r="A171" s="57" t="s">
        <v>947</v>
      </c>
      <c r="B171" s="100">
        <v>30</v>
      </c>
      <c r="C171" s="104"/>
      <c r="D171" s="104"/>
      <c r="E171" s="104"/>
      <c r="F171" s="104"/>
      <c r="G171" s="105"/>
      <c r="H171" s="105"/>
      <c r="I171" s="105"/>
      <c r="J171" s="105"/>
      <c r="K171" s="107"/>
      <c r="L171" s="107"/>
      <c r="M171" s="107"/>
      <c r="N171" s="107"/>
      <c r="O171" s="108">
        <v>0.21909100185465899</v>
      </c>
      <c r="P171" s="108">
        <v>0.22485655453504499</v>
      </c>
      <c r="Q171" s="108">
        <v>0.23773630513520699</v>
      </c>
      <c r="R171" s="108">
        <v>0.24367971276358699</v>
      </c>
      <c r="S171" s="108">
        <v>0.24962312039196699</v>
      </c>
      <c r="T171">
        <v>0.25556652802034702</v>
      </c>
      <c r="U171" s="99"/>
      <c r="AD171" s="100">
        <v>100</v>
      </c>
    </row>
    <row r="172" spans="1:30" hidden="1" x14ac:dyDescent="0.25">
      <c r="A172" s="57" t="s">
        <v>234</v>
      </c>
      <c r="B172" s="100">
        <v>30</v>
      </c>
      <c r="C172" s="104"/>
      <c r="D172" s="104"/>
      <c r="E172" s="104"/>
      <c r="F172" s="104"/>
      <c r="G172" s="105"/>
      <c r="H172" s="105"/>
      <c r="I172" s="105">
        <v>8.9403163718261694E-2</v>
      </c>
      <c r="J172" s="105">
        <v>9.2197012584457394E-2</v>
      </c>
      <c r="K172" s="107">
        <v>9.4990861450653094E-2</v>
      </c>
      <c r="L172" s="107">
        <v>9.7784710316848794E-2</v>
      </c>
      <c r="M172" s="107">
        <v>0.103779948246944</v>
      </c>
      <c r="N172" s="107">
        <v>0.10666272458713701</v>
      </c>
      <c r="O172" s="108">
        <v>0.10954550092732999</v>
      </c>
      <c r="P172" s="108">
        <v>0.112428277267522</v>
      </c>
      <c r="Q172" s="108">
        <v>0.118868152567604</v>
      </c>
      <c r="R172" s="108">
        <v>0.121839856381794</v>
      </c>
      <c r="S172" s="108">
        <v>0.12481156019598399</v>
      </c>
      <c r="T172">
        <v>0.12778326401017401</v>
      </c>
      <c r="U172" s="99">
        <v>0.139657474875472</v>
      </c>
      <c r="V172">
        <v>0.14283150839536901</v>
      </c>
      <c r="W172">
        <v>0.14600554191526699</v>
      </c>
      <c r="X172">
        <v>0.149179575435164</v>
      </c>
      <c r="Y172">
        <v>0.152353608955061</v>
      </c>
      <c r="Z172">
        <v>0.15552764247495801</v>
      </c>
      <c r="AA172">
        <v>0.15870167599485499</v>
      </c>
      <c r="AB172">
        <v>0.161875709514752</v>
      </c>
      <c r="AC172">
        <v>0.165049743034649</v>
      </c>
      <c r="AD172" s="100">
        <v>100</v>
      </c>
    </row>
    <row r="173" spans="1:30" hidden="1" x14ac:dyDescent="0.25">
      <c r="A173" s="57" t="s">
        <v>389</v>
      </c>
      <c r="B173" s="100">
        <v>30</v>
      </c>
      <c r="C173" s="104"/>
      <c r="D173" s="104"/>
      <c r="E173" s="104"/>
      <c r="F173" s="104"/>
      <c r="G173" s="105"/>
      <c r="H173" s="105"/>
      <c r="I173" s="105">
        <v>8.9403163718261694E-2</v>
      </c>
      <c r="J173" s="105">
        <v>9.2197012584457394E-2</v>
      </c>
      <c r="K173" s="107">
        <v>9.4990861450653094E-2</v>
      </c>
      <c r="L173" s="107">
        <v>9.7784710316848794E-2</v>
      </c>
      <c r="M173" s="107">
        <v>0.103779948246944</v>
      </c>
      <c r="N173" s="107">
        <v>0.10666272458713701</v>
      </c>
      <c r="O173" s="108">
        <v>0.10954550092732999</v>
      </c>
      <c r="P173" s="108">
        <v>0.112428277267522</v>
      </c>
      <c r="Q173" s="108">
        <v>0.118868152567604</v>
      </c>
      <c r="R173" s="108">
        <v>0.121839856381794</v>
      </c>
      <c r="S173" s="108">
        <v>0.12481156019598399</v>
      </c>
      <c r="T173">
        <v>0.12778326401017401</v>
      </c>
      <c r="U173" s="99">
        <v>0.139657474875472</v>
      </c>
      <c r="V173">
        <v>0.14283150839536901</v>
      </c>
      <c r="W173">
        <v>0.14600554191526699</v>
      </c>
      <c r="X173">
        <v>0.149179575435164</v>
      </c>
      <c r="Y173">
        <v>0.152353608955061</v>
      </c>
      <c r="Z173">
        <v>0.15552764247495801</v>
      </c>
      <c r="AA173">
        <v>0.15870167599485499</v>
      </c>
      <c r="AB173">
        <v>0.161875709514752</v>
      </c>
      <c r="AC173">
        <v>0.165049743034649</v>
      </c>
      <c r="AD173" s="100">
        <v>100</v>
      </c>
    </row>
    <row r="174" spans="1:30" hidden="1" x14ac:dyDescent="0.25">
      <c r="A174" s="57" t="s">
        <v>235</v>
      </c>
      <c r="B174" s="100">
        <v>30</v>
      </c>
      <c r="C174" s="104"/>
      <c r="D174" s="104"/>
      <c r="E174" s="104"/>
      <c r="F174" s="104"/>
      <c r="G174" s="105"/>
      <c r="H174" s="105"/>
      <c r="I174" s="105">
        <v>8.9403163718261694E-2</v>
      </c>
      <c r="J174" s="105">
        <v>9.2197012584457394E-2</v>
      </c>
      <c r="K174" s="107">
        <v>9.4990861450653094E-2</v>
      </c>
      <c r="L174" s="107">
        <v>9.7784710316848794E-2</v>
      </c>
      <c r="M174" s="107">
        <v>0.103779948246944</v>
      </c>
      <c r="N174" s="107">
        <v>0.10666272458713701</v>
      </c>
      <c r="O174" s="108">
        <v>0.10954550092732999</v>
      </c>
      <c r="P174" s="108">
        <v>0.112428277267522</v>
      </c>
      <c r="Q174" s="108">
        <v>0.118868152567604</v>
      </c>
      <c r="R174" s="108">
        <v>0.121839856381794</v>
      </c>
      <c r="S174" s="108">
        <v>0.12481156019598399</v>
      </c>
      <c r="T174">
        <v>0.12778326401017401</v>
      </c>
      <c r="U174" s="99">
        <v>0.139657474875472</v>
      </c>
      <c r="V174">
        <v>0.14283150839536901</v>
      </c>
      <c r="W174">
        <v>0.14600554191526699</v>
      </c>
      <c r="X174">
        <v>0.149179575435164</v>
      </c>
      <c r="Y174">
        <v>0.152353608955061</v>
      </c>
      <c r="Z174">
        <v>0.15552764247495801</v>
      </c>
      <c r="AA174">
        <v>0.15870167599485499</v>
      </c>
      <c r="AB174">
        <v>0.161875709514752</v>
      </c>
      <c r="AC174">
        <v>0.165049743034649</v>
      </c>
      <c r="AD174" s="100">
        <v>100</v>
      </c>
    </row>
    <row r="175" spans="1:30" hidden="1" x14ac:dyDescent="0.25">
      <c r="A175" s="57" t="s">
        <v>957</v>
      </c>
      <c r="B175" s="100">
        <v>30</v>
      </c>
      <c r="C175" s="104"/>
      <c r="D175" s="104"/>
      <c r="E175" s="104"/>
      <c r="F175" s="104"/>
      <c r="G175" s="105"/>
      <c r="H175" s="105"/>
      <c r="I175" s="105">
        <v>8.9403163718261694E-2</v>
      </c>
      <c r="J175" s="105">
        <v>9.2197012584457394E-2</v>
      </c>
      <c r="K175" s="107">
        <v>9.4990861450653094E-2</v>
      </c>
      <c r="L175" s="107">
        <v>9.7784710316848794E-2</v>
      </c>
      <c r="M175" s="107">
        <v>0.103779948246944</v>
      </c>
      <c r="N175" s="107">
        <v>0.10666272458713701</v>
      </c>
      <c r="O175" s="108">
        <v>0.10954550092732999</v>
      </c>
      <c r="P175" s="108">
        <v>0.112428277267522</v>
      </c>
      <c r="Q175" s="108">
        <v>0.118868152567604</v>
      </c>
      <c r="R175" s="108">
        <v>0.121839856381794</v>
      </c>
      <c r="S175" s="108">
        <v>0.12481156019598399</v>
      </c>
      <c r="T175">
        <v>0.12778326401017401</v>
      </c>
      <c r="U175" s="99">
        <v>0.139657474875472</v>
      </c>
      <c r="V175">
        <v>0.14283150839536901</v>
      </c>
      <c r="W175">
        <v>0.14600554191526699</v>
      </c>
      <c r="X175">
        <v>0.149179575435164</v>
      </c>
      <c r="Y175">
        <v>0.152353608955061</v>
      </c>
      <c r="Z175">
        <v>0.15552764247495801</v>
      </c>
      <c r="AA175">
        <v>0.15870167599485499</v>
      </c>
      <c r="AB175">
        <v>0.161875709514752</v>
      </c>
      <c r="AC175">
        <v>0.165049743034649</v>
      </c>
      <c r="AD175" s="100">
        <v>100</v>
      </c>
    </row>
    <row r="176" spans="1:30" hidden="1" x14ac:dyDescent="0.25">
      <c r="A176" s="57" t="s">
        <v>960</v>
      </c>
      <c r="B176" s="100">
        <v>30</v>
      </c>
      <c r="C176" s="104"/>
      <c r="D176" s="104"/>
      <c r="E176" s="104"/>
      <c r="F176" s="104"/>
      <c r="G176" s="105"/>
      <c r="H176" s="105"/>
      <c r="I176" s="105"/>
      <c r="J176" s="105"/>
      <c r="K176" s="107"/>
      <c r="L176" s="107"/>
      <c r="M176" s="107"/>
      <c r="N176" s="107"/>
      <c r="O176" s="108">
        <v>0.21909100185465899</v>
      </c>
      <c r="P176" s="108">
        <v>0.22485655453504499</v>
      </c>
      <c r="Q176" s="108">
        <v>0.23773630513520699</v>
      </c>
      <c r="R176" s="108">
        <v>0.24367971276358699</v>
      </c>
      <c r="S176" s="108">
        <v>0.24962312039196699</v>
      </c>
      <c r="T176">
        <v>0.25556652802034702</v>
      </c>
      <c r="U176" s="99">
        <v>0.27931494975094501</v>
      </c>
      <c r="AD176" s="100">
        <v>100</v>
      </c>
    </row>
    <row r="177" spans="1:30" hidden="1" x14ac:dyDescent="0.25">
      <c r="A177" s="57" t="s">
        <v>236</v>
      </c>
      <c r="B177" s="100">
        <v>31</v>
      </c>
      <c r="C177" s="104"/>
      <c r="D177" s="104"/>
      <c r="E177" s="104"/>
      <c r="F177" s="104"/>
      <c r="G177" s="105"/>
      <c r="H177" s="105"/>
      <c r="I177" s="105"/>
      <c r="J177" s="105"/>
      <c r="K177" s="107"/>
      <c r="L177" s="107"/>
      <c r="M177" s="107"/>
      <c r="N177" s="107"/>
      <c r="O177" s="108">
        <v>0.182921695430147</v>
      </c>
      <c r="P177" s="108">
        <v>0.18773542425725601</v>
      </c>
      <c r="Q177" s="108">
        <v>0.195761946137921</v>
      </c>
      <c r="R177" s="108">
        <v>0.200655994791369</v>
      </c>
      <c r="S177" s="108">
        <v>0.205550043444817</v>
      </c>
      <c r="T177">
        <v>0.21044409209826501</v>
      </c>
      <c r="U177" s="99">
        <v>0.234123513233676</v>
      </c>
      <c r="AD177" s="100">
        <v>100</v>
      </c>
    </row>
    <row r="178" spans="1:30" hidden="1" x14ac:dyDescent="0.25">
      <c r="A178" s="57" t="s">
        <v>236</v>
      </c>
      <c r="B178" s="100">
        <v>32</v>
      </c>
      <c r="C178" s="104"/>
      <c r="D178" s="104"/>
      <c r="E178" s="104"/>
      <c r="F178" s="104"/>
      <c r="G178" s="105"/>
      <c r="H178" s="105"/>
      <c r="I178" s="105"/>
      <c r="J178" s="105"/>
      <c r="K178" s="107"/>
      <c r="L178" s="107"/>
      <c r="M178" s="107"/>
      <c r="N178" s="107"/>
      <c r="O178" s="108">
        <v>0.182921695430147</v>
      </c>
      <c r="P178" s="108">
        <v>0.18773542425725601</v>
      </c>
      <c r="Q178" s="108">
        <v>0.195761946137921</v>
      </c>
      <c r="R178" s="108">
        <v>0.200655994791369</v>
      </c>
      <c r="S178" s="108">
        <v>0.205550043444817</v>
      </c>
      <c r="T178">
        <v>0.21044409209826501</v>
      </c>
      <c r="U178" s="99">
        <v>0.234123513233676</v>
      </c>
      <c r="AD178" s="100">
        <v>100</v>
      </c>
    </row>
    <row r="179" spans="1:30" hidden="1" x14ac:dyDescent="0.25">
      <c r="A179" s="57" t="s">
        <v>965</v>
      </c>
      <c r="B179" s="100">
        <v>31</v>
      </c>
      <c r="C179" s="104"/>
      <c r="D179" s="104"/>
      <c r="E179" s="104"/>
      <c r="F179" s="104"/>
      <c r="G179" s="105"/>
      <c r="H179" s="105"/>
      <c r="I179" s="105">
        <v>0.15146908802464801</v>
      </c>
      <c r="J179" s="105">
        <v>0.156202497025419</v>
      </c>
      <c r="K179" s="107">
        <v>0.16093590602618901</v>
      </c>
      <c r="L179" s="107">
        <v>0.165669315026959</v>
      </c>
      <c r="M179" s="107"/>
      <c r="N179" s="107"/>
      <c r="O179" s="108"/>
      <c r="P179" s="108"/>
      <c r="Q179" s="108"/>
      <c r="R179" s="108"/>
      <c r="S179" s="108"/>
      <c r="U179" s="99"/>
      <c r="AD179" s="100">
        <v>100</v>
      </c>
    </row>
    <row r="180" spans="1:30" hidden="1" x14ac:dyDescent="0.25">
      <c r="A180" s="57" t="s">
        <v>965</v>
      </c>
      <c r="B180" s="100">
        <v>32</v>
      </c>
      <c r="I180">
        <v>7.5734544012324198E-2</v>
      </c>
      <c r="J180">
        <v>7.8101248512709304E-2</v>
      </c>
      <c r="K180">
        <v>8.0467953013094395E-2</v>
      </c>
      <c r="L180">
        <v>8.2834657513479598E-2</v>
      </c>
      <c r="M180">
        <v>8.6647118887964503E-2</v>
      </c>
      <c r="N180">
        <v>8.9053983301519105E-2</v>
      </c>
      <c r="O180">
        <v>9.1460847715073595E-2</v>
      </c>
      <c r="P180">
        <v>9.3867712128628197E-2</v>
      </c>
      <c r="Q180">
        <v>9.7880973068960306E-2</v>
      </c>
      <c r="R180">
        <v>0.100327997395684</v>
      </c>
      <c r="S180">
        <v>0.102775021722408</v>
      </c>
      <c r="T180">
        <v>0.105222046049132</v>
      </c>
      <c r="U180">
        <v>0.117061756616838</v>
      </c>
      <c r="V180">
        <v>0.11972225108540201</v>
      </c>
      <c r="W180">
        <v>0.122382745553967</v>
      </c>
      <c r="X180">
        <v>0.125043240022531</v>
      </c>
      <c r="Y180">
        <v>0.12770373449109601</v>
      </c>
      <c r="Z180">
        <v>0.13036422895965999</v>
      </c>
      <c r="AA180">
        <v>0.13302472342822499</v>
      </c>
      <c r="AB180">
        <v>0.135685217896789</v>
      </c>
      <c r="AC180">
        <v>0.13834571236535401</v>
      </c>
      <c r="AD180" s="100">
        <v>100</v>
      </c>
    </row>
    <row r="181" spans="1:30" hidden="1" x14ac:dyDescent="0.25">
      <c r="A181" s="57" t="s">
        <v>968</v>
      </c>
      <c r="B181" s="100">
        <v>31</v>
      </c>
      <c r="C181" s="104"/>
      <c r="D181" s="104"/>
      <c r="E181" s="104"/>
      <c r="F181" s="104"/>
      <c r="G181" s="105"/>
      <c r="H181" s="105"/>
      <c r="I181" s="105">
        <v>0.15146908802464801</v>
      </c>
      <c r="J181" s="105">
        <v>0.156202497025419</v>
      </c>
      <c r="K181" s="107">
        <v>0.16093590602618901</v>
      </c>
      <c r="L181" s="107">
        <v>0.165669315026959</v>
      </c>
      <c r="M181" s="107"/>
      <c r="N181" s="107"/>
      <c r="O181" s="108"/>
      <c r="P181" s="108"/>
      <c r="Q181" s="108"/>
      <c r="R181" s="108"/>
      <c r="S181" s="108"/>
      <c r="U181" s="99"/>
      <c r="AD181" s="100">
        <v>100</v>
      </c>
    </row>
    <row r="182" spans="1:30" hidden="1" x14ac:dyDescent="0.25">
      <c r="A182" s="57" t="s">
        <v>968</v>
      </c>
      <c r="B182" s="100">
        <v>32</v>
      </c>
      <c r="I182">
        <v>7.5734544012324198E-2</v>
      </c>
      <c r="J182">
        <v>7.8101248512709304E-2</v>
      </c>
      <c r="K182">
        <v>8.0467953013094395E-2</v>
      </c>
      <c r="L182">
        <v>8.2834657513479598E-2</v>
      </c>
      <c r="M182">
        <v>8.6647118887964503E-2</v>
      </c>
      <c r="N182">
        <v>8.9053983301519105E-2</v>
      </c>
      <c r="O182">
        <v>9.1460847715073595E-2</v>
      </c>
      <c r="P182">
        <v>9.3867712128628197E-2</v>
      </c>
      <c r="Q182">
        <v>9.7880973068960306E-2</v>
      </c>
      <c r="R182">
        <v>0.100327997395684</v>
      </c>
      <c r="S182">
        <v>0.102775021722408</v>
      </c>
      <c r="T182">
        <v>0.105222046049132</v>
      </c>
      <c r="U182">
        <v>0.117061756616838</v>
      </c>
      <c r="V182">
        <v>0.11972225108540201</v>
      </c>
      <c r="W182">
        <v>0.122382745553967</v>
      </c>
      <c r="X182">
        <v>0.125043240022531</v>
      </c>
      <c r="Y182">
        <v>0.12770373449109601</v>
      </c>
      <c r="Z182">
        <v>0.13036422895965999</v>
      </c>
      <c r="AA182">
        <v>0.13302472342822499</v>
      </c>
      <c r="AB182">
        <v>0.135685217896789</v>
      </c>
      <c r="AC182">
        <v>0.13834571236535401</v>
      </c>
      <c r="AD182" s="100">
        <v>100</v>
      </c>
    </row>
    <row r="183" spans="1:30" hidden="1" x14ac:dyDescent="0.25">
      <c r="A183" s="57" t="s">
        <v>972</v>
      </c>
      <c r="B183" s="100">
        <v>31</v>
      </c>
      <c r="C183" s="104"/>
      <c r="D183" s="104"/>
      <c r="E183" s="104"/>
      <c r="F183" s="104"/>
      <c r="G183" s="105"/>
      <c r="H183" s="105"/>
      <c r="I183" s="105"/>
      <c r="J183" s="105"/>
      <c r="K183" s="107">
        <v>0.16093590602618901</v>
      </c>
      <c r="L183" s="107">
        <v>0.165669315026959</v>
      </c>
      <c r="M183" s="107">
        <v>0.17329423777592901</v>
      </c>
      <c r="N183" s="107">
        <v>0.17810796660303799</v>
      </c>
      <c r="O183" s="108">
        <v>0.182921695430147</v>
      </c>
      <c r="P183" s="108">
        <v>0.18773542425725601</v>
      </c>
      <c r="Q183" s="108"/>
      <c r="R183" s="108"/>
      <c r="S183" s="108"/>
      <c r="U183" s="99"/>
      <c r="AD183" s="100">
        <v>100</v>
      </c>
    </row>
    <row r="184" spans="1:30" hidden="1" x14ac:dyDescent="0.25">
      <c r="A184" s="57" t="s">
        <v>972</v>
      </c>
      <c r="B184" s="100">
        <v>32</v>
      </c>
      <c r="K184">
        <v>0.16093590602618901</v>
      </c>
      <c r="L184">
        <v>0.165669315026959</v>
      </c>
      <c r="M184">
        <v>0.17329423777592901</v>
      </c>
      <c r="N184">
        <v>0.17810796660303799</v>
      </c>
      <c r="O184">
        <v>0.182921695430147</v>
      </c>
      <c r="P184">
        <v>0.18773542425725601</v>
      </c>
      <c r="AD184" s="100">
        <v>100</v>
      </c>
    </row>
    <row r="185" spans="1:30" hidden="1" x14ac:dyDescent="0.25">
      <c r="A185" s="57" t="s">
        <v>975</v>
      </c>
      <c r="B185" s="100">
        <v>31</v>
      </c>
      <c r="C185" s="104"/>
      <c r="D185" s="104"/>
      <c r="E185" s="104"/>
      <c r="F185" s="104"/>
      <c r="G185" s="105"/>
      <c r="H185" s="105"/>
      <c r="I185" s="105"/>
      <c r="J185" s="105"/>
      <c r="K185" s="107"/>
      <c r="L185" s="107"/>
      <c r="M185" s="107">
        <v>0.17329423777592901</v>
      </c>
      <c r="N185" s="107">
        <v>0.17810796660303799</v>
      </c>
      <c r="O185" s="108">
        <v>0.182921695430147</v>
      </c>
      <c r="P185" s="108">
        <v>0.18773542425725601</v>
      </c>
      <c r="Q185" s="108">
        <v>0.195761946137921</v>
      </c>
      <c r="R185" s="108">
        <v>0.200655994791369</v>
      </c>
      <c r="S185" s="108">
        <v>0.205550043444817</v>
      </c>
      <c r="T185">
        <v>0.21044409209826501</v>
      </c>
      <c r="U185" s="99"/>
      <c r="AD185" s="100">
        <v>100</v>
      </c>
    </row>
    <row r="186" spans="1:30" hidden="1" x14ac:dyDescent="0.25">
      <c r="A186" s="57" t="s">
        <v>975</v>
      </c>
      <c r="B186" s="100">
        <v>32</v>
      </c>
      <c r="M186">
        <v>0.17329423777592901</v>
      </c>
      <c r="N186">
        <v>0.17810796660303799</v>
      </c>
      <c r="O186">
        <v>0.182921695430147</v>
      </c>
      <c r="P186">
        <v>0.18773542425725601</v>
      </c>
      <c r="Q186">
        <v>0.195761946137921</v>
      </c>
      <c r="R186">
        <v>0.200655994791369</v>
      </c>
      <c r="S186">
        <v>0.205550043444817</v>
      </c>
      <c r="T186">
        <v>0.21044409209826501</v>
      </c>
      <c r="AD186" s="100">
        <v>100</v>
      </c>
    </row>
    <row r="187" spans="1:30" hidden="1" x14ac:dyDescent="0.25">
      <c r="A187" s="57" t="s">
        <v>127</v>
      </c>
      <c r="B187" s="100">
        <v>31</v>
      </c>
      <c r="C187" s="104"/>
      <c r="D187" s="104"/>
      <c r="E187" s="104"/>
      <c r="F187" s="104"/>
      <c r="G187" s="105"/>
      <c r="H187" s="105"/>
      <c r="I187" s="105">
        <v>7.5734544012324198E-2</v>
      </c>
      <c r="J187" s="105">
        <v>7.8101248512709304E-2</v>
      </c>
      <c r="K187" s="107">
        <v>8.0467953013094395E-2</v>
      </c>
      <c r="L187" s="107">
        <v>8.2834657513479598E-2</v>
      </c>
      <c r="M187" s="107">
        <v>8.6647118887964503E-2</v>
      </c>
      <c r="N187" s="107">
        <v>8.9053983301519105E-2</v>
      </c>
      <c r="O187" s="108">
        <v>9.1460847715073595E-2</v>
      </c>
      <c r="P187" s="108">
        <v>9.3867712128628197E-2</v>
      </c>
      <c r="Q187" s="108">
        <v>9.7880973068960306E-2</v>
      </c>
      <c r="R187" s="108">
        <v>0.100327997395684</v>
      </c>
      <c r="S187" s="108">
        <v>0.102775021722408</v>
      </c>
      <c r="T187">
        <v>0.105222046049132</v>
      </c>
      <c r="U187" s="99">
        <v>0.117061756616838</v>
      </c>
      <c r="V187">
        <v>0.11972225108540201</v>
      </c>
      <c r="W187">
        <v>0.122382745553967</v>
      </c>
      <c r="X187">
        <v>0.125043240022531</v>
      </c>
      <c r="Y187">
        <v>0.12770373449109601</v>
      </c>
      <c r="Z187">
        <v>0.13036422895965999</v>
      </c>
      <c r="AA187">
        <v>0.13302472342822499</v>
      </c>
      <c r="AB187">
        <v>0.135685217896789</v>
      </c>
      <c r="AC187">
        <v>0.13834571236535401</v>
      </c>
      <c r="AD187" s="100">
        <v>100</v>
      </c>
    </row>
    <row r="188" spans="1:30" hidden="1" x14ac:dyDescent="0.25">
      <c r="A188" s="57" t="s">
        <v>127</v>
      </c>
      <c r="B188" s="100">
        <v>32</v>
      </c>
      <c r="C188" s="104"/>
      <c r="D188" s="104"/>
      <c r="E188" s="104"/>
      <c r="F188" s="104"/>
      <c r="G188" s="105"/>
      <c r="H188" s="105"/>
      <c r="I188" s="105">
        <v>7.5734544012324198E-2</v>
      </c>
      <c r="J188" s="105">
        <v>7.8101248512709304E-2</v>
      </c>
      <c r="K188" s="107">
        <v>8.0467953013094395E-2</v>
      </c>
      <c r="L188" s="107">
        <v>8.2834657513479598E-2</v>
      </c>
      <c r="M188" s="107">
        <v>8.6647118887964503E-2</v>
      </c>
      <c r="N188" s="107">
        <v>8.9053983301519105E-2</v>
      </c>
      <c r="O188" s="108">
        <v>9.1460847715073595E-2</v>
      </c>
      <c r="P188" s="108">
        <v>9.3867712128628197E-2</v>
      </c>
      <c r="Q188" s="108">
        <v>9.7880973068960306E-2</v>
      </c>
      <c r="R188" s="108">
        <v>0.100327997395684</v>
      </c>
      <c r="S188" s="108">
        <v>0.102775021722408</v>
      </c>
      <c r="T188">
        <v>0.105222046049132</v>
      </c>
      <c r="U188" s="99">
        <v>0.117061756616838</v>
      </c>
      <c r="V188">
        <v>0.11972225108540201</v>
      </c>
      <c r="W188">
        <v>0.122382745553967</v>
      </c>
      <c r="X188">
        <v>0.125043240022531</v>
      </c>
      <c r="Y188">
        <v>0.12770373449109601</v>
      </c>
      <c r="Z188">
        <v>0.13036422895965999</v>
      </c>
      <c r="AA188">
        <v>0.13302472342822499</v>
      </c>
      <c r="AB188">
        <v>0.135685217896789</v>
      </c>
      <c r="AC188">
        <v>0.13834571236535401</v>
      </c>
      <c r="AD188" s="100">
        <v>100</v>
      </c>
    </row>
    <row r="189" spans="1:30" hidden="1" x14ac:dyDescent="0.25">
      <c r="A189" s="57" t="s">
        <v>237</v>
      </c>
      <c r="B189" s="100">
        <v>31</v>
      </c>
      <c r="C189" s="104"/>
      <c r="D189" s="104"/>
      <c r="E189" s="104"/>
      <c r="F189" s="104"/>
      <c r="G189" s="105"/>
      <c r="H189" s="105"/>
      <c r="I189" s="105">
        <v>7.5734544012324198E-2</v>
      </c>
      <c r="J189" s="105">
        <v>7.8101248512709304E-2</v>
      </c>
      <c r="K189" s="107">
        <v>8.0467953013094395E-2</v>
      </c>
      <c r="L189" s="107">
        <v>8.2834657513479598E-2</v>
      </c>
      <c r="M189" s="107">
        <v>8.6647118887964503E-2</v>
      </c>
      <c r="N189" s="107">
        <v>8.9053983301519105E-2</v>
      </c>
      <c r="O189" s="108">
        <v>9.1460847715073595E-2</v>
      </c>
      <c r="P189" s="108">
        <v>9.3867712128628197E-2</v>
      </c>
      <c r="Q189" s="108">
        <v>9.7880973068960306E-2</v>
      </c>
      <c r="R189" s="108">
        <v>0.100327997395684</v>
      </c>
      <c r="S189" s="108">
        <v>0.102775021722408</v>
      </c>
      <c r="T189">
        <v>0.105222046049132</v>
      </c>
      <c r="U189" s="99">
        <v>0.117061756616838</v>
      </c>
      <c r="V189">
        <v>0.11972225108540201</v>
      </c>
      <c r="W189">
        <v>0.122382745553967</v>
      </c>
      <c r="X189">
        <v>0.125043240022531</v>
      </c>
      <c r="Y189">
        <v>0.12770373449109601</v>
      </c>
      <c r="Z189">
        <v>0.13036422895965999</v>
      </c>
      <c r="AA189">
        <v>0.13302472342822499</v>
      </c>
      <c r="AB189">
        <v>0.135685217896789</v>
      </c>
      <c r="AC189">
        <v>0.13834571236535401</v>
      </c>
      <c r="AD189" s="100">
        <v>100</v>
      </c>
    </row>
    <row r="190" spans="1:30" hidden="1" x14ac:dyDescent="0.25">
      <c r="A190" s="57" t="s">
        <v>237</v>
      </c>
      <c r="B190" s="100">
        <v>32</v>
      </c>
      <c r="C190" s="104"/>
      <c r="D190" s="104"/>
      <c r="E190" s="104"/>
      <c r="F190" s="104"/>
      <c r="G190" s="105"/>
      <c r="H190" s="105"/>
      <c r="I190" s="105">
        <v>7.5734544012324198E-2</v>
      </c>
      <c r="J190" s="105">
        <v>7.8101248512709304E-2</v>
      </c>
      <c r="K190" s="107">
        <v>8.0467953013094395E-2</v>
      </c>
      <c r="L190" s="107">
        <v>8.2834657513479598E-2</v>
      </c>
      <c r="M190" s="107">
        <v>8.6647118887964503E-2</v>
      </c>
      <c r="N190" s="107">
        <v>8.9053983301519105E-2</v>
      </c>
      <c r="O190" s="108">
        <v>9.1460847715073595E-2</v>
      </c>
      <c r="P190" s="108">
        <v>9.3867712128628197E-2</v>
      </c>
      <c r="Q190" s="108">
        <v>9.7880973068960306E-2</v>
      </c>
      <c r="R190" s="108">
        <v>0.100327997395684</v>
      </c>
      <c r="S190" s="108">
        <v>0.102775021722408</v>
      </c>
      <c r="T190">
        <v>0.105222046049132</v>
      </c>
      <c r="U190" s="99">
        <v>0.117061756616838</v>
      </c>
      <c r="V190">
        <v>0.11972225108540201</v>
      </c>
      <c r="W190">
        <v>0.122382745553967</v>
      </c>
      <c r="X190">
        <v>0.125043240022531</v>
      </c>
      <c r="Y190">
        <v>0.12770373449109601</v>
      </c>
      <c r="Z190">
        <v>0.13036422895965999</v>
      </c>
      <c r="AA190">
        <v>0.13302472342822499</v>
      </c>
      <c r="AB190">
        <v>0.135685217896789</v>
      </c>
      <c r="AC190">
        <v>0.13834571236535401</v>
      </c>
      <c r="AD190" s="100">
        <v>100</v>
      </c>
    </row>
    <row r="191" spans="1:30" hidden="1" x14ac:dyDescent="0.25">
      <c r="A191" s="57" t="s">
        <v>982</v>
      </c>
      <c r="B191" s="100">
        <v>31</v>
      </c>
      <c r="C191" s="104"/>
      <c r="D191" s="104"/>
      <c r="E191" s="104"/>
      <c r="F191" s="104"/>
      <c r="G191" s="105"/>
      <c r="H191" s="105"/>
      <c r="I191" s="105">
        <v>7.5734544012324198E-2</v>
      </c>
      <c r="J191" s="105">
        <v>7.8101248512709304E-2</v>
      </c>
      <c r="K191" s="107">
        <v>8.0467953013094395E-2</v>
      </c>
      <c r="L191" s="107">
        <v>8.2834657513479598E-2</v>
      </c>
      <c r="M191" s="107">
        <v>8.6647118887964503E-2</v>
      </c>
      <c r="N191" s="107">
        <v>8.9053983301519105E-2</v>
      </c>
      <c r="O191" s="108">
        <v>9.1460847715073595E-2</v>
      </c>
      <c r="P191" s="108">
        <v>9.3867712128628197E-2</v>
      </c>
      <c r="Q191" s="108">
        <v>9.7880973068960306E-2</v>
      </c>
      <c r="R191" s="108">
        <v>0.100327997395684</v>
      </c>
      <c r="S191" s="108">
        <v>0.102775021722408</v>
      </c>
      <c r="T191">
        <v>0.105222046049132</v>
      </c>
      <c r="U191" s="99">
        <v>0.117061756616838</v>
      </c>
      <c r="V191">
        <v>0.11972225108540201</v>
      </c>
      <c r="W191">
        <v>0.122382745553967</v>
      </c>
      <c r="X191">
        <v>0.125043240022531</v>
      </c>
      <c r="Y191">
        <v>0.12770373449109601</v>
      </c>
      <c r="Z191">
        <v>0.13036422895965999</v>
      </c>
      <c r="AA191">
        <v>0.13302472342822499</v>
      </c>
      <c r="AB191">
        <v>0.135685217896789</v>
      </c>
      <c r="AC191">
        <v>0.13834571236535401</v>
      </c>
      <c r="AD191" s="100">
        <v>100</v>
      </c>
    </row>
    <row r="192" spans="1:30" hidden="1" x14ac:dyDescent="0.25">
      <c r="A192" s="57" t="s">
        <v>982</v>
      </c>
      <c r="B192" s="100">
        <v>32</v>
      </c>
      <c r="C192" s="104"/>
      <c r="D192" s="104"/>
      <c r="E192" s="104"/>
      <c r="F192" s="104"/>
      <c r="G192" s="105"/>
      <c r="H192" s="105"/>
      <c r="I192" s="105">
        <v>7.5734544012324198E-2</v>
      </c>
      <c r="J192" s="105">
        <v>7.8101248512709304E-2</v>
      </c>
      <c r="K192" s="107">
        <v>8.0467953013094395E-2</v>
      </c>
      <c r="L192" s="107">
        <v>8.2834657513479598E-2</v>
      </c>
      <c r="M192" s="107">
        <v>8.6647118887964503E-2</v>
      </c>
      <c r="N192" s="107">
        <v>8.9053983301519105E-2</v>
      </c>
      <c r="O192" s="108">
        <v>9.1460847715073595E-2</v>
      </c>
      <c r="P192" s="108">
        <v>9.3867712128628197E-2</v>
      </c>
      <c r="Q192" s="108">
        <v>9.7880973068960306E-2</v>
      </c>
      <c r="R192" s="108">
        <v>0.100327997395684</v>
      </c>
      <c r="S192" s="108">
        <v>0.102775021722408</v>
      </c>
      <c r="T192">
        <v>0.105222046049132</v>
      </c>
      <c r="U192" s="99">
        <v>0.117061756616838</v>
      </c>
      <c r="V192">
        <v>0.11972225108540201</v>
      </c>
      <c r="W192">
        <v>0.122382745553967</v>
      </c>
      <c r="X192">
        <v>0.125043240022531</v>
      </c>
      <c r="Y192">
        <v>0.12770373449109601</v>
      </c>
      <c r="Z192">
        <v>0.13036422895965999</v>
      </c>
      <c r="AA192">
        <v>0.13302472342822499</v>
      </c>
      <c r="AB192">
        <v>0.135685217896789</v>
      </c>
      <c r="AC192">
        <v>0.13834571236535401</v>
      </c>
      <c r="AD192" s="100">
        <v>100</v>
      </c>
    </row>
    <row r="193" spans="1:30" hidden="1" x14ac:dyDescent="0.25">
      <c r="A193" s="57" t="s">
        <v>985</v>
      </c>
      <c r="B193" s="100">
        <v>31</v>
      </c>
      <c r="C193" s="104"/>
      <c r="D193" s="104"/>
      <c r="E193" s="104"/>
      <c r="F193" s="104"/>
      <c r="G193" s="105"/>
      <c r="H193" s="105"/>
      <c r="I193" s="105">
        <v>7.5734544012324198E-2</v>
      </c>
      <c r="J193" s="105">
        <v>7.8101248512709304E-2</v>
      </c>
      <c r="K193" s="107">
        <v>8.0467953013094395E-2</v>
      </c>
      <c r="L193" s="107">
        <v>8.2834657513479598E-2</v>
      </c>
      <c r="M193" s="107">
        <v>8.6647118887964503E-2</v>
      </c>
      <c r="N193" s="107">
        <v>8.9053983301519105E-2</v>
      </c>
      <c r="O193" s="108">
        <v>9.1460847715073595E-2</v>
      </c>
      <c r="P193" s="108">
        <v>9.3867712128628197E-2</v>
      </c>
      <c r="Q193" s="108">
        <v>9.7880973068960306E-2</v>
      </c>
      <c r="R193" s="108">
        <v>0.100327997395684</v>
      </c>
      <c r="S193" s="108">
        <v>0.102775021722408</v>
      </c>
      <c r="T193">
        <v>0.105222046049132</v>
      </c>
      <c r="U193" s="99">
        <v>0.117061756616838</v>
      </c>
      <c r="V193">
        <v>0.11972225108540201</v>
      </c>
      <c r="W193">
        <v>0.122382745553967</v>
      </c>
      <c r="X193">
        <v>0.125043240022531</v>
      </c>
      <c r="Y193">
        <v>0.12770373449109601</v>
      </c>
      <c r="Z193">
        <v>0.13036422895965999</v>
      </c>
      <c r="AA193">
        <v>0.13302472342822499</v>
      </c>
      <c r="AB193">
        <v>0.135685217896789</v>
      </c>
      <c r="AC193">
        <v>0.13834571236535401</v>
      </c>
      <c r="AD193" s="100">
        <v>100</v>
      </c>
    </row>
    <row r="194" spans="1:30" hidden="1" x14ac:dyDescent="0.25">
      <c r="A194" s="57" t="s">
        <v>985</v>
      </c>
      <c r="B194" s="100">
        <v>32</v>
      </c>
      <c r="C194" s="104"/>
      <c r="D194" s="104"/>
      <c r="E194" s="104"/>
      <c r="F194" s="104"/>
      <c r="G194" s="105"/>
      <c r="H194" s="105"/>
      <c r="I194" s="105">
        <v>7.5734544012324198E-2</v>
      </c>
      <c r="J194" s="105">
        <v>7.8101248512709304E-2</v>
      </c>
      <c r="K194" s="107">
        <v>8.0467953013094395E-2</v>
      </c>
      <c r="L194" s="107">
        <v>8.2834657513479598E-2</v>
      </c>
      <c r="M194" s="107">
        <v>8.6647118887964503E-2</v>
      </c>
      <c r="N194" s="107">
        <v>8.9053983301519105E-2</v>
      </c>
      <c r="O194" s="108">
        <v>9.1460847715073595E-2</v>
      </c>
      <c r="P194" s="108">
        <v>9.3867712128628197E-2</v>
      </c>
      <c r="Q194" s="108">
        <v>9.7880973068960306E-2</v>
      </c>
      <c r="R194" s="108">
        <v>0.100327997395684</v>
      </c>
      <c r="S194" s="108">
        <v>0.102775021722408</v>
      </c>
      <c r="T194">
        <v>0.105222046049132</v>
      </c>
      <c r="U194" s="99">
        <v>0.117061756616838</v>
      </c>
      <c r="V194">
        <v>0.11972225108540201</v>
      </c>
      <c r="W194">
        <v>0.122382745553967</v>
      </c>
      <c r="X194">
        <v>0.125043240022531</v>
      </c>
      <c r="Y194">
        <v>0.12770373449109601</v>
      </c>
      <c r="Z194">
        <v>0.13036422895965999</v>
      </c>
      <c r="AA194">
        <v>0.13302472342822499</v>
      </c>
      <c r="AB194">
        <v>0.135685217896789</v>
      </c>
      <c r="AC194">
        <v>0.13834571236535401</v>
      </c>
      <c r="AD194" s="100">
        <v>100</v>
      </c>
    </row>
    <row r="195" spans="1:30" hidden="1" x14ac:dyDescent="0.25">
      <c r="A195" s="57" t="s">
        <v>128</v>
      </c>
      <c r="B195" s="100">
        <v>31</v>
      </c>
      <c r="C195" s="104"/>
      <c r="D195" s="104"/>
      <c r="E195" s="104"/>
      <c r="F195" s="104"/>
      <c r="G195" s="105"/>
      <c r="H195" s="105"/>
      <c r="I195" s="105">
        <v>7.5734544012324198E-2</v>
      </c>
      <c r="J195" s="105">
        <v>7.8101248512709304E-2</v>
      </c>
      <c r="K195" s="107">
        <v>8.0467953013094395E-2</v>
      </c>
      <c r="L195" s="107">
        <v>8.2834657513479598E-2</v>
      </c>
      <c r="M195" s="107">
        <v>8.6647118887964503E-2</v>
      </c>
      <c r="N195" s="107">
        <v>8.9053983301519105E-2</v>
      </c>
      <c r="O195" s="108">
        <v>9.1460847715073595E-2</v>
      </c>
      <c r="P195" s="108">
        <v>9.3867712128628197E-2</v>
      </c>
      <c r="Q195" s="108">
        <v>9.7880973068960306E-2</v>
      </c>
      <c r="R195" s="108">
        <v>0.100327997395684</v>
      </c>
      <c r="S195" s="108">
        <v>0.102775021722408</v>
      </c>
      <c r="T195">
        <v>0.105222046049132</v>
      </c>
      <c r="U195" s="99">
        <v>0.117061756616838</v>
      </c>
      <c r="V195">
        <v>0.11972225108540201</v>
      </c>
      <c r="W195">
        <v>0.122382745553967</v>
      </c>
      <c r="X195">
        <v>0.125043240022531</v>
      </c>
      <c r="Y195">
        <v>0.12770373449109601</v>
      </c>
      <c r="Z195">
        <v>0.13036422895965999</v>
      </c>
      <c r="AA195">
        <v>0.13302472342822499</v>
      </c>
      <c r="AB195">
        <v>0.135685217896789</v>
      </c>
      <c r="AC195">
        <v>0.13834571236535401</v>
      </c>
      <c r="AD195" s="100">
        <v>100</v>
      </c>
    </row>
    <row r="196" spans="1:30" hidden="1" x14ac:dyDescent="0.25">
      <c r="A196" s="57" t="s">
        <v>128</v>
      </c>
      <c r="B196" s="100">
        <v>32</v>
      </c>
      <c r="C196" s="104"/>
      <c r="D196" s="104"/>
      <c r="E196" s="104"/>
      <c r="F196" s="104"/>
      <c r="G196" s="105"/>
      <c r="H196" s="105"/>
      <c r="I196" s="105">
        <v>7.5734544012324198E-2</v>
      </c>
      <c r="J196" s="105">
        <v>7.8101248512709304E-2</v>
      </c>
      <c r="K196" s="107">
        <v>8.0467953013094395E-2</v>
      </c>
      <c r="L196" s="107">
        <v>8.2834657513479598E-2</v>
      </c>
      <c r="M196" s="107">
        <v>8.6647118887964503E-2</v>
      </c>
      <c r="N196" s="107">
        <v>8.9053983301519105E-2</v>
      </c>
      <c r="O196" s="108">
        <v>9.1460847715073595E-2</v>
      </c>
      <c r="P196" s="108">
        <v>9.3867712128628197E-2</v>
      </c>
      <c r="Q196" s="108">
        <v>9.7880973068960306E-2</v>
      </c>
      <c r="R196" s="108">
        <v>0.100327997395684</v>
      </c>
      <c r="S196" s="108">
        <v>0.102775021722408</v>
      </c>
      <c r="T196">
        <v>0.105222046049132</v>
      </c>
      <c r="U196" s="99">
        <v>0.117061756616838</v>
      </c>
      <c r="V196">
        <v>0.11972225108540201</v>
      </c>
      <c r="W196">
        <v>0.122382745553967</v>
      </c>
      <c r="X196">
        <v>0.125043240022531</v>
      </c>
      <c r="Y196">
        <v>0.12770373449109601</v>
      </c>
      <c r="Z196">
        <v>0.13036422895965999</v>
      </c>
      <c r="AA196">
        <v>0.13302472342822499</v>
      </c>
      <c r="AB196">
        <v>0.135685217896789</v>
      </c>
      <c r="AC196">
        <v>0.13834571236535401</v>
      </c>
      <c r="AD196" s="100">
        <v>100</v>
      </c>
    </row>
    <row r="197" spans="1:30" hidden="1" x14ac:dyDescent="0.25">
      <c r="A197" s="57" t="s">
        <v>238</v>
      </c>
      <c r="B197" s="100">
        <v>31</v>
      </c>
      <c r="C197" s="104"/>
      <c r="D197" s="104"/>
      <c r="E197" s="104"/>
      <c r="F197" s="104"/>
      <c r="G197" s="105"/>
      <c r="H197" s="105"/>
      <c r="I197" s="105">
        <v>7.5734544012324198E-2</v>
      </c>
      <c r="J197" s="105">
        <v>7.8101248512709304E-2</v>
      </c>
      <c r="K197" s="107">
        <v>8.0467953013094395E-2</v>
      </c>
      <c r="L197" s="107">
        <v>8.2834657513479598E-2</v>
      </c>
      <c r="M197" s="107">
        <v>8.6647118887964503E-2</v>
      </c>
      <c r="N197" s="107">
        <v>8.9053983301519105E-2</v>
      </c>
      <c r="O197" s="108">
        <v>9.1460847715073595E-2</v>
      </c>
      <c r="P197" s="108">
        <v>9.3867712128628197E-2</v>
      </c>
      <c r="Q197" s="108">
        <v>9.7880973068960306E-2</v>
      </c>
      <c r="R197" s="108">
        <v>0.100327997395684</v>
      </c>
      <c r="S197" s="108">
        <v>0.102775021722408</v>
      </c>
      <c r="T197">
        <v>0.105222046049132</v>
      </c>
      <c r="U197" s="99">
        <v>0.117061756616838</v>
      </c>
      <c r="V197">
        <v>0.11972225108540201</v>
      </c>
      <c r="W197">
        <v>0.122382745553967</v>
      </c>
      <c r="X197">
        <v>0.125043240022531</v>
      </c>
      <c r="Y197">
        <v>0.12770373449109601</v>
      </c>
      <c r="Z197">
        <v>0.13036422895965999</v>
      </c>
      <c r="AA197">
        <v>0.13302472342822499</v>
      </c>
      <c r="AB197">
        <v>0.135685217896789</v>
      </c>
      <c r="AC197">
        <v>0.13834571236535401</v>
      </c>
      <c r="AD197" s="100">
        <v>100</v>
      </c>
    </row>
    <row r="198" spans="1:30" hidden="1" x14ac:dyDescent="0.25">
      <c r="A198" s="57" t="s">
        <v>238</v>
      </c>
      <c r="B198" s="100">
        <v>32</v>
      </c>
      <c r="C198" s="104"/>
      <c r="D198" s="104"/>
      <c r="E198" s="104"/>
      <c r="F198" s="104"/>
      <c r="G198" s="105"/>
      <c r="H198" s="105"/>
      <c r="I198" s="105">
        <v>7.5734544012324198E-2</v>
      </c>
      <c r="J198" s="105">
        <v>7.8101248512709304E-2</v>
      </c>
      <c r="K198" s="107">
        <v>8.0467953013094395E-2</v>
      </c>
      <c r="L198" s="107">
        <v>8.2834657513479598E-2</v>
      </c>
      <c r="M198" s="107">
        <v>8.6647118887964503E-2</v>
      </c>
      <c r="N198" s="107">
        <v>8.9053983301519105E-2</v>
      </c>
      <c r="O198" s="108">
        <v>9.1460847715073595E-2</v>
      </c>
      <c r="P198" s="108">
        <v>9.3867712128628197E-2</v>
      </c>
      <c r="Q198" s="108">
        <v>9.7880973068960306E-2</v>
      </c>
      <c r="R198" s="108">
        <v>0.100327997395684</v>
      </c>
      <c r="S198" s="108">
        <v>0.102775021722408</v>
      </c>
      <c r="T198">
        <v>0.105222046049132</v>
      </c>
      <c r="U198" s="99">
        <v>0.117061756616838</v>
      </c>
      <c r="V198">
        <v>0.11972225108540201</v>
      </c>
      <c r="W198">
        <v>0.122382745553967</v>
      </c>
      <c r="X198">
        <v>0.125043240022531</v>
      </c>
      <c r="Y198">
        <v>0.12770373449109601</v>
      </c>
      <c r="Z198">
        <v>0.13036422895965999</v>
      </c>
      <c r="AA198">
        <v>0.13302472342822499</v>
      </c>
      <c r="AB198">
        <v>0.135685217896789</v>
      </c>
      <c r="AC198">
        <v>0.13834571236535401</v>
      </c>
      <c r="AD198" s="100">
        <v>100</v>
      </c>
    </row>
    <row r="199" spans="1:30" hidden="1" x14ac:dyDescent="0.25">
      <c r="A199" s="57" t="s">
        <v>239</v>
      </c>
      <c r="B199" s="100">
        <v>33</v>
      </c>
      <c r="I199">
        <v>0.126768483571189</v>
      </c>
      <c r="J199">
        <v>0.13072999868278801</v>
      </c>
      <c r="K199">
        <v>0.13469151379438801</v>
      </c>
      <c r="L199">
        <v>0.13865302890598799</v>
      </c>
      <c r="M199">
        <v>0.14309249871369301</v>
      </c>
      <c r="N199">
        <v>0.14706729034462901</v>
      </c>
      <c r="O199">
        <v>0.15104208197556501</v>
      </c>
      <c r="P199">
        <v>0.15501687360650099</v>
      </c>
      <c r="Q199">
        <v>0.15952272601088699</v>
      </c>
      <c r="R199">
        <v>0.16351079416115899</v>
      </c>
      <c r="S199">
        <v>0.16749886231143199</v>
      </c>
      <c r="T199">
        <v>0.17148693046170399</v>
      </c>
      <c r="U199">
        <v>0.18453813348186299</v>
      </c>
      <c r="V199">
        <v>0.18873218197008701</v>
      </c>
      <c r="W199">
        <v>0.192926230458312</v>
      </c>
      <c r="X199">
        <v>0.197120278946536</v>
      </c>
      <c r="Y199">
        <v>0.20131432743475999</v>
      </c>
      <c r="Z199">
        <v>0.20550837592298399</v>
      </c>
      <c r="AA199">
        <v>0.20970242441120801</v>
      </c>
      <c r="AB199">
        <v>0.21389647289943201</v>
      </c>
      <c r="AC199">
        <v>0.218090521387656</v>
      </c>
      <c r="AD199" s="100">
        <v>100</v>
      </c>
    </row>
    <row r="200" spans="1:30" hidden="1" x14ac:dyDescent="0.25">
      <c r="A200" s="57" t="s">
        <v>129</v>
      </c>
      <c r="B200" s="100">
        <v>31</v>
      </c>
      <c r="C200" s="104"/>
      <c r="D200" s="104"/>
      <c r="E200" s="104"/>
      <c r="F200" s="104"/>
      <c r="G200" s="105"/>
      <c r="H200" s="105"/>
      <c r="I200" s="105">
        <v>7.5734544012324198E-2</v>
      </c>
      <c r="J200" s="105">
        <v>7.8101248512709304E-2</v>
      </c>
      <c r="K200" s="107">
        <v>8.0467953013094395E-2</v>
      </c>
      <c r="L200" s="107">
        <v>8.2834657513479598E-2</v>
      </c>
      <c r="M200" s="107">
        <v>8.6647118887964503E-2</v>
      </c>
      <c r="N200" s="107">
        <v>8.9053983301519105E-2</v>
      </c>
      <c r="O200" s="108">
        <v>9.1460847715073595E-2</v>
      </c>
      <c r="P200" s="108">
        <v>9.3867712128628197E-2</v>
      </c>
      <c r="Q200" s="108">
        <v>9.7880973068960306E-2</v>
      </c>
      <c r="R200" s="108">
        <v>0.100327997395684</v>
      </c>
      <c r="S200" s="108">
        <v>0.102775021722408</v>
      </c>
      <c r="T200">
        <v>0.105222046049132</v>
      </c>
      <c r="U200" s="99">
        <v>0.117061756616838</v>
      </c>
      <c r="V200">
        <v>0.11972225108540201</v>
      </c>
      <c r="W200">
        <v>0.122382745553967</v>
      </c>
      <c r="X200">
        <v>0.125043240022531</v>
      </c>
      <c r="Y200">
        <v>0.12770373449109601</v>
      </c>
      <c r="Z200">
        <v>0.13036422895965999</v>
      </c>
      <c r="AA200">
        <v>0.13302472342822499</v>
      </c>
      <c r="AB200">
        <v>0.135685217896789</v>
      </c>
      <c r="AC200">
        <v>0.13834571236535401</v>
      </c>
      <c r="AD200" s="100">
        <v>100</v>
      </c>
    </row>
    <row r="201" spans="1:30" hidden="1" x14ac:dyDescent="0.25">
      <c r="A201" s="57" t="s">
        <v>129</v>
      </c>
      <c r="B201" s="100">
        <v>32</v>
      </c>
      <c r="C201" s="104"/>
      <c r="D201" s="104"/>
      <c r="E201" s="104"/>
      <c r="F201" s="104"/>
      <c r="G201" s="105"/>
      <c r="H201" s="105"/>
      <c r="I201" s="105">
        <v>7.5734544012324198E-2</v>
      </c>
      <c r="J201" s="105">
        <v>7.8101248512709304E-2</v>
      </c>
      <c r="K201" s="107">
        <v>8.0467953013094395E-2</v>
      </c>
      <c r="L201" s="107">
        <v>8.2834657513479598E-2</v>
      </c>
      <c r="M201" s="107">
        <v>8.6647118887964503E-2</v>
      </c>
      <c r="N201" s="107">
        <v>8.9053983301519105E-2</v>
      </c>
      <c r="O201" s="108">
        <v>9.1460847715073595E-2</v>
      </c>
      <c r="P201" s="108">
        <v>9.3867712128628197E-2</v>
      </c>
      <c r="Q201" s="108">
        <v>9.7880973068960306E-2</v>
      </c>
      <c r="R201" s="108">
        <v>0.100327997395684</v>
      </c>
      <c r="S201" s="108">
        <v>0.102775021722408</v>
      </c>
      <c r="T201">
        <v>0.105222046049132</v>
      </c>
      <c r="U201" s="99">
        <v>0.117061756616838</v>
      </c>
      <c r="V201">
        <v>0.11972225108540201</v>
      </c>
      <c r="W201">
        <v>0.122382745553967</v>
      </c>
      <c r="X201">
        <v>0.125043240022531</v>
      </c>
      <c r="Y201">
        <v>0.12770373449109601</v>
      </c>
      <c r="Z201">
        <v>0.13036422895965999</v>
      </c>
      <c r="AA201">
        <v>0.13302472342822499</v>
      </c>
      <c r="AB201">
        <v>0.135685217896789</v>
      </c>
      <c r="AC201">
        <v>0.13834571236535401</v>
      </c>
      <c r="AD201" s="100">
        <v>100</v>
      </c>
    </row>
    <row r="202" spans="1:30" hidden="1" x14ac:dyDescent="0.25">
      <c r="A202" t="s">
        <v>998</v>
      </c>
      <c r="B202" s="70">
        <v>4</v>
      </c>
      <c r="C202" s="104"/>
      <c r="D202" s="104"/>
      <c r="E202" s="104"/>
      <c r="F202" s="104"/>
      <c r="G202" s="105"/>
      <c r="H202" s="105"/>
      <c r="I202" s="105"/>
      <c r="J202" s="105"/>
      <c r="K202" s="107"/>
      <c r="L202" s="107"/>
      <c r="M202" s="107"/>
      <c r="N202" s="107">
        <v>1.24875</v>
      </c>
      <c r="O202" s="108">
        <v>1.2825</v>
      </c>
      <c r="P202" s="108">
        <v>1.3162499999999999</v>
      </c>
      <c r="Q202" s="108">
        <v>1.35</v>
      </c>
      <c r="R202" s="108"/>
      <c r="S202" s="108"/>
      <c r="U202" s="39"/>
      <c r="AD202" s="100">
        <v>100</v>
      </c>
    </row>
    <row r="203" spans="1:30" hidden="1" x14ac:dyDescent="0.25">
      <c r="A203" s="99" t="s">
        <v>240</v>
      </c>
      <c r="B203" s="100">
        <v>4</v>
      </c>
      <c r="C203" s="104"/>
      <c r="D203" s="104"/>
      <c r="E203" s="104"/>
      <c r="F203" s="104"/>
      <c r="G203" s="105"/>
      <c r="H203" s="105"/>
      <c r="I203" s="105">
        <v>0.18350575838220001</v>
      </c>
      <c r="J203" s="105">
        <v>0.18924031333164401</v>
      </c>
      <c r="K203" s="107">
        <v>0.19497486828108701</v>
      </c>
      <c r="L203" s="107">
        <v>0.20070942323053101</v>
      </c>
      <c r="M203" s="107">
        <v>0.20644397817997501</v>
      </c>
      <c r="N203" s="107">
        <v>0.21217853312941901</v>
      </c>
      <c r="O203" s="108">
        <v>0.21791308807886201</v>
      </c>
      <c r="P203" s="108">
        <v>0.223647643028306</v>
      </c>
      <c r="Q203" s="108">
        <v>0.234691098988875</v>
      </c>
      <c r="R203" s="108">
        <v>0.24055837646359701</v>
      </c>
      <c r="S203" s="108">
        <v>0.246425653938319</v>
      </c>
      <c r="T203">
        <v>0.25229293141304099</v>
      </c>
      <c r="U203" s="39">
        <v>0.25816020888776198</v>
      </c>
      <c r="AD203" s="100">
        <v>100</v>
      </c>
    </row>
    <row r="204" spans="1:30" hidden="1" x14ac:dyDescent="0.25">
      <c r="A204" s="99" t="s">
        <v>130</v>
      </c>
      <c r="B204" s="100">
        <v>4</v>
      </c>
      <c r="C204" s="104"/>
      <c r="D204" s="104"/>
      <c r="E204" s="104">
        <v>0.16056753858442499</v>
      </c>
      <c r="F204" s="104">
        <v>0.16630209353386899</v>
      </c>
      <c r="G204" s="105">
        <v>0.17203664848331199</v>
      </c>
      <c r="H204" s="105">
        <v>0.17777120343275599</v>
      </c>
      <c r="I204" s="105">
        <v>0.18350575838220001</v>
      </c>
      <c r="J204" s="105">
        <v>0.18924031333164401</v>
      </c>
      <c r="K204" s="107">
        <v>0.19497486828108701</v>
      </c>
      <c r="L204" s="107">
        <v>0.20070942323053101</v>
      </c>
      <c r="M204" s="107">
        <v>0.20644397817997501</v>
      </c>
      <c r="N204" s="107">
        <v>0.21217853312941901</v>
      </c>
      <c r="O204" s="108">
        <v>0.21791308807886201</v>
      </c>
      <c r="P204" s="108">
        <v>0.223647643028306</v>
      </c>
      <c r="Q204" s="108"/>
      <c r="R204" s="108"/>
      <c r="S204" s="108"/>
      <c r="U204" s="99"/>
      <c r="AD204" s="100">
        <v>100</v>
      </c>
    </row>
    <row r="205" spans="1:30" hidden="1" x14ac:dyDescent="0.25">
      <c r="A205" s="99" t="s">
        <v>241</v>
      </c>
      <c r="B205" s="100">
        <v>4</v>
      </c>
      <c r="C205" s="104"/>
      <c r="D205" s="104"/>
      <c r="E205" s="104">
        <v>0.16056753858442499</v>
      </c>
      <c r="F205" s="104">
        <v>0.16630209353386899</v>
      </c>
      <c r="G205" s="105">
        <v>0.17203664848331199</v>
      </c>
      <c r="H205" s="105">
        <v>0.17777120343275599</v>
      </c>
      <c r="I205" s="105">
        <v>0.18350575838220001</v>
      </c>
      <c r="J205" s="105">
        <v>0.18924031333164401</v>
      </c>
      <c r="K205" s="107">
        <v>0.19497486828108701</v>
      </c>
      <c r="L205" s="107">
        <v>0.20070942323053101</v>
      </c>
      <c r="M205" s="107">
        <v>0.20644397817997501</v>
      </c>
      <c r="N205" s="107">
        <v>0.21217853312941901</v>
      </c>
      <c r="O205" s="108">
        <v>0.21791308807886201</v>
      </c>
      <c r="P205" s="108">
        <v>0.223647643028306</v>
      </c>
      <c r="Q205" s="108"/>
      <c r="R205" s="108"/>
      <c r="S205" s="108"/>
      <c r="U205" s="39"/>
      <c r="AD205" s="100">
        <v>100</v>
      </c>
    </row>
    <row r="206" spans="1:30" hidden="1" x14ac:dyDescent="0.25">
      <c r="A206" s="99" t="s">
        <v>1008</v>
      </c>
      <c r="B206" s="100">
        <v>4</v>
      </c>
      <c r="C206" s="104"/>
      <c r="D206" s="104"/>
      <c r="E206" s="104">
        <v>0.16056753858442499</v>
      </c>
      <c r="F206" s="104">
        <v>0.16630209353386899</v>
      </c>
      <c r="G206" s="105">
        <v>0.17203664848331199</v>
      </c>
      <c r="H206" s="105">
        <v>0.17777120343275599</v>
      </c>
      <c r="I206" s="105">
        <v>0.18350575838220001</v>
      </c>
      <c r="J206" s="105">
        <v>0.18924031333164401</v>
      </c>
      <c r="K206" s="107">
        <v>0.19497486828108701</v>
      </c>
      <c r="L206" s="107">
        <v>0.20070942323053101</v>
      </c>
      <c r="M206" s="107">
        <v>0.20644397817997501</v>
      </c>
      <c r="N206" s="107">
        <v>0.21217853312941901</v>
      </c>
      <c r="O206" s="108">
        <v>0.21791308807886201</v>
      </c>
      <c r="P206" s="108">
        <v>0.223647643028306</v>
      </c>
      <c r="Q206" s="108"/>
      <c r="R206" s="108"/>
      <c r="S206" s="108"/>
      <c r="U206" s="39"/>
      <c r="AD206" s="100">
        <v>100</v>
      </c>
    </row>
    <row r="207" spans="1:30" hidden="1" x14ac:dyDescent="0.25">
      <c r="A207" s="99" t="s">
        <v>242</v>
      </c>
      <c r="B207" s="100">
        <v>4</v>
      </c>
      <c r="C207" s="104"/>
      <c r="D207" s="104"/>
      <c r="E207" s="104"/>
      <c r="F207" s="104"/>
      <c r="G207" s="105"/>
      <c r="H207" s="105"/>
      <c r="I207" s="105"/>
      <c r="J207" s="105">
        <v>0.18924031333164401</v>
      </c>
      <c r="K207" s="107">
        <v>0.19497486828108701</v>
      </c>
      <c r="L207" s="107">
        <v>0.20070942323053101</v>
      </c>
      <c r="M207" s="107">
        <v>0.20644397817997501</v>
      </c>
      <c r="N207" s="107">
        <v>0.21217853312941901</v>
      </c>
      <c r="O207" s="108">
        <v>0.21791308807886201</v>
      </c>
      <c r="P207" s="108">
        <v>0.223647643028306</v>
      </c>
      <c r="Q207" s="108">
        <v>0.234691098988875</v>
      </c>
      <c r="R207" s="108">
        <v>0.24055837646359701</v>
      </c>
      <c r="S207" s="108">
        <v>0.246425653938319</v>
      </c>
      <c r="T207">
        <v>0.25229293141304099</v>
      </c>
      <c r="U207" s="39">
        <v>0.25816020888776198</v>
      </c>
      <c r="AD207" s="100">
        <v>100</v>
      </c>
    </row>
    <row r="208" spans="1:30" hidden="1" x14ac:dyDescent="0.25">
      <c r="A208" s="99" t="s">
        <v>131</v>
      </c>
      <c r="B208" s="100">
        <v>4</v>
      </c>
      <c r="C208" s="104"/>
      <c r="D208" s="104"/>
      <c r="E208" s="104"/>
      <c r="F208" s="104"/>
      <c r="G208" s="105"/>
      <c r="H208" s="105"/>
      <c r="I208" s="105"/>
      <c r="J208" s="105">
        <v>0.18924031333164401</v>
      </c>
      <c r="K208" s="107">
        <v>0.19497486828108701</v>
      </c>
      <c r="L208" s="107">
        <v>0.20070942323053101</v>
      </c>
      <c r="M208" s="107">
        <v>0.20644397817997501</v>
      </c>
      <c r="N208" s="107">
        <v>0.21217853312941901</v>
      </c>
      <c r="O208" s="108">
        <v>0.21791308807886201</v>
      </c>
      <c r="P208" s="108">
        <v>0.223647643028306</v>
      </c>
      <c r="Q208" s="108">
        <v>0.234691098988875</v>
      </c>
      <c r="R208" s="108">
        <v>0.24055837646359701</v>
      </c>
      <c r="S208" s="108">
        <v>0.246425653938319</v>
      </c>
      <c r="T208">
        <v>0.25229293141304099</v>
      </c>
      <c r="U208" s="99">
        <v>0.25816020888776198</v>
      </c>
      <c r="AD208" s="100">
        <v>100</v>
      </c>
    </row>
    <row r="209" spans="1:30" hidden="1" x14ac:dyDescent="0.25">
      <c r="A209" s="99" t="s">
        <v>243</v>
      </c>
      <c r="B209" s="100">
        <v>4</v>
      </c>
      <c r="C209" s="104"/>
      <c r="D209" s="104"/>
      <c r="E209" s="104"/>
      <c r="F209" s="104"/>
      <c r="G209" s="105"/>
      <c r="H209" s="105"/>
      <c r="I209" s="105"/>
      <c r="J209" s="105">
        <v>0.18924031333164401</v>
      </c>
      <c r="K209" s="107">
        <v>0.19497486828108701</v>
      </c>
      <c r="L209" s="107">
        <v>0.20070942323053101</v>
      </c>
      <c r="M209" s="107">
        <v>0.20644397817997501</v>
      </c>
      <c r="N209" s="107">
        <v>0.21217853312941901</v>
      </c>
      <c r="O209" s="108">
        <v>0.21791308807886201</v>
      </c>
      <c r="P209" s="108">
        <v>0.223647643028306</v>
      </c>
      <c r="Q209" s="108">
        <v>0.234691098988875</v>
      </c>
      <c r="R209" s="108">
        <v>0.24055837646359701</v>
      </c>
      <c r="S209" s="108">
        <v>0.246425653938319</v>
      </c>
      <c r="T209">
        <v>0.25229293141304099</v>
      </c>
      <c r="U209" s="99">
        <v>0.25816020888776198</v>
      </c>
      <c r="AD209" s="100">
        <v>100</v>
      </c>
    </row>
    <row r="210" spans="1:30" hidden="1" x14ac:dyDescent="0.25">
      <c r="A210" s="99" t="s">
        <v>403</v>
      </c>
      <c r="B210" s="100">
        <v>4</v>
      </c>
      <c r="C210" s="104"/>
      <c r="D210" s="104"/>
      <c r="E210" s="104"/>
      <c r="F210" s="104"/>
      <c r="G210" s="105"/>
      <c r="H210" s="105"/>
      <c r="I210" s="105"/>
      <c r="J210" s="105">
        <v>0.18924031333164401</v>
      </c>
      <c r="K210" s="107">
        <v>0.19497486828108701</v>
      </c>
      <c r="L210" s="107">
        <v>0.20070942323053101</v>
      </c>
      <c r="M210" s="107">
        <v>0.20644397817997501</v>
      </c>
      <c r="N210" s="107">
        <v>0.21217853312941901</v>
      </c>
      <c r="O210" s="108">
        <v>0.21791308807886201</v>
      </c>
      <c r="P210" s="108">
        <v>0.223647643028306</v>
      </c>
      <c r="Q210" s="108">
        <v>0.234691098988875</v>
      </c>
      <c r="R210" s="108">
        <v>0.24055837646359701</v>
      </c>
      <c r="S210" s="108">
        <v>0.246425653938319</v>
      </c>
      <c r="T210">
        <v>0.25229293141304099</v>
      </c>
      <c r="U210" s="99">
        <v>0.25816020888776198</v>
      </c>
      <c r="AD210" s="100">
        <v>100</v>
      </c>
    </row>
    <row r="211" spans="1:30" hidden="1" x14ac:dyDescent="0.25">
      <c r="A211" s="99" t="s">
        <v>244</v>
      </c>
      <c r="B211" s="100">
        <v>4</v>
      </c>
      <c r="C211" s="104"/>
      <c r="D211" s="104"/>
      <c r="E211" s="104"/>
      <c r="F211" s="104"/>
      <c r="G211" s="105"/>
      <c r="H211" s="105"/>
      <c r="I211" s="105"/>
      <c r="J211" s="105">
        <v>0.18924031333164401</v>
      </c>
      <c r="K211" s="107">
        <v>0.19497486828108701</v>
      </c>
      <c r="L211" s="107">
        <v>0.20070942323053101</v>
      </c>
      <c r="M211" s="107">
        <v>0.20644397817997501</v>
      </c>
      <c r="N211" s="107">
        <v>0.21217853312941901</v>
      </c>
      <c r="O211" s="108">
        <v>0.21791308807886201</v>
      </c>
      <c r="P211" s="108">
        <v>0.223647643028306</v>
      </c>
      <c r="Q211" s="108">
        <v>0.234691098988875</v>
      </c>
      <c r="R211" s="108">
        <v>0.24055837646359701</v>
      </c>
      <c r="S211" s="108">
        <v>0.246425653938319</v>
      </c>
      <c r="T211">
        <v>0.25229293141304099</v>
      </c>
      <c r="U211" s="99">
        <v>0.25816020888776198</v>
      </c>
      <c r="AD211" s="100">
        <v>100</v>
      </c>
    </row>
    <row r="212" spans="1:30" hidden="1" x14ac:dyDescent="0.25">
      <c r="A212" s="99" t="s">
        <v>1022</v>
      </c>
      <c r="B212" s="100">
        <v>4</v>
      </c>
      <c r="C212" s="104"/>
      <c r="D212" s="104"/>
      <c r="E212" s="104"/>
      <c r="F212" s="104"/>
      <c r="G212" s="105"/>
      <c r="H212" s="105"/>
      <c r="I212" s="105">
        <v>0.18350575838220001</v>
      </c>
      <c r="J212" s="105">
        <v>0.18924031333164401</v>
      </c>
      <c r="K212" s="107">
        <v>0.19497486828108701</v>
      </c>
      <c r="L212" s="107">
        <v>0.20070942323053101</v>
      </c>
      <c r="M212" s="107">
        <v>0.20644397817997501</v>
      </c>
      <c r="N212" s="107">
        <v>0.21217853312941901</v>
      </c>
      <c r="O212" s="108">
        <v>0.21791308807886201</v>
      </c>
      <c r="P212" s="108">
        <v>0.223647643028306</v>
      </c>
      <c r="Q212" s="108">
        <v>0.234691098988875</v>
      </c>
      <c r="R212" s="108">
        <v>0.24055837646359701</v>
      </c>
      <c r="S212" s="108">
        <v>0.246425653938319</v>
      </c>
      <c r="T212">
        <v>0.25229293141304099</v>
      </c>
      <c r="U212" s="99">
        <v>0.25816020888776198</v>
      </c>
      <c r="AD212" s="100">
        <v>100</v>
      </c>
    </row>
    <row r="213" spans="1:30" hidden="1" x14ac:dyDescent="0.25">
      <c r="A213" s="99" t="s">
        <v>245</v>
      </c>
      <c r="B213" s="100">
        <v>4</v>
      </c>
      <c r="C213" s="104"/>
      <c r="D213" s="104"/>
      <c r="E213" s="104"/>
      <c r="F213" s="104"/>
      <c r="G213" s="105"/>
      <c r="H213" s="105"/>
      <c r="I213" s="105">
        <v>0.18350575838220001</v>
      </c>
      <c r="J213" s="105">
        <v>0.18924031333164401</v>
      </c>
      <c r="K213" s="107">
        <v>0.19497486828108701</v>
      </c>
      <c r="L213" s="107">
        <v>0.20070942323053101</v>
      </c>
      <c r="M213" s="107">
        <v>0.20644397817997501</v>
      </c>
      <c r="N213" s="107">
        <v>0.21217853312941901</v>
      </c>
      <c r="O213" s="108">
        <v>0.21791308807886201</v>
      </c>
      <c r="P213" s="108">
        <v>0.223647643028306</v>
      </c>
      <c r="Q213" s="108">
        <v>0.234691098988875</v>
      </c>
      <c r="R213" s="108">
        <v>0.24055837646359701</v>
      </c>
      <c r="S213" s="108">
        <v>0.246425653938319</v>
      </c>
      <c r="T213">
        <v>0.25229293141304099</v>
      </c>
      <c r="U213" s="99">
        <v>0.25816020888776198</v>
      </c>
      <c r="AD213" s="100">
        <v>100</v>
      </c>
    </row>
    <row r="214" spans="1:30" hidden="1" x14ac:dyDescent="0.25">
      <c r="A214" s="99" t="s">
        <v>1029</v>
      </c>
      <c r="B214" s="100">
        <v>4</v>
      </c>
      <c r="C214" s="104"/>
      <c r="D214" s="104"/>
      <c r="E214" s="104"/>
      <c r="F214" s="104"/>
      <c r="G214" s="105"/>
      <c r="H214" s="105"/>
      <c r="I214" s="105">
        <v>0.18350575838220001</v>
      </c>
      <c r="J214" s="105">
        <v>0.18924031333164401</v>
      </c>
      <c r="K214" s="107">
        <v>0.19497486828108701</v>
      </c>
      <c r="L214" s="107">
        <v>0.20070942323053101</v>
      </c>
      <c r="M214" s="107"/>
      <c r="N214" s="107"/>
      <c r="O214" s="108"/>
      <c r="P214" s="108"/>
      <c r="Q214" s="108"/>
      <c r="R214" s="108"/>
      <c r="S214" s="108"/>
      <c r="U214" s="39"/>
      <c r="AD214" s="100">
        <v>100</v>
      </c>
    </row>
    <row r="215" spans="1:30" hidden="1" x14ac:dyDescent="0.25">
      <c r="A215" t="s">
        <v>132</v>
      </c>
      <c r="B215" s="70">
        <v>5</v>
      </c>
      <c r="C215" s="104"/>
      <c r="D215" s="104"/>
      <c r="E215" s="104"/>
      <c r="F215" s="104"/>
      <c r="G215" s="105"/>
      <c r="H215" s="105"/>
      <c r="I215" s="105">
        <v>1.08</v>
      </c>
      <c r="J215" s="105">
        <v>1.11375</v>
      </c>
      <c r="K215" s="107"/>
      <c r="L215" s="107"/>
      <c r="M215" s="107"/>
      <c r="N215" s="107"/>
      <c r="O215" s="108"/>
      <c r="P215" s="108"/>
      <c r="Q215" s="108"/>
      <c r="R215" s="108"/>
      <c r="S215" s="108"/>
      <c r="U215" s="39"/>
      <c r="AD215" s="100">
        <v>100</v>
      </c>
    </row>
    <row r="216" spans="1:30" hidden="1" x14ac:dyDescent="0.25">
      <c r="A216" s="39" t="s">
        <v>1034</v>
      </c>
      <c r="B216" s="67">
        <v>5</v>
      </c>
      <c r="C216" s="104"/>
      <c r="D216" s="104"/>
      <c r="E216" s="104"/>
      <c r="F216" s="104"/>
      <c r="G216" s="105"/>
      <c r="H216" s="105"/>
      <c r="I216" s="105"/>
      <c r="J216" s="105"/>
      <c r="K216" s="107"/>
      <c r="L216" s="107">
        <v>1.1812499999999999</v>
      </c>
      <c r="M216" s="107">
        <v>1.2150000000000001</v>
      </c>
      <c r="N216" s="107">
        <v>1.24875</v>
      </c>
      <c r="O216" s="108">
        <v>1.2825</v>
      </c>
      <c r="P216" s="108"/>
      <c r="Q216" s="108"/>
      <c r="R216" s="108"/>
      <c r="S216" s="108"/>
      <c r="U216" s="39"/>
      <c r="AD216" s="100">
        <v>100</v>
      </c>
    </row>
    <row r="217" spans="1:30" hidden="1" x14ac:dyDescent="0.25">
      <c r="A217" s="99" t="s">
        <v>421</v>
      </c>
      <c r="B217" s="100">
        <v>23</v>
      </c>
      <c r="C217" s="104"/>
      <c r="D217" s="104"/>
      <c r="E217" s="104"/>
      <c r="F217" s="104"/>
      <c r="G217" s="105"/>
      <c r="H217" s="105"/>
      <c r="I217" s="105"/>
      <c r="J217" s="105"/>
      <c r="K217" s="107"/>
      <c r="L217" s="107"/>
      <c r="M217" s="107">
        <v>0.55349999999999999</v>
      </c>
      <c r="N217" s="107">
        <v>0.56887500000000002</v>
      </c>
      <c r="O217" s="108">
        <v>0.58425000000000005</v>
      </c>
      <c r="P217" s="108">
        <v>0.59962499999999996</v>
      </c>
      <c r="Q217" s="108">
        <v>0.61499999999999999</v>
      </c>
      <c r="R217" s="108">
        <v>0.63037500000000002</v>
      </c>
      <c r="S217" s="108">
        <v>0.64575000000000005</v>
      </c>
      <c r="T217">
        <v>0.66112499999999996</v>
      </c>
      <c r="U217" s="57">
        <v>0.67649999999999999</v>
      </c>
      <c r="V217">
        <v>0.69187500000000002</v>
      </c>
      <c r="AD217" s="100">
        <v>100</v>
      </c>
    </row>
    <row r="218" spans="1:30" hidden="1" x14ac:dyDescent="0.25">
      <c r="A218" s="99" t="s">
        <v>1077</v>
      </c>
      <c r="B218" s="100">
        <v>23</v>
      </c>
      <c r="C218" s="104"/>
      <c r="D218" s="104"/>
      <c r="E218" s="104"/>
      <c r="F218" s="104"/>
      <c r="G218" s="105"/>
      <c r="H218" s="105"/>
      <c r="I218" s="105"/>
      <c r="J218" s="105"/>
      <c r="K218" s="107"/>
      <c r="L218" s="107"/>
      <c r="M218" s="107">
        <v>0.55349999999999999</v>
      </c>
      <c r="N218" s="107">
        <v>0.56887500000000002</v>
      </c>
      <c r="O218" s="108">
        <v>0.58425000000000005</v>
      </c>
      <c r="P218" s="108">
        <v>0.59962499999999996</v>
      </c>
      <c r="Q218" s="108">
        <v>0.61499999999999999</v>
      </c>
      <c r="R218" s="108">
        <v>0.63037500000000002</v>
      </c>
      <c r="S218" s="108">
        <v>0.64575000000000005</v>
      </c>
      <c r="T218">
        <v>0.66112499999999996</v>
      </c>
      <c r="U218" s="57">
        <v>0.67649999999999999</v>
      </c>
      <c r="V218">
        <v>0.69187500000000002</v>
      </c>
      <c r="AD218" s="100">
        <v>100</v>
      </c>
    </row>
    <row r="219" spans="1:30" hidden="1" x14ac:dyDescent="0.25">
      <c r="A219" s="99" t="s">
        <v>137</v>
      </c>
      <c r="B219" s="100">
        <v>23</v>
      </c>
      <c r="C219" s="104"/>
      <c r="D219" s="104"/>
      <c r="E219" s="104"/>
      <c r="F219" s="104"/>
      <c r="G219" s="105"/>
      <c r="H219" s="105"/>
      <c r="I219" s="105"/>
      <c r="J219" s="105"/>
      <c r="K219" s="107"/>
      <c r="L219" s="107"/>
      <c r="M219" s="107">
        <v>0.55349999999999999</v>
      </c>
      <c r="N219" s="107">
        <v>0.56887500000000002</v>
      </c>
      <c r="O219" s="108">
        <v>0.58425000000000005</v>
      </c>
      <c r="P219" s="108">
        <v>0.59962499999999996</v>
      </c>
      <c r="Q219" s="108">
        <v>0.61499999999999999</v>
      </c>
      <c r="R219" s="108">
        <v>0.63037500000000002</v>
      </c>
      <c r="S219" s="108">
        <v>0.64575000000000005</v>
      </c>
      <c r="T219">
        <v>0.66112499999999996</v>
      </c>
      <c r="U219" s="57">
        <v>0.67649999999999999</v>
      </c>
      <c r="V219">
        <v>0.69187500000000002</v>
      </c>
      <c r="AD219" s="100">
        <v>100</v>
      </c>
    </row>
    <row r="220" spans="1:30" hidden="1" x14ac:dyDescent="0.25">
      <c r="A220" s="99" t="s">
        <v>251</v>
      </c>
      <c r="B220" s="100">
        <v>23</v>
      </c>
      <c r="C220" s="104"/>
      <c r="D220" s="104"/>
      <c r="E220" s="104"/>
      <c r="F220" s="104"/>
      <c r="G220" s="105"/>
      <c r="H220" s="105"/>
      <c r="I220" s="105"/>
      <c r="J220" s="105"/>
      <c r="K220" s="107"/>
      <c r="L220" s="107"/>
      <c r="M220" s="107">
        <v>0.55349999999999999</v>
      </c>
      <c r="N220" s="107">
        <v>0.56887500000000002</v>
      </c>
      <c r="O220" s="108">
        <v>0.58425000000000005</v>
      </c>
      <c r="P220" s="108">
        <v>0.59962499999999996</v>
      </c>
      <c r="Q220" s="108">
        <v>0.61499999999999999</v>
      </c>
      <c r="R220" s="108">
        <v>0.63037500000000002</v>
      </c>
      <c r="S220" s="108">
        <v>0.64575000000000005</v>
      </c>
      <c r="T220">
        <v>0.66112499999999996</v>
      </c>
      <c r="U220" s="57">
        <v>0.67649999999999999</v>
      </c>
      <c r="V220">
        <v>0.69187500000000002</v>
      </c>
      <c r="AD220" s="100">
        <v>100</v>
      </c>
    </row>
    <row r="221" spans="1:30" hidden="1" x14ac:dyDescent="0.25">
      <c r="A221" s="99" t="s">
        <v>1085</v>
      </c>
      <c r="B221" s="100">
        <v>23</v>
      </c>
      <c r="C221" s="104"/>
      <c r="D221" s="104"/>
      <c r="E221" s="104"/>
      <c r="F221" s="104"/>
      <c r="G221" s="105"/>
      <c r="H221" s="105"/>
      <c r="I221" s="105"/>
      <c r="J221" s="105"/>
      <c r="K221" s="107"/>
      <c r="L221" s="107"/>
      <c r="M221" s="107">
        <v>0.55349999999999999</v>
      </c>
      <c r="N221" s="107">
        <v>0.56887500000000002</v>
      </c>
      <c r="O221" s="108">
        <v>0.58425000000000005</v>
      </c>
      <c r="P221" s="108">
        <v>0.59962499999999996</v>
      </c>
      <c r="Q221" s="108">
        <v>0.61499999999999999</v>
      </c>
      <c r="R221" s="108">
        <v>0.63037500000000002</v>
      </c>
      <c r="S221" s="108">
        <v>0.64575000000000005</v>
      </c>
      <c r="T221">
        <v>0.66112499999999996</v>
      </c>
      <c r="U221" s="57">
        <v>0.67649999999999999</v>
      </c>
      <c r="V221">
        <v>0.69187500000000002</v>
      </c>
      <c r="AD221" s="100">
        <v>100</v>
      </c>
    </row>
    <row r="222" spans="1:30" hidden="1" x14ac:dyDescent="0.25">
      <c r="A222" s="99" t="s">
        <v>140</v>
      </c>
      <c r="B222" s="100">
        <v>26</v>
      </c>
      <c r="C222" s="104"/>
      <c r="D222" s="104"/>
      <c r="E222" s="104"/>
      <c r="F222" s="104"/>
      <c r="G222" s="105"/>
      <c r="H222" s="105"/>
      <c r="I222" s="105">
        <v>0.177735586763593</v>
      </c>
      <c r="J222" s="105">
        <v>0.18328982384995601</v>
      </c>
      <c r="K222" s="107">
        <v>0.188844060936318</v>
      </c>
      <c r="L222" s="107">
        <v>0.19439829802267999</v>
      </c>
      <c r="M222" s="107">
        <v>0.19995253510904301</v>
      </c>
      <c r="N222" s="107">
        <v>0.205506772195405</v>
      </c>
      <c r="O222" s="108">
        <v>0.21106100928176699</v>
      </c>
      <c r="P222" s="108">
        <v>0.21661524636812901</v>
      </c>
      <c r="Q222" s="108"/>
      <c r="R222" s="108"/>
      <c r="S222" s="108"/>
      <c r="U222" s="99"/>
      <c r="AD222" s="100">
        <v>100</v>
      </c>
    </row>
    <row r="223" spans="1:30" hidden="1" x14ac:dyDescent="0.25">
      <c r="A223" s="99" t="s">
        <v>140</v>
      </c>
      <c r="B223" s="100">
        <v>30</v>
      </c>
      <c r="C223" s="104"/>
      <c r="D223" s="104"/>
      <c r="E223" s="104"/>
      <c r="F223" s="104"/>
      <c r="G223" s="105"/>
      <c r="H223" s="105"/>
      <c r="I223" s="105">
        <v>0.177735586763593</v>
      </c>
      <c r="J223" s="105">
        <v>0.18328982384995601</v>
      </c>
      <c r="K223" s="107">
        <v>0.188844060936318</v>
      </c>
      <c r="L223" s="107">
        <v>0.19439829802267999</v>
      </c>
      <c r="M223" s="107">
        <v>0.19995253510904301</v>
      </c>
      <c r="N223" s="107">
        <v>0.205506772195405</v>
      </c>
      <c r="O223" s="108">
        <v>0.21106100928176699</v>
      </c>
      <c r="P223" s="108">
        <v>0.21661524636812901</v>
      </c>
      <c r="Q223" s="108"/>
      <c r="R223" s="108"/>
      <c r="S223" s="108"/>
      <c r="U223" s="99"/>
      <c r="AD223" s="100">
        <v>100</v>
      </c>
    </row>
    <row r="224" spans="1:30" hidden="1" x14ac:dyDescent="0.25">
      <c r="A224" s="99" t="s">
        <v>140</v>
      </c>
      <c r="B224" s="100">
        <v>31</v>
      </c>
      <c r="C224" s="104"/>
      <c r="D224" s="104"/>
      <c r="E224" s="104"/>
      <c r="F224" s="104"/>
      <c r="G224" s="105"/>
      <c r="H224" s="105"/>
      <c r="I224" s="105">
        <v>0.177735586763593</v>
      </c>
      <c r="J224" s="105">
        <v>0.18328982384995601</v>
      </c>
      <c r="K224" s="107">
        <v>0.188844060936318</v>
      </c>
      <c r="L224" s="107">
        <v>0.19439829802267999</v>
      </c>
      <c r="M224" s="107">
        <v>0.19995253510904301</v>
      </c>
      <c r="N224" s="107">
        <v>0.205506772195405</v>
      </c>
      <c r="O224" s="108">
        <v>0.21106100928176699</v>
      </c>
      <c r="P224" s="108">
        <v>0.21661524636812901</v>
      </c>
      <c r="Q224" s="108"/>
      <c r="R224" s="108"/>
      <c r="S224" s="108"/>
      <c r="U224" s="99"/>
      <c r="AD224" s="100">
        <v>100</v>
      </c>
    </row>
    <row r="225" spans="1:30" hidden="1" x14ac:dyDescent="0.25">
      <c r="A225" s="99" t="s">
        <v>253</v>
      </c>
      <c r="B225" s="100">
        <v>26</v>
      </c>
      <c r="C225" s="104"/>
      <c r="D225" s="104"/>
      <c r="E225" s="104"/>
      <c r="F225" s="104"/>
      <c r="G225" s="105"/>
      <c r="H225" s="105"/>
      <c r="I225" s="105">
        <v>0.177735586763593</v>
      </c>
      <c r="J225" s="105">
        <v>0.18328982384995601</v>
      </c>
      <c r="K225" s="107">
        <v>0.188844060936318</v>
      </c>
      <c r="L225" s="107">
        <v>0.19439829802267999</v>
      </c>
      <c r="M225" s="107">
        <v>0.19995253510904301</v>
      </c>
      <c r="N225" s="107">
        <v>0.205506772195405</v>
      </c>
      <c r="O225" s="108">
        <v>0.21106100928176699</v>
      </c>
      <c r="P225" s="108">
        <v>0.21661524636812901</v>
      </c>
      <c r="Q225" s="108"/>
      <c r="R225" s="108"/>
      <c r="S225" s="108"/>
      <c r="U225" s="99"/>
      <c r="AD225" s="100">
        <v>100</v>
      </c>
    </row>
    <row r="226" spans="1:30" hidden="1" x14ac:dyDescent="0.25">
      <c r="A226" s="99" t="s">
        <v>253</v>
      </c>
      <c r="B226" s="100">
        <v>30</v>
      </c>
      <c r="C226" s="104"/>
      <c r="D226" s="104"/>
      <c r="E226" s="104"/>
      <c r="F226" s="104"/>
      <c r="G226" s="105"/>
      <c r="H226" s="105"/>
      <c r="I226" s="105">
        <v>0.177735586763593</v>
      </c>
      <c r="J226" s="105">
        <v>0.18328982384995601</v>
      </c>
      <c r="K226" s="107">
        <v>0.188844060936318</v>
      </c>
      <c r="L226" s="107">
        <v>0.19439829802267999</v>
      </c>
      <c r="M226" s="107">
        <v>0.19995253510904301</v>
      </c>
      <c r="N226" s="107">
        <v>0.205506772195405</v>
      </c>
      <c r="O226" s="108">
        <v>0.21106100928176699</v>
      </c>
      <c r="P226" s="108">
        <v>0.21661524636812901</v>
      </c>
      <c r="Q226" s="108"/>
      <c r="R226" s="108"/>
      <c r="S226" s="108"/>
      <c r="U226" s="99"/>
      <c r="AD226" s="100">
        <v>100</v>
      </c>
    </row>
    <row r="227" spans="1:30" hidden="1" x14ac:dyDescent="0.25">
      <c r="A227" s="99" t="s">
        <v>253</v>
      </c>
      <c r="B227" s="100">
        <v>31</v>
      </c>
      <c r="C227" s="104"/>
      <c r="D227" s="104"/>
      <c r="E227" s="104"/>
      <c r="F227" s="104"/>
      <c r="G227" s="105"/>
      <c r="H227" s="105"/>
      <c r="I227" s="105">
        <v>0.177735586763593</v>
      </c>
      <c r="J227" s="105">
        <v>0.18328982384995601</v>
      </c>
      <c r="K227" s="107">
        <v>0.188844060936318</v>
      </c>
      <c r="L227" s="107">
        <v>0.19439829802267999</v>
      </c>
      <c r="M227" s="107">
        <v>0.19995253510904301</v>
      </c>
      <c r="N227" s="107">
        <v>0.205506772195405</v>
      </c>
      <c r="O227" s="108">
        <v>0.21106100928176699</v>
      </c>
      <c r="P227" s="108">
        <v>0.21661524636812901</v>
      </c>
      <c r="Q227" s="108"/>
      <c r="R227" s="108"/>
      <c r="S227" s="108"/>
      <c r="U227" s="99"/>
      <c r="AD227" s="100">
        <v>100</v>
      </c>
    </row>
    <row r="228" spans="1:30" hidden="1" x14ac:dyDescent="0.25">
      <c r="A228" s="57" t="s">
        <v>427</v>
      </c>
      <c r="B228" s="100">
        <v>26</v>
      </c>
      <c r="C228" s="104"/>
      <c r="D228" s="104"/>
      <c r="E228" s="104"/>
      <c r="F228" s="104"/>
      <c r="G228" s="105"/>
      <c r="H228" s="105"/>
      <c r="I228" s="105">
        <v>8.5201850183807007E-2</v>
      </c>
      <c r="J228" s="105">
        <v>8.7864408002051003E-2</v>
      </c>
      <c r="K228" s="107">
        <v>9.0526965820294999E-2</v>
      </c>
      <c r="L228" s="107">
        <v>9.3189523638538899E-2</v>
      </c>
      <c r="M228" s="107">
        <v>9.31092037783494E-2</v>
      </c>
      <c r="N228" s="107">
        <v>9.5695570549970299E-2</v>
      </c>
      <c r="O228" s="108">
        <v>9.8281937321591101E-2</v>
      </c>
      <c r="P228" s="108">
        <v>0.100868304093212</v>
      </c>
      <c r="Q228" s="108">
        <v>0.100407028999907</v>
      </c>
      <c r="R228" s="108">
        <v>0.102917204724904</v>
      </c>
      <c r="S228" s="108">
        <v>0.10542738044990201</v>
      </c>
      <c r="T228">
        <v>0.1079375561749</v>
      </c>
      <c r="U228" s="99">
        <v>0.112687138741764</v>
      </c>
      <c r="V228">
        <v>0.115248210076804</v>
      </c>
      <c r="W228">
        <v>0.11780928141184401</v>
      </c>
      <c r="X228">
        <v>0.120370352746884</v>
      </c>
      <c r="Y228">
        <v>0.12293142408192401</v>
      </c>
      <c r="Z228">
        <v>0.125492495416964</v>
      </c>
      <c r="AA228">
        <v>0.12805356675200399</v>
      </c>
      <c r="AB228">
        <v>0.13061463808704399</v>
      </c>
      <c r="AC228">
        <v>0.13317570942208401</v>
      </c>
      <c r="AD228" s="100">
        <v>100</v>
      </c>
    </row>
    <row r="229" spans="1:30" hidden="1" x14ac:dyDescent="0.25">
      <c r="A229" s="57" t="s">
        <v>427</v>
      </c>
      <c r="B229" s="100">
        <v>30</v>
      </c>
      <c r="C229" s="104"/>
      <c r="D229" s="104"/>
      <c r="E229" s="104"/>
      <c r="F229" s="104"/>
      <c r="G229" s="105"/>
      <c r="H229" s="105"/>
      <c r="I229" s="105">
        <v>8.5201850183807007E-2</v>
      </c>
      <c r="J229" s="105">
        <v>8.7864408002051003E-2</v>
      </c>
      <c r="K229" s="107">
        <v>9.0526965820294999E-2</v>
      </c>
      <c r="L229" s="107">
        <v>9.3189523638538899E-2</v>
      </c>
      <c r="M229" s="107">
        <v>9.31092037783494E-2</v>
      </c>
      <c r="N229" s="107">
        <v>9.5695570549970299E-2</v>
      </c>
      <c r="O229" s="108">
        <v>9.8281937321591101E-2</v>
      </c>
      <c r="P229" s="108">
        <v>0.100868304093212</v>
      </c>
      <c r="Q229" s="108">
        <v>0.100407028999907</v>
      </c>
      <c r="R229" s="108">
        <v>0.102917204724904</v>
      </c>
      <c r="S229" s="108">
        <v>0.10542738044990201</v>
      </c>
      <c r="T229">
        <v>0.1079375561749</v>
      </c>
      <c r="U229" s="99">
        <v>0.112687138741764</v>
      </c>
      <c r="V229">
        <v>0.115248210076804</v>
      </c>
      <c r="W229">
        <v>0.11780928141184401</v>
      </c>
      <c r="X229">
        <v>0.120370352746884</v>
      </c>
      <c r="Y229">
        <v>0.12293142408192401</v>
      </c>
      <c r="Z229">
        <v>0.125492495416964</v>
      </c>
      <c r="AA229">
        <v>0.12805356675200399</v>
      </c>
      <c r="AB229">
        <v>0.13061463808704399</v>
      </c>
      <c r="AC229">
        <v>0.13317570942208401</v>
      </c>
      <c r="AD229" s="100">
        <v>100</v>
      </c>
    </row>
    <row r="230" spans="1:30" hidden="1" x14ac:dyDescent="0.25">
      <c r="A230" s="57" t="s">
        <v>427</v>
      </c>
      <c r="B230" s="100">
        <v>31</v>
      </c>
      <c r="C230" s="104"/>
      <c r="D230" s="104"/>
      <c r="E230" s="104"/>
      <c r="F230" s="104"/>
      <c r="G230" s="105"/>
      <c r="H230" s="105"/>
      <c r="I230" s="105">
        <v>8.5201850183807007E-2</v>
      </c>
      <c r="J230" s="105">
        <v>8.7864408002051003E-2</v>
      </c>
      <c r="K230" s="107">
        <v>9.0526965820294999E-2</v>
      </c>
      <c r="L230" s="107">
        <v>9.3189523638538899E-2</v>
      </c>
      <c r="M230" s="107">
        <v>9.31092037783494E-2</v>
      </c>
      <c r="N230" s="107">
        <v>9.5695570549970299E-2</v>
      </c>
      <c r="O230" s="108">
        <v>9.8281937321591101E-2</v>
      </c>
      <c r="P230" s="108">
        <v>0.100868304093212</v>
      </c>
      <c r="Q230" s="108">
        <v>0.100407028999907</v>
      </c>
      <c r="R230" s="108">
        <v>0.102917204724904</v>
      </c>
      <c r="S230" s="108">
        <v>0.10542738044990201</v>
      </c>
      <c r="T230">
        <v>0.1079375561749</v>
      </c>
      <c r="U230" s="99">
        <v>0.112687138741764</v>
      </c>
      <c r="V230">
        <v>0.115248210076804</v>
      </c>
      <c r="W230">
        <v>0.11780928141184401</v>
      </c>
      <c r="X230">
        <v>0.120370352746884</v>
      </c>
      <c r="Y230">
        <v>0.12293142408192401</v>
      </c>
      <c r="Z230">
        <v>0.125492495416964</v>
      </c>
      <c r="AA230">
        <v>0.12805356675200399</v>
      </c>
      <c r="AB230">
        <v>0.13061463808704399</v>
      </c>
      <c r="AC230">
        <v>0.13317570942208401</v>
      </c>
      <c r="AD230" s="100">
        <v>100</v>
      </c>
    </row>
    <row r="231" spans="1:30" hidden="1" x14ac:dyDescent="0.25">
      <c r="A231" s="99" t="s">
        <v>1109</v>
      </c>
      <c r="B231" s="100">
        <v>26</v>
      </c>
      <c r="C231" s="104"/>
      <c r="D231" s="104"/>
      <c r="E231" s="104"/>
      <c r="F231" s="104"/>
      <c r="G231" s="105"/>
      <c r="H231" s="105"/>
      <c r="I231" s="105">
        <v>0.177735586763593</v>
      </c>
      <c r="J231" s="105">
        <v>0.18328982384995601</v>
      </c>
      <c r="K231" s="107">
        <v>0.188844060936318</v>
      </c>
      <c r="L231" s="107">
        <v>0.19439829802267999</v>
      </c>
      <c r="M231" s="107">
        <v>0.19995253510904301</v>
      </c>
      <c r="N231" s="107">
        <v>0.205506772195405</v>
      </c>
      <c r="O231" s="108">
        <v>0.21106100928176699</v>
      </c>
      <c r="P231" s="108">
        <v>0.21661524636812901</v>
      </c>
      <c r="Q231" s="108">
        <v>0.231084741727246</v>
      </c>
      <c r="R231" s="108">
        <v>0.23686186027042699</v>
      </c>
      <c r="S231" s="108">
        <v>0.24263897881360799</v>
      </c>
      <c r="T231">
        <v>0.24841609735678899</v>
      </c>
      <c r="U231" s="99">
        <v>0.25419321589997002</v>
      </c>
      <c r="V231">
        <v>0.25997033444315099</v>
      </c>
      <c r="AD231" s="100">
        <v>100</v>
      </c>
    </row>
    <row r="232" spans="1:30" hidden="1" x14ac:dyDescent="0.25">
      <c r="A232" s="99" t="s">
        <v>1109</v>
      </c>
      <c r="B232" s="100">
        <v>30</v>
      </c>
      <c r="C232" s="104"/>
      <c r="D232" s="104"/>
      <c r="E232" s="104"/>
      <c r="F232" s="104"/>
      <c r="G232" s="105"/>
      <c r="H232" s="105"/>
      <c r="I232" s="105">
        <v>0.177735586763593</v>
      </c>
      <c r="J232" s="105">
        <v>0.18328982384995601</v>
      </c>
      <c r="K232" s="107">
        <v>0.188844060936318</v>
      </c>
      <c r="L232" s="107">
        <v>0.19439829802267999</v>
      </c>
      <c r="M232" s="107">
        <v>0.19995253510904301</v>
      </c>
      <c r="N232" s="107">
        <v>0.205506772195405</v>
      </c>
      <c r="O232" s="108">
        <v>0.21106100928176699</v>
      </c>
      <c r="P232" s="108">
        <v>0.21661524636812901</v>
      </c>
      <c r="Q232" s="108">
        <v>0.231084741727246</v>
      </c>
      <c r="R232" s="108">
        <v>0.23686186027042699</v>
      </c>
      <c r="S232" s="108">
        <v>0.24263897881360799</v>
      </c>
      <c r="T232">
        <v>0.24841609735678899</v>
      </c>
      <c r="U232" s="99">
        <v>0.25419321589997002</v>
      </c>
      <c r="V232">
        <v>0.25997033444315099</v>
      </c>
      <c r="AD232" s="100">
        <v>100</v>
      </c>
    </row>
    <row r="233" spans="1:30" hidden="1" x14ac:dyDescent="0.25">
      <c r="A233" s="99" t="s">
        <v>1109</v>
      </c>
      <c r="B233" s="100">
        <v>31</v>
      </c>
      <c r="C233" s="104"/>
      <c r="D233" s="104"/>
      <c r="E233" s="104"/>
      <c r="F233" s="104"/>
      <c r="G233" s="105"/>
      <c r="H233" s="105"/>
      <c r="I233" s="105">
        <v>8.8867793381796706E-2</v>
      </c>
      <c r="J233" s="105">
        <v>9.1644911924977798E-2</v>
      </c>
      <c r="K233" s="107">
        <v>9.4422030468159002E-2</v>
      </c>
      <c r="L233" s="107">
        <v>9.7199149011340094E-2</v>
      </c>
      <c r="M233" s="107">
        <v>9.9976267554521298E-2</v>
      </c>
      <c r="N233" s="107">
        <v>0.102753386097702</v>
      </c>
      <c r="O233" s="108">
        <v>0.105530504640884</v>
      </c>
      <c r="P233" s="108">
        <v>0.108307623184065</v>
      </c>
      <c r="Q233" s="108">
        <v>0.115542370863623</v>
      </c>
      <c r="R233" s="108">
        <v>0.118430930135213</v>
      </c>
      <c r="S233" s="108">
        <v>0.121319489406804</v>
      </c>
      <c r="T233">
        <v>0.12420804867839499</v>
      </c>
      <c r="U233" s="57">
        <v>0.12709660794998501</v>
      </c>
      <c r="V233">
        <v>0.12998516722157599</v>
      </c>
      <c r="W233">
        <v>0.13287372649316601</v>
      </c>
      <c r="X233">
        <v>0.13576228576475699</v>
      </c>
      <c r="Y233">
        <v>0.138650845036347</v>
      </c>
      <c r="Z233">
        <v>0.14153940430793799</v>
      </c>
      <c r="AA233">
        <v>0.144427963579529</v>
      </c>
      <c r="AB233">
        <v>0.14731652285111899</v>
      </c>
      <c r="AC233">
        <v>0.15020508212271</v>
      </c>
      <c r="AD233" s="100">
        <v>100</v>
      </c>
    </row>
    <row r="234" spans="1:30" hidden="1" x14ac:dyDescent="0.25">
      <c r="A234" s="99" t="s">
        <v>141</v>
      </c>
      <c r="B234" s="100">
        <v>26</v>
      </c>
      <c r="C234" s="104"/>
      <c r="D234" s="104"/>
      <c r="E234" s="104"/>
      <c r="F234" s="104"/>
      <c r="G234" s="105"/>
      <c r="H234" s="105"/>
      <c r="I234" s="105"/>
      <c r="J234" s="105"/>
      <c r="K234" s="107"/>
      <c r="L234" s="107"/>
      <c r="M234" s="107">
        <v>0.19995253510904301</v>
      </c>
      <c r="N234" s="107">
        <v>0.205506772195405</v>
      </c>
      <c r="O234" s="108">
        <v>0.21106100928176699</v>
      </c>
      <c r="P234" s="108">
        <v>0.21661524636812901</v>
      </c>
      <c r="Q234" s="108">
        <v>0.231084741727246</v>
      </c>
      <c r="R234" s="108">
        <v>0.23686186027042699</v>
      </c>
      <c r="S234" s="108">
        <v>0.24263897881360799</v>
      </c>
      <c r="T234">
        <v>0.24841609735678899</v>
      </c>
      <c r="U234" s="57">
        <v>0.25419321589997002</v>
      </c>
      <c r="V234">
        <v>0.25997033444315198</v>
      </c>
      <c r="AD234" s="100">
        <v>100</v>
      </c>
    </row>
    <row r="235" spans="1:30" hidden="1" x14ac:dyDescent="0.25">
      <c r="A235" s="99" t="s">
        <v>141</v>
      </c>
      <c r="B235" s="100">
        <v>30</v>
      </c>
      <c r="C235" s="104"/>
      <c r="D235" s="104"/>
      <c r="E235" s="104"/>
      <c r="F235" s="104"/>
      <c r="G235" s="105"/>
      <c r="H235" s="105"/>
      <c r="I235" s="105"/>
      <c r="J235" s="105"/>
      <c r="K235" s="107"/>
      <c r="L235" s="107"/>
      <c r="M235" s="107">
        <v>0.19995253510904301</v>
      </c>
      <c r="N235" s="107">
        <v>0.205506772195405</v>
      </c>
      <c r="O235" s="108">
        <v>0.21106100928176699</v>
      </c>
      <c r="P235" s="108">
        <v>0.21661524636812901</v>
      </c>
      <c r="Q235" s="108">
        <v>0.231084741727246</v>
      </c>
      <c r="R235" s="108">
        <v>0.23686186027042699</v>
      </c>
      <c r="S235" s="108">
        <v>0.24263897881360799</v>
      </c>
      <c r="T235">
        <v>0.24841609735678899</v>
      </c>
      <c r="U235" s="99">
        <v>0.25419321589997002</v>
      </c>
      <c r="V235">
        <v>0.25997033444315099</v>
      </c>
      <c r="AD235" s="100">
        <v>100</v>
      </c>
    </row>
    <row r="236" spans="1:30" hidden="1" x14ac:dyDescent="0.25">
      <c r="A236" s="99" t="s">
        <v>141</v>
      </c>
      <c r="B236" s="100">
        <v>31</v>
      </c>
      <c r="C236" s="104"/>
      <c r="D236" s="104"/>
      <c r="E236" s="104"/>
      <c r="F236" s="104"/>
      <c r="G236" s="105"/>
      <c r="H236" s="105"/>
      <c r="I236" s="105"/>
      <c r="J236" s="105"/>
      <c r="K236" s="107"/>
      <c r="L236" s="107"/>
      <c r="M236" s="107">
        <v>0.19995253510904301</v>
      </c>
      <c r="N236" s="107">
        <v>0.205506772195405</v>
      </c>
      <c r="O236" s="108">
        <v>0.21106100928176699</v>
      </c>
      <c r="P236" s="108">
        <v>0.21661524636812901</v>
      </c>
      <c r="Q236" s="108">
        <v>0.231084741727246</v>
      </c>
      <c r="R236" s="108">
        <v>0.23686186027042699</v>
      </c>
      <c r="S236" s="108">
        <v>0.24263897881360799</v>
      </c>
      <c r="T236">
        <v>0.24841609735678899</v>
      </c>
      <c r="U236" s="99">
        <v>0.25419321589997002</v>
      </c>
      <c r="V236">
        <v>0.25997033444315099</v>
      </c>
      <c r="AD236" s="100">
        <v>100</v>
      </c>
    </row>
    <row r="237" spans="1:30" hidden="1" x14ac:dyDescent="0.25">
      <c r="A237" s="99" t="s">
        <v>254</v>
      </c>
      <c r="B237" s="100">
        <v>26</v>
      </c>
      <c r="C237" s="104"/>
      <c r="D237" s="104"/>
      <c r="E237" s="104"/>
      <c r="F237" s="104"/>
      <c r="G237" s="105"/>
      <c r="H237" s="105"/>
      <c r="I237" s="105"/>
      <c r="J237" s="105"/>
      <c r="K237" s="107"/>
      <c r="L237" s="107"/>
      <c r="M237" s="107">
        <v>0.19995253510904301</v>
      </c>
      <c r="N237" s="107">
        <v>0.205506772195405</v>
      </c>
      <c r="O237" s="108">
        <v>0.21106100928176699</v>
      </c>
      <c r="P237" s="108">
        <v>0.21661524636812901</v>
      </c>
      <c r="Q237" s="108">
        <v>0.231084741727246</v>
      </c>
      <c r="R237" s="108">
        <v>0.23686186027042699</v>
      </c>
      <c r="S237" s="108">
        <v>0.24263897881360799</v>
      </c>
      <c r="T237">
        <v>0.24841609735678899</v>
      </c>
      <c r="U237" s="57">
        <v>0.25419321589997002</v>
      </c>
      <c r="V237">
        <v>0.25997033444315099</v>
      </c>
      <c r="AD237" s="100">
        <v>100</v>
      </c>
    </row>
    <row r="238" spans="1:30" hidden="1" x14ac:dyDescent="0.25">
      <c r="A238" s="99" t="s">
        <v>254</v>
      </c>
      <c r="B238" s="100">
        <v>30</v>
      </c>
      <c r="C238" s="104"/>
      <c r="D238" s="104"/>
      <c r="E238" s="104"/>
      <c r="F238" s="104"/>
      <c r="G238" s="105"/>
      <c r="H238" s="105"/>
      <c r="I238" s="105"/>
      <c r="J238" s="105"/>
      <c r="K238" s="107"/>
      <c r="L238" s="107"/>
      <c r="M238" s="107">
        <v>0.19995253510904301</v>
      </c>
      <c r="N238" s="107">
        <v>0.205506772195405</v>
      </c>
      <c r="O238" s="108">
        <v>0.21106100928176699</v>
      </c>
      <c r="P238" s="108">
        <v>0.21661524636812901</v>
      </c>
      <c r="Q238" s="108">
        <v>0.231084741727246</v>
      </c>
      <c r="R238" s="108">
        <v>0.23686186027042699</v>
      </c>
      <c r="S238" s="108">
        <v>0.24263897881360799</v>
      </c>
      <c r="T238">
        <v>0.24841609735678899</v>
      </c>
      <c r="U238" s="99">
        <v>0.25419321589997002</v>
      </c>
      <c r="V238">
        <v>0.25997033444315099</v>
      </c>
      <c r="AD238" s="100">
        <v>100</v>
      </c>
    </row>
    <row r="239" spans="1:30" hidden="1" x14ac:dyDescent="0.25">
      <c r="A239" s="99" t="s">
        <v>254</v>
      </c>
      <c r="B239" s="100">
        <v>31</v>
      </c>
      <c r="C239" s="104"/>
      <c r="D239" s="104"/>
      <c r="E239" s="104"/>
      <c r="F239" s="104"/>
      <c r="G239" s="105"/>
      <c r="H239" s="105"/>
      <c r="I239" s="105"/>
      <c r="J239" s="105"/>
      <c r="K239" s="107"/>
      <c r="L239" s="107"/>
      <c r="M239" s="107">
        <v>0.19995253510904301</v>
      </c>
      <c r="N239" s="107">
        <v>0.205506772195405</v>
      </c>
      <c r="O239" s="108">
        <v>0.21106100928176699</v>
      </c>
      <c r="P239" s="108">
        <v>0.21661524636812901</v>
      </c>
      <c r="Q239" s="108">
        <v>0.231084741727246</v>
      </c>
      <c r="R239" s="108">
        <v>0.23686186027042699</v>
      </c>
      <c r="S239" s="108">
        <v>0.24263897881360799</v>
      </c>
      <c r="T239">
        <v>0.24841609735678899</v>
      </c>
      <c r="U239" s="99">
        <v>0.25419321589997002</v>
      </c>
      <c r="V239">
        <v>0.25997033444315099</v>
      </c>
      <c r="AD239" s="100">
        <v>100</v>
      </c>
    </row>
    <row r="240" spans="1:30" hidden="1" x14ac:dyDescent="0.25">
      <c r="A240" s="99" t="s">
        <v>142</v>
      </c>
      <c r="B240" s="100">
        <v>26</v>
      </c>
      <c r="C240" s="104"/>
      <c r="D240" s="104"/>
      <c r="E240" s="104"/>
      <c r="F240" s="104"/>
      <c r="G240" s="105"/>
      <c r="H240" s="105"/>
      <c r="I240" s="105"/>
      <c r="J240" s="105"/>
      <c r="K240" s="107"/>
      <c r="L240" s="107"/>
      <c r="M240" s="107">
        <v>0.19995253510904301</v>
      </c>
      <c r="N240" s="107">
        <v>0.205506772195405</v>
      </c>
      <c r="O240" s="108">
        <v>0.21106100928176699</v>
      </c>
      <c r="P240" s="108">
        <v>0.21661524636812901</v>
      </c>
      <c r="Q240" s="108">
        <v>0.231084741727246</v>
      </c>
      <c r="R240" s="108">
        <v>0.23686186027042699</v>
      </c>
      <c r="S240" s="108">
        <v>0.24263897881360799</v>
      </c>
      <c r="T240">
        <v>0.24841609735678899</v>
      </c>
      <c r="U240" s="57">
        <v>0.25419321589997002</v>
      </c>
      <c r="V240">
        <v>0.25997033444315099</v>
      </c>
      <c r="AD240" s="100">
        <v>100</v>
      </c>
    </row>
    <row r="241" spans="1:30" hidden="1" x14ac:dyDescent="0.25">
      <c r="A241" s="99" t="s">
        <v>142</v>
      </c>
      <c r="B241" s="100">
        <v>30</v>
      </c>
      <c r="C241" s="104"/>
      <c r="D241" s="104"/>
      <c r="E241" s="104"/>
      <c r="F241" s="104"/>
      <c r="G241" s="105"/>
      <c r="H241" s="105"/>
      <c r="I241" s="105"/>
      <c r="J241" s="105"/>
      <c r="K241" s="107"/>
      <c r="L241" s="107"/>
      <c r="M241" s="107">
        <v>0.19995253510904301</v>
      </c>
      <c r="N241" s="107">
        <v>0.205506772195405</v>
      </c>
      <c r="O241" s="108">
        <v>0.21106100928176699</v>
      </c>
      <c r="P241" s="108">
        <v>0.21661524636812901</v>
      </c>
      <c r="Q241" s="108">
        <v>0.231084741727246</v>
      </c>
      <c r="R241" s="108">
        <v>0.23686186027042699</v>
      </c>
      <c r="S241" s="108">
        <v>0.24263897881360799</v>
      </c>
      <c r="T241">
        <v>0.24841609735678899</v>
      </c>
      <c r="U241" s="99">
        <v>0.25419321589997002</v>
      </c>
      <c r="V241">
        <v>0.25997033444315099</v>
      </c>
      <c r="AD241" s="100">
        <v>100</v>
      </c>
    </row>
    <row r="242" spans="1:30" hidden="1" x14ac:dyDescent="0.25">
      <c r="A242" s="99" t="s">
        <v>142</v>
      </c>
      <c r="B242" s="100">
        <v>31</v>
      </c>
      <c r="C242" s="104"/>
      <c r="D242" s="104"/>
      <c r="E242" s="104"/>
      <c r="F242" s="104"/>
      <c r="G242" s="105"/>
      <c r="H242" s="105"/>
      <c r="I242" s="105"/>
      <c r="J242" s="105"/>
      <c r="K242" s="107"/>
      <c r="L242" s="107"/>
      <c r="M242" s="107">
        <v>0.19995253510904301</v>
      </c>
      <c r="N242" s="107">
        <v>0.205506772195405</v>
      </c>
      <c r="O242" s="108">
        <v>0.21106100928176699</v>
      </c>
      <c r="P242" s="108">
        <v>0.21661524636812901</v>
      </c>
      <c r="Q242" s="108">
        <v>0.231084741727246</v>
      </c>
      <c r="R242" s="108">
        <v>0.23686186027042699</v>
      </c>
      <c r="S242" s="108">
        <v>0.24263897881360799</v>
      </c>
      <c r="T242">
        <v>0.24841609735678899</v>
      </c>
      <c r="U242" s="99">
        <v>0.25419321589997002</v>
      </c>
      <c r="V242">
        <v>0.25997033444315099</v>
      </c>
      <c r="AD242" s="100">
        <v>100</v>
      </c>
    </row>
    <row r="243" spans="1:30" hidden="1" x14ac:dyDescent="0.25">
      <c r="A243" s="99" t="s">
        <v>255</v>
      </c>
      <c r="B243" s="100">
        <v>26</v>
      </c>
      <c r="C243" s="104"/>
      <c r="D243" s="104"/>
      <c r="E243" s="104"/>
      <c r="F243" s="104"/>
      <c r="G243" s="105"/>
      <c r="H243" s="105"/>
      <c r="I243" s="105"/>
      <c r="J243" s="105"/>
      <c r="K243" s="107"/>
      <c r="L243" s="107"/>
      <c r="M243" s="107">
        <v>0.19995253510904301</v>
      </c>
      <c r="N243" s="107">
        <v>0.205506772195405</v>
      </c>
      <c r="O243" s="108">
        <v>0.21106100928176699</v>
      </c>
      <c r="P243" s="108">
        <v>0.21661524636812901</v>
      </c>
      <c r="Q243" s="108">
        <v>0.231084741727246</v>
      </c>
      <c r="R243" s="108">
        <v>0.23686186027042699</v>
      </c>
      <c r="S243" s="108">
        <v>0.24263897881360799</v>
      </c>
      <c r="T243">
        <v>0.24841609735678899</v>
      </c>
      <c r="U243" s="99">
        <v>0.25419321589997002</v>
      </c>
      <c r="V243">
        <v>0.25997033444315099</v>
      </c>
      <c r="AD243" s="100">
        <v>100</v>
      </c>
    </row>
    <row r="244" spans="1:30" hidden="1" x14ac:dyDescent="0.25">
      <c r="A244" s="99" t="s">
        <v>255</v>
      </c>
      <c r="B244" s="100">
        <v>30</v>
      </c>
      <c r="C244" s="104"/>
      <c r="D244" s="104"/>
      <c r="E244" s="104"/>
      <c r="F244" s="104"/>
      <c r="G244" s="105"/>
      <c r="H244" s="105"/>
      <c r="I244" s="105"/>
      <c r="J244" s="105"/>
      <c r="K244" s="107"/>
      <c r="L244" s="107"/>
      <c r="M244" s="107">
        <v>0.19995253510904301</v>
      </c>
      <c r="N244" s="107">
        <v>0.205506772195405</v>
      </c>
      <c r="O244" s="108">
        <v>0.21106100928176699</v>
      </c>
      <c r="P244" s="108">
        <v>0.21661524636812901</v>
      </c>
      <c r="Q244" s="108">
        <v>0.231084741727246</v>
      </c>
      <c r="R244" s="108">
        <v>0.23686186027042699</v>
      </c>
      <c r="S244" s="108">
        <v>0.24263897881360799</v>
      </c>
      <c r="T244">
        <v>0.24841609735678899</v>
      </c>
      <c r="U244" s="99">
        <v>0.25419321589997002</v>
      </c>
      <c r="V244">
        <v>0.25997033444315099</v>
      </c>
      <c r="AD244" s="100">
        <v>100</v>
      </c>
    </row>
    <row r="245" spans="1:30" hidden="1" x14ac:dyDescent="0.25">
      <c r="A245" s="99" t="s">
        <v>255</v>
      </c>
      <c r="B245" s="100">
        <v>31</v>
      </c>
      <c r="C245" s="104"/>
      <c r="D245" s="104"/>
      <c r="E245" s="104"/>
      <c r="F245" s="104"/>
      <c r="G245" s="105"/>
      <c r="H245" s="105"/>
      <c r="I245" s="105"/>
      <c r="J245" s="105"/>
      <c r="K245" s="107"/>
      <c r="L245" s="107"/>
      <c r="M245" s="107">
        <v>0.19995253510904301</v>
      </c>
      <c r="N245" s="107">
        <v>0.205506772195405</v>
      </c>
      <c r="O245" s="108">
        <v>0.21106100928176699</v>
      </c>
      <c r="P245" s="108">
        <v>0.21661524636812901</v>
      </c>
      <c r="Q245" s="108">
        <v>0.231084741727246</v>
      </c>
      <c r="R245" s="108">
        <v>0.23686186027042699</v>
      </c>
      <c r="S245" s="108">
        <v>0.24263897881360799</v>
      </c>
      <c r="T245">
        <v>0.24841609735678899</v>
      </c>
      <c r="U245" s="99">
        <v>0.25419321589997002</v>
      </c>
      <c r="V245">
        <v>0.25997033444315099</v>
      </c>
      <c r="AD245" s="100">
        <v>100</v>
      </c>
    </row>
    <row r="246" spans="1:30" hidden="1" x14ac:dyDescent="0.25">
      <c r="A246" s="99" t="s">
        <v>431</v>
      </c>
      <c r="B246" s="100">
        <v>26</v>
      </c>
      <c r="C246" s="104"/>
      <c r="D246" s="104"/>
      <c r="E246" s="104"/>
      <c r="F246" s="104"/>
      <c r="G246" s="105"/>
      <c r="H246" s="105"/>
      <c r="I246" s="105"/>
      <c r="J246" s="105"/>
      <c r="K246" s="107"/>
      <c r="L246" s="107"/>
      <c r="M246" s="107">
        <v>0.19995253510904301</v>
      </c>
      <c r="N246" s="107">
        <v>0.205506772195405</v>
      </c>
      <c r="O246" s="108">
        <v>0.21106100928176699</v>
      </c>
      <c r="P246" s="108">
        <v>0.21661524636812901</v>
      </c>
      <c r="Q246" s="108">
        <v>0.231084741727246</v>
      </c>
      <c r="R246" s="108">
        <v>0.23686186027042699</v>
      </c>
      <c r="S246" s="108">
        <v>0.24263897881360799</v>
      </c>
      <c r="T246">
        <v>0.24841609735678899</v>
      </c>
      <c r="U246" s="99">
        <v>0.25419321589997002</v>
      </c>
      <c r="V246">
        <v>0.25997033444315099</v>
      </c>
      <c r="AD246" s="100">
        <v>100</v>
      </c>
    </row>
    <row r="247" spans="1:30" hidden="1" x14ac:dyDescent="0.25">
      <c r="A247" s="99" t="s">
        <v>431</v>
      </c>
      <c r="B247" s="100">
        <v>30</v>
      </c>
      <c r="C247" s="104"/>
      <c r="D247" s="104"/>
      <c r="E247" s="104"/>
      <c r="F247" s="104"/>
      <c r="G247" s="105"/>
      <c r="H247" s="105"/>
      <c r="I247" s="105"/>
      <c r="J247" s="105"/>
      <c r="K247" s="107"/>
      <c r="L247" s="107"/>
      <c r="M247" s="107">
        <v>0.19995253510904301</v>
      </c>
      <c r="N247" s="107">
        <v>0.205506772195405</v>
      </c>
      <c r="O247" s="108">
        <v>0.21106100928176699</v>
      </c>
      <c r="P247" s="108">
        <v>0.21661524636812901</v>
      </c>
      <c r="Q247" s="108">
        <v>0.231084741727246</v>
      </c>
      <c r="R247" s="108">
        <v>0.23686186027042699</v>
      </c>
      <c r="S247" s="108">
        <v>0.24263897881360799</v>
      </c>
      <c r="T247">
        <v>0.24841609735678899</v>
      </c>
      <c r="U247" s="99">
        <v>0.25419321589997002</v>
      </c>
      <c r="V247">
        <v>0.25997033444315099</v>
      </c>
      <c r="AD247" s="100">
        <v>100</v>
      </c>
    </row>
    <row r="248" spans="1:30" hidden="1" x14ac:dyDescent="0.25">
      <c r="A248" s="99" t="s">
        <v>431</v>
      </c>
      <c r="B248" s="100">
        <v>31</v>
      </c>
      <c r="C248" s="104"/>
      <c r="D248" s="104"/>
      <c r="E248" s="104"/>
      <c r="F248" s="104"/>
      <c r="G248" s="105"/>
      <c r="H248" s="105"/>
      <c r="I248" s="105"/>
      <c r="J248" s="105"/>
      <c r="K248" s="107"/>
      <c r="L248" s="107"/>
      <c r="M248" s="107">
        <v>0.19995253510904301</v>
      </c>
      <c r="N248" s="107">
        <v>0.205506772195405</v>
      </c>
      <c r="O248" s="108">
        <v>0.21106100928176699</v>
      </c>
      <c r="P248" s="108">
        <v>0.21661524636812901</v>
      </c>
      <c r="Q248" s="108">
        <v>0.231084741727246</v>
      </c>
      <c r="R248" s="108">
        <v>0.23686186027042699</v>
      </c>
      <c r="S248" s="108">
        <v>0.24263897881360799</v>
      </c>
      <c r="T248">
        <v>0.24841609735678899</v>
      </c>
      <c r="U248" s="99">
        <v>0.25419321589997002</v>
      </c>
      <c r="V248">
        <v>0.25997033444315099</v>
      </c>
      <c r="AD248" s="100">
        <v>100</v>
      </c>
    </row>
    <row r="249" spans="1:30" hidden="1" x14ac:dyDescent="0.25">
      <c r="A249" s="99" t="s">
        <v>256</v>
      </c>
      <c r="B249" s="100">
        <v>26</v>
      </c>
      <c r="C249" s="104"/>
      <c r="D249" s="104"/>
      <c r="E249" s="104"/>
      <c r="F249" s="104"/>
      <c r="G249" s="105"/>
      <c r="H249" s="105"/>
      <c r="I249" s="105"/>
      <c r="J249" s="105"/>
      <c r="K249" s="107"/>
      <c r="L249" s="107"/>
      <c r="M249" s="107">
        <v>0.19995253510904301</v>
      </c>
      <c r="N249" s="107">
        <v>0.205506772195405</v>
      </c>
      <c r="O249" s="108">
        <v>0.21106100928176699</v>
      </c>
      <c r="P249" s="108">
        <v>0.21661524636812901</v>
      </c>
      <c r="Q249" s="108">
        <v>0.231084741727246</v>
      </c>
      <c r="R249" s="108">
        <v>0.23686186027042699</v>
      </c>
      <c r="S249" s="108">
        <v>0.24263897881360799</v>
      </c>
      <c r="T249">
        <v>0.24841609735678899</v>
      </c>
      <c r="U249" s="99">
        <v>0.25419321589997002</v>
      </c>
      <c r="V249">
        <v>0.25997033444315099</v>
      </c>
      <c r="AD249" s="100">
        <v>100</v>
      </c>
    </row>
    <row r="250" spans="1:30" hidden="1" x14ac:dyDescent="0.25">
      <c r="A250" s="99" t="s">
        <v>256</v>
      </c>
      <c r="B250" s="100">
        <v>30</v>
      </c>
      <c r="C250" s="104"/>
      <c r="D250" s="104"/>
      <c r="E250" s="104"/>
      <c r="F250" s="104"/>
      <c r="G250" s="105"/>
      <c r="H250" s="105"/>
      <c r="I250" s="105"/>
      <c r="J250" s="105"/>
      <c r="K250" s="107"/>
      <c r="L250" s="107"/>
      <c r="M250" s="107">
        <v>0.19995253510904301</v>
      </c>
      <c r="N250" s="107">
        <v>0.205506772195405</v>
      </c>
      <c r="O250" s="108">
        <v>0.21106100928176699</v>
      </c>
      <c r="P250" s="108">
        <v>0.21661524636812901</v>
      </c>
      <c r="Q250" s="108">
        <v>0.231084741727246</v>
      </c>
      <c r="R250" s="108">
        <v>0.23686186027042699</v>
      </c>
      <c r="S250" s="108">
        <v>0.24263897881360799</v>
      </c>
      <c r="T250">
        <v>0.24841609735678899</v>
      </c>
      <c r="U250" s="99">
        <v>0.25419321589997002</v>
      </c>
      <c r="V250">
        <v>0.25997033444315099</v>
      </c>
      <c r="AD250" s="100">
        <v>100</v>
      </c>
    </row>
    <row r="251" spans="1:30" hidden="1" x14ac:dyDescent="0.25">
      <c r="A251" s="99" t="s">
        <v>256</v>
      </c>
      <c r="B251" s="100">
        <v>31</v>
      </c>
      <c r="C251" s="104"/>
      <c r="D251" s="104"/>
      <c r="E251" s="104"/>
      <c r="F251" s="104"/>
      <c r="G251" s="105"/>
      <c r="H251" s="105"/>
      <c r="I251" s="105"/>
      <c r="J251" s="105"/>
      <c r="K251" s="107"/>
      <c r="L251" s="107"/>
      <c r="M251" s="107">
        <v>0.19995253510904301</v>
      </c>
      <c r="N251" s="107">
        <v>0.205506772195405</v>
      </c>
      <c r="O251" s="108">
        <v>0.21106100928176699</v>
      </c>
      <c r="P251" s="108">
        <v>0.21661524636812901</v>
      </c>
      <c r="Q251" s="108">
        <v>0.231084741727246</v>
      </c>
      <c r="R251" s="108">
        <v>0.23686186027042699</v>
      </c>
      <c r="S251" s="108">
        <v>0.24263897881360799</v>
      </c>
      <c r="T251">
        <v>0.24841609735678899</v>
      </c>
      <c r="U251" s="99">
        <v>0.25419321589997002</v>
      </c>
      <c r="V251">
        <v>0.25997033444315099</v>
      </c>
      <c r="AD251" s="100">
        <v>100</v>
      </c>
    </row>
    <row r="252" spans="1:30" hidden="1" x14ac:dyDescent="0.25">
      <c r="A252" s="99" t="s">
        <v>258</v>
      </c>
      <c r="B252" s="100">
        <v>26</v>
      </c>
      <c r="C252" s="104"/>
      <c r="D252" s="104"/>
      <c r="E252" s="104"/>
      <c r="F252" s="104"/>
      <c r="G252" s="105"/>
      <c r="H252" s="105"/>
      <c r="I252" s="105"/>
      <c r="J252" s="105"/>
      <c r="K252" s="107"/>
      <c r="L252" s="107"/>
      <c r="M252" s="107">
        <v>0.19995253510904301</v>
      </c>
      <c r="N252" s="107">
        <v>0.205506772195405</v>
      </c>
      <c r="O252" s="108">
        <v>0.21106100928176699</v>
      </c>
      <c r="P252" s="108">
        <v>0.21661524636812901</v>
      </c>
      <c r="Q252" s="108">
        <v>0.231084741727246</v>
      </c>
      <c r="R252" s="108">
        <v>0.23686186027042699</v>
      </c>
      <c r="S252" s="108">
        <v>0.24263897881360799</v>
      </c>
      <c r="T252">
        <v>0.24841609735678899</v>
      </c>
      <c r="U252" s="99">
        <v>0.25419321589997002</v>
      </c>
      <c r="V252">
        <v>0.25997033444315099</v>
      </c>
      <c r="AD252" s="100">
        <v>100</v>
      </c>
    </row>
    <row r="253" spans="1:30" hidden="1" x14ac:dyDescent="0.25">
      <c r="A253" s="99" t="s">
        <v>258</v>
      </c>
      <c r="B253" s="100">
        <v>30</v>
      </c>
      <c r="C253" s="104"/>
      <c r="D253" s="104">
        <v>0.14996440133178199</v>
      </c>
      <c r="E253" s="104">
        <v>0.15551863841814401</v>
      </c>
      <c r="F253" s="104">
        <v>0.161072875504506</v>
      </c>
      <c r="G253" s="105">
        <v>0.16662711259086899</v>
      </c>
      <c r="H253" s="105">
        <v>0.172181349677231</v>
      </c>
      <c r="I253" s="105"/>
      <c r="J253" s="105"/>
      <c r="K253" s="107"/>
      <c r="L253" s="107"/>
      <c r="M253" s="107"/>
      <c r="N253" s="107"/>
      <c r="O253" s="108"/>
      <c r="P253" s="108"/>
      <c r="Q253" s="108"/>
      <c r="R253" s="108"/>
      <c r="S253" s="108"/>
      <c r="U253" s="99"/>
      <c r="AD253" s="100">
        <v>100</v>
      </c>
    </row>
    <row r="254" spans="1:30" hidden="1" x14ac:dyDescent="0.25">
      <c r="A254" s="99" t="s">
        <v>258</v>
      </c>
      <c r="B254" s="100">
        <v>31</v>
      </c>
      <c r="C254" s="104"/>
      <c r="D254" s="104"/>
      <c r="E254" s="104"/>
      <c r="F254" s="104"/>
      <c r="G254" s="105"/>
      <c r="H254" s="105"/>
      <c r="I254" s="105"/>
      <c r="J254" s="105"/>
      <c r="K254" s="107"/>
      <c r="L254" s="107"/>
      <c r="M254" s="107"/>
      <c r="N254" s="107"/>
      <c r="O254" s="108"/>
      <c r="P254" s="108"/>
      <c r="Q254" s="108"/>
      <c r="R254" s="108"/>
      <c r="S254" s="108"/>
      <c r="U254" s="57"/>
      <c r="X254">
        <v>0.27152457152951398</v>
      </c>
      <c r="Y254">
        <v>0.27730169007269501</v>
      </c>
      <c r="Z254">
        <v>0.28307880861587598</v>
      </c>
      <c r="AA254">
        <v>0.288855927159057</v>
      </c>
      <c r="AB254">
        <v>0.29463304570223797</v>
      </c>
      <c r="AC254">
        <v>0.300410164245419</v>
      </c>
      <c r="AD254" s="100">
        <v>100</v>
      </c>
    </row>
    <row r="255" spans="1:30" hidden="1" x14ac:dyDescent="0.25">
      <c r="A255" s="99" t="s">
        <v>1127</v>
      </c>
      <c r="B255" s="100">
        <v>26</v>
      </c>
      <c r="C255" s="104"/>
      <c r="D255" s="104"/>
      <c r="E255" s="104"/>
      <c r="F255" s="104"/>
      <c r="G255" s="105"/>
      <c r="H255" s="105"/>
      <c r="I255" s="105"/>
      <c r="J255" s="105"/>
      <c r="K255" s="107"/>
      <c r="L255" s="107"/>
      <c r="M255" s="107">
        <v>0.19995253510904301</v>
      </c>
      <c r="N255" s="107">
        <v>0.205506772195405</v>
      </c>
      <c r="O255" s="108">
        <v>0.21106100928176699</v>
      </c>
      <c r="P255" s="108">
        <v>0.21661524636812901</v>
      </c>
      <c r="Q255" s="108">
        <v>0.231084741727246</v>
      </c>
      <c r="R255" s="108">
        <v>0.23686186027042699</v>
      </c>
      <c r="S255" s="108">
        <v>0.24263897881360799</v>
      </c>
      <c r="T255">
        <v>0.24841609735678899</v>
      </c>
      <c r="U255" s="99">
        <v>0.25419321589997002</v>
      </c>
      <c r="V255">
        <v>0.25997033444315099</v>
      </c>
      <c r="AD255" s="100">
        <v>100</v>
      </c>
    </row>
    <row r="256" spans="1:30" hidden="1" x14ac:dyDescent="0.25">
      <c r="A256" s="99" t="s">
        <v>1127</v>
      </c>
      <c r="B256" s="100">
        <v>30</v>
      </c>
      <c r="C256" s="104"/>
      <c r="D256" s="104"/>
      <c r="E256" s="104"/>
      <c r="F256" s="104"/>
      <c r="G256" s="105"/>
      <c r="H256" s="105"/>
      <c r="I256" s="105"/>
      <c r="J256" s="105"/>
      <c r="K256" s="107"/>
      <c r="L256" s="107"/>
      <c r="M256" s="107"/>
      <c r="N256" s="107"/>
      <c r="O256" s="108"/>
      <c r="P256" s="108"/>
      <c r="Q256" s="108">
        <v>0.231084741727246</v>
      </c>
      <c r="R256" s="108">
        <v>0.23686186027042699</v>
      </c>
      <c r="S256" s="108">
        <v>0.24263897881360799</v>
      </c>
      <c r="T256">
        <v>0.24841609735678899</v>
      </c>
      <c r="U256" s="99">
        <v>0.25419321589997002</v>
      </c>
      <c r="V256">
        <v>0.25997033444315099</v>
      </c>
      <c r="AD256" s="100">
        <v>100</v>
      </c>
    </row>
    <row r="257" spans="1:30" hidden="1" x14ac:dyDescent="0.25">
      <c r="A257" s="99" t="s">
        <v>1127</v>
      </c>
      <c r="B257" s="100">
        <v>31</v>
      </c>
      <c r="C257" s="104"/>
      <c r="D257" s="104"/>
      <c r="E257" s="104"/>
      <c r="F257" s="104"/>
      <c r="G257" s="105"/>
      <c r="H257" s="105"/>
      <c r="I257" s="105"/>
      <c r="J257" s="105"/>
      <c r="K257" s="107"/>
      <c r="L257" s="107"/>
      <c r="M257" s="107">
        <v>0.19995253510904301</v>
      </c>
      <c r="N257" s="107">
        <v>0.205506772195405</v>
      </c>
      <c r="O257" s="108">
        <v>0.21106100928176699</v>
      </c>
      <c r="P257" s="108">
        <v>0.21661524636812901</v>
      </c>
      <c r="Q257" s="108">
        <v>0.231084741727246</v>
      </c>
      <c r="R257" s="108">
        <v>0.23686186027042699</v>
      </c>
      <c r="S257" s="108">
        <v>0.24263897881360799</v>
      </c>
      <c r="T257">
        <v>0.24841609735678899</v>
      </c>
      <c r="U257" s="99">
        <v>0.25419321589997002</v>
      </c>
      <c r="V257">
        <v>0.25997033444315099</v>
      </c>
      <c r="AD257" s="100">
        <v>100</v>
      </c>
    </row>
    <row r="258" spans="1:30" hidden="1" x14ac:dyDescent="0.25">
      <c r="A258" s="99" t="s">
        <v>1129</v>
      </c>
      <c r="B258" s="100">
        <v>26</v>
      </c>
      <c r="C258" s="104"/>
      <c r="D258" s="104"/>
      <c r="E258" s="104"/>
      <c r="F258" s="104"/>
      <c r="G258" s="105"/>
      <c r="H258" s="105"/>
      <c r="I258" s="105">
        <v>0.177735586763593</v>
      </c>
      <c r="J258" s="105">
        <v>0.18328982384995601</v>
      </c>
      <c r="K258" s="107">
        <v>0.188844060936318</v>
      </c>
      <c r="L258" s="107">
        <v>0.19439829802267999</v>
      </c>
      <c r="M258" s="107">
        <v>0.19995253510904301</v>
      </c>
      <c r="N258" s="107">
        <v>0.205506772195405</v>
      </c>
      <c r="O258" s="108">
        <v>0.21106100928176699</v>
      </c>
      <c r="P258" s="108">
        <v>0.21661524636812901</v>
      </c>
      <c r="Q258" s="108"/>
      <c r="R258" s="108"/>
      <c r="S258" s="108"/>
      <c r="U258" s="99"/>
      <c r="AD258" s="100">
        <v>100</v>
      </c>
    </row>
    <row r="259" spans="1:30" hidden="1" x14ac:dyDescent="0.25">
      <c r="A259" s="99" t="s">
        <v>1129</v>
      </c>
      <c r="B259" s="100">
        <v>30</v>
      </c>
      <c r="C259" s="104"/>
      <c r="D259" s="104"/>
      <c r="E259" s="104"/>
      <c r="F259" s="104"/>
      <c r="G259" s="105"/>
      <c r="H259" s="105"/>
      <c r="I259" s="105">
        <v>0.177735586763593</v>
      </c>
      <c r="J259" s="105">
        <v>0.18328982384995601</v>
      </c>
      <c r="K259" s="107">
        <v>0.188844060936318</v>
      </c>
      <c r="L259" s="107">
        <v>0.19439829802267999</v>
      </c>
      <c r="M259" s="107">
        <v>0.19995253510904301</v>
      </c>
      <c r="N259" s="107">
        <v>0.205506772195405</v>
      </c>
      <c r="O259" s="108">
        <v>0.21106100928176699</v>
      </c>
      <c r="P259" s="108">
        <v>0.21661524636812901</v>
      </c>
      <c r="Q259" s="108"/>
      <c r="R259" s="108"/>
      <c r="S259" s="108"/>
      <c r="U259" s="99"/>
      <c r="AD259" s="100">
        <v>100</v>
      </c>
    </row>
    <row r="260" spans="1:30" hidden="1" x14ac:dyDescent="0.25">
      <c r="A260" s="99" t="s">
        <v>1129</v>
      </c>
      <c r="B260" s="100">
        <v>31</v>
      </c>
      <c r="C260" s="104"/>
      <c r="D260" s="104"/>
      <c r="E260" s="104"/>
      <c r="F260" s="104"/>
      <c r="G260" s="105"/>
      <c r="H260" s="105"/>
      <c r="I260" s="105">
        <v>0.177735586763593</v>
      </c>
      <c r="J260" s="105">
        <v>0.18328982384995601</v>
      </c>
      <c r="K260" s="107">
        <v>0.188844060936318</v>
      </c>
      <c r="L260" s="107">
        <v>0.19439829802267999</v>
      </c>
      <c r="M260" s="107">
        <v>0.19995253510904301</v>
      </c>
      <c r="N260" s="107">
        <v>0.205506772195405</v>
      </c>
      <c r="O260" s="108">
        <v>0.21106100928176699</v>
      </c>
      <c r="P260" s="108">
        <v>0.21661524636812901</v>
      </c>
      <c r="Q260" s="108"/>
      <c r="R260" s="108"/>
      <c r="S260" s="108"/>
      <c r="U260" s="99"/>
      <c r="AD260" s="100">
        <v>100</v>
      </c>
    </row>
    <row r="261" spans="1:30" hidden="1" x14ac:dyDescent="0.25">
      <c r="A261" s="99" t="s">
        <v>436</v>
      </c>
      <c r="B261" s="100">
        <v>26</v>
      </c>
      <c r="C261" s="104"/>
      <c r="D261" s="104">
        <v>0.14996440133178199</v>
      </c>
      <c r="E261" s="104">
        <v>0.15551863841814401</v>
      </c>
      <c r="F261" s="104">
        <v>0.161072875504506</v>
      </c>
      <c r="G261" s="105">
        <v>0.16662711259086899</v>
      </c>
      <c r="H261" s="105">
        <v>0.172181349677231</v>
      </c>
      <c r="I261" s="105">
        <v>0.177735586763593</v>
      </c>
      <c r="J261" s="105">
        <v>0.18328982384995601</v>
      </c>
      <c r="K261" s="107"/>
      <c r="L261" s="107"/>
      <c r="M261" s="107"/>
      <c r="N261" s="107"/>
      <c r="O261" s="108"/>
      <c r="P261" s="108"/>
      <c r="Q261" s="108"/>
      <c r="R261" s="108"/>
      <c r="S261" s="108"/>
      <c r="U261" s="99"/>
      <c r="AD261" s="100">
        <v>100</v>
      </c>
    </row>
    <row r="262" spans="1:30" hidden="1" x14ac:dyDescent="0.25">
      <c r="A262" s="99" t="s">
        <v>436</v>
      </c>
      <c r="B262" s="100">
        <v>30</v>
      </c>
      <c r="C262" s="104"/>
      <c r="D262" s="104">
        <v>0.14996440133178199</v>
      </c>
      <c r="E262" s="104">
        <v>0.15551863841814401</v>
      </c>
      <c r="F262" s="104">
        <v>0.161072875504506</v>
      </c>
      <c r="G262" s="105">
        <v>0.16662711259086899</v>
      </c>
      <c r="H262" s="105">
        <v>0.172181349677231</v>
      </c>
      <c r="I262" s="105">
        <v>0.177735586763593</v>
      </c>
      <c r="J262" s="105">
        <v>0.18328982384995601</v>
      </c>
      <c r="K262" s="107"/>
      <c r="L262" s="107"/>
      <c r="M262" s="107"/>
      <c r="N262" s="107"/>
      <c r="O262" s="108"/>
      <c r="P262" s="108"/>
      <c r="Q262" s="108"/>
      <c r="R262" s="108"/>
      <c r="S262" s="108"/>
      <c r="U262" s="99"/>
      <c r="AD262" s="100">
        <v>100</v>
      </c>
    </row>
    <row r="263" spans="1:30" hidden="1" x14ac:dyDescent="0.25">
      <c r="A263" s="99" t="s">
        <v>436</v>
      </c>
      <c r="B263" s="100">
        <v>31</v>
      </c>
      <c r="C263" s="104"/>
      <c r="D263" s="104">
        <v>0.14996440133178199</v>
      </c>
      <c r="E263" s="104">
        <v>0.15551863841814401</v>
      </c>
      <c r="F263" s="104">
        <v>0.161072875504506</v>
      </c>
      <c r="G263" s="105">
        <v>0.16662711259086899</v>
      </c>
      <c r="H263" s="105">
        <v>0.172181349677231</v>
      </c>
      <c r="I263" s="105">
        <v>0.177735586763593</v>
      </c>
      <c r="J263" s="105">
        <v>0.18328982384995601</v>
      </c>
      <c r="K263" s="107"/>
      <c r="L263" s="107"/>
      <c r="M263" s="107"/>
      <c r="N263" s="107"/>
      <c r="O263" s="108"/>
      <c r="P263" s="108"/>
      <c r="Q263" s="108"/>
      <c r="R263" s="108"/>
      <c r="S263" s="108"/>
      <c r="T263">
        <v>0.24841609735678899</v>
      </c>
      <c r="U263" s="57">
        <v>0.25419321589997002</v>
      </c>
      <c r="V263">
        <v>0.25997033444315099</v>
      </c>
      <c r="AD263" s="100">
        <v>100</v>
      </c>
    </row>
    <row r="264" spans="1:30" hidden="1" x14ac:dyDescent="0.25">
      <c r="A264" s="99" t="s">
        <v>259</v>
      </c>
      <c r="B264" s="100">
        <v>26</v>
      </c>
      <c r="C264" s="104"/>
      <c r="D264" s="104">
        <v>0.14996440133178199</v>
      </c>
      <c r="E264" s="104">
        <v>0.15551863841814401</v>
      </c>
      <c r="F264" s="104">
        <v>0.161072875504506</v>
      </c>
      <c r="G264" s="105">
        <v>0.16662711259086899</v>
      </c>
      <c r="H264" s="105">
        <v>0.172181349677231</v>
      </c>
      <c r="I264" s="105">
        <v>0.177735586763593</v>
      </c>
      <c r="J264" s="105">
        <v>0.18328982384995601</v>
      </c>
      <c r="K264" s="107"/>
      <c r="L264" s="107"/>
      <c r="M264" s="107"/>
      <c r="N264" s="107"/>
      <c r="O264" s="108"/>
      <c r="P264" s="108"/>
      <c r="Q264" s="108"/>
      <c r="R264" s="108"/>
      <c r="S264" s="108"/>
      <c r="U264" s="99"/>
      <c r="AD264" s="100">
        <v>100</v>
      </c>
    </row>
    <row r="265" spans="1:30" hidden="1" x14ac:dyDescent="0.25">
      <c r="A265" s="99" t="s">
        <v>259</v>
      </c>
      <c r="B265" s="100">
        <v>30</v>
      </c>
      <c r="C265" s="104"/>
      <c r="D265" s="104">
        <v>0.14996440133178199</v>
      </c>
      <c r="E265" s="104">
        <v>0.15551863841814401</v>
      </c>
      <c r="F265" s="104">
        <v>0.161072875504506</v>
      </c>
      <c r="G265" s="105">
        <v>0.16662711259086899</v>
      </c>
      <c r="H265" s="105">
        <v>0.172181349677231</v>
      </c>
      <c r="I265" s="105">
        <v>0.177735586763593</v>
      </c>
      <c r="J265" s="105">
        <v>0.18328982384995601</v>
      </c>
      <c r="K265" s="107"/>
      <c r="L265" s="107"/>
      <c r="M265" s="107"/>
      <c r="N265" s="107"/>
      <c r="O265" s="108"/>
      <c r="P265" s="108"/>
      <c r="Q265" s="108"/>
      <c r="R265" s="108"/>
      <c r="S265" s="108"/>
      <c r="U265" s="99"/>
      <c r="AD265" s="100">
        <v>100</v>
      </c>
    </row>
    <row r="266" spans="1:30" hidden="1" x14ac:dyDescent="0.25">
      <c r="A266" s="99" t="s">
        <v>259</v>
      </c>
      <c r="B266" s="100">
        <v>31</v>
      </c>
      <c r="C266" s="104"/>
      <c r="D266" s="104">
        <v>0.14996440133178199</v>
      </c>
      <c r="E266" s="104">
        <v>0.15551863841814401</v>
      </c>
      <c r="F266" s="104">
        <v>0.161072875504506</v>
      </c>
      <c r="G266" s="105">
        <v>0.16662711259086899</v>
      </c>
      <c r="H266" s="105">
        <v>0.172181349677231</v>
      </c>
      <c r="I266" s="105">
        <v>0.177735586763593</v>
      </c>
      <c r="J266" s="105">
        <v>0.18328982384995601</v>
      </c>
      <c r="K266" s="107"/>
      <c r="L266" s="107"/>
      <c r="M266" s="107"/>
      <c r="N266" s="107"/>
      <c r="O266" s="108"/>
      <c r="P266" s="108"/>
      <c r="Q266" s="108"/>
      <c r="R266" s="108"/>
      <c r="S266" s="108"/>
      <c r="T266">
        <v>0.24841609735678899</v>
      </c>
      <c r="U266" s="57">
        <v>0.25419321589997002</v>
      </c>
      <c r="V266">
        <v>0.25997033444315099</v>
      </c>
      <c r="AD266" s="100">
        <v>100</v>
      </c>
    </row>
    <row r="267" spans="1:30" hidden="1" x14ac:dyDescent="0.25">
      <c r="A267" s="99" t="s">
        <v>1148</v>
      </c>
      <c r="B267" s="100">
        <v>25</v>
      </c>
      <c r="C267" s="104"/>
      <c r="D267" s="104"/>
      <c r="E267" s="104"/>
      <c r="F267" s="104"/>
      <c r="G267" s="105"/>
      <c r="H267" s="105"/>
      <c r="I267" s="105"/>
      <c r="J267" s="105"/>
      <c r="K267" s="107"/>
      <c r="L267" s="107"/>
      <c r="M267" s="107"/>
      <c r="N267" s="107"/>
      <c r="O267" s="108"/>
      <c r="P267" s="108"/>
      <c r="Q267" s="108"/>
      <c r="R267" s="108">
        <v>0.59501250000000006</v>
      </c>
      <c r="S267" s="108">
        <v>0.60952499999999998</v>
      </c>
      <c r="T267">
        <v>0.62403750000000002</v>
      </c>
      <c r="U267" s="39">
        <v>0.63854999999999995</v>
      </c>
      <c r="V267">
        <v>0.65306249999999999</v>
      </c>
      <c r="AD267" s="100">
        <v>100</v>
      </c>
    </row>
    <row r="268" spans="1:30" hidden="1" x14ac:dyDescent="0.25">
      <c r="A268" s="99" t="s">
        <v>1151</v>
      </c>
      <c r="B268" s="100">
        <v>25</v>
      </c>
      <c r="C268" s="104"/>
      <c r="D268" s="104"/>
      <c r="E268" s="104"/>
      <c r="F268" s="104"/>
      <c r="G268" s="105"/>
      <c r="H268" s="105"/>
      <c r="I268" s="105">
        <v>0.43680000000000002</v>
      </c>
      <c r="J268" s="105">
        <v>0.45045000000000002</v>
      </c>
      <c r="K268" s="107">
        <v>0.46410000000000001</v>
      </c>
      <c r="L268" s="107">
        <v>0.47775000000000001</v>
      </c>
      <c r="M268" s="107">
        <v>0.4914</v>
      </c>
      <c r="N268" s="107">
        <v>0.50505</v>
      </c>
      <c r="O268" s="108">
        <v>0.51870000000000005</v>
      </c>
      <c r="P268" s="108">
        <v>0.53234999999999999</v>
      </c>
      <c r="Q268" s="108">
        <v>0.58050000000000002</v>
      </c>
      <c r="R268" s="108">
        <v>0.59501250000000006</v>
      </c>
      <c r="S268" s="108">
        <v>0.60952499999999998</v>
      </c>
      <c r="T268">
        <v>0.62403750000000002</v>
      </c>
      <c r="U268" s="99">
        <v>0.63854999999999995</v>
      </c>
      <c r="V268">
        <v>0.65306249999999999</v>
      </c>
      <c r="AD268" s="100">
        <v>100</v>
      </c>
    </row>
    <row r="269" spans="1:30" hidden="1" x14ac:dyDescent="0.25">
      <c r="A269" s="99" t="s">
        <v>145</v>
      </c>
      <c r="B269" s="100">
        <v>25</v>
      </c>
      <c r="C269" s="104"/>
      <c r="D269" s="104"/>
      <c r="E269" s="104"/>
      <c r="F269" s="104"/>
      <c r="G269" s="105"/>
      <c r="H269" s="105"/>
      <c r="I269" s="105"/>
      <c r="J269" s="105">
        <v>0.45045000000000002</v>
      </c>
      <c r="K269" s="107">
        <v>0.46410000000000001</v>
      </c>
      <c r="L269" s="107">
        <v>0.47775000000000001</v>
      </c>
      <c r="M269" s="107">
        <v>0.4914</v>
      </c>
      <c r="N269" s="107">
        <v>0.50505</v>
      </c>
      <c r="O269" s="108">
        <v>0.51870000000000005</v>
      </c>
      <c r="P269" s="108">
        <v>0.53234999999999999</v>
      </c>
      <c r="Q269" s="108"/>
      <c r="R269" s="108"/>
      <c r="S269" s="108"/>
      <c r="U269" s="99"/>
      <c r="AD269" s="100">
        <v>100</v>
      </c>
    </row>
    <row r="270" spans="1:30" hidden="1" x14ac:dyDescent="0.25">
      <c r="A270" s="99" t="s">
        <v>262</v>
      </c>
      <c r="B270" s="100">
        <v>25</v>
      </c>
      <c r="C270" s="104"/>
      <c r="D270" s="104"/>
      <c r="E270" s="104"/>
      <c r="F270" s="104"/>
      <c r="G270" s="105"/>
      <c r="H270" s="105"/>
      <c r="I270" s="105"/>
      <c r="J270" s="105">
        <v>0.45045000000000002</v>
      </c>
      <c r="K270" s="107">
        <v>0.46410000000000001</v>
      </c>
      <c r="L270" s="107">
        <v>0.47775000000000001</v>
      </c>
      <c r="M270" s="107">
        <v>0.4914</v>
      </c>
      <c r="N270" s="107">
        <v>0.50505</v>
      </c>
      <c r="O270" s="108">
        <v>0.51870000000000005</v>
      </c>
      <c r="P270" s="108">
        <v>0.53234999999999999</v>
      </c>
      <c r="Q270" s="108"/>
      <c r="R270" s="108"/>
      <c r="S270" s="108"/>
      <c r="U270" s="99"/>
      <c r="AD270" s="100">
        <v>100</v>
      </c>
    </row>
    <row r="271" spans="1:30" hidden="1" x14ac:dyDescent="0.25">
      <c r="A271" s="99" t="s">
        <v>146</v>
      </c>
      <c r="B271" s="100">
        <v>25</v>
      </c>
      <c r="C271" s="104"/>
      <c r="D271" s="104"/>
      <c r="E271" s="104"/>
      <c r="F271" s="104"/>
      <c r="G271" s="105"/>
      <c r="H271" s="105"/>
      <c r="I271" s="105"/>
      <c r="J271" s="105">
        <v>0.45045000000000002</v>
      </c>
      <c r="K271" s="107">
        <v>0.46410000000000001</v>
      </c>
      <c r="L271" s="107">
        <v>0.47775000000000001</v>
      </c>
      <c r="M271" s="107">
        <v>0.4914</v>
      </c>
      <c r="N271" s="107">
        <v>0.50505</v>
      </c>
      <c r="O271" s="108">
        <v>0.51870000000000005</v>
      </c>
      <c r="P271" s="108">
        <v>0.53234999999999999</v>
      </c>
      <c r="Q271" s="108"/>
      <c r="R271" s="108"/>
      <c r="S271" s="108"/>
      <c r="U271" s="99"/>
      <c r="AD271" s="100">
        <v>100</v>
      </c>
    </row>
    <row r="272" spans="1:30" hidden="1" x14ac:dyDescent="0.25">
      <c r="A272" s="99" t="s">
        <v>263</v>
      </c>
      <c r="B272" s="100">
        <v>25</v>
      </c>
      <c r="C272" s="104"/>
      <c r="D272" s="104"/>
      <c r="E272" s="104"/>
      <c r="F272" s="104"/>
      <c r="G272" s="105"/>
      <c r="H272" s="105"/>
      <c r="I272" s="105"/>
      <c r="J272" s="105">
        <v>0.45045000000000002</v>
      </c>
      <c r="K272" s="107">
        <v>0.46410000000000001</v>
      </c>
      <c r="L272" s="107">
        <v>0.47775000000000001</v>
      </c>
      <c r="M272" s="107">
        <v>0.4914</v>
      </c>
      <c r="N272" s="107">
        <v>0.50505</v>
      </c>
      <c r="O272" s="108">
        <v>0.51870000000000005</v>
      </c>
      <c r="P272" s="108">
        <v>0.53234999999999999</v>
      </c>
      <c r="Q272" s="108"/>
      <c r="R272" s="108"/>
      <c r="S272" s="108"/>
      <c r="U272" s="39"/>
      <c r="AD272" s="100">
        <v>100</v>
      </c>
    </row>
    <row r="273" spans="1:30" hidden="1" x14ac:dyDescent="0.25">
      <c r="A273" s="99" t="s">
        <v>1160</v>
      </c>
      <c r="B273" s="100">
        <v>25</v>
      </c>
      <c r="C273" s="104"/>
      <c r="D273" s="104"/>
      <c r="E273" s="104"/>
      <c r="F273" s="104"/>
      <c r="G273" s="105"/>
      <c r="H273" s="105"/>
      <c r="I273" s="105"/>
      <c r="J273" s="105">
        <v>0.45045000000000002</v>
      </c>
      <c r="K273" s="107">
        <v>0.46410000000000001</v>
      </c>
      <c r="L273" s="107">
        <v>0.47775000000000001</v>
      </c>
      <c r="M273" s="107">
        <v>0.4914</v>
      </c>
      <c r="N273" s="107">
        <v>0.50505</v>
      </c>
      <c r="O273" s="108">
        <v>0.51870000000000005</v>
      </c>
      <c r="P273" s="108">
        <v>0.53234999999999999</v>
      </c>
      <c r="Q273" s="108"/>
      <c r="R273" s="108"/>
      <c r="S273" s="108"/>
      <c r="U273" s="39"/>
      <c r="AD273" s="100">
        <v>100</v>
      </c>
    </row>
    <row r="274" spans="1:30" hidden="1" x14ac:dyDescent="0.25">
      <c r="A274" s="99" t="s">
        <v>1163</v>
      </c>
      <c r="B274" s="100">
        <v>25</v>
      </c>
      <c r="C274" s="104"/>
      <c r="D274" s="104"/>
      <c r="E274" s="104"/>
      <c r="F274" s="104"/>
      <c r="G274" s="105"/>
      <c r="H274" s="105"/>
      <c r="I274" s="105"/>
      <c r="J274" s="105"/>
      <c r="K274" s="107"/>
      <c r="L274" s="107"/>
      <c r="M274" s="107"/>
      <c r="N274" s="107">
        <v>0.50505</v>
      </c>
      <c r="O274" s="108">
        <v>0.51870000000000005</v>
      </c>
      <c r="P274" s="108">
        <v>0.53234999999999999</v>
      </c>
      <c r="Q274" s="108"/>
      <c r="R274" s="108"/>
      <c r="S274" s="108"/>
      <c r="U274" s="39"/>
      <c r="AD274" s="100">
        <v>100</v>
      </c>
    </row>
    <row r="275" spans="1:30" hidden="1" x14ac:dyDescent="0.25">
      <c r="A275" s="99" t="s">
        <v>147</v>
      </c>
      <c r="B275" s="100">
        <v>25</v>
      </c>
      <c r="C275" s="104"/>
      <c r="D275" s="104"/>
      <c r="E275" s="104"/>
      <c r="F275" s="104"/>
      <c r="G275" s="105"/>
      <c r="H275" s="105"/>
      <c r="I275" s="105"/>
      <c r="J275" s="105"/>
      <c r="K275" s="107"/>
      <c r="L275" s="107"/>
      <c r="M275" s="107"/>
      <c r="N275" s="107"/>
      <c r="O275" s="108">
        <v>0.51870000000000005</v>
      </c>
      <c r="P275" s="108">
        <v>0.53234999999999999</v>
      </c>
      <c r="Q275" s="108">
        <v>0.58050000000000002</v>
      </c>
      <c r="R275" s="108">
        <v>0.59501250000000006</v>
      </c>
      <c r="S275" s="108">
        <v>0.60952499999999998</v>
      </c>
      <c r="T275">
        <v>0.62403750000000002</v>
      </c>
      <c r="U275" s="39">
        <v>0.63854999999999995</v>
      </c>
      <c r="V275">
        <v>0.65306249999999999</v>
      </c>
      <c r="AD275" s="100">
        <v>100</v>
      </c>
    </row>
    <row r="276" spans="1:30" hidden="1" x14ac:dyDescent="0.25">
      <c r="A276" s="99" t="s">
        <v>264</v>
      </c>
      <c r="B276" s="100">
        <v>25</v>
      </c>
      <c r="C276" s="104"/>
      <c r="D276" s="104"/>
      <c r="E276" s="104"/>
      <c r="F276" s="104"/>
      <c r="G276" s="105"/>
      <c r="H276" s="105"/>
      <c r="I276" s="105"/>
      <c r="J276" s="105"/>
      <c r="K276" s="107"/>
      <c r="L276" s="107"/>
      <c r="M276" s="107"/>
      <c r="N276" s="107"/>
      <c r="O276" s="108">
        <v>0.51870000000000005</v>
      </c>
      <c r="P276" s="108">
        <v>0.53234999999999999</v>
      </c>
      <c r="Q276" s="108">
        <v>0.58050000000000002</v>
      </c>
      <c r="R276" s="108">
        <v>0.59501250000000006</v>
      </c>
      <c r="S276" s="108">
        <v>0.60952499999999998</v>
      </c>
      <c r="T276">
        <v>0.62403750000000002</v>
      </c>
      <c r="U276" s="39">
        <v>0.63854999999999995</v>
      </c>
      <c r="V276">
        <v>0.65306249999999999</v>
      </c>
      <c r="AD276" s="100">
        <v>100</v>
      </c>
    </row>
    <row r="277" spans="1:30" hidden="1" x14ac:dyDescent="0.25">
      <c r="A277" s="99" t="s">
        <v>1169</v>
      </c>
      <c r="B277" s="100">
        <v>25</v>
      </c>
      <c r="C277" s="104"/>
      <c r="D277" s="104"/>
      <c r="E277" s="104"/>
      <c r="F277" s="104"/>
      <c r="G277" s="105"/>
      <c r="H277" s="105"/>
      <c r="I277" s="105"/>
      <c r="J277" s="105">
        <v>0.45045000000000002</v>
      </c>
      <c r="K277" s="107">
        <v>0.46410000000000001</v>
      </c>
      <c r="L277" s="107">
        <v>0.47775000000000001</v>
      </c>
      <c r="M277" s="107">
        <v>0.4914</v>
      </c>
      <c r="N277" s="107">
        <v>0.50505</v>
      </c>
      <c r="O277" s="108">
        <v>0.51870000000000005</v>
      </c>
      <c r="P277" s="108">
        <v>0.53234999999999999</v>
      </c>
      <c r="Q277" s="108"/>
      <c r="R277" s="108"/>
      <c r="S277" s="108"/>
      <c r="U277" s="39"/>
      <c r="AD277" s="100">
        <v>100</v>
      </c>
    </row>
    <row r="278" spans="1:30" hidden="1" x14ac:dyDescent="0.25">
      <c r="A278" s="99" t="s">
        <v>1190</v>
      </c>
      <c r="B278" s="100">
        <v>25</v>
      </c>
      <c r="C278" s="104"/>
      <c r="D278" s="104"/>
      <c r="E278" s="104"/>
      <c r="F278" s="104"/>
      <c r="G278" s="105"/>
      <c r="H278" s="105"/>
      <c r="I278" s="105"/>
      <c r="J278" s="105"/>
      <c r="K278" s="107"/>
      <c r="L278" s="107"/>
      <c r="M278" s="107"/>
      <c r="N278" s="107"/>
      <c r="O278" s="108">
        <v>0.51870000000000005</v>
      </c>
      <c r="P278" s="108">
        <v>0.53234999999999999</v>
      </c>
      <c r="Q278" s="108">
        <v>0.58050000000000002</v>
      </c>
      <c r="R278" s="108">
        <v>0.59501250000000006</v>
      </c>
      <c r="S278" s="108">
        <v>0.60952499999999998</v>
      </c>
      <c r="T278">
        <v>0.62403750000000002</v>
      </c>
      <c r="U278" s="39">
        <v>0.63854999999999995</v>
      </c>
      <c r="V278">
        <v>0.65306249999999999</v>
      </c>
      <c r="AD278" s="100">
        <v>100</v>
      </c>
    </row>
    <row r="279" spans="1:30" hidden="1" x14ac:dyDescent="0.25">
      <c r="A279" s="99" t="s">
        <v>1193</v>
      </c>
      <c r="B279" s="100">
        <v>26</v>
      </c>
      <c r="C279" s="104"/>
      <c r="D279" s="104"/>
      <c r="E279" s="104"/>
      <c r="F279" s="104"/>
      <c r="G279" s="105"/>
      <c r="H279" s="105">
        <v>0.24645</v>
      </c>
      <c r="I279" s="105">
        <v>0.25440000000000002</v>
      </c>
      <c r="J279" s="105">
        <v>0.26235000000000003</v>
      </c>
      <c r="K279" s="107">
        <v>0.27029999999999998</v>
      </c>
      <c r="L279" s="107">
        <v>0.27825</v>
      </c>
      <c r="M279" s="107">
        <v>0.28620000000000001</v>
      </c>
      <c r="N279" s="107">
        <v>0.29415000000000002</v>
      </c>
      <c r="O279" s="108">
        <v>0.30209999999999998</v>
      </c>
      <c r="P279" s="108">
        <v>0.31004999999999999</v>
      </c>
      <c r="Q279" s="108">
        <v>0.34649999999999997</v>
      </c>
      <c r="R279" s="108">
        <v>0.35516249999999999</v>
      </c>
      <c r="S279" s="108">
        <v>0.36382500000000001</v>
      </c>
      <c r="T279">
        <v>0.37248750000000003</v>
      </c>
      <c r="U279" s="57">
        <v>0.38114999999999999</v>
      </c>
      <c r="V279">
        <v>0.38981250000000001</v>
      </c>
      <c r="AD279" s="100">
        <v>100</v>
      </c>
    </row>
    <row r="280" spans="1:30" hidden="1" x14ac:dyDescent="0.25">
      <c r="A280" s="99" t="s">
        <v>152</v>
      </c>
      <c r="B280" s="100">
        <v>26</v>
      </c>
      <c r="C280" s="104"/>
      <c r="D280" s="104"/>
      <c r="E280" s="104"/>
      <c r="F280" s="104"/>
      <c r="G280" s="105"/>
      <c r="H280" s="105">
        <v>0.24645</v>
      </c>
      <c r="I280" s="105">
        <v>0.25440000000000002</v>
      </c>
      <c r="J280" s="105">
        <v>0.26235000000000003</v>
      </c>
      <c r="K280" s="107">
        <v>0.27029999999999998</v>
      </c>
      <c r="L280" s="107">
        <v>0.27825</v>
      </c>
      <c r="M280" s="107">
        <v>0.28620000000000001</v>
      </c>
      <c r="N280" s="107">
        <v>0.29415000000000002</v>
      </c>
      <c r="O280" s="108">
        <v>0.30209999999999998</v>
      </c>
      <c r="P280" s="108">
        <v>0.31004999999999999</v>
      </c>
      <c r="Q280" s="108"/>
      <c r="R280" s="108"/>
      <c r="S280" s="108"/>
      <c r="U280" s="57"/>
      <c r="AD280" s="100">
        <v>100</v>
      </c>
    </row>
    <row r="281" spans="1:30" hidden="1" x14ac:dyDescent="0.25">
      <c r="A281" s="99" t="s">
        <v>268</v>
      </c>
      <c r="B281" s="100">
        <v>26</v>
      </c>
      <c r="C281" s="104"/>
      <c r="D281" s="104"/>
      <c r="E281" s="104"/>
      <c r="F281" s="104"/>
      <c r="G281" s="105"/>
      <c r="H281" s="105">
        <v>0.24645</v>
      </c>
      <c r="I281" s="105">
        <v>0.25440000000000002</v>
      </c>
      <c r="J281" s="105">
        <v>0.26235000000000003</v>
      </c>
      <c r="K281" s="107">
        <v>0.27029999999999998</v>
      </c>
      <c r="L281" s="107">
        <v>0.27825</v>
      </c>
      <c r="M281" s="107">
        <v>0.28620000000000001</v>
      </c>
      <c r="N281" s="107">
        <v>0.29415000000000002</v>
      </c>
      <c r="O281" s="108">
        <v>0.30209999999999998</v>
      </c>
      <c r="P281" s="108">
        <v>0.31004999999999999</v>
      </c>
      <c r="Q281" s="108"/>
      <c r="R281" s="108"/>
      <c r="S281" s="108"/>
      <c r="U281" s="57"/>
      <c r="AD281" s="100">
        <v>100</v>
      </c>
    </row>
    <row r="282" spans="1:30" hidden="1" x14ac:dyDescent="0.25">
      <c r="A282" s="99" t="s">
        <v>1197</v>
      </c>
      <c r="B282" s="100">
        <v>26</v>
      </c>
      <c r="C282" s="104"/>
      <c r="D282" s="104"/>
      <c r="E282" s="104"/>
      <c r="F282" s="104"/>
      <c r="G282" s="105"/>
      <c r="H282" s="105">
        <v>0.24645</v>
      </c>
      <c r="I282" s="105">
        <v>0.25440000000000002</v>
      </c>
      <c r="J282" s="105">
        <v>0.26235000000000003</v>
      </c>
      <c r="K282" s="107">
        <v>0.27029999999999998</v>
      </c>
      <c r="L282" s="107">
        <v>0.27825</v>
      </c>
      <c r="M282" s="107">
        <v>0.28620000000000001</v>
      </c>
      <c r="N282" s="107">
        <v>0.29415000000000002</v>
      </c>
      <c r="O282" s="108">
        <v>0.30209999999999998</v>
      </c>
      <c r="P282" s="108">
        <v>0.31004999999999999</v>
      </c>
      <c r="Q282" s="108"/>
      <c r="R282" s="108"/>
      <c r="S282" s="108"/>
      <c r="U282" s="57"/>
      <c r="AD282" s="100">
        <v>100</v>
      </c>
    </row>
    <row r="283" spans="1:30" hidden="1" x14ac:dyDescent="0.25">
      <c r="A283" s="99" t="s">
        <v>1200</v>
      </c>
      <c r="B283" s="100">
        <v>26</v>
      </c>
      <c r="C283" s="104"/>
      <c r="D283" s="104"/>
      <c r="E283" s="104"/>
      <c r="F283" s="104"/>
      <c r="G283" s="105"/>
      <c r="H283" s="105"/>
      <c r="I283" s="105"/>
      <c r="J283" s="105">
        <v>0.26235000000000003</v>
      </c>
      <c r="K283" s="107">
        <v>0.27029999999999998</v>
      </c>
      <c r="L283" s="107">
        <v>0.27825</v>
      </c>
      <c r="M283" s="107">
        <v>0.28620000000000001</v>
      </c>
      <c r="N283" s="107">
        <v>0.29415000000000002</v>
      </c>
      <c r="O283" s="108">
        <v>0.30209999999999998</v>
      </c>
      <c r="P283" s="108">
        <v>0.31004999999999999</v>
      </c>
      <c r="Q283" s="108"/>
      <c r="R283" s="108"/>
      <c r="S283" s="108"/>
      <c r="U283" s="57"/>
      <c r="AD283" s="100">
        <v>100</v>
      </c>
    </row>
    <row r="284" spans="1:30" hidden="1" x14ac:dyDescent="0.25">
      <c r="A284" s="99" t="s">
        <v>1203</v>
      </c>
      <c r="B284" s="100">
        <v>26</v>
      </c>
      <c r="C284" s="104"/>
      <c r="D284" s="104"/>
      <c r="E284" s="104"/>
      <c r="F284" s="104"/>
      <c r="G284" s="105"/>
      <c r="H284" s="105"/>
      <c r="I284" s="105"/>
      <c r="J284" s="105">
        <v>0.26235000000000003</v>
      </c>
      <c r="K284" s="107">
        <v>0.27029999999999998</v>
      </c>
      <c r="L284" s="107">
        <v>0.27825</v>
      </c>
      <c r="M284" s="107">
        <v>0.28620000000000001</v>
      </c>
      <c r="N284" s="107">
        <v>0.29415000000000002</v>
      </c>
      <c r="O284" s="108">
        <v>0.30209999999999998</v>
      </c>
      <c r="P284" s="108">
        <v>0.31004999999999999</v>
      </c>
      <c r="Q284" s="108"/>
      <c r="R284" s="108"/>
      <c r="S284" s="108"/>
      <c r="U284" s="57"/>
      <c r="AD284" s="100">
        <v>100</v>
      </c>
    </row>
    <row r="285" spans="1:30" hidden="1" x14ac:dyDescent="0.25">
      <c r="A285" s="99" t="s">
        <v>269</v>
      </c>
      <c r="B285" s="100">
        <v>26</v>
      </c>
      <c r="C285" s="104"/>
      <c r="D285" s="104"/>
      <c r="E285" s="104"/>
      <c r="F285" s="104"/>
      <c r="G285" s="105"/>
      <c r="H285" s="105"/>
      <c r="I285" s="105"/>
      <c r="J285" s="105"/>
      <c r="K285" s="107"/>
      <c r="L285" s="107"/>
      <c r="M285" s="107"/>
      <c r="N285" s="107"/>
      <c r="O285" s="108">
        <v>0.30209999999999998</v>
      </c>
      <c r="P285" s="108">
        <v>0.31004999999999999</v>
      </c>
      <c r="Q285" s="108">
        <v>0.34649999999999997</v>
      </c>
      <c r="R285" s="108">
        <v>0.35516249999999999</v>
      </c>
      <c r="S285" s="108">
        <v>0.36382500000000001</v>
      </c>
      <c r="T285">
        <v>0.37248750000000003</v>
      </c>
      <c r="U285" s="57">
        <v>0.38114999999999999</v>
      </c>
      <c r="V285">
        <v>0.38981250000000001</v>
      </c>
      <c r="AD285" s="100">
        <v>100</v>
      </c>
    </row>
    <row r="286" spans="1:30" hidden="1" x14ac:dyDescent="0.25">
      <c r="A286" s="99" t="s">
        <v>270</v>
      </c>
      <c r="B286" s="100">
        <v>26</v>
      </c>
      <c r="C286" s="104"/>
      <c r="D286" s="104"/>
      <c r="E286" s="104"/>
      <c r="F286" s="104"/>
      <c r="G286" s="105"/>
      <c r="H286" s="105"/>
      <c r="I286" s="105"/>
      <c r="J286" s="105"/>
      <c r="K286" s="107"/>
      <c r="L286" s="107"/>
      <c r="M286" s="107"/>
      <c r="N286" s="107"/>
      <c r="O286" s="108"/>
      <c r="P286" s="108"/>
      <c r="Q286" s="108">
        <v>0.34649999999999997</v>
      </c>
      <c r="R286" s="108">
        <v>0.35516249999999999</v>
      </c>
      <c r="S286" s="108">
        <v>0.36382500000000001</v>
      </c>
      <c r="T286">
        <v>0.37248750000000003</v>
      </c>
      <c r="U286" s="57">
        <v>0.38114999999999999</v>
      </c>
      <c r="V286">
        <v>0.38981250000000001</v>
      </c>
      <c r="AD286" s="100">
        <v>100</v>
      </c>
    </row>
    <row r="287" spans="1:30" hidden="1" x14ac:dyDescent="0.25">
      <c r="A287" s="99" t="s">
        <v>153</v>
      </c>
      <c r="B287" s="100">
        <v>26</v>
      </c>
      <c r="C287" s="104"/>
      <c r="D287" s="104"/>
      <c r="E287" s="104"/>
      <c r="F287" s="104"/>
      <c r="G287" s="105"/>
      <c r="H287" s="105"/>
      <c r="I287" s="105"/>
      <c r="J287" s="105"/>
      <c r="K287" s="107"/>
      <c r="L287" s="107"/>
      <c r="M287" s="107"/>
      <c r="N287" s="107"/>
      <c r="O287" s="108"/>
      <c r="P287" s="108"/>
      <c r="Q287" s="108">
        <v>0.34649999999999997</v>
      </c>
      <c r="R287" s="108">
        <v>0.35516249999999999</v>
      </c>
      <c r="S287" s="108">
        <v>0.36382500000000001</v>
      </c>
      <c r="T287">
        <v>0.37248750000000003</v>
      </c>
      <c r="U287" s="57">
        <v>0.38114999999999999</v>
      </c>
      <c r="V287">
        <v>0.38981250000000001</v>
      </c>
      <c r="AD287" s="100">
        <v>100</v>
      </c>
    </row>
    <row r="288" spans="1:30" hidden="1" x14ac:dyDescent="0.25">
      <c r="A288" s="99" t="s">
        <v>271</v>
      </c>
      <c r="B288" s="100">
        <v>26</v>
      </c>
      <c r="C288" s="104"/>
      <c r="D288" s="104"/>
      <c r="E288" s="104"/>
      <c r="F288" s="104"/>
      <c r="G288" s="105"/>
      <c r="H288" s="105"/>
      <c r="I288" s="105"/>
      <c r="J288" s="105"/>
      <c r="K288" s="107"/>
      <c r="L288" s="107"/>
      <c r="M288" s="107"/>
      <c r="N288" s="107"/>
      <c r="O288" s="108"/>
      <c r="P288" s="108"/>
      <c r="Q288" s="108">
        <v>0.34649999999999997</v>
      </c>
      <c r="R288" s="108">
        <v>0.35516249999999999</v>
      </c>
      <c r="S288" s="108">
        <v>0.36382500000000001</v>
      </c>
      <c r="T288">
        <v>0.37248750000000003</v>
      </c>
      <c r="U288" s="57">
        <v>0.38114999999999999</v>
      </c>
      <c r="V288">
        <v>0.38981250000000001</v>
      </c>
      <c r="AD288" s="100">
        <v>100</v>
      </c>
    </row>
    <row r="289" spans="1:30" hidden="1" x14ac:dyDescent="0.25">
      <c r="A289" s="99" t="s">
        <v>1215</v>
      </c>
      <c r="B289" s="100">
        <v>26</v>
      </c>
      <c r="C289" s="104"/>
      <c r="D289" s="104"/>
      <c r="E289" s="104"/>
      <c r="F289" s="104"/>
      <c r="G289" s="105"/>
      <c r="H289" s="105"/>
      <c r="I289" s="105"/>
      <c r="J289" s="105"/>
      <c r="K289" s="107"/>
      <c r="L289" s="107"/>
      <c r="M289" s="107"/>
      <c r="N289" s="107"/>
      <c r="O289" s="108"/>
      <c r="P289" s="108"/>
      <c r="Q289" s="108">
        <v>0.34649999999999997</v>
      </c>
      <c r="R289" s="108">
        <v>0.35516249999999999</v>
      </c>
      <c r="S289" s="108">
        <v>0.36382500000000001</v>
      </c>
      <c r="T289">
        <v>0.37248750000000003</v>
      </c>
      <c r="U289" s="57">
        <v>0.38114999999999999</v>
      </c>
      <c r="V289">
        <v>0.38981250000000001</v>
      </c>
      <c r="AD289" s="100">
        <v>100</v>
      </c>
    </row>
    <row r="290" spans="1:30" hidden="1" x14ac:dyDescent="0.25">
      <c r="A290" s="99" t="s">
        <v>456</v>
      </c>
      <c r="B290" s="100">
        <v>26</v>
      </c>
      <c r="C290" s="104"/>
      <c r="D290" s="104"/>
      <c r="E290" s="104"/>
      <c r="F290" s="104"/>
      <c r="G290" s="105"/>
      <c r="H290" s="105"/>
      <c r="I290" s="105"/>
      <c r="J290" s="105"/>
      <c r="K290" s="107"/>
      <c r="L290" s="107"/>
      <c r="M290" s="107"/>
      <c r="N290" s="107"/>
      <c r="O290" s="108"/>
      <c r="P290" s="108"/>
      <c r="Q290" s="108">
        <v>0.34649999999999997</v>
      </c>
      <c r="R290" s="108">
        <v>0.35516249999999999</v>
      </c>
      <c r="S290" s="108">
        <v>0.36382500000000001</v>
      </c>
      <c r="T290">
        <v>0.37248750000000003</v>
      </c>
      <c r="U290" s="57">
        <v>0.38114999999999999</v>
      </c>
      <c r="V290">
        <v>0.38981250000000001</v>
      </c>
      <c r="AD290" s="100">
        <v>100</v>
      </c>
    </row>
    <row r="291" spans="1:30" hidden="1" x14ac:dyDescent="0.25">
      <c r="A291" s="99" t="s">
        <v>272</v>
      </c>
      <c r="B291" s="100">
        <v>26</v>
      </c>
      <c r="C291" s="104"/>
      <c r="D291" s="104"/>
      <c r="E291" s="104"/>
      <c r="F291" s="104"/>
      <c r="G291" s="105"/>
      <c r="H291" s="105"/>
      <c r="I291" s="105"/>
      <c r="J291" s="105"/>
      <c r="K291" s="107"/>
      <c r="L291" s="107"/>
      <c r="M291" s="107"/>
      <c r="N291" s="107"/>
      <c r="O291" s="108"/>
      <c r="P291" s="108"/>
      <c r="Q291" s="108">
        <v>0.34649999999999997</v>
      </c>
      <c r="R291" s="108">
        <v>0.35516249999999999</v>
      </c>
      <c r="S291" s="108">
        <v>0.36382500000000001</v>
      </c>
      <c r="T291">
        <v>0.37248750000000003</v>
      </c>
      <c r="U291" s="57">
        <v>0.38114999999999999</v>
      </c>
      <c r="V291">
        <v>0.38981250000000001</v>
      </c>
      <c r="AD291" s="100">
        <v>100</v>
      </c>
    </row>
    <row r="292" spans="1:30" hidden="1" x14ac:dyDescent="0.25">
      <c r="A292" t="s">
        <v>697</v>
      </c>
      <c r="B292" s="100">
        <v>7</v>
      </c>
      <c r="C292" s="104"/>
      <c r="D292" s="104"/>
      <c r="E292" s="104"/>
      <c r="F292" s="104"/>
      <c r="G292" s="105"/>
      <c r="H292" s="105"/>
      <c r="I292" s="105">
        <v>5.7599999999999998E-2</v>
      </c>
      <c r="J292" s="105">
        <v>5.9400000000000001E-2</v>
      </c>
      <c r="K292" s="107">
        <v>6.1199999999999997E-2</v>
      </c>
      <c r="L292" s="107">
        <v>6.3E-2</v>
      </c>
      <c r="M292" s="107">
        <v>6.4125000000000001E-2</v>
      </c>
      <c r="N292" s="107">
        <v>6.590625E-2</v>
      </c>
      <c r="O292" s="89">
        <v>6.7687499999999998E-2</v>
      </c>
      <c r="P292" s="89">
        <v>6.9468749999999996E-2</v>
      </c>
      <c r="Q292" s="89"/>
      <c r="R292" s="89"/>
      <c r="S292" s="89"/>
      <c r="AD292" s="100">
        <v>100</v>
      </c>
    </row>
    <row r="293" spans="1:30" hidden="1" x14ac:dyDescent="0.25">
      <c r="A293" t="s">
        <v>1224</v>
      </c>
      <c r="B293" s="100">
        <v>7</v>
      </c>
      <c r="C293" s="104"/>
      <c r="D293" s="104"/>
      <c r="E293" s="104"/>
      <c r="F293" s="104"/>
      <c r="G293" s="105"/>
      <c r="H293" s="105"/>
      <c r="I293" s="105">
        <v>5.7599999999999998E-2</v>
      </c>
      <c r="J293" s="105">
        <v>5.9400000000000001E-2</v>
      </c>
      <c r="K293" s="107">
        <v>6.1199999999999997E-2</v>
      </c>
      <c r="L293" s="107">
        <v>6.3E-2</v>
      </c>
      <c r="M293" s="107">
        <v>6.4125000000000001E-2</v>
      </c>
      <c r="N293" s="107">
        <v>6.590625E-2</v>
      </c>
      <c r="O293" s="89">
        <v>6.7687499999999998E-2</v>
      </c>
      <c r="P293" s="89">
        <v>6.9468749999999996E-2</v>
      </c>
      <c r="Q293" s="89"/>
      <c r="R293" s="89"/>
      <c r="S293" s="89"/>
      <c r="AD293" s="100">
        <v>100</v>
      </c>
    </row>
    <row r="294" spans="1:30" hidden="1" x14ac:dyDescent="0.25">
      <c r="A294" t="s">
        <v>1227</v>
      </c>
      <c r="B294" s="100">
        <v>7</v>
      </c>
      <c r="C294" s="104"/>
      <c r="D294" s="104"/>
      <c r="E294" s="104"/>
      <c r="F294" s="104"/>
      <c r="G294" s="105"/>
      <c r="H294" s="105"/>
      <c r="I294" s="105">
        <v>5.7599999999999998E-2</v>
      </c>
      <c r="J294" s="105">
        <v>5.9400000000000001E-2</v>
      </c>
      <c r="K294" s="107">
        <v>6.1199999999999997E-2</v>
      </c>
      <c r="L294" s="107">
        <v>6.3E-2</v>
      </c>
      <c r="M294" s="107">
        <v>6.4125000000000001E-2</v>
      </c>
      <c r="N294" s="107">
        <v>6.590625E-2</v>
      </c>
      <c r="O294" s="89">
        <v>6.7687499999999998E-2</v>
      </c>
      <c r="P294" s="89">
        <v>6.9468749999999996E-2</v>
      </c>
      <c r="Q294" s="89"/>
      <c r="R294" s="89"/>
      <c r="S294" s="89"/>
      <c r="AD294" s="100">
        <v>100</v>
      </c>
    </row>
    <row r="295" spans="1:30" x14ac:dyDescent="0.25">
      <c r="A295" t="s">
        <v>1230</v>
      </c>
      <c r="B295" s="100">
        <v>6</v>
      </c>
      <c r="C295" s="104"/>
      <c r="D295" s="104"/>
      <c r="E295" s="104"/>
      <c r="F295" s="104"/>
      <c r="G295" s="105"/>
      <c r="H295" s="105"/>
      <c r="I295" s="105">
        <v>0.12802514461962899</v>
      </c>
      <c r="J295" s="105">
        <v>0.13202593038899299</v>
      </c>
      <c r="K295" s="107">
        <v>0.13602671615835599</v>
      </c>
      <c r="L295" s="107">
        <v>0.14002750192772001</v>
      </c>
      <c r="M295" s="107">
        <v>0.14035470155210999</v>
      </c>
      <c r="N295" s="107">
        <v>0.14425344326189099</v>
      </c>
      <c r="O295" s="108">
        <v>0.14815218497167201</v>
      </c>
      <c r="P295" s="108">
        <v>0.15205092668145301</v>
      </c>
      <c r="Q295" s="108">
        <v>0.15186790600793099</v>
      </c>
      <c r="R295" s="108">
        <v>0.15566460365812901</v>
      </c>
      <c r="S295" s="108">
        <v>0.159461301308327</v>
      </c>
      <c r="T295">
        <v>0.163257998958525</v>
      </c>
      <c r="U295">
        <v>0.16872770218740701</v>
      </c>
      <c r="V295">
        <v>0.17256242269166699</v>
      </c>
      <c r="W295">
        <v>0.176397143195926</v>
      </c>
      <c r="X295">
        <v>0.18023186370018501</v>
      </c>
      <c r="AD295" s="100">
        <v>100</v>
      </c>
    </row>
    <row r="296" spans="1:30" x14ac:dyDescent="0.25">
      <c r="A296" t="s">
        <v>1232</v>
      </c>
      <c r="B296" s="100">
        <v>6</v>
      </c>
      <c r="C296" s="104"/>
      <c r="D296" s="104"/>
      <c r="E296" s="104"/>
      <c r="F296" s="104"/>
      <c r="G296" s="105"/>
      <c r="H296" s="105"/>
      <c r="I296" s="105">
        <v>6.4012572309814705E-2</v>
      </c>
      <c r="J296" s="105">
        <v>6.6012965194496495E-2</v>
      </c>
      <c r="K296" s="107">
        <v>6.8013358079178202E-2</v>
      </c>
      <c r="L296" s="107">
        <v>7.0013750963859894E-2</v>
      </c>
      <c r="M296" s="107">
        <v>7.0177350776055206E-2</v>
      </c>
      <c r="N296" s="107">
        <v>7.2126721630945606E-2</v>
      </c>
      <c r="O296" s="89">
        <v>7.4076092485836006E-2</v>
      </c>
      <c r="P296" s="89">
        <v>7.6025463340726407E-2</v>
      </c>
      <c r="Q296" s="89">
        <v>7.5933953003965299E-2</v>
      </c>
      <c r="R296" s="89">
        <v>7.7832301829064393E-2</v>
      </c>
      <c r="S296" s="89">
        <v>7.9730650654163501E-2</v>
      </c>
      <c r="T296">
        <v>8.1628999479262596E-2</v>
      </c>
      <c r="U296">
        <v>8.4363851093703701E-2</v>
      </c>
      <c r="V296">
        <v>8.62812113458334E-2</v>
      </c>
      <c r="W296">
        <v>8.8198571597963002E-2</v>
      </c>
      <c r="X296">
        <v>9.0115931850092604E-2</v>
      </c>
      <c r="Y296">
        <v>9.2033292102222206E-2</v>
      </c>
      <c r="Z296">
        <v>9.3950652354351905E-2</v>
      </c>
      <c r="AA296">
        <v>9.5868012606481506E-2</v>
      </c>
      <c r="AB296">
        <v>9.7785372858611094E-2</v>
      </c>
      <c r="AC296">
        <v>9.9702733110740696E-2</v>
      </c>
      <c r="AD296" s="100">
        <v>100</v>
      </c>
    </row>
    <row r="297" spans="1:30" x14ac:dyDescent="0.25">
      <c r="A297" t="s">
        <v>320</v>
      </c>
      <c r="B297" s="100">
        <v>6</v>
      </c>
      <c r="C297" s="104"/>
      <c r="D297" s="104"/>
      <c r="E297" s="104"/>
      <c r="F297" s="104"/>
      <c r="G297" s="105"/>
      <c r="H297" s="105"/>
      <c r="I297" s="105">
        <v>6.4012572309814705E-2</v>
      </c>
      <c r="J297" s="105">
        <v>6.6012965194496495E-2</v>
      </c>
      <c r="K297" s="107">
        <v>6.8013358079178202E-2</v>
      </c>
      <c r="L297" s="107">
        <v>7.0013750963859894E-2</v>
      </c>
      <c r="M297" s="107">
        <v>7.0177350776055206E-2</v>
      </c>
      <c r="N297" s="107">
        <v>7.2126721630945606E-2</v>
      </c>
      <c r="O297" s="89">
        <v>7.4076092485836006E-2</v>
      </c>
      <c r="P297" s="89">
        <v>7.6025463340726407E-2</v>
      </c>
      <c r="Q297" s="89">
        <v>7.5933953003965299E-2</v>
      </c>
      <c r="R297" s="89">
        <v>7.7832301829064393E-2</v>
      </c>
      <c r="S297" s="89">
        <v>7.9730650654163501E-2</v>
      </c>
      <c r="T297">
        <v>8.1628999479262596E-2</v>
      </c>
      <c r="U297">
        <v>8.4363851093703701E-2</v>
      </c>
      <c r="V297">
        <v>8.62812113458334E-2</v>
      </c>
      <c r="W297">
        <v>8.8198571597963002E-2</v>
      </c>
      <c r="X297">
        <v>9.0115931850092604E-2</v>
      </c>
      <c r="Y297">
        <v>9.2033292102222206E-2</v>
      </c>
      <c r="Z297">
        <v>9.3950652354351905E-2</v>
      </c>
      <c r="AA297">
        <v>9.5868012606481506E-2</v>
      </c>
      <c r="AB297">
        <v>9.7785372858611094E-2</v>
      </c>
      <c r="AC297">
        <v>9.9702733110740696E-2</v>
      </c>
      <c r="AD297" s="100">
        <v>100</v>
      </c>
    </row>
    <row r="298" spans="1:30" x14ac:dyDescent="0.25">
      <c r="A298" t="s">
        <v>199</v>
      </c>
      <c r="B298" s="100">
        <v>6</v>
      </c>
      <c r="C298" s="104"/>
      <c r="D298" s="104"/>
      <c r="E298" s="104"/>
      <c r="F298" s="104"/>
      <c r="G298" s="105"/>
      <c r="H298" s="105"/>
      <c r="I298" s="105"/>
      <c r="J298" s="105"/>
      <c r="K298" s="107"/>
      <c r="L298" s="107"/>
      <c r="M298" s="107"/>
      <c r="N298" s="107">
        <v>0.14425344326189099</v>
      </c>
      <c r="O298" s="108">
        <v>0.14815218497167201</v>
      </c>
      <c r="P298" s="108">
        <v>0.15205092668145301</v>
      </c>
      <c r="Q298" s="108">
        <v>0.15186790600793099</v>
      </c>
      <c r="R298" s="108">
        <v>0.15566460365812901</v>
      </c>
      <c r="S298" s="108">
        <v>0.159461301308327</v>
      </c>
      <c r="T298">
        <v>0.163257998958525</v>
      </c>
      <c r="U298">
        <v>0.16872770218740701</v>
      </c>
      <c r="V298">
        <v>0.17256242269166699</v>
      </c>
      <c r="W298">
        <v>0.176397143195926</v>
      </c>
      <c r="X298">
        <v>0.18023186370018501</v>
      </c>
      <c r="AD298" s="100">
        <v>100</v>
      </c>
    </row>
    <row r="299" spans="1:30" x14ac:dyDescent="0.25">
      <c r="A299" t="s">
        <v>321</v>
      </c>
      <c r="B299" s="100">
        <v>6</v>
      </c>
      <c r="C299" s="104"/>
      <c r="D299" s="104"/>
      <c r="E299" s="104"/>
      <c r="F299" s="104"/>
      <c r="G299" s="105"/>
      <c r="H299" s="105"/>
      <c r="I299" s="105"/>
      <c r="J299" s="105"/>
      <c r="K299" s="107"/>
      <c r="L299" s="107"/>
      <c r="M299" s="107"/>
      <c r="N299" s="107">
        <v>0.14425344326189099</v>
      </c>
      <c r="O299" s="108">
        <v>0.14815218497167201</v>
      </c>
      <c r="P299" s="108">
        <v>0.15205092668145301</v>
      </c>
      <c r="Q299" s="108">
        <v>0.15186790600793099</v>
      </c>
      <c r="R299" s="108">
        <v>0.15566460365812901</v>
      </c>
      <c r="S299" s="108">
        <v>0.159461301308327</v>
      </c>
      <c r="T299">
        <v>0.163257998958525</v>
      </c>
      <c r="U299">
        <v>0.16872770218740701</v>
      </c>
      <c r="V299">
        <v>0.17256242269166699</v>
      </c>
      <c r="W299">
        <v>0.176397143195926</v>
      </c>
      <c r="X299">
        <v>0.18023186370018501</v>
      </c>
      <c r="AD299" s="100">
        <v>100</v>
      </c>
    </row>
    <row r="300" spans="1:30" x14ac:dyDescent="0.25">
      <c r="A300" t="s">
        <v>200</v>
      </c>
      <c r="B300" s="100">
        <v>6</v>
      </c>
      <c r="C300" s="104"/>
      <c r="D300" s="104"/>
      <c r="E300" s="104"/>
      <c r="F300" s="104"/>
      <c r="G300" s="105"/>
      <c r="H300" s="105"/>
      <c r="I300" s="105"/>
      <c r="J300" s="105"/>
      <c r="K300" s="107"/>
      <c r="L300" s="107"/>
      <c r="M300" s="107"/>
      <c r="N300" s="107"/>
      <c r="O300" s="108"/>
      <c r="P300" s="108"/>
      <c r="Q300" s="108"/>
      <c r="R300" s="108">
        <v>0.15566460365812901</v>
      </c>
      <c r="S300" s="108">
        <v>0.159461301308327</v>
      </c>
      <c r="T300">
        <v>0.163257998958525</v>
      </c>
      <c r="U300">
        <v>0.16872770218740701</v>
      </c>
      <c r="V300">
        <v>0.17256242269166699</v>
      </c>
      <c r="W300">
        <v>0.176397143195926</v>
      </c>
      <c r="X300">
        <v>0.18023186370018501</v>
      </c>
      <c r="Y300">
        <v>0.18406658420444399</v>
      </c>
      <c r="Z300">
        <v>0.187901304708704</v>
      </c>
      <c r="AA300">
        <v>0.19173602521296301</v>
      </c>
      <c r="AB300">
        <v>0.19557074571722199</v>
      </c>
      <c r="AC300">
        <v>0.199405466221481</v>
      </c>
      <c r="AD300" s="100">
        <v>100</v>
      </c>
    </row>
    <row r="301" spans="1:30" x14ac:dyDescent="0.25">
      <c r="A301" t="s">
        <v>322</v>
      </c>
      <c r="B301" s="100">
        <v>6</v>
      </c>
      <c r="C301" s="104"/>
      <c r="D301" s="104"/>
      <c r="E301" s="104"/>
      <c r="F301" s="104"/>
      <c r="G301" s="105"/>
      <c r="H301" s="105"/>
      <c r="I301" s="105"/>
      <c r="J301" s="105"/>
      <c r="K301" s="107"/>
      <c r="L301" s="107"/>
      <c r="M301" s="107"/>
      <c r="N301" s="107"/>
      <c r="O301" s="108"/>
      <c r="P301" s="108"/>
      <c r="Q301" s="89"/>
      <c r="R301" s="89">
        <v>0.15566460365812901</v>
      </c>
      <c r="S301" s="89">
        <v>0.159461301308327</v>
      </c>
      <c r="T301">
        <v>0.163257998958525</v>
      </c>
      <c r="U301" s="99">
        <v>0.16872770218740701</v>
      </c>
      <c r="V301">
        <v>0.17256242269166699</v>
      </c>
      <c r="W301">
        <v>0.176397143195926</v>
      </c>
      <c r="X301">
        <v>0.18023186370018501</v>
      </c>
      <c r="Y301">
        <v>0.18406658420444399</v>
      </c>
      <c r="Z301">
        <v>0.187901304708704</v>
      </c>
      <c r="AA301">
        <v>0.19173602521296301</v>
      </c>
      <c r="AB301">
        <v>0.19557074571722199</v>
      </c>
      <c r="AC301">
        <v>0.199405466221481</v>
      </c>
      <c r="AD301" s="100">
        <v>100</v>
      </c>
    </row>
    <row r="302" spans="1:30" x14ac:dyDescent="0.25">
      <c r="A302" t="s">
        <v>1246</v>
      </c>
      <c r="B302" s="100">
        <v>6</v>
      </c>
      <c r="C302" s="104"/>
      <c r="D302" s="104"/>
      <c r="E302" s="104"/>
      <c r="F302" s="104"/>
      <c r="G302" s="105"/>
      <c r="H302" s="105"/>
      <c r="I302" s="105"/>
      <c r="J302" s="105"/>
      <c r="K302" s="107"/>
      <c r="L302" s="107"/>
      <c r="M302" s="107"/>
      <c r="N302" s="107"/>
      <c r="O302" s="108"/>
      <c r="P302" s="108"/>
      <c r="Q302" s="108"/>
      <c r="R302" s="108"/>
      <c r="S302" s="108"/>
      <c r="U302">
        <v>0.16872770218740701</v>
      </c>
      <c r="V302">
        <v>0.17256242269166699</v>
      </c>
      <c r="W302">
        <v>0.176397143195926</v>
      </c>
      <c r="X302">
        <v>0.18023186370018501</v>
      </c>
      <c r="Y302">
        <v>0.18406658420444399</v>
      </c>
      <c r="Z302">
        <v>0.187901304708704</v>
      </c>
      <c r="AA302">
        <v>0.19173602521296301</v>
      </c>
      <c r="AB302">
        <v>0.19557074571722199</v>
      </c>
      <c r="AC302">
        <v>0.199405466221481</v>
      </c>
      <c r="AD302" s="100">
        <v>100</v>
      </c>
    </row>
    <row r="303" spans="1:30" x14ac:dyDescent="0.25">
      <c r="A303" t="s">
        <v>1249</v>
      </c>
      <c r="B303" s="100">
        <v>6</v>
      </c>
      <c r="C303" s="104"/>
      <c r="D303" s="104"/>
      <c r="E303" s="104"/>
      <c r="F303" s="104"/>
      <c r="G303" s="105"/>
      <c r="H303" s="105"/>
      <c r="I303" s="105">
        <v>6.4012572309814705E-2</v>
      </c>
      <c r="J303" s="105">
        <v>6.6012965194496495E-2</v>
      </c>
      <c r="K303" s="107">
        <v>6.8013358079178202E-2</v>
      </c>
      <c r="L303" s="107">
        <v>7.0013750963859894E-2</v>
      </c>
      <c r="M303" s="107">
        <v>7.0177350776055206E-2</v>
      </c>
      <c r="N303" s="107">
        <v>7.2126721630945606E-2</v>
      </c>
      <c r="O303" s="108">
        <v>7.4076092485836006E-2</v>
      </c>
      <c r="P303" s="108">
        <v>7.6025463340726407E-2</v>
      </c>
      <c r="Q303" s="89">
        <v>7.5933953003965299E-2</v>
      </c>
      <c r="R303" s="89">
        <v>7.7832301829064393E-2</v>
      </c>
      <c r="S303" s="89">
        <v>7.9730650654163501E-2</v>
      </c>
      <c r="T303">
        <v>8.1628999479262596E-2</v>
      </c>
      <c r="U303" s="99">
        <v>8.4363851093703701E-2</v>
      </c>
      <c r="V303">
        <v>8.62812113458334E-2</v>
      </c>
      <c r="W303">
        <v>8.8198571597963002E-2</v>
      </c>
      <c r="X303">
        <v>9.0115931850092604E-2</v>
      </c>
      <c r="Y303">
        <v>9.2033292102222206E-2</v>
      </c>
      <c r="Z303">
        <v>9.3950652354351905E-2</v>
      </c>
      <c r="AA303">
        <v>9.5868012606481506E-2</v>
      </c>
      <c r="AB303">
        <v>9.7785372858611094E-2</v>
      </c>
      <c r="AC303">
        <v>9.9702733110740696E-2</v>
      </c>
      <c r="AD303" s="100">
        <v>100</v>
      </c>
    </row>
    <row r="304" spans="1:30" x14ac:dyDescent="0.25">
      <c r="A304" t="s">
        <v>705</v>
      </c>
      <c r="B304" s="100">
        <v>6</v>
      </c>
      <c r="C304" s="104"/>
      <c r="D304" s="104"/>
      <c r="E304" s="104"/>
      <c r="F304" s="104"/>
      <c r="G304" s="105"/>
      <c r="H304" s="105"/>
      <c r="I304" s="105">
        <v>0.12802514461962899</v>
      </c>
      <c r="J304" s="105">
        <v>0.13202593038899299</v>
      </c>
      <c r="K304" s="107">
        <v>0.13602671615835599</v>
      </c>
      <c r="L304" s="107">
        <v>0.14002750192772001</v>
      </c>
      <c r="M304" s="107"/>
      <c r="N304" s="107"/>
      <c r="O304" s="108"/>
      <c r="P304" s="108"/>
      <c r="Q304" s="89"/>
      <c r="R304" s="89"/>
      <c r="S304" s="89"/>
      <c r="U304" s="99"/>
      <c r="AD304" s="100">
        <v>100</v>
      </c>
    </row>
    <row r="305" spans="1:30" x14ac:dyDescent="0.25">
      <c r="A305" t="s">
        <v>1253</v>
      </c>
      <c r="B305" s="100">
        <v>6</v>
      </c>
      <c r="C305" s="104"/>
      <c r="D305" s="104"/>
      <c r="E305" s="104"/>
      <c r="F305" s="104"/>
      <c r="G305" s="105"/>
      <c r="H305" s="105"/>
      <c r="I305" s="105">
        <v>0.12802514461962899</v>
      </c>
      <c r="J305" s="105">
        <v>0.13202593038899299</v>
      </c>
      <c r="K305" s="107">
        <v>0.13602671615835599</v>
      </c>
      <c r="L305" s="107">
        <v>0.14002750192772001</v>
      </c>
      <c r="M305" s="107"/>
      <c r="N305" s="107"/>
      <c r="O305" s="108"/>
      <c r="P305" s="108"/>
      <c r="Q305" s="89"/>
      <c r="R305" s="89"/>
      <c r="S305" s="89"/>
      <c r="U305" s="99"/>
      <c r="AD305" s="100">
        <v>100</v>
      </c>
    </row>
    <row r="306" spans="1:30" x14ac:dyDescent="0.25">
      <c r="A306" t="s">
        <v>707</v>
      </c>
      <c r="B306" s="100">
        <v>6</v>
      </c>
      <c r="C306" s="104"/>
      <c r="D306" s="104"/>
      <c r="E306" s="104"/>
      <c r="F306" s="104"/>
      <c r="G306" s="105"/>
      <c r="H306" s="105"/>
      <c r="I306" s="105">
        <v>6.4012572309814705E-2</v>
      </c>
      <c r="J306" s="105">
        <v>6.6012965194496495E-2</v>
      </c>
      <c r="K306" s="107">
        <v>6.8013358079178202E-2</v>
      </c>
      <c r="L306" s="107">
        <v>7.0013750963859894E-2</v>
      </c>
      <c r="M306" s="107">
        <v>7.0177350776055206E-2</v>
      </c>
      <c r="N306" s="107">
        <v>7.2126721630945606E-2</v>
      </c>
      <c r="O306" s="108">
        <v>7.4076092485836006E-2</v>
      </c>
      <c r="P306" s="108">
        <v>7.6025463340726407E-2</v>
      </c>
      <c r="Q306" s="89">
        <v>7.5933953003965299E-2</v>
      </c>
      <c r="R306" s="89">
        <v>7.7832301829064393E-2</v>
      </c>
      <c r="S306" s="89">
        <v>7.9730650654163501E-2</v>
      </c>
      <c r="T306">
        <v>8.1628999479262596E-2</v>
      </c>
      <c r="U306" s="99">
        <v>8.4363851093703701E-2</v>
      </c>
      <c r="V306">
        <v>8.62812113458334E-2</v>
      </c>
      <c r="W306">
        <v>8.8198571597963002E-2</v>
      </c>
      <c r="X306">
        <v>9.0115931850092604E-2</v>
      </c>
      <c r="Y306">
        <v>9.2033292102222206E-2</v>
      </c>
      <c r="Z306">
        <v>9.3950652354351905E-2</v>
      </c>
      <c r="AA306">
        <v>9.5868012606481506E-2</v>
      </c>
      <c r="AB306">
        <v>9.7785372858611094E-2</v>
      </c>
      <c r="AC306">
        <v>9.9702733110740696E-2</v>
      </c>
      <c r="AD306" s="100">
        <v>100</v>
      </c>
    </row>
    <row r="307" spans="1:30" hidden="1" x14ac:dyDescent="0.25">
      <c r="A307" t="s">
        <v>1257</v>
      </c>
      <c r="B307" s="100">
        <v>7</v>
      </c>
      <c r="C307" s="104"/>
      <c r="D307" s="104"/>
      <c r="E307" s="104"/>
      <c r="F307" s="104"/>
      <c r="G307" s="105"/>
      <c r="H307" s="105"/>
      <c r="I307" s="105">
        <v>6.9780414514969899E-2</v>
      </c>
      <c r="J307" s="105">
        <v>7.19610524685627E-2</v>
      </c>
      <c r="K307" s="107">
        <v>7.4141690422155501E-2</v>
      </c>
      <c r="L307" s="107">
        <v>7.6322328375748302E-2</v>
      </c>
      <c r="M307" s="107">
        <v>7.5990727061287303E-2</v>
      </c>
      <c r="N307" s="107">
        <v>7.8101580590767494E-2</v>
      </c>
      <c r="O307" s="108">
        <v>8.02124341202477E-2</v>
      </c>
      <c r="P307" s="108">
        <v>8.2323287649727905E-2</v>
      </c>
      <c r="Q307" s="89">
        <v>8.16427642147039E-2</v>
      </c>
      <c r="R307" s="89">
        <v>8.3683833320071496E-2</v>
      </c>
      <c r="S307" s="89">
        <v>8.5724902425439106E-2</v>
      </c>
      <c r="T307">
        <v>8.7765971530806702E-2</v>
      </c>
      <c r="U307" s="99">
        <v>9.1654412270124094E-2</v>
      </c>
      <c r="AD307" s="100">
        <v>100</v>
      </c>
    </row>
    <row r="308" spans="1:30" hidden="1" x14ac:dyDescent="0.25">
      <c r="A308" t="s">
        <v>1257</v>
      </c>
      <c r="B308" s="100">
        <v>8</v>
      </c>
      <c r="C308" s="104"/>
      <c r="D308" s="104"/>
      <c r="E308" s="104"/>
      <c r="F308" s="104"/>
      <c r="G308" s="105"/>
      <c r="H308" s="105"/>
      <c r="I308" s="105">
        <v>6.9780414514969899E-2</v>
      </c>
      <c r="J308" s="105">
        <v>7.19610524685627E-2</v>
      </c>
      <c r="K308" s="107">
        <v>7.4141690422155501E-2</v>
      </c>
      <c r="L308" s="107">
        <v>7.6322328375748302E-2</v>
      </c>
      <c r="M308" s="107">
        <v>7.5990727061287303E-2</v>
      </c>
      <c r="N308" s="107">
        <v>7.8101580590767494E-2</v>
      </c>
      <c r="O308" s="108">
        <v>8.02124341202477E-2</v>
      </c>
      <c r="P308" s="108">
        <v>8.2323287649727905E-2</v>
      </c>
      <c r="Q308" s="108">
        <v>8.16427642147039E-2</v>
      </c>
      <c r="R308" s="108">
        <v>8.3683833320071496E-2</v>
      </c>
      <c r="S308" s="108">
        <v>8.5724902425439106E-2</v>
      </c>
      <c r="T308">
        <v>8.7765971530806702E-2</v>
      </c>
      <c r="U308" s="57">
        <v>9.1654412270124094E-2</v>
      </c>
      <c r="AD308" s="100">
        <v>100</v>
      </c>
    </row>
    <row r="309" spans="1:30" hidden="1" x14ac:dyDescent="0.25">
      <c r="A309" t="s">
        <v>323</v>
      </c>
      <c r="B309" s="100">
        <v>7</v>
      </c>
      <c r="C309" s="104"/>
      <c r="D309" s="104"/>
      <c r="E309" s="104"/>
      <c r="F309" s="104"/>
      <c r="G309" s="105"/>
      <c r="H309" s="105"/>
      <c r="I309" s="105"/>
      <c r="J309" s="105"/>
      <c r="K309" s="107"/>
      <c r="L309" s="107"/>
      <c r="M309" s="107"/>
      <c r="N309" s="107"/>
      <c r="O309" s="108">
        <v>8.02124341202477E-2</v>
      </c>
      <c r="P309" s="108">
        <v>8.2323287649727905E-2</v>
      </c>
      <c r="Q309" s="89">
        <v>8.16427642147039E-2</v>
      </c>
      <c r="R309" s="89">
        <v>8.3683833320071496E-2</v>
      </c>
      <c r="S309" s="89">
        <v>8.5724902425439106E-2</v>
      </c>
      <c r="T309">
        <v>8.7765971530806702E-2</v>
      </c>
      <c r="U309" s="99">
        <v>9.1654412270124094E-2</v>
      </c>
      <c r="V309">
        <v>9.3737467094445096E-2</v>
      </c>
      <c r="W309">
        <v>9.5820521918766097E-2</v>
      </c>
      <c r="X309">
        <v>9.7903576743087098E-2</v>
      </c>
      <c r="Y309">
        <v>9.9986631567408099E-2</v>
      </c>
      <c r="Z309">
        <v>0.102069686391729</v>
      </c>
      <c r="AA309">
        <v>0.10415274121605</v>
      </c>
      <c r="AB309">
        <v>0.10623579604037101</v>
      </c>
      <c r="AC309">
        <v>0.10831885086469201</v>
      </c>
      <c r="AD309" s="100">
        <v>100</v>
      </c>
    </row>
    <row r="310" spans="1:30" hidden="1" x14ac:dyDescent="0.25">
      <c r="A310" t="s">
        <v>323</v>
      </c>
      <c r="B310" s="100">
        <v>8</v>
      </c>
      <c r="C310" s="104"/>
      <c r="D310" s="104"/>
      <c r="E310" s="104"/>
      <c r="F310" s="104"/>
      <c r="G310" s="105"/>
      <c r="H310" s="105"/>
      <c r="I310" s="105"/>
      <c r="J310" s="105"/>
      <c r="K310" s="107"/>
      <c r="L310" s="107"/>
      <c r="M310" s="107"/>
      <c r="N310" s="107"/>
      <c r="O310" s="108">
        <v>8.02124341202477E-2</v>
      </c>
      <c r="P310" s="108">
        <v>8.2323287649727905E-2</v>
      </c>
      <c r="Q310" s="89">
        <v>8.16427642147039E-2</v>
      </c>
      <c r="R310" s="89">
        <v>8.3683833320071496E-2</v>
      </c>
      <c r="S310" s="89">
        <v>8.5724902425439106E-2</v>
      </c>
      <c r="T310">
        <v>8.7765971530806702E-2</v>
      </c>
      <c r="U310" s="99">
        <v>9.1654412270124094E-2</v>
      </c>
      <c r="V310">
        <v>9.3737467094445096E-2</v>
      </c>
      <c r="W310">
        <v>9.5820521918766097E-2</v>
      </c>
      <c r="X310">
        <v>9.7903576743087098E-2</v>
      </c>
      <c r="Y310">
        <v>9.9986631567408099E-2</v>
      </c>
      <c r="Z310">
        <v>0.102069686391729</v>
      </c>
      <c r="AA310">
        <v>0.10415274121605</v>
      </c>
      <c r="AB310">
        <v>0.10623579604037101</v>
      </c>
      <c r="AC310">
        <v>0.10831885086469201</v>
      </c>
      <c r="AD310" s="100">
        <v>100</v>
      </c>
    </row>
    <row r="311" spans="1:30" hidden="1" x14ac:dyDescent="0.25">
      <c r="A311" t="s">
        <v>201</v>
      </c>
      <c r="B311" s="100">
        <v>7</v>
      </c>
      <c r="C311" s="104"/>
      <c r="D311" s="104"/>
      <c r="E311" s="104"/>
      <c r="F311" s="104"/>
      <c r="G311" s="105"/>
      <c r="H311" s="105"/>
      <c r="I311" s="105">
        <v>3.4890207257484901E-2</v>
      </c>
      <c r="J311" s="105">
        <v>3.5980526234281301E-2</v>
      </c>
      <c r="K311" s="107">
        <v>3.7070845211077702E-2</v>
      </c>
      <c r="L311" s="107">
        <v>3.8161164187874103E-2</v>
      </c>
      <c r="M311" s="107">
        <v>3.7995363530643603E-2</v>
      </c>
      <c r="N311" s="107">
        <v>3.9050790295383803E-2</v>
      </c>
      <c r="O311" s="89">
        <v>4.0106217060123898E-2</v>
      </c>
      <c r="P311" s="89">
        <v>4.1161643824864001E-2</v>
      </c>
      <c r="Q311" s="89">
        <v>4.0821382107351999E-2</v>
      </c>
      <c r="R311" s="89">
        <v>4.18419166600357E-2</v>
      </c>
      <c r="S311" s="89">
        <v>4.2862451212719602E-2</v>
      </c>
      <c r="T311">
        <v>4.3882985765403303E-2</v>
      </c>
      <c r="U311">
        <v>4.5827206135062103E-2</v>
      </c>
      <c r="V311">
        <v>4.6868733547222603E-2</v>
      </c>
      <c r="W311">
        <v>4.7910260959383097E-2</v>
      </c>
      <c r="X311">
        <v>4.8951788371543598E-2</v>
      </c>
      <c r="Y311">
        <v>4.9993315783704001E-2</v>
      </c>
      <c r="Z311">
        <v>5.1034843195864502E-2</v>
      </c>
      <c r="AA311">
        <v>5.2076370608025002E-2</v>
      </c>
      <c r="AB311">
        <v>5.3117898020185503E-2</v>
      </c>
      <c r="AC311">
        <v>5.4159425432346003E-2</v>
      </c>
      <c r="AD311" s="100">
        <v>100</v>
      </c>
    </row>
    <row r="312" spans="1:30" hidden="1" x14ac:dyDescent="0.25">
      <c r="A312" t="s">
        <v>201</v>
      </c>
      <c r="B312" s="100">
        <v>8</v>
      </c>
      <c r="C312" s="104"/>
      <c r="D312" s="104"/>
      <c r="E312" s="104"/>
      <c r="F312" s="104"/>
      <c r="G312" s="105"/>
      <c r="H312" s="105"/>
      <c r="I312" s="105">
        <v>3.4890207257484901E-2</v>
      </c>
      <c r="J312" s="105">
        <v>3.5980526234281301E-2</v>
      </c>
      <c r="K312" s="107">
        <v>3.7070845211077702E-2</v>
      </c>
      <c r="L312" s="107">
        <v>3.8161164187874103E-2</v>
      </c>
      <c r="M312" s="107">
        <v>3.7995363530643603E-2</v>
      </c>
      <c r="N312" s="107">
        <v>3.9050790295383803E-2</v>
      </c>
      <c r="O312" s="108">
        <v>4.0106217060123898E-2</v>
      </c>
      <c r="P312" s="108">
        <v>4.1161643824864001E-2</v>
      </c>
      <c r="Q312" s="108">
        <v>4.0821382107351999E-2</v>
      </c>
      <c r="R312" s="108">
        <v>4.18419166600357E-2</v>
      </c>
      <c r="S312" s="108">
        <v>4.2862451212719602E-2</v>
      </c>
      <c r="T312">
        <v>4.3882985765403303E-2</v>
      </c>
      <c r="U312" s="57">
        <v>4.5827206135062103E-2</v>
      </c>
      <c r="V312">
        <v>4.6868733547222603E-2</v>
      </c>
      <c r="W312">
        <v>4.7910260959383097E-2</v>
      </c>
      <c r="X312">
        <v>4.8951788371543598E-2</v>
      </c>
      <c r="Y312">
        <v>4.9993315783704001E-2</v>
      </c>
      <c r="Z312">
        <v>5.1034843195864502E-2</v>
      </c>
      <c r="AA312">
        <v>5.2076370608025002E-2</v>
      </c>
      <c r="AB312">
        <v>5.3117898020185503E-2</v>
      </c>
      <c r="AC312">
        <v>5.4159425432346003E-2</v>
      </c>
      <c r="AD312" s="100">
        <v>100</v>
      </c>
    </row>
    <row r="313" spans="1:30" hidden="1" x14ac:dyDescent="0.25">
      <c r="A313" t="s">
        <v>324</v>
      </c>
      <c r="B313" s="100">
        <v>7</v>
      </c>
      <c r="C313" s="104"/>
      <c r="D313" s="104"/>
      <c r="E313" s="104"/>
      <c r="F313" s="104"/>
      <c r="G313" s="105"/>
      <c r="H313" s="105"/>
      <c r="I313" s="105">
        <v>3.4890207257484901E-2</v>
      </c>
      <c r="J313" s="105">
        <v>3.5980526234281301E-2</v>
      </c>
      <c r="K313" s="107">
        <v>3.7070845211077702E-2</v>
      </c>
      <c r="L313" s="107">
        <v>3.8161164187874103E-2</v>
      </c>
      <c r="M313" s="107">
        <v>3.7995363530643603E-2</v>
      </c>
      <c r="N313" s="107">
        <v>3.9050790295383803E-2</v>
      </c>
      <c r="O313" s="108">
        <v>4.0106217060123898E-2</v>
      </c>
      <c r="P313" s="108">
        <v>4.1161643824864001E-2</v>
      </c>
      <c r="Q313" s="89">
        <v>4.0821382107351999E-2</v>
      </c>
      <c r="R313" s="89">
        <v>4.18419166600357E-2</v>
      </c>
      <c r="S313" s="89">
        <v>4.2862451212719602E-2</v>
      </c>
      <c r="T313">
        <v>4.3882985765403303E-2</v>
      </c>
      <c r="U313" s="99">
        <v>4.5827206135062103E-2</v>
      </c>
      <c r="V313">
        <v>4.6868733547222603E-2</v>
      </c>
      <c r="W313">
        <v>4.7910260959383097E-2</v>
      </c>
      <c r="X313">
        <v>4.8951788371543598E-2</v>
      </c>
      <c r="Y313">
        <v>4.9993315783704001E-2</v>
      </c>
      <c r="Z313">
        <v>5.1034843195864502E-2</v>
      </c>
      <c r="AA313">
        <v>5.2076370608025002E-2</v>
      </c>
      <c r="AB313">
        <v>5.3117898020185503E-2</v>
      </c>
      <c r="AC313">
        <v>5.4159425432346003E-2</v>
      </c>
      <c r="AD313" s="100">
        <v>100</v>
      </c>
    </row>
    <row r="314" spans="1:30" hidden="1" x14ac:dyDescent="0.25">
      <c r="A314" t="s">
        <v>324</v>
      </c>
      <c r="B314" s="100">
        <v>8</v>
      </c>
      <c r="C314" s="104"/>
      <c r="D314" s="104"/>
      <c r="E314" s="104"/>
      <c r="F314" s="104"/>
      <c r="G314" s="105"/>
      <c r="H314" s="105"/>
      <c r="I314" s="105">
        <v>3.4890207257484901E-2</v>
      </c>
      <c r="J314" s="105">
        <v>3.5980526234281301E-2</v>
      </c>
      <c r="K314" s="107">
        <v>3.7070845211077702E-2</v>
      </c>
      <c r="L314" s="107">
        <v>3.8161164187874103E-2</v>
      </c>
      <c r="M314" s="107">
        <v>3.7995363530643603E-2</v>
      </c>
      <c r="N314" s="107">
        <v>3.9050790295383803E-2</v>
      </c>
      <c r="O314" s="108">
        <v>4.0106217060123898E-2</v>
      </c>
      <c r="P314" s="108">
        <v>4.1161643824864001E-2</v>
      </c>
      <c r="Q314" s="108">
        <v>4.0821382107351999E-2</v>
      </c>
      <c r="R314" s="108">
        <v>4.18419166600357E-2</v>
      </c>
      <c r="S314" s="108">
        <v>4.2862451212719602E-2</v>
      </c>
      <c r="T314">
        <v>4.3882985765403303E-2</v>
      </c>
      <c r="U314" s="57">
        <v>4.5827206135062103E-2</v>
      </c>
      <c r="V314">
        <v>4.6868733547222603E-2</v>
      </c>
      <c r="W314">
        <v>4.7910260959383097E-2</v>
      </c>
      <c r="X314">
        <v>4.8951788371543598E-2</v>
      </c>
      <c r="Y314">
        <v>4.9993315783704001E-2</v>
      </c>
      <c r="Z314">
        <v>5.1034843195864502E-2</v>
      </c>
      <c r="AA314">
        <v>5.2076370608025002E-2</v>
      </c>
      <c r="AB314">
        <v>5.3117898020185503E-2</v>
      </c>
      <c r="AC314">
        <v>5.4159425432346003E-2</v>
      </c>
      <c r="AD314" s="100">
        <v>100</v>
      </c>
    </row>
    <row r="315" spans="1:30" hidden="1" x14ac:dyDescent="0.25">
      <c r="A315" t="s">
        <v>1264</v>
      </c>
      <c r="B315" s="100">
        <v>7</v>
      </c>
      <c r="C315" s="104"/>
      <c r="D315" s="104"/>
      <c r="E315" s="104"/>
      <c r="F315" s="104"/>
      <c r="G315" s="105"/>
      <c r="H315" s="105"/>
      <c r="I315" s="105">
        <v>3.4890207257484901E-2</v>
      </c>
      <c r="J315" s="105">
        <v>3.5980526234281301E-2</v>
      </c>
      <c r="K315" s="107">
        <v>3.7070845211077702E-2</v>
      </c>
      <c r="L315" s="107">
        <v>3.8161164187874103E-2</v>
      </c>
      <c r="M315" s="107">
        <v>3.7995363530643603E-2</v>
      </c>
      <c r="N315" s="107">
        <v>3.9050790295383803E-2</v>
      </c>
      <c r="O315" s="108">
        <v>4.0106217060123898E-2</v>
      </c>
      <c r="P315" s="108">
        <v>4.1161643824864001E-2</v>
      </c>
      <c r="Q315" s="89">
        <v>4.0821382107351999E-2</v>
      </c>
      <c r="R315" s="89">
        <v>4.18419166600357E-2</v>
      </c>
      <c r="S315" s="89">
        <v>4.2862451212719602E-2</v>
      </c>
      <c r="T315">
        <v>4.3882985765403303E-2</v>
      </c>
      <c r="U315">
        <v>4.5827206135062103E-2</v>
      </c>
      <c r="V315">
        <v>4.6868733547222603E-2</v>
      </c>
      <c r="W315">
        <v>4.7910260959383097E-2</v>
      </c>
      <c r="X315">
        <v>4.8951788371543598E-2</v>
      </c>
      <c r="Y315">
        <v>4.9993315783704001E-2</v>
      </c>
      <c r="Z315">
        <v>5.1034843195864502E-2</v>
      </c>
      <c r="AA315">
        <v>5.2076370608025002E-2</v>
      </c>
      <c r="AB315">
        <v>5.3117898020185503E-2</v>
      </c>
      <c r="AC315">
        <v>5.4159425432346003E-2</v>
      </c>
      <c r="AD315" s="100">
        <v>100</v>
      </c>
    </row>
    <row r="316" spans="1:30" hidden="1" x14ac:dyDescent="0.25">
      <c r="A316" t="s">
        <v>1264</v>
      </c>
      <c r="B316" s="100">
        <v>8</v>
      </c>
      <c r="C316" s="104"/>
      <c r="D316" s="104"/>
      <c r="E316" s="104"/>
      <c r="F316" s="104"/>
      <c r="G316" s="105"/>
      <c r="H316" s="105"/>
      <c r="I316" s="105">
        <v>3.4890207257484901E-2</v>
      </c>
      <c r="J316" s="105">
        <v>3.5980526234281301E-2</v>
      </c>
      <c r="K316" s="107">
        <v>3.7070845211077702E-2</v>
      </c>
      <c r="L316" s="107">
        <v>3.8161164187874103E-2</v>
      </c>
      <c r="M316" s="107">
        <v>3.7995363530643603E-2</v>
      </c>
      <c r="N316" s="107">
        <v>3.9050790295383803E-2</v>
      </c>
      <c r="O316" s="108">
        <v>4.0106217060123898E-2</v>
      </c>
      <c r="P316" s="108">
        <v>4.1161643824864001E-2</v>
      </c>
      <c r="Q316" s="89">
        <v>4.0821382107351999E-2</v>
      </c>
      <c r="R316" s="89">
        <v>4.18419166600357E-2</v>
      </c>
      <c r="S316" s="89">
        <v>4.2862451212719602E-2</v>
      </c>
      <c r="T316">
        <v>4.3882985765403303E-2</v>
      </c>
      <c r="U316" s="99">
        <v>4.5827206135062103E-2</v>
      </c>
      <c r="V316">
        <v>4.6868733547222603E-2</v>
      </c>
      <c r="W316">
        <v>4.7910260959383097E-2</v>
      </c>
      <c r="X316">
        <v>4.8951788371543598E-2</v>
      </c>
      <c r="Y316">
        <v>4.9993315783704001E-2</v>
      </c>
      <c r="Z316">
        <v>5.1034843195864502E-2</v>
      </c>
      <c r="AA316">
        <v>5.2076370608025002E-2</v>
      </c>
      <c r="AB316">
        <v>5.3117898020185503E-2</v>
      </c>
      <c r="AC316">
        <v>5.4159425432346003E-2</v>
      </c>
      <c r="AD316" s="100">
        <v>100</v>
      </c>
    </row>
    <row r="317" spans="1:30" hidden="1" x14ac:dyDescent="0.25">
      <c r="A317" t="s">
        <v>712</v>
      </c>
      <c r="B317" s="100">
        <v>7</v>
      </c>
      <c r="C317" s="104"/>
      <c r="D317" s="104"/>
      <c r="E317" s="104"/>
      <c r="F317" s="104"/>
      <c r="G317" s="105"/>
      <c r="H317" s="105"/>
      <c r="I317" s="105">
        <v>3.4890207257484901E-2</v>
      </c>
      <c r="J317" s="105">
        <v>3.5980526234281301E-2</v>
      </c>
      <c r="K317" s="107">
        <v>3.7070845211077702E-2</v>
      </c>
      <c r="L317" s="107">
        <v>3.8161164187874103E-2</v>
      </c>
      <c r="M317" s="107">
        <v>3.7995363530643603E-2</v>
      </c>
      <c r="N317" s="107">
        <v>3.9050790295383803E-2</v>
      </c>
      <c r="O317" s="108">
        <v>4.0106217060123898E-2</v>
      </c>
      <c r="P317" s="108">
        <v>4.1161643824864001E-2</v>
      </c>
      <c r="Q317" s="89">
        <v>4.0821382107351999E-2</v>
      </c>
      <c r="R317" s="89">
        <v>4.18419166600357E-2</v>
      </c>
      <c r="S317" s="89">
        <v>4.2862451212719602E-2</v>
      </c>
      <c r="T317">
        <v>4.3882985765403303E-2</v>
      </c>
      <c r="U317">
        <v>4.5827206135062103E-2</v>
      </c>
      <c r="V317">
        <v>4.6868733547222603E-2</v>
      </c>
      <c r="W317">
        <v>4.7910260959383097E-2</v>
      </c>
      <c r="X317">
        <v>4.8951788371543598E-2</v>
      </c>
      <c r="Y317">
        <v>4.9993315783704001E-2</v>
      </c>
      <c r="Z317">
        <v>5.1034843195864502E-2</v>
      </c>
      <c r="AA317">
        <v>5.2076370608025002E-2</v>
      </c>
      <c r="AB317">
        <v>5.3117898020185503E-2</v>
      </c>
      <c r="AC317">
        <v>5.4159425432346003E-2</v>
      </c>
      <c r="AD317" s="100">
        <v>100</v>
      </c>
    </row>
    <row r="318" spans="1:30" hidden="1" x14ac:dyDescent="0.25">
      <c r="A318" t="s">
        <v>712</v>
      </c>
      <c r="B318" s="100">
        <v>8</v>
      </c>
      <c r="C318" s="104"/>
      <c r="D318" s="104"/>
      <c r="E318" s="104"/>
      <c r="F318" s="104"/>
      <c r="G318" s="105"/>
      <c r="H318" s="105"/>
      <c r="I318" s="105">
        <v>3.4890207257484901E-2</v>
      </c>
      <c r="J318" s="105">
        <v>3.5980526234281301E-2</v>
      </c>
      <c r="K318" s="107">
        <v>3.7070845211077702E-2</v>
      </c>
      <c r="L318" s="107">
        <v>3.8161164187874103E-2</v>
      </c>
      <c r="M318" s="107">
        <v>3.7995363530643603E-2</v>
      </c>
      <c r="N318" s="107">
        <v>3.9050790295383803E-2</v>
      </c>
      <c r="O318" s="108">
        <v>4.0106217060123898E-2</v>
      </c>
      <c r="P318" s="108">
        <v>4.1161643824864001E-2</v>
      </c>
      <c r="Q318" s="89">
        <v>4.0821382107351999E-2</v>
      </c>
      <c r="R318" s="89">
        <v>4.18419166600357E-2</v>
      </c>
      <c r="S318" s="89">
        <v>4.2862451212719602E-2</v>
      </c>
      <c r="T318">
        <v>4.3882985765403303E-2</v>
      </c>
      <c r="U318" s="99">
        <v>4.5827206135062103E-2</v>
      </c>
      <c r="V318">
        <v>4.6868733547222603E-2</v>
      </c>
      <c r="W318">
        <v>4.7910260959383097E-2</v>
      </c>
      <c r="X318">
        <v>4.8951788371543598E-2</v>
      </c>
      <c r="Y318">
        <v>4.9993315783704001E-2</v>
      </c>
      <c r="Z318">
        <v>5.1034843195864502E-2</v>
      </c>
      <c r="AA318">
        <v>5.2076370608025002E-2</v>
      </c>
      <c r="AB318">
        <v>5.3117898020185503E-2</v>
      </c>
      <c r="AC318">
        <v>5.4159425432346003E-2</v>
      </c>
      <c r="AD318" s="100">
        <v>100</v>
      </c>
    </row>
    <row r="319" spans="1:30" hidden="1" x14ac:dyDescent="0.25">
      <c r="A319" t="s">
        <v>1268</v>
      </c>
      <c r="B319" s="100">
        <v>7</v>
      </c>
      <c r="C319" s="104"/>
      <c r="D319" s="104"/>
      <c r="E319" s="104"/>
      <c r="F319" s="104"/>
      <c r="G319" s="105"/>
      <c r="H319" s="105"/>
      <c r="I319" s="105">
        <v>6.9780414514969899E-2</v>
      </c>
      <c r="J319" s="105">
        <v>7.19610524685627E-2</v>
      </c>
      <c r="K319" s="107">
        <v>7.4141690422155501E-2</v>
      </c>
      <c r="L319" s="107">
        <v>7.6322328375748302E-2</v>
      </c>
      <c r="M319" s="107"/>
      <c r="N319" s="107"/>
      <c r="O319" s="108"/>
      <c r="P319" s="108"/>
      <c r="Q319" s="89"/>
      <c r="R319" s="89"/>
      <c r="S319" s="89"/>
      <c r="AD319" s="100">
        <v>100</v>
      </c>
    </row>
    <row r="320" spans="1:30" hidden="1" x14ac:dyDescent="0.25">
      <c r="A320" t="s">
        <v>1268</v>
      </c>
      <c r="B320" s="100">
        <v>8</v>
      </c>
      <c r="C320" s="104"/>
      <c r="D320" s="104"/>
      <c r="E320" s="104"/>
      <c r="F320" s="104"/>
      <c r="G320" s="105"/>
      <c r="H320" s="105"/>
      <c r="I320" s="105">
        <v>6.9780414514969899E-2</v>
      </c>
      <c r="J320" s="105">
        <v>7.19610524685627E-2</v>
      </c>
      <c r="K320" s="107">
        <v>7.4141690422155501E-2</v>
      </c>
      <c r="L320" s="107">
        <v>7.6322328375748302E-2</v>
      </c>
      <c r="M320" s="107"/>
      <c r="N320" s="107"/>
      <c r="O320" s="108"/>
      <c r="P320" s="108"/>
      <c r="Q320" s="89"/>
      <c r="R320" s="89"/>
      <c r="S320" s="89"/>
      <c r="U320" s="99"/>
      <c r="AD320" s="100">
        <v>100</v>
      </c>
    </row>
    <row r="321" spans="1:30" hidden="1" x14ac:dyDescent="0.25">
      <c r="A321" t="s">
        <v>714</v>
      </c>
      <c r="B321" s="100">
        <v>7</v>
      </c>
      <c r="C321" s="104"/>
      <c r="D321" s="104"/>
      <c r="E321" s="104"/>
      <c r="F321" s="104"/>
      <c r="G321" s="105"/>
      <c r="H321" s="105"/>
      <c r="I321" s="105">
        <v>3.4890207257484901E-2</v>
      </c>
      <c r="J321" s="105">
        <v>3.5980526234281301E-2</v>
      </c>
      <c r="K321" s="107">
        <v>3.7070845211077702E-2</v>
      </c>
      <c r="L321" s="107">
        <v>3.8161164187874103E-2</v>
      </c>
      <c r="M321" s="107">
        <v>3.7995363530643603E-2</v>
      </c>
      <c r="N321" s="107">
        <v>3.9050790295383803E-2</v>
      </c>
      <c r="O321" s="108">
        <v>4.0106217060123898E-2</v>
      </c>
      <c r="P321" s="108">
        <v>4.1161643824864001E-2</v>
      </c>
      <c r="Q321" s="89">
        <v>4.0821382107351999E-2</v>
      </c>
      <c r="R321" s="89">
        <v>4.18419166600357E-2</v>
      </c>
      <c r="S321" s="89">
        <v>4.2862451212719602E-2</v>
      </c>
      <c r="T321">
        <v>4.3882985765403303E-2</v>
      </c>
      <c r="U321" s="99">
        <v>4.5827206135062103E-2</v>
      </c>
      <c r="V321">
        <v>4.6868733547222603E-2</v>
      </c>
      <c r="W321">
        <v>4.7910260959383097E-2</v>
      </c>
      <c r="X321">
        <v>4.8951788371543598E-2</v>
      </c>
      <c r="Y321">
        <v>4.9993315783704001E-2</v>
      </c>
      <c r="Z321">
        <v>5.1034843195864502E-2</v>
      </c>
      <c r="AA321">
        <v>5.2076370608025002E-2</v>
      </c>
      <c r="AB321">
        <v>5.3117898020185503E-2</v>
      </c>
      <c r="AC321">
        <v>5.4159425432346003E-2</v>
      </c>
      <c r="AD321" s="100">
        <v>100</v>
      </c>
    </row>
    <row r="322" spans="1:30" hidden="1" x14ac:dyDescent="0.25">
      <c r="A322" t="s">
        <v>714</v>
      </c>
      <c r="B322" s="100">
        <v>8</v>
      </c>
      <c r="C322" s="104"/>
      <c r="D322" s="104"/>
      <c r="E322" s="104"/>
      <c r="F322" s="104"/>
      <c r="G322" s="105"/>
      <c r="H322" s="105"/>
      <c r="I322" s="105">
        <v>3.4890207257484901E-2</v>
      </c>
      <c r="J322" s="105">
        <v>3.5980526234281301E-2</v>
      </c>
      <c r="K322" s="107">
        <v>3.7070845211077702E-2</v>
      </c>
      <c r="L322" s="107">
        <v>3.8161164187874103E-2</v>
      </c>
      <c r="M322" s="107">
        <v>3.7995363530643603E-2</v>
      </c>
      <c r="N322" s="107">
        <v>3.9050790295383803E-2</v>
      </c>
      <c r="O322" s="108">
        <v>4.0106217060123898E-2</v>
      </c>
      <c r="P322" s="108">
        <v>4.1161643824864001E-2</v>
      </c>
      <c r="Q322" s="89">
        <v>4.0821382107351999E-2</v>
      </c>
      <c r="R322" s="89">
        <v>4.18419166600357E-2</v>
      </c>
      <c r="S322" s="89">
        <v>4.2862451212719602E-2</v>
      </c>
      <c r="T322">
        <v>4.3882985765403303E-2</v>
      </c>
      <c r="U322" s="99">
        <v>4.5827206135062103E-2</v>
      </c>
      <c r="V322">
        <v>4.6868733547222603E-2</v>
      </c>
      <c r="W322">
        <v>4.7910260959383097E-2</v>
      </c>
      <c r="X322">
        <v>4.8951788371543598E-2</v>
      </c>
      <c r="Y322">
        <v>4.9993315783704001E-2</v>
      </c>
      <c r="Z322">
        <v>5.1034843195864502E-2</v>
      </c>
      <c r="AA322">
        <v>5.2076370608025002E-2</v>
      </c>
      <c r="AB322">
        <v>5.3117898020185503E-2</v>
      </c>
      <c r="AC322">
        <v>5.4159425432346003E-2</v>
      </c>
      <c r="AD322" s="100">
        <v>100</v>
      </c>
    </row>
    <row r="323" spans="1:30" hidden="1" x14ac:dyDescent="0.25">
      <c r="A323" t="s">
        <v>1272</v>
      </c>
      <c r="B323" s="100">
        <v>7</v>
      </c>
      <c r="C323" s="104"/>
      <c r="D323" s="104"/>
      <c r="E323" s="104"/>
      <c r="F323" s="104"/>
      <c r="G323" s="105"/>
      <c r="H323" s="105"/>
      <c r="I323" s="105">
        <v>3.4890207257484901E-2</v>
      </c>
      <c r="J323" s="105">
        <v>3.5980526234281301E-2</v>
      </c>
      <c r="K323" s="107">
        <v>3.7070845211077702E-2</v>
      </c>
      <c r="L323" s="107">
        <v>3.8161164187874103E-2</v>
      </c>
      <c r="M323" s="107">
        <v>3.7995363530643603E-2</v>
      </c>
      <c r="N323" s="107">
        <v>3.9050790295383803E-2</v>
      </c>
      <c r="O323" s="108">
        <v>4.0106217060123898E-2</v>
      </c>
      <c r="P323" s="108">
        <v>4.1161643824864001E-2</v>
      </c>
      <c r="Q323" s="89">
        <v>4.0821382107351999E-2</v>
      </c>
      <c r="R323" s="89">
        <v>4.18419166600357E-2</v>
      </c>
      <c r="S323" s="89">
        <v>4.2862451212719602E-2</v>
      </c>
      <c r="T323">
        <v>4.3882985765403303E-2</v>
      </c>
      <c r="U323" s="99">
        <v>4.5827206135062103E-2</v>
      </c>
      <c r="V323">
        <v>4.6868733547222603E-2</v>
      </c>
      <c r="W323">
        <v>4.7910260959383097E-2</v>
      </c>
      <c r="X323">
        <v>4.8951788371543598E-2</v>
      </c>
      <c r="Y323">
        <v>4.9993315783704001E-2</v>
      </c>
      <c r="Z323">
        <v>5.1034843195864502E-2</v>
      </c>
      <c r="AA323">
        <v>5.2076370608025002E-2</v>
      </c>
      <c r="AB323">
        <v>5.3117898020185503E-2</v>
      </c>
      <c r="AC323">
        <v>5.4159425432346003E-2</v>
      </c>
      <c r="AD323" s="100">
        <v>100</v>
      </c>
    </row>
    <row r="324" spans="1:30" hidden="1" x14ac:dyDescent="0.25">
      <c r="A324" t="s">
        <v>1272</v>
      </c>
      <c r="B324" s="100">
        <v>8</v>
      </c>
      <c r="C324" s="104"/>
      <c r="D324" s="104"/>
      <c r="E324" s="104"/>
      <c r="F324" s="104"/>
      <c r="G324" s="105"/>
      <c r="H324" s="105"/>
      <c r="I324" s="105">
        <v>3.4890207257484901E-2</v>
      </c>
      <c r="J324" s="105">
        <v>3.5980526234281301E-2</v>
      </c>
      <c r="K324" s="107">
        <v>3.7070845211077702E-2</v>
      </c>
      <c r="L324" s="107">
        <v>3.8161164187874103E-2</v>
      </c>
      <c r="M324" s="107">
        <v>3.7995363530643603E-2</v>
      </c>
      <c r="N324" s="107">
        <v>3.9050790295383803E-2</v>
      </c>
      <c r="O324" s="108">
        <v>4.0106217060123898E-2</v>
      </c>
      <c r="P324" s="108">
        <v>4.1161643824864001E-2</v>
      </c>
      <c r="Q324" s="89">
        <v>4.0821382107351999E-2</v>
      </c>
      <c r="R324" s="89">
        <v>4.18419166600357E-2</v>
      </c>
      <c r="S324" s="89">
        <v>4.2862451212719602E-2</v>
      </c>
      <c r="T324">
        <v>4.3882985765403303E-2</v>
      </c>
      <c r="U324" s="99">
        <v>4.5827206135062103E-2</v>
      </c>
      <c r="V324">
        <v>4.6868733547222603E-2</v>
      </c>
      <c r="W324">
        <v>4.7910260959383097E-2</v>
      </c>
      <c r="X324">
        <v>4.8951788371543598E-2</v>
      </c>
      <c r="Y324">
        <v>4.9993315783704001E-2</v>
      </c>
      <c r="Z324">
        <v>5.1034843195864502E-2</v>
      </c>
      <c r="AA324">
        <v>5.2076370608025002E-2</v>
      </c>
      <c r="AB324">
        <v>5.3117898020185503E-2</v>
      </c>
      <c r="AC324">
        <v>5.4159425432346003E-2</v>
      </c>
      <c r="AD324" s="100">
        <v>100</v>
      </c>
    </row>
    <row r="325" spans="1:30" hidden="1" x14ac:dyDescent="0.25">
      <c r="A325" t="s">
        <v>202</v>
      </c>
      <c r="B325" s="100">
        <v>7</v>
      </c>
      <c r="C325" s="104"/>
      <c r="D325" s="104"/>
      <c r="E325" s="104"/>
      <c r="F325" s="104"/>
      <c r="G325" s="105"/>
      <c r="H325" s="105"/>
      <c r="I325" s="105"/>
      <c r="J325" s="105"/>
      <c r="K325" s="107"/>
      <c r="L325" s="107"/>
      <c r="M325" s="107"/>
      <c r="N325" s="107"/>
      <c r="O325" s="108"/>
      <c r="P325" s="108"/>
      <c r="Q325" s="89"/>
      <c r="R325" s="89">
        <v>8.3683833320071496E-2</v>
      </c>
      <c r="S325" s="89">
        <v>8.5724902425439106E-2</v>
      </c>
      <c r="T325">
        <v>8.7765971530806702E-2</v>
      </c>
      <c r="U325" s="99">
        <v>9.1654412270124094E-2</v>
      </c>
      <c r="V325">
        <v>9.3737467094445096E-2</v>
      </c>
      <c r="W325">
        <v>9.5820521918766097E-2</v>
      </c>
      <c r="X325">
        <v>9.7903576743087098E-2</v>
      </c>
      <c r="Y325">
        <v>9.9986631567408099E-2</v>
      </c>
      <c r="Z325">
        <v>0.102069686391729</v>
      </c>
      <c r="AA325">
        <v>0.10415274121605</v>
      </c>
      <c r="AB325">
        <v>0.10623579604037101</v>
      </c>
      <c r="AC325">
        <v>0.10831885086469201</v>
      </c>
      <c r="AD325" s="100">
        <v>100</v>
      </c>
    </row>
    <row r="326" spans="1:30" hidden="1" x14ac:dyDescent="0.25">
      <c r="A326" t="s">
        <v>202</v>
      </c>
      <c r="B326" s="100">
        <v>8</v>
      </c>
      <c r="C326" s="104"/>
      <c r="D326" s="104"/>
      <c r="E326" s="104"/>
      <c r="F326" s="104"/>
      <c r="G326" s="105"/>
      <c r="H326" s="105"/>
      <c r="I326" s="105"/>
      <c r="J326" s="105"/>
      <c r="K326" s="107"/>
      <c r="L326" s="107"/>
      <c r="M326" s="107"/>
      <c r="N326" s="107"/>
      <c r="O326" s="108"/>
      <c r="P326" s="108"/>
      <c r="Q326" s="89"/>
      <c r="R326" s="89">
        <v>8.3683833320071496E-2</v>
      </c>
      <c r="S326" s="89">
        <v>8.5724902425439106E-2</v>
      </c>
      <c r="T326">
        <v>8.7765971530806702E-2</v>
      </c>
      <c r="U326" s="99">
        <v>9.1654412270124094E-2</v>
      </c>
      <c r="V326">
        <v>9.3737467094445096E-2</v>
      </c>
      <c r="W326">
        <v>9.5820521918766097E-2</v>
      </c>
      <c r="X326">
        <v>9.7903576743087098E-2</v>
      </c>
      <c r="Y326">
        <v>9.9986631567408099E-2</v>
      </c>
      <c r="Z326">
        <v>0.102069686391729</v>
      </c>
      <c r="AA326">
        <v>0.10415274121605</v>
      </c>
      <c r="AB326">
        <v>0.10623579604037101</v>
      </c>
      <c r="AC326">
        <v>0.10831885086469201</v>
      </c>
      <c r="AD326" s="100">
        <v>100</v>
      </c>
    </row>
    <row r="327" spans="1:30" hidden="1" x14ac:dyDescent="0.25">
      <c r="A327" t="s">
        <v>1278</v>
      </c>
      <c r="B327" s="100">
        <v>7</v>
      </c>
      <c r="C327" s="104"/>
      <c r="D327" s="104"/>
      <c r="E327" s="104"/>
      <c r="F327" s="104"/>
      <c r="G327" s="105"/>
      <c r="H327" s="105"/>
      <c r="I327" s="105"/>
      <c r="J327" s="105"/>
      <c r="K327" s="107"/>
      <c r="L327" s="107"/>
      <c r="M327" s="107"/>
      <c r="N327" s="107"/>
      <c r="O327" s="108"/>
      <c r="P327" s="108"/>
      <c r="Q327" s="89"/>
      <c r="R327" s="89">
        <v>8.3683833320071496E-2</v>
      </c>
      <c r="S327" s="89">
        <v>8.5724902425439106E-2</v>
      </c>
      <c r="T327">
        <v>8.7765971530806702E-2</v>
      </c>
      <c r="U327">
        <v>9.1654412270124094E-2</v>
      </c>
      <c r="V327">
        <v>9.3737467094445096E-2</v>
      </c>
      <c r="W327">
        <v>9.5820521918766097E-2</v>
      </c>
      <c r="X327">
        <v>9.7903576743087098E-2</v>
      </c>
      <c r="Y327">
        <v>9.9986631567408099E-2</v>
      </c>
      <c r="Z327">
        <v>0.102069686391729</v>
      </c>
      <c r="AA327">
        <v>0.10415274121605</v>
      </c>
      <c r="AB327">
        <v>0.10623579604037101</v>
      </c>
      <c r="AC327">
        <v>0.10831885086469201</v>
      </c>
      <c r="AD327" s="100">
        <v>100</v>
      </c>
    </row>
    <row r="328" spans="1:30" hidden="1" x14ac:dyDescent="0.25">
      <c r="A328" t="s">
        <v>1278</v>
      </c>
      <c r="B328" s="100">
        <v>8</v>
      </c>
      <c r="C328" s="104"/>
      <c r="D328" s="104"/>
      <c r="E328" s="104"/>
      <c r="F328" s="104"/>
      <c r="G328" s="105"/>
      <c r="H328" s="105"/>
      <c r="I328" s="105"/>
      <c r="J328" s="105"/>
      <c r="K328" s="107"/>
      <c r="L328" s="107"/>
      <c r="M328" s="107"/>
      <c r="N328" s="107"/>
      <c r="O328" s="108"/>
      <c r="P328" s="108"/>
      <c r="Q328" s="89"/>
      <c r="R328" s="89">
        <v>8.3683833320071496E-2</v>
      </c>
      <c r="S328" s="89">
        <v>8.5724902425439106E-2</v>
      </c>
      <c r="T328">
        <v>8.7765971530806702E-2</v>
      </c>
      <c r="U328" s="99">
        <v>9.1654412270124094E-2</v>
      </c>
      <c r="V328">
        <v>9.3737467094445096E-2</v>
      </c>
      <c r="W328">
        <v>9.5820521918766097E-2</v>
      </c>
      <c r="X328">
        <v>9.7903576743087098E-2</v>
      </c>
      <c r="Y328">
        <v>9.9986631567408099E-2</v>
      </c>
      <c r="Z328">
        <v>0.102069686391729</v>
      </c>
      <c r="AA328">
        <v>0.10415274121605</v>
      </c>
      <c r="AB328">
        <v>0.10623579604037101</v>
      </c>
      <c r="AC328">
        <v>0.10831885086469201</v>
      </c>
      <c r="AD328" s="100">
        <v>100</v>
      </c>
    </row>
    <row r="329" spans="1:30" hidden="1" x14ac:dyDescent="0.25">
      <c r="A329" t="s">
        <v>1280</v>
      </c>
      <c r="B329" s="100">
        <v>8</v>
      </c>
      <c r="C329" s="104"/>
      <c r="D329" s="104"/>
      <c r="E329" s="104"/>
      <c r="F329" s="104"/>
      <c r="G329" s="105"/>
      <c r="H329" s="105"/>
      <c r="I329" s="105"/>
      <c r="J329" s="105"/>
      <c r="K329" s="107"/>
      <c r="L329" s="107"/>
      <c r="M329" s="107"/>
      <c r="N329" s="107"/>
      <c r="O329" s="108"/>
      <c r="P329" s="108"/>
      <c r="Q329" s="89"/>
      <c r="R329" s="89">
        <v>5.1794150228564803E-2</v>
      </c>
      <c r="S329" s="89">
        <v>5.3057422185359103E-2</v>
      </c>
      <c r="T329">
        <v>5.4320694142153403E-2</v>
      </c>
      <c r="U329" s="99">
        <v>5.6769628490249101E-2</v>
      </c>
      <c r="V329">
        <v>5.8059847319572901E-2</v>
      </c>
      <c r="W329">
        <v>5.9350066148896798E-2</v>
      </c>
      <c r="X329">
        <v>6.0640284978220597E-2</v>
      </c>
      <c r="Y329">
        <v>6.1930503807544397E-2</v>
      </c>
      <c r="Z329">
        <v>6.3220722636868301E-2</v>
      </c>
      <c r="AA329">
        <v>6.4510941466192101E-2</v>
      </c>
      <c r="AB329">
        <v>6.5801160295515901E-2</v>
      </c>
      <c r="AC329">
        <v>6.7091379124839798E-2</v>
      </c>
      <c r="AD329" s="100">
        <v>100</v>
      </c>
    </row>
    <row r="330" spans="1:30" hidden="1" x14ac:dyDescent="0.25">
      <c r="A330" t="s">
        <v>717</v>
      </c>
      <c r="B330" s="100">
        <v>8</v>
      </c>
      <c r="C330" s="104"/>
      <c r="D330" s="104"/>
      <c r="E330" s="104"/>
      <c r="F330" s="104"/>
      <c r="G330" s="105"/>
      <c r="H330" s="105"/>
      <c r="I330" s="105">
        <v>2.09341337033499E-2</v>
      </c>
      <c r="J330" s="105">
        <v>2.15883253815796E-2</v>
      </c>
      <c r="K330" s="107">
        <v>2.22425170598093E-2</v>
      </c>
      <c r="L330" s="107">
        <v>2.2896708738039E-2</v>
      </c>
      <c r="M330" s="107">
        <v>2.3144897819282698E-2</v>
      </c>
      <c r="N330" s="107">
        <v>2.3787811647596101E-2</v>
      </c>
      <c r="O330" s="108">
        <v>2.44307254759095E-2</v>
      </c>
      <c r="P330" s="108">
        <v>2.5073639304222899E-2</v>
      </c>
      <c r="Q330" s="89">
        <v>2.52654391358853E-2</v>
      </c>
      <c r="R330" s="89">
        <v>2.5897075114282402E-2</v>
      </c>
      <c r="S330" s="89">
        <v>2.65287110926796E-2</v>
      </c>
      <c r="T330">
        <v>2.7160347071076701E-2</v>
      </c>
      <c r="U330" s="99">
        <v>2.8384814245124498E-2</v>
      </c>
      <c r="V330">
        <v>2.9029923659786499E-2</v>
      </c>
      <c r="W330">
        <v>2.9675033074448399E-2</v>
      </c>
      <c r="X330">
        <v>3.0320142489110299E-2</v>
      </c>
      <c r="Y330">
        <v>3.0965251903772199E-2</v>
      </c>
      <c r="Z330">
        <v>3.1610361318434102E-2</v>
      </c>
      <c r="AA330">
        <v>3.2255470733096002E-2</v>
      </c>
      <c r="AB330">
        <v>3.2900580147757999E-2</v>
      </c>
      <c r="AC330">
        <v>3.3545689562419899E-2</v>
      </c>
      <c r="AD330" s="100">
        <v>100</v>
      </c>
    </row>
    <row r="331" spans="1:30" hidden="1" x14ac:dyDescent="0.25">
      <c r="A331" t="s">
        <v>1285</v>
      </c>
      <c r="B331" s="100">
        <v>8</v>
      </c>
      <c r="C331" s="104"/>
      <c r="D331" s="104"/>
      <c r="E331" s="104"/>
      <c r="F331" s="104"/>
      <c r="G331" s="105"/>
      <c r="H331" s="105"/>
      <c r="I331" s="105">
        <v>2.09341337033499E-2</v>
      </c>
      <c r="J331" s="105">
        <v>2.15883253815796E-2</v>
      </c>
      <c r="K331" s="107">
        <v>2.22425170598093E-2</v>
      </c>
      <c r="L331" s="107">
        <v>2.2896708738039E-2</v>
      </c>
      <c r="M331" s="107">
        <v>2.3144897819282698E-2</v>
      </c>
      <c r="N331" s="107">
        <v>2.3787811647596101E-2</v>
      </c>
      <c r="O331" s="108">
        <v>2.44307254759095E-2</v>
      </c>
      <c r="P331" s="108">
        <v>2.5073639304222899E-2</v>
      </c>
      <c r="Q331" s="89">
        <v>2.52654391358853E-2</v>
      </c>
      <c r="R331" s="89">
        <v>2.5897075114282402E-2</v>
      </c>
      <c r="S331" s="89">
        <v>2.65287110926796E-2</v>
      </c>
      <c r="T331">
        <v>2.7160347071076701E-2</v>
      </c>
      <c r="U331" s="99">
        <v>2.8384814245124498E-2</v>
      </c>
      <c r="V331">
        <v>2.9029923659786499E-2</v>
      </c>
      <c r="W331">
        <v>2.9675033074448399E-2</v>
      </c>
      <c r="X331">
        <v>3.0320142489110299E-2</v>
      </c>
      <c r="Y331">
        <v>3.0965251903772199E-2</v>
      </c>
      <c r="Z331">
        <v>3.1610361318434102E-2</v>
      </c>
      <c r="AA331">
        <v>3.2255470733096002E-2</v>
      </c>
      <c r="AB331">
        <v>3.2900580147757999E-2</v>
      </c>
      <c r="AC331">
        <v>3.3545689562419899E-2</v>
      </c>
      <c r="AD331" s="100">
        <v>100</v>
      </c>
    </row>
    <row r="332" spans="1:30" hidden="1" x14ac:dyDescent="0.25">
      <c r="A332" t="s">
        <v>203</v>
      </c>
      <c r="B332" s="100">
        <v>8</v>
      </c>
      <c r="C332" s="104"/>
      <c r="D332" s="104"/>
      <c r="E332" s="104"/>
      <c r="F332" s="104"/>
      <c r="G332" s="105"/>
      <c r="H332" s="105"/>
      <c r="I332" s="105">
        <v>2.09341337033499E-2</v>
      </c>
      <c r="J332" s="105">
        <v>2.15883253815796E-2</v>
      </c>
      <c r="K332" s="107">
        <v>2.22425170598093E-2</v>
      </c>
      <c r="L332" s="107">
        <v>2.2896708738039E-2</v>
      </c>
      <c r="M332" s="107">
        <v>2.3144897819282698E-2</v>
      </c>
      <c r="N332" s="107">
        <v>2.3787811647596101E-2</v>
      </c>
      <c r="O332" s="108">
        <v>2.44307254759095E-2</v>
      </c>
      <c r="P332" s="108">
        <v>2.5073639304222899E-2</v>
      </c>
      <c r="Q332" s="89">
        <v>2.52654391358853E-2</v>
      </c>
      <c r="R332" s="89">
        <v>2.5897075114282402E-2</v>
      </c>
      <c r="S332" s="89">
        <v>2.65287110926796E-2</v>
      </c>
      <c r="T332">
        <v>2.7160347071076701E-2</v>
      </c>
      <c r="U332" s="99">
        <v>2.8384814245124498E-2</v>
      </c>
      <c r="V332">
        <v>2.9029923659786499E-2</v>
      </c>
      <c r="W332">
        <v>2.9675033074448399E-2</v>
      </c>
      <c r="X332">
        <v>3.0320142489110299E-2</v>
      </c>
      <c r="Y332">
        <v>3.0965251903772199E-2</v>
      </c>
      <c r="Z332">
        <v>3.1610361318434102E-2</v>
      </c>
      <c r="AA332">
        <v>3.2255470733096002E-2</v>
      </c>
      <c r="AB332">
        <v>3.2900580147757999E-2</v>
      </c>
      <c r="AC332">
        <v>3.3545689562419899E-2</v>
      </c>
      <c r="AD332" s="100">
        <v>100</v>
      </c>
    </row>
    <row r="333" spans="1:30" hidden="1" x14ac:dyDescent="0.25">
      <c r="A333" t="s">
        <v>325</v>
      </c>
      <c r="B333" s="100">
        <v>8</v>
      </c>
      <c r="C333" s="104"/>
      <c r="D333" s="104"/>
      <c r="E333" s="104"/>
      <c r="F333" s="104"/>
      <c r="G333" s="105"/>
      <c r="H333" s="105"/>
      <c r="I333" s="105">
        <v>2.09341337033499E-2</v>
      </c>
      <c r="J333" s="105">
        <v>2.15883253815796E-2</v>
      </c>
      <c r="K333" s="107">
        <v>2.22425170598093E-2</v>
      </c>
      <c r="L333" s="107">
        <v>2.2896708738039E-2</v>
      </c>
      <c r="M333" s="107">
        <v>2.3144897819282698E-2</v>
      </c>
      <c r="N333" s="107">
        <v>2.3787811647596101E-2</v>
      </c>
      <c r="O333" s="108">
        <v>2.44307254759095E-2</v>
      </c>
      <c r="P333" s="108">
        <v>2.5073639304222899E-2</v>
      </c>
      <c r="Q333" s="89">
        <v>2.52654391358853E-2</v>
      </c>
      <c r="R333" s="89">
        <v>2.5897075114282402E-2</v>
      </c>
      <c r="S333" s="89">
        <v>2.65287110926796E-2</v>
      </c>
      <c r="T333">
        <v>2.7160347071076701E-2</v>
      </c>
      <c r="U333" s="99">
        <v>2.8384814245124498E-2</v>
      </c>
      <c r="V333">
        <v>2.9029923659786499E-2</v>
      </c>
      <c r="W333">
        <v>2.9675033074448399E-2</v>
      </c>
      <c r="X333">
        <v>3.0320142489110299E-2</v>
      </c>
      <c r="Y333">
        <v>3.0965251903772199E-2</v>
      </c>
      <c r="Z333">
        <v>3.1610361318434102E-2</v>
      </c>
      <c r="AA333">
        <v>3.2255470733096002E-2</v>
      </c>
      <c r="AB333">
        <v>3.2900580147757999E-2</v>
      </c>
      <c r="AC333">
        <v>3.3545689562419899E-2</v>
      </c>
      <c r="AD333" s="100">
        <v>100</v>
      </c>
    </row>
    <row r="334" spans="1:30" hidden="1" x14ac:dyDescent="0.25">
      <c r="A334" t="s">
        <v>1291</v>
      </c>
      <c r="B334" s="100">
        <v>8</v>
      </c>
      <c r="C334" s="104"/>
      <c r="D334" s="104"/>
      <c r="E334" s="104"/>
      <c r="F334" s="104"/>
      <c r="G334" s="105"/>
      <c r="H334" s="105"/>
      <c r="I334" s="105">
        <v>2.09341337033499E-2</v>
      </c>
      <c r="J334" s="105">
        <v>2.15883253815796E-2</v>
      </c>
      <c r="K334" s="107">
        <v>2.22425170598093E-2</v>
      </c>
      <c r="L334" s="107">
        <v>2.2896708738039E-2</v>
      </c>
      <c r="M334" s="107">
        <v>2.3144897819282698E-2</v>
      </c>
      <c r="N334" s="107">
        <v>2.3787811647596101E-2</v>
      </c>
      <c r="O334" s="108">
        <v>2.44307254759095E-2</v>
      </c>
      <c r="P334" s="108">
        <v>2.5073639304222899E-2</v>
      </c>
      <c r="Q334" s="89">
        <v>2.52654391358853E-2</v>
      </c>
      <c r="R334" s="89">
        <v>2.5897075114282402E-2</v>
      </c>
      <c r="S334" s="89">
        <v>2.65287110926796E-2</v>
      </c>
      <c r="T334">
        <v>2.7160347071076701E-2</v>
      </c>
      <c r="U334" s="99">
        <v>2.8384814245124498E-2</v>
      </c>
      <c r="V334">
        <v>2.9029923659786499E-2</v>
      </c>
      <c r="W334">
        <v>2.9675033074448399E-2</v>
      </c>
      <c r="X334">
        <v>3.0320142489110299E-2</v>
      </c>
      <c r="Y334">
        <v>3.0965251903772199E-2</v>
      </c>
      <c r="Z334">
        <v>3.1610361318434102E-2</v>
      </c>
      <c r="AA334">
        <v>3.2255470733096002E-2</v>
      </c>
      <c r="AB334">
        <v>3.2900580147757999E-2</v>
      </c>
      <c r="AC334">
        <v>3.3545689562419899E-2</v>
      </c>
      <c r="AD334" s="100">
        <v>100</v>
      </c>
    </row>
    <row r="335" spans="1:30" hidden="1" x14ac:dyDescent="0.25">
      <c r="A335" t="s">
        <v>720</v>
      </c>
      <c r="B335" s="100">
        <v>8</v>
      </c>
      <c r="C335" s="104"/>
      <c r="D335" s="104"/>
      <c r="E335" s="104"/>
      <c r="F335" s="104"/>
      <c r="G335" s="105"/>
      <c r="H335" s="105"/>
      <c r="I335" s="105">
        <v>2.09341337033499E-2</v>
      </c>
      <c r="J335" s="105">
        <v>2.15883253815796E-2</v>
      </c>
      <c r="K335" s="107">
        <v>2.22425170598093E-2</v>
      </c>
      <c r="L335" s="107">
        <v>2.2896708738039E-2</v>
      </c>
      <c r="M335" s="107">
        <v>2.3144897819282698E-2</v>
      </c>
      <c r="N335" s="107">
        <v>2.3787811647596101E-2</v>
      </c>
      <c r="O335" s="108">
        <v>2.44307254759095E-2</v>
      </c>
      <c r="P335" s="108">
        <v>2.5073639304222899E-2</v>
      </c>
      <c r="Q335" s="89">
        <v>2.52654391358853E-2</v>
      </c>
      <c r="R335" s="89">
        <v>2.5897075114282402E-2</v>
      </c>
      <c r="S335" s="89">
        <v>2.65287110926796E-2</v>
      </c>
      <c r="T335">
        <v>2.7160347071076701E-2</v>
      </c>
      <c r="U335" s="99">
        <v>2.8384814245124498E-2</v>
      </c>
      <c r="V335">
        <v>2.9029923659786499E-2</v>
      </c>
      <c r="W335">
        <v>2.9675033074448399E-2</v>
      </c>
      <c r="X335">
        <v>3.0320142489110299E-2</v>
      </c>
      <c r="Y335">
        <v>3.0965251903772199E-2</v>
      </c>
      <c r="Z335">
        <v>3.1610361318434102E-2</v>
      </c>
      <c r="AA335">
        <v>3.2255470733096002E-2</v>
      </c>
      <c r="AB335">
        <v>3.2900580147757999E-2</v>
      </c>
      <c r="AC335">
        <v>3.3545689562419899E-2</v>
      </c>
      <c r="AD335" s="100">
        <v>100</v>
      </c>
    </row>
    <row r="336" spans="1:30" hidden="1" x14ac:dyDescent="0.25">
      <c r="A336" t="s">
        <v>1296</v>
      </c>
      <c r="B336" s="100">
        <v>8</v>
      </c>
      <c r="C336" s="104"/>
      <c r="D336" s="104"/>
      <c r="E336" s="104"/>
      <c r="F336" s="104"/>
      <c r="G336" s="105"/>
      <c r="H336" s="105"/>
      <c r="I336" s="105">
        <v>2.09341337033499E-2</v>
      </c>
      <c r="J336" s="105">
        <v>2.15883253815796E-2</v>
      </c>
      <c r="K336" s="107">
        <v>2.22425170598093E-2</v>
      </c>
      <c r="L336" s="107">
        <v>2.2896708738039E-2</v>
      </c>
      <c r="M336" s="107">
        <v>2.3144897819282698E-2</v>
      </c>
      <c r="N336" s="107">
        <v>2.3787811647596101E-2</v>
      </c>
      <c r="O336" s="108">
        <v>2.44307254759095E-2</v>
      </c>
      <c r="P336" s="108">
        <v>2.5073639304222899E-2</v>
      </c>
      <c r="Q336" s="89">
        <v>2.52654391358853E-2</v>
      </c>
      <c r="R336" s="89">
        <v>2.5897075114282402E-2</v>
      </c>
      <c r="S336" s="89">
        <v>2.65287110926796E-2</v>
      </c>
      <c r="T336">
        <v>2.7160347071076701E-2</v>
      </c>
      <c r="U336" s="99">
        <v>2.8384814245124498E-2</v>
      </c>
      <c r="V336">
        <v>2.9029923659786499E-2</v>
      </c>
      <c r="W336">
        <v>2.9675033074448399E-2</v>
      </c>
      <c r="X336">
        <v>3.0320142489110299E-2</v>
      </c>
      <c r="Y336">
        <v>3.0965251903772199E-2</v>
      </c>
      <c r="Z336">
        <v>3.1610361318434102E-2</v>
      </c>
      <c r="AA336">
        <v>3.2255470733096002E-2</v>
      </c>
      <c r="AB336">
        <v>3.2900580147757999E-2</v>
      </c>
      <c r="AC336">
        <v>3.3545689562419899E-2</v>
      </c>
      <c r="AD336" s="100">
        <v>100</v>
      </c>
    </row>
    <row r="337" spans="1:30" hidden="1" x14ac:dyDescent="0.25">
      <c r="A337" t="s">
        <v>204</v>
      </c>
      <c r="B337" s="100">
        <v>8</v>
      </c>
      <c r="C337" s="104"/>
      <c r="D337" s="104"/>
      <c r="E337" s="104"/>
      <c r="F337" s="104"/>
      <c r="G337" s="105"/>
      <c r="H337" s="105"/>
      <c r="I337" s="105"/>
      <c r="J337" s="105"/>
      <c r="K337" s="107"/>
      <c r="L337" s="107"/>
      <c r="M337" s="107"/>
      <c r="N337" s="107"/>
      <c r="O337" s="108"/>
      <c r="P337" s="108"/>
      <c r="Q337" s="89"/>
      <c r="R337" s="89"/>
      <c r="S337" s="89"/>
      <c r="U337" s="99">
        <v>5.6769628490249101E-2</v>
      </c>
      <c r="V337">
        <v>5.8059847319572901E-2</v>
      </c>
      <c r="W337">
        <v>5.9350066148896798E-2</v>
      </c>
      <c r="X337">
        <v>6.0640284978220597E-2</v>
      </c>
      <c r="Y337">
        <v>6.1930503807544397E-2</v>
      </c>
      <c r="Z337">
        <v>6.3220722636868301E-2</v>
      </c>
      <c r="AA337">
        <v>6.4510941466192101E-2</v>
      </c>
      <c r="AB337">
        <v>6.5801160295515901E-2</v>
      </c>
      <c r="AC337">
        <v>6.7091379124839798E-2</v>
      </c>
      <c r="AD337" s="100">
        <v>100</v>
      </c>
    </row>
    <row r="338" spans="1:30" hidden="1" x14ac:dyDescent="0.25">
      <c r="A338" t="s">
        <v>1300</v>
      </c>
      <c r="B338" s="100">
        <v>8</v>
      </c>
      <c r="C338" s="104"/>
      <c r="D338" s="104"/>
      <c r="E338" s="104"/>
      <c r="F338" s="104"/>
      <c r="G338" s="105"/>
      <c r="H338" s="105"/>
      <c r="I338" s="105"/>
      <c r="J338" s="105"/>
      <c r="K338" s="107"/>
      <c r="L338" s="107"/>
      <c r="M338" s="107"/>
      <c r="N338" s="107"/>
      <c r="O338" s="108"/>
      <c r="P338" s="108"/>
      <c r="Q338" s="89"/>
      <c r="R338" s="89"/>
      <c r="S338" s="89"/>
      <c r="U338" s="99">
        <v>5.6769628490249101E-2</v>
      </c>
      <c r="V338">
        <v>5.8059847319572901E-2</v>
      </c>
      <c r="W338">
        <v>5.9350066148896798E-2</v>
      </c>
      <c r="X338">
        <v>6.0640284978220597E-2</v>
      </c>
      <c r="Y338">
        <v>6.1930503807544397E-2</v>
      </c>
      <c r="Z338">
        <v>6.3220722636868301E-2</v>
      </c>
      <c r="AA338">
        <v>6.4510941466192101E-2</v>
      </c>
      <c r="AB338">
        <v>6.5801160295515901E-2</v>
      </c>
      <c r="AC338">
        <v>6.7091379124839798E-2</v>
      </c>
      <c r="AD338" s="100">
        <v>100</v>
      </c>
    </row>
  </sheetData>
  <autoFilter ref="A1:AD338">
    <filterColumn colId="1">
      <filters>
        <filter val="6"/>
      </filters>
    </filterColumn>
  </autoFilter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4355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540</vt:i4>
      </vt:variant>
    </vt:vector>
  </HeadingPairs>
  <TitlesOfParts>
    <vt:vector size="568" baseType="lpstr">
      <vt:lpstr>Information</vt:lpstr>
      <vt:lpstr>Demand_Fresh</vt:lpstr>
      <vt:lpstr>Demand_Frozen</vt:lpstr>
      <vt:lpstr>Initial_Inventory</vt:lpstr>
      <vt:lpstr>Selling_Price_Fresh</vt:lpstr>
      <vt:lpstr>Selling_Price_Frozen</vt:lpstr>
      <vt:lpstr>Penalty_Fresh</vt:lpstr>
      <vt:lpstr>Penalty_Frozen</vt:lpstr>
      <vt:lpstr>Holding_Cost_Fresh</vt:lpstr>
      <vt:lpstr>Holding_Cost_Frozen</vt:lpstr>
      <vt:lpstr>Operational_Cost</vt:lpstr>
      <vt:lpstr>Operation_Time</vt:lpstr>
      <vt:lpstr>Operational_Cost_Overtime</vt:lpstr>
      <vt:lpstr>Cutting_Pattern</vt:lpstr>
      <vt:lpstr>Item_Product_Group_Map</vt:lpstr>
      <vt:lpstr>Available_Hour_Regular</vt:lpstr>
      <vt:lpstr>Bird_Type_Ratio</vt:lpstr>
      <vt:lpstr>Bird_Type_Ratio (2)</vt:lpstr>
      <vt:lpstr>Common_Data</vt:lpstr>
      <vt:lpstr>Availability</vt:lpstr>
      <vt:lpstr>Available_Hour_Overtime</vt:lpstr>
      <vt:lpstr>SKU Conversion</vt:lpstr>
      <vt:lpstr>Product_Group_Yield</vt:lpstr>
      <vt:lpstr>Raw_Material</vt:lpstr>
      <vt:lpstr>Fresh_Frozen_Relation</vt:lpstr>
      <vt:lpstr>Yield_Originals</vt:lpstr>
      <vt:lpstr>Shelf_Life</vt:lpstr>
      <vt:lpstr>Yield</vt:lpstr>
      <vt:lpstr>Common_Data!_FilterDatabase</vt:lpstr>
      <vt:lpstr>Cutting_Pattern!_FilterDatabase</vt:lpstr>
      <vt:lpstr>Demand_Frozen!_FilterDatabase</vt:lpstr>
      <vt:lpstr>Fresh_Frozen_Relation!_FilterDatabase</vt:lpstr>
      <vt:lpstr>Holding_Cost_Fresh!_FilterDatabase</vt:lpstr>
      <vt:lpstr>Information!_FilterDatabase</vt:lpstr>
      <vt:lpstr>Initial_Inventory!_FilterDatabase</vt:lpstr>
      <vt:lpstr>Item_Product_Group_Map!_FilterDatabase</vt:lpstr>
      <vt:lpstr>Operational_Cost!_FilterDatabase</vt:lpstr>
      <vt:lpstr>Penalty_Fresh!_FilterDatabase</vt:lpstr>
      <vt:lpstr>Selling_Price_Frozen!_FilterDatabase</vt:lpstr>
      <vt:lpstr>Shelf_Life!_FilterDatabase</vt:lpstr>
      <vt:lpstr>Common_Data!_FilterDatabase_0</vt:lpstr>
      <vt:lpstr>Cutting_Pattern!_FilterDatabase_0</vt:lpstr>
      <vt:lpstr>Demand_Fresh!_FilterDatabase_0</vt:lpstr>
      <vt:lpstr>Demand_Frozen!_FilterDatabase_0</vt:lpstr>
      <vt:lpstr>Fresh_Frozen_Relation!_FilterDatabase_0</vt:lpstr>
      <vt:lpstr>Holding_Cost_Fresh!_FilterDatabase_0</vt:lpstr>
      <vt:lpstr>Information!_FilterDatabase_0</vt:lpstr>
      <vt:lpstr>Initial_Inventory!_FilterDatabase_0</vt:lpstr>
      <vt:lpstr>Item_Product_Group_Map!_FilterDatabase_0</vt:lpstr>
      <vt:lpstr>Operational_Cost!_FilterDatabase_0</vt:lpstr>
      <vt:lpstr>Penalty_Fresh!_FilterDatabase_0</vt:lpstr>
      <vt:lpstr>Selling_Price_Fresh!_FilterDatabase_0</vt:lpstr>
      <vt:lpstr>Shelf_Life!_FilterDatabase_0</vt:lpstr>
      <vt:lpstr>Yield!_FilterDatabase_0</vt:lpstr>
      <vt:lpstr>Yield_Originals!_FilterDatabase_0</vt:lpstr>
      <vt:lpstr>Common_Data!_FilterDatabase_0_0</vt:lpstr>
      <vt:lpstr>Cutting_Pattern!_FilterDatabase_0_0</vt:lpstr>
      <vt:lpstr>Demand_Fresh!_FilterDatabase_0_0</vt:lpstr>
      <vt:lpstr>Demand_Frozen!_FilterDatabase_0_0</vt:lpstr>
      <vt:lpstr>Fresh_Frozen_Relation!_FilterDatabase_0_0</vt:lpstr>
      <vt:lpstr>Holding_Cost_Fresh!_FilterDatabase_0_0</vt:lpstr>
      <vt:lpstr>Information!_FilterDatabase_0_0</vt:lpstr>
      <vt:lpstr>Initial_Inventory!_FilterDatabase_0_0</vt:lpstr>
      <vt:lpstr>Item_Product_Group_Map!_FilterDatabase_0_0</vt:lpstr>
      <vt:lpstr>Operational_Cost!_FilterDatabase_0_0</vt:lpstr>
      <vt:lpstr>Penalty_Fresh!_FilterDatabase_0_0</vt:lpstr>
      <vt:lpstr>Selling_Price_Fresh!_FilterDatabase_0_0</vt:lpstr>
      <vt:lpstr>Shelf_Life!_FilterDatabase_0_0</vt:lpstr>
      <vt:lpstr>Yield!_FilterDatabase_0_0</vt:lpstr>
      <vt:lpstr>Yield_Originals!_FilterDatabase_0_0</vt:lpstr>
      <vt:lpstr>Common_Data!_FilterDatabase_0_0_0</vt:lpstr>
      <vt:lpstr>Cutting_Pattern!_FilterDatabase_0_0_0</vt:lpstr>
      <vt:lpstr>Demand_Fresh!_FilterDatabase_0_0_0</vt:lpstr>
      <vt:lpstr>Demand_Frozen!_FilterDatabase_0_0_0</vt:lpstr>
      <vt:lpstr>Fresh_Frozen_Relation!_FilterDatabase_0_0_0</vt:lpstr>
      <vt:lpstr>Holding_Cost_Fresh!_FilterDatabase_0_0_0</vt:lpstr>
      <vt:lpstr>Information!_FilterDatabase_0_0_0</vt:lpstr>
      <vt:lpstr>Initial_Inventory!_FilterDatabase_0_0_0</vt:lpstr>
      <vt:lpstr>Item_Product_Group_Map!_FilterDatabase_0_0_0</vt:lpstr>
      <vt:lpstr>Operational_Cost!_FilterDatabase_0_0_0</vt:lpstr>
      <vt:lpstr>Penalty_Fresh!_FilterDatabase_0_0_0</vt:lpstr>
      <vt:lpstr>Selling_Price_Fresh!_FilterDatabase_0_0_0</vt:lpstr>
      <vt:lpstr>Shelf_Life!_FilterDatabase_0_0_0</vt:lpstr>
      <vt:lpstr>Yield!_FilterDatabase_0_0_0</vt:lpstr>
      <vt:lpstr>Yield_Originals!_FilterDatabase_0_0_0</vt:lpstr>
      <vt:lpstr>Common_Data!_FilterDatabase_0_0_0_0</vt:lpstr>
      <vt:lpstr>Cutting_Pattern!_FilterDatabase_0_0_0_0</vt:lpstr>
      <vt:lpstr>Demand_Fresh!_FilterDatabase_0_0_0_0</vt:lpstr>
      <vt:lpstr>Demand_Frozen!_FilterDatabase_0_0_0_0</vt:lpstr>
      <vt:lpstr>Fresh_Frozen_Relation!_FilterDatabase_0_0_0_0</vt:lpstr>
      <vt:lpstr>Holding_Cost_Fresh!_FilterDatabase_0_0_0_0</vt:lpstr>
      <vt:lpstr>Information!_FilterDatabase_0_0_0_0</vt:lpstr>
      <vt:lpstr>Initial_Inventory!_FilterDatabase_0_0_0_0</vt:lpstr>
      <vt:lpstr>Item_Product_Group_Map!_FilterDatabase_0_0_0_0</vt:lpstr>
      <vt:lpstr>Operational_Cost!_FilterDatabase_0_0_0_0</vt:lpstr>
      <vt:lpstr>Penalty_Fresh!_FilterDatabase_0_0_0_0</vt:lpstr>
      <vt:lpstr>Selling_Price_Fresh!_FilterDatabase_0_0_0_0</vt:lpstr>
      <vt:lpstr>Shelf_Life!_FilterDatabase_0_0_0_0</vt:lpstr>
      <vt:lpstr>Yield!_FilterDatabase_0_0_0_0</vt:lpstr>
      <vt:lpstr>Yield_Originals!_FilterDatabase_0_0_0_0</vt:lpstr>
      <vt:lpstr>Common_Data!_FilterDatabase_0_0_0_0_0</vt:lpstr>
      <vt:lpstr>Cutting_Pattern!_FilterDatabase_0_0_0_0_0</vt:lpstr>
      <vt:lpstr>Demand_Fresh!_FilterDatabase_0_0_0_0_0</vt:lpstr>
      <vt:lpstr>Demand_Frozen!_FilterDatabase_0_0_0_0_0</vt:lpstr>
      <vt:lpstr>Fresh_Frozen_Relation!_FilterDatabase_0_0_0_0_0</vt:lpstr>
      <vt:lpstr>Holding_Cost_Fresh!_FilterDatabase_0_0_0_0_0</vt:lpstr>
      <vt:lpstr>Information!_FilterDatabase_0_0_0_0_0</vt:lpstr>
      <vt:lpstr>Initial_Inventory!_FilterDatabase_0_0_0_0_0</vt:lpstr>
      <vt:lpstr>Item_Product_Group_Map!_FilterDatabase_0_0_0_0_0</vt:lpstr>
      <vt:lpstr>Operational_Cost!_FilterDatabase_0_0_0_0_0</vt:lpstr>
      <vt:lpstr>Penalty_Fresh!_FilterDatabase_0_0_0_0_0</vt:lpstr>
      <vt:lpstr>Selling_Price_Fresh!_FilterDatabase_0_0_0_0_0</vt:lpstr>
      <vt:lpstr>Shelf_Life!_FilterDatabase_0_0_0_0_0</vt:lpstr>
      <vt:lpstr>Yield!_FilterDatabase_0_0_0_0_0</vt:lpstr>
      <vt:lpstr>Yield_Originals!_FilterDatabase_0_0_0_0_0</vt:lpstr>
      <vt:lpstr>Common_Data!_FilterDatabase_0_0_0_0_0_0</vt:lpstr>
      <vt:lpstr>Cutting_Pattern!_FilterDatabase_0_0_0_0_0_0</vt:lpstr>
      <vt:lpstr>Demand_Fresh!_FilterDatabase_0_0_0_0_0_0</vt:lpstr>
      <vt:lpstr>Demand_Frozen!_FilterDatabase_0_0_0_0_0_0</vt:lpstr>
      <vt:lpstr>Fresh_Frozen_Relation!_FilterDatabase_0_0_0_0_0_0</vt:lpstr>
      <vt:lpstr>Holding_Cost_Fresh!_FilterDatabase_0_0_0_0_0_0</vt:lpstr>
      <vt:lpstr>Information!_FilterDatabase_0_0_0_0_0_0</vt:lpstr>
      <vt:lpstr>Initial_Inventory!_FilterDatabase_0_0_0_0_0_0</vt:lpstr>
      <vt:lpstr>Item_Product_Group_Map!_FilterDatabase_0_0_0_0_0_0</vt:lpstr>
      <vt:lpstr>Operational_Cost!_FilterDatabase_0_0_0_0_0_0</vt:lpstr>
      <vt:lpstr>Penalty_Fresh!_FilterDatabase_0_0_0_0_0_0</vt:lpstr>
      <vt:lpstr>Selling_Price_Fresh!_FilterDatabase_0_0_0_0_0_0</vt:lpstr>
      <vt:lpstr>Shelf_Life!_FilterDatabase_0_0_0_0_0_0</vt:lpstr>
      <vt:lpstr>Yield!_FilterDatabase_0_0_0_0_0_0</vt:lpstr>
      <vt:lpstr>Yield_Originals!_FilterDatabase_0_0_0_0_0_0</vt:lpstr>
      <vt:lpstr>Common_Data!_FilterDatabase_0_0_0_0_0_0_0</vt:lpstr>
      <vt:lpstr>Cutting_Pattern!_FilterDatabase_0_0_0_0_0_0_0</vt:lpstr>
      <vt:lpstr>Demand_Fresh!_FilterDatabase_0_0_0_0_0_0_0</vt:lpstr>
      <vt:lpstr>Demand_Frozen!_FilterDatabase_0_0_0_0_0_0_0</vt:lpstr>
      <vt:lpstr>Fresh_Frozen_Relation!_FilterDatabase_0_0_0_0_0_0_0</vt:lpstr>
      <vt:lpstr>Holding_Cost_Fresh!_FilterDatabase_0_0_0_0_0_0_0</vt:lpstr>
      <vt:lpstr>Information!_FilterDatabase_0_0_0_0_0_0_0</vt:lpstr>
      <vt:lpstr>Initial_Inventory!_FilterDatabase_0_0_0_0_0_0_0</vt:lpstr>
      <vt:lpstr>Item_Product_Group_Map!_FilterDatabase_0_0_0_0_0_0_0</vt:lpstr>
      <vt:lpstr>Operational_Cost!_FilterDatabase_0_0_0_0_0_0_0</vt:lpstr>
      <vt:lpstr>Penalty_Fresh!_FilterDatabase_0_0_0_0_0_0_0</vt:lpstr>
      <vt:lpstr>Selling_Price_Fresh!_FilterDatabase_0_0_0_0_0_0_0</vt:lpstr>
      <vt:lpstr>Shelf_Life!_FilterDatabase_0_0_0_0_0_0_0</vt:lpstr>
      <vt:lpstr>Yield!_FilterDatabase_0_0_0_0_0_0_0</vt:lpstr>
      <vt:lpstr>Yield_Originals!_FilterDatabase_0_0_0_0_0_0_0</vt:lpstr>
      <vt:lpstr>Common_Data!_FilterDatabase_0_0_0_0_0_0_0_0</vt:lpstr>
      <vt:lpstr>Cutting_Pattern!_FilterDatabase_0_0_0_0_0_0_0_0</vt:lpstr>
      <vt:lpstr>Demand_Fresh!_FilterDatabase_0_0_0_0_0_0_0_0</vt:lpstr>
      <vt:lpstr>Demand_Frozen!_FilterDatabase_0_0_0_0_0_0_0_0</vt:lpstr>
      <vt:lpstr>Fresh_Frozen_Relation!_FilterDatabase_0_0_0_0_0_0_0_0</vt:lpstr>
      <vt:lpstr>Holding_Cost_Fresh!_FilterDatabase_0_0_0_0_0_0_0_0</vt:lpstr>
      <vt:lpstr>Information!_FilterDatabase_0_0_0_0_0_0_0_0</vt:lpstr>
      <vt:lpstr>Initial_Inventory!_FilterDatabase_0_0_0_0_0_0_0_0</vt:lpstr>
      <vt:lpstr>Item_Product_Group_Map!_FilterDatabase_0_0_0_0_0_0_0_0</vt:lpstr>
      <vt:lpstr>Operational_Cost!_FilterDatabase_0_0_0_0_0_0_0_0</vt:lpstr>
      <vt:lpstr>Penalty_Fresh!_FilterDatabase_0_0_0_0_0_0_0_0</vt:lpstr>
      <vt:lpstr>Selling_Price_Fresh!_FilterDatabase_0_0_0_0_0_0_0_0</vt:lpstr>
      <vt:lpstr>Shelf_Life!_FilterDatabase_0_0_0_0_0_0_0_0</vt:lpstr>
      <vt:lpstr>Yield!_FilterDatabase_0_0_0_0_0_0_0_0</vt:lpstr>
      <vt:lpstr>Yield_Originals!_FilterDatabase_0_0_0_0_0_0_0_0</vt:lpstr>
      <vt:lpstr>Common_Data!_FilterDatabase_0_0_0_0_0_0_0_0_0</vt:lpstr>
      <vt:lpstr>Cutting_Pattern!_FilterDatabase_0_0_0_0_0_0_0_0_0</vt:lpstr>
      <vt:lpstr>Demand_Fresh!_FilterDatabase_0_0_0_0_0_0_0_0_0</vt:lpstr>
      <vt:lpstr>Demand_Frozen!_FilterDatabase_0_0_0_0_0_0_0_0_0</vt:lpstr>
      <vt:lpstr>Fresh_Frozen_Relation!_FilterDatabase_0_0_0_0_0_0_0_0_0</vt:lpstr>
      <vt:lpstr>Holding_Cost_Fresh!_FilterDatabase_0_0_0_0_0_0_0_0_0</vt:lpstr>
      <vt:lpstr>Information!_FilterDatabase_0_0_0_0_0_0_0_0_0</vt:lpstr>
      <vt:lpstr>Initial_Inventory!_FilterDatabase_0_0_0_0_0_0_0_0_0</vt:lpstr>
      <vt:lpstr>Item_Product_Group_Map!_FilterDatabase_0_0_0_0_0_0_0_0_0</vt:lpstr>
      <vt:lpstr>Operational_Cost!_FilterDatabase_0_0_0_0_0_0_0_0_0</vt:lpstr>
      <vt:lpstr>Penalty_Fresh!_FilterDatabase_0_0_0_0_0_0_0_0_0</vt:lpstr>
      <vt:lpstr>Selling_Price_Fresh!_FilterDatabase_0_0_0_0_0_0_0_0_0</vt:lpstr>
      <vt:lpstr>Shelf_Life!_FilterDatabase_0_0_0_0_0_0_0_0_0</vt:lpstr>
      <vt:lpstr>Yield!_FilterDatabase_0_0_0_0_0_0_0_0_0</vt:lpstr>
      <vt:lpstr>Yield_Originals!_FilterDatabase_0_0_0_0_0_0_0_0_0</vt:lpstr>
      <vt:lpstr>Common_Data!_FilterDatabase_0_0_0_0_0_0_0_0_0_0</vt:lpstr>
      <vt:lpstr>Cutting_Pattern!_FilterDatabase_0_0_0_0_0_0_0_0_0_0</vt:lpstr>
      <vt:lpstr>Demand_Fresh!_FilterDatabase_0_0_0_0_0_0_0_0_0_0</vt:lpstr>
      <vt:lpstr>Demand_Frozen!_FilterDatabase_0_0_0_0_0_0_0_0_0_0</vt:lpstr>
      <vt:lpstr>Fresh_Frozen_Relation!_FilterDatabase_0_0_0_0_0_0_0_0_0_0</vt:lpstr>
      <vt:lpstr>Holding_Cost_Fresh!_FilterDatabase_0_0_0_0_0_0_0_0_0_0</vt:lpstr>
      <vt:lpstr>Information!_FilterDatabase_0_0_0_0_0_0_0_0_0_0</vt:lpstr>
      <vt:lpstr>Initial_Inventory!_FilterDatabase_0_0_0_0_0_0_0_0_0_0</vt:lpstr>
      <vt:lpstr>Item_Product_Group_Map!_FilterDatabase_0_0_0_0_0_0_0_0_0_0</vt:lpstr>
      <vt:lpstr>Operational_Cost!_FilterDatabase_0_0_0_0_0_0_0_0_0_0</vt:lpstr>
      <vt:lpstr>Penalty_Fresh!_FilterDatabase_0_0_0_0_0_0_0_0_0_0</vt:lpstr>
      <vt:lpstr>Selling_Price_Fresh!_FilterDatabase_0_0_0_0_0_0_0_0_0_0</vt:lpstr>
      <vt:lpstr>Shelf_Life!_FilterDatabase_0_0_0_0_0_0_0_0_0_0</vt:lpstr>
      <vt:lpstr>Yield!_FilterDatabase_0_0_0_0_0_0_0_0_0_0</vt:lpstr>
      <vt:lpstr>Yield_Originals!_FilterDatabase_0_0_0_0_0_0_0_0_0_0</vt:lpstr>
      <vt:lpstr>Common_Data!_FilterDatabase_0_0_0_0_0_0_0_0_0_0_0</vt:lpstr>
      <vt:lpstr>Cutting_Pattern!_FilterDatabase_0_0_0_0_0_0_0_0_0_0_0</vt:lpstr>
      <vt:lpstr>Demand_Fresh!_FilterDatabase_0_0_0_0_0_0_0_0_0_0_0</vt:lpstr>
      <vt:lpstr>Demand_Frozen!_FilterDatabase_0_0_0_0_0_0_0_0_0_0_0</vt:lpstr>
      <vt:lpstr>Fresh_Frozen_Relation!_FilterDatabase_0_0_0_0_0_0_0_0_0_0_0</vt:lpstr>
      <vt:lpstr>Holding_Cost_Fresh!_FilterDatabase_0_0_0_0_0_0_0_0_0_0_0</vt:lpstr>
      <vt:lpstr>Information!_FilterDatabase_0_0_0_0_0_0_0_0_0_0_0</vt:lpstr>
      <vt:lpstr>Initial_Inventory!_FilterDatabase_0_0_0_0_0_0_0_0_0_0_0</vt:lpstr>
      <vt:lpstr>Item_Product_Group_Map!_FilterDatabase_0_0_0_0_0_0_0_0_0_0_0</vt:lpstr>
      <vt:lpstr>Operational_Cost!_FilterDatabase_0_0_0_0_0_0_0_0_0_0_0</vt:lpstr>
      <vt:lpstr>Penalty_Fresh!_FilterDatabase_0_0_0_0_0_0_0_0_0_0_0</vt:lpstr>
      <vt:lpstr>Selling_Price_Fresh!_FilterDatabase_0_0_0_0_0_0_0_0_0_0_0</vt:lpstr>
      <vt:lpstr>Shelf_Life!_FilterDatabase_0_0_0_0_0_0_0_0_0_0_0</vt:lpstr>
      <vt:lpstr>Yield!_FilterDatabase_0_0_0_0_0_0_0_0_0_0_0</vt:lpstr>
      <vt:lpstr>Yield_Originals!_FilterDatabase_0_0_0_0_0_0_0_0_0_0_0</vt:lpstr>
      <vt:lpstr>Common_Data!_FilterDatabase_0_0_0_0_0_0_0_0_0_0_0_0</vt:lpstr>
      <vt:lpstr>Cutting_Pattern!_FilterDatabase_0_0_0_0_0_0_0_0_0_0_0_0</vt:lpstr>
      <vt:lpstr>Demand_Fresh!_FilterDatabase_0_0_0_0_0_0_0_0_0_0_0_0</vt:lpstr>
      <vt:lpstr>Demand_Frozen!_FilterDatabase_0_0_0_0_0_0_0_0_0_0_0_0</vt:lpstr>
      <vt:lpstr>Fresh_Frozen_Relation!_FilterDatabase_0_0_0_0_0_0_0_0_0_0_0_0</vt:lpstr>
      <vt:lpstr>Holding_Cost_Fresh!_FilterDatabase_0_0_0_0_0_0_0_0_0_0_0_0</vt:lpstr>
      <vt:lpstr>Information!_FilterDatabase_0_0_0_0_0_0_0_0_0_0_0_0</vt:lpstr>
      <vt:lpstr>Initial_Inventory!_FilterDatabase_0_0_0_0_0_0_0_0_0_0_0_0</vt:lpstr>
      <vt:lpstr>Item_Product_Group_Map!_FilterDatabase_0_0_0_0_0_0_0_0_0_0_0_0</vt:lpstr>
      <vt:lpstr>Operational_Cost!_FilterDatabase_0_0_0_0_0_0_0_0_0_0_0_0</vt:lpstr>
      <vt:lpstr>Penalty_Fresh!_FilterDatabase_0_0_0_0_0_0_0_0_0_0_0_0</vt:lpstr>
      <vt:lpstr>Selling_Price_Fresh!_FilterDatabase_0_0_0_0_0_0_0_0_0_0_0_0</vt:lpstr>
      <vt:lpstr>Shelf_Life!_FilterDatabase_0_0_0_0_0_0_0_0_0_0_0_0</vt:lpstr>
      <vt:lpstr>Yield!_FilterDatabase_0_0_0_0_0_0_0_0_0_0_0_0</vt:lpstr>
      <vt:lpstr>Yield_Originals!_FilterDatabase_0_0_0_0_0_0_0_0_0_0_0_0</vt:lpstr>
      <vt:lpstr>Common_Data!_FilterDatabase_0_0_0_0_0_0_0_0_0_0_0_0_0</vt:lpstr>
      <vt:lpstr>Cutting_Pattern!_FilterDatabase_0_0_0_0_0_0_0_0_0_0_0_0_0</vt:lpstr>
      <vt:lpstr>Demand_Fresh!_FilterDatabase_0_0_0_0_0_0_0_0_0_0_0_0_0</vt:lpstr>
      <vt:lpstr>Demand_Frozen!_FilterDatabase_0_0_0_0_0_0_0_0_0_0_0_0_0</vt:lpstr>
      <vt:lpstr>Fresh_Frozen_Relation!_FilterDatabase_0_0_0_0_0_0_0_0_0_0_0_0_0</vt:lpstr>
      <vt:lpstr>Holding_Cost_Fresh!_FilterDatabase_0_0_0_0_0_0_0_0_0_0_0_0_0</vt:lpstr>
      <vt:lpstr>Information!_FilterDatabase_0_0_0_0_0_0_0_0_0_0_0_0_0</vt:lpstr>
      <vt:lpstr>Initial_Inventory!_FilterDatabase_0_0_0_0_0_0_0_0_0_0_0_0_0</vt:lpstr>
      <vt:lpstr>Item_Product_Group_Map!_FilterDatabase_0_0_0_0_0_0_0_0_0_0_0_0_0</vt:lpstr>
      <vt:lpstr>Operational_Cost!_FilterDatabase_0_0_0_0_0_0_0_0_0_0_0_0_0</vt:lpstr>
      <vt:lpstr>Penalty_Fresh!_FilterDatabase_0_0_0_0_0_0_0_0_0_0_0_0_0</vt:lpstr>
      <vt:lpstr>Selling_Price_Fresh!_FilterDatabase_0_0_0_0_0_0_0_0_0_0_0_0_0</vt:lpstr>
      <vt:lpstr>Shelf_Life!_FilterDatabase_0_0_0_0_0_0_0_0_0_0_0_0_0</vt:lpstr>
      <vt:lpstr>Yield!_FilterDatabase_0_0_0_0_0_0_0_0_0_0_0_0_0</vt:lpstr>
      <vt:lpstr>Yield_Originals!_FilterDatabase_0_0_0_0_0_0_0_0_0_0_0_0_0</vt:lpstr>
      <vt:lpstr>Common_Data!_FilterDatabase_0_0_0_0_0_0_0_0_0_0_0_0_0_0</vt:lpstr>
      <vt:lpstr>Cutting_Pattern!_FilterDatabase_0_0_0_0_0_0_0_0_0_0_0_0_0_0</vt:lpstr>
      <vt:lpstr>Demand_Fresh!_FilterDatabase_0_0_0_0_0_0_0_0_0_0_0_0_0_0</vt:lpstr>
      <vt:lpstr>Demand_Frozen!_FilterDatabase_0_0_0_0_0_0_0_0_0_0_0_0_0_0</vt:lpstr>
      <vt:lpstr>Fresh_Frozen_Relation!_FilterDatabase_0_0_0_0_0_0_0_0_0_0_0_0_0_0</vt:lpstr>
      <vt:lpstr>Holding_Cost_Fresh!_FilterDatabase_0_0_0_0_0_0_0_0_0_0_0_0_0_0</vt:lpstr>
      <vt:lpstr>Information!_FilterDatabase_0_0_0_0_0_0_0_0_0_0_0_0_0_0</vt:lpstr>
      <vt:lpstr>Initial_Inventory!_FilterDatabase_0_0_0_0_0_0_0_0_0_0_0_0_0_0</vt:lpstr>
      <vt:lpstr>Item_Product_Group_Map!_FilterDatabase_0_0_0_0_0_0_0_0_0_0_0_0_0_0</vt:lpstr>
      <vt:lpstr>Operational_Cost!_FilterDatabase_0_0_0_0_0_0_0_0_0_0_0_0_0_0</vt:lpstr>
      <vt:lpstr>Penalty_Fresh!_FilterDatabase_0_0_0_0_0_0_0_0_0_0_0_0_0_0</vt:lpstr>
      <vt:lpstr>Selling_Price_Fresh!_FilterDatabase_0_0_0_0_0_0_0_0_0_0_0_0_0_0</vt:lpstr>
      <vt:lpstr>Shelf_Life!_FilterDatabase_0_0_0_0_0_0_0_0_0_0_0_0_0_0</vt:lpstr>
      <vt:lpstr>Yield!_FilterDatabase_0_0_0_0_0_0_0_0_0_0_0_0_0_0</vt:lpstr>
      <vt:lpstr>Yield_Originals!_FilterDatabase_0_0_0_0_0_0_0_0_0_0_0_0_0_0</vt:lpstr>
      <vt:lpstr>Common_Data!_FilterDatabase_0_0_0_0_0_0_0_0_0_0_0_0_0_0_0</vt:lpstr>
      <vt:lpstr>Cutting_Pattern!_FilterDatabase_0_0_0_0_0_0_0_0_0_0_0_0_0_0_0</vt:lpstr>
      <vt:lpstr>Demand_Fresh!_FilterDatabase_0_0_0_0_0_0_0_0_0_0_0_0_0_0_0</vt:lpstr>
      <vt:lpstr>Demand_Frozen!_FilterDatabase_0_0_0_0_0_0_0_0_0_0_0_0_0_0_0</vt:lpstr>
      <vt:lpstr>Fresh_Frozen_Relation!_FilterDatabase_0_0_0_0_0_0_0_0_0_0_0_0_0_0_0</vt:lpstr>
      <vt:lpstr>Holding_Cost_Fresh!_FilterDatabase_0_0_0_0_0_0_0_0_0_0_0_0_0_0_0</vt:lpstr>
      <vt:lpstr>Information!_FilterDatabase_0_0_0_0_0_0_0_0_0_0_0_0_0_0_0</vt:lpstr>
      <vt:lpstr>Initial_Inventory!_FilterDatabase_0_0_0_0_0_0_0_0_0_0_0_0_0_0_0</vt:lpstr>
      <vt:lpstr>Item_Product_Group_Map!_FilterDatabase_0_0_0_0_0_0_0_0_0_0_0_0_0_0_0</vt:lpstr>
      <vt:lpstr>Operational_Cost!_FilterDatabase_0_0_0_0_0_0_0_0_0_0_0_0_0_0_0</vt:lpstr>
      <vt:lpstr>Penalty_Fresh!_FilterDatabase_0_0_0_0_0_0_0_0_0_0_0_0_0_0_0</vt:lpstr>
      <vt:lpstr>Selling_Price_Fresh!_FilterDatabase_0_0_0_0_0_0_0_0_0_0_0_0_0_0_0</vt:lpstr>
      <vt:lpstr>Shelf_Life!_FilterDatabase_0_0_0_0_0_0_0_0_0_0_0_0_0_0_0</vt:lpstr>
      <vt:lpstr>Yield!_FilterDatabase_0_0_0_0_0_0_0_0_0_0_0_0_0_0_0</vt:lpstr>
      <vt:lpstr>Yield_Originals!_FilterDatabase_0_0_0_0_0_0_0_0_0_0_0_0_0_0_0</vt:lpstr>
      <vt:lpstr>Common_Data!_FilterDatabase_0_0_0_0_0_0_0_0_0_0_0_0_0_0_0_0</vt:lpstr>
      <vt:lpstr>Cutting_Pattern!_FilterDatabase_0_0_0_0_0_0_0_0_0_0_0_0_0_0_0_0</vt:lpstr>
      <vt:lpstr>Demand_Fresh!_FilterDatabase_0_0_0_0_0_0_0_0_0_0_0_0_0_0_0_0</vt:lpstr>
      <vt:lpstr>Demand_Frozen!_FilterDatabase_0_0_0_0_0_0_0_0_0_0_0_0_0_0_0_0</vt:lpstr>
      <vt:lpstr>Fresh_Frozen_Relation!_FilterDatabase_0_0_0_0_0_0_0_0_0_0_0_0_0_0_0_0</vt:lpstr>
      <vt:lpstr>Holding_Cost_Fresh!_FilterDatabase_0_0_0_0_0_0_0_0_0_0_0_0_0_0_0_0</vt:lpstr>
      <vt:lpstr>Information!_FilterDatabase_0_0_0_0_0_0_0_0_0_0_0_0_0_0_0_0</vt:lpstr>
      <vt:lpstr>Initial_Inventory!_FilterDatabase_0_0_0_0_0_0_0_0_0_0_0_0_0_0_0_0</vt:lpstr>
      <vt:lpstr>Item_Product_Group_Map!_FilterDatabase_0_0_0_0_0_0_0_0_0_0_0_0_0_0_0_0</vt:lpstr>
      <vt:lpstr>Operational_Cost!_FilterDatabase_0_0_0_0_0_0_0_0_0_0_0_0_0_0_0_0</vt:lpstr>
      <vt:lpstr>Penalty_Fresh!_FilterDatabase_0_0_0_0_0_0_0_0_0_0_0_0_0_0_0_0</vt:lpstr>
      <vt:lpstr>Selling_Price_Fresh!_FilterDatabase_0_0_0_0_0_0_0_0_0_0_0_0_0_0_0_0</vt:lpstr>
      <vt:lpstr>Shelf_Life!_FilterDatabase_0_0_0_0_0_0_0_0_0_0_0_0_0_0_0_0</vt:lpstr>
      <vt:lpstr>Yield!_FilterDatabase_0_0_0_0_0_0_0_0_0_0_0_0_0_0_0_0</vt:lpstr>
      <vt:lpstr>Yield_Originals!_FilterDatabase_0_0_0_0_0_0_0_0_0_0_0_0_0_0_0_0</vt:lpstr>
      <vt:lpstr>Common_Data!_FilterDatabase_0_0_0_0_0_0_0_0_0_0_0_0_0_0_0_0_0</vt:lpstr>
      <vt:lpstr>Cutting_Pattern!_FilterDatabase_0_0_0_0_0_0_0_0_0_0_0_0_0_0_0_0_0</vt:lpstr>
      <vt:lpstr>Demand_Fresh!_FilterDatabase_0_0_0_0_0_0_0_0_0_0_0_0_0_0_0_0_0</vt:lpstr>
      <vt:lpstr>Demand_Frozen!_FilterDatabase_0_0_0_0_0_0_0_0_0_0_0_0_0_0_0_0_0</vt:lpstr>
      <vt:lpstr>Fresh_Frozen_Relation!_FilterDatabase_0_0_0_0_0_0_0_0_0_0_0_0_0_0_0_0_0</vt:lpstr>
      <vt:lpstr>Holding_Cost_Fresh!_FilterDatabase_0_0_0_0_0_0_0_0_0_0_0_0_0_0_0_0_0</vt:lpstr>
      <vt:lpstr>Information!_FilterDatabase_0_0_0_0_0_0_0_0_0_0_0_0_0_0_0_0_0</vt:lpstr>
      <vt:lpstr>Initial_Inventory!_FilterDatabase_0_0_0_0_0_0_0_0_0_0_0_0_0_0_0_0_0</vt:lpstr>
      <vt:lpstr>Item_Product_Group_Map!_FilterDatabase_0_0_0_0_0_0_0_0_0_0_0_0_0_0_0_0_0</vt:lpstr>
      <vt:lpstr>Operational_Cost!_FilterDatabase_0_0_0_0_0_0_0_0_0_0_0_0_0_0_0_0_0</vt:lpstr>
      <vt:lpstr>Penalty_Fresh!_FilterDatabase_0_0_0_0_0_0_0_0_0_0_0_0_0_0_0_0_0</vt:lpstr>
      <vt:lpstr>Selling_Price_Fresh!_FilterDatabase_0_0_0_0_0_0_0_0_0_0_0_0_0_0_0_0_0</vt:lpstr>
      <vt:lpstr>Shelf_Life!_FilterDatabase_0_0_0_0_0_0_0_0_0_0_0_0_0_0_0_0_0</vt:lpstr>
      <vt:lpstr>Yield!_FilterDatabase_0_0_0_0_0_0_0_0_0_0_0_0_0_0_0_0_0</vt:lpstr>
      <vt:lpstr>Yield_Originals!_FilterDatabase_0_0_0_0_0_0_0_0_0_0_0_0_0_0_0_0_0</vt:lpstr>
      <vt:lpstr>Common_Data!_FilterDatabase_0_0_0_0_0_0_0_0_0_0_0_0_0_0_0_0_0_0</vt:lpstr>
      <vt:lpstr>Cutting_Pattern!_FilterDatabase_0_0_0_0_0_0_0_0_0_0_0_0_0_0_0_0_0_0</vt:lpstr>
      <vt:lpstr>Demand_Fresh!_FilterDatabase_0_0_0_0_0_0_0_0_0_0_0_0_0_0_0_0_0_0</vt:lpstr>
      <vt:lpstr>Demand_Frozen!_FilterDatabase_0_0_0_0_0_0_0_0_0_0_0_0_0_0_0_0_0_0</vt:lpstr>
      <vt:lpstr>Fresh_Frozen_Relation!_FilterDatabase_0_0_0_0_0_0_0_0_0_0_0_0_0_0_0_0_0_0</vt:lpstr>
      <vt:lpstr>Holding_Cost_Fresh!_FilterDatabase_0_0_0_0_0_0_0_0_0_0_0_0_0_0_0_0_0_0</vt:lpstr>
      <vt:lpstr>Information!_FilterDatabase_0_0_0_0_0_0_0_0_0_0_0_0_0_0_0_0_0_0</vt:lpstr>
      <vt:lpstr>Initial_Inventory!_FilterDatabase_0_0_0_0_0_0_0_0_0_0_0_0_0_0_0_0_0_0</vt:lpstr>
      <vt:lpstr>Item_Product_Group_Map!_FilterDatabase_0_0_0_0_0_0_0_0_0_0_0_0_0_0_0_0_0_0</vt:lpstr>
      <vt:lpstr>Operational_Cost!_FilterDatabase_0_0_0_0_0_0_0_0_0_0_0_0_0_0_0_0_0_0</vt:lpstr>
      <vt:lpstr>Penalty_Fresh!_FilterDatabase_0_0_0_0_0_0_0_0_0_0_0_0_0_0_0_0_0_0</vt:lpstr>
      <vt:lpstr>Selling_Price_Fresh!_FilterDatabase_0_0_0_0_0_0_0_0_0_0_0_0_0_0_0_0_0_0</vt:lpstr>
      <vt:lpstr>Shelf_Life!_FilterDatabase_0_0_0_0_0_0_0_0_0_0_0_0_0_0_0_0_0_0</vt:lpstr>
      <vt:lpstr>Yield!_FilterDatabase_0_0_0_0_0_0_0_0_0_0_0_0_0_0_0_0_0_0</vt:lpstr>
      <vt:lpstr>Yield_Originals!_FilterDatabase_0_0_0_0_0_0_0_0_0_0_0_0_0_0_0_0_0_0</vt:lpstr>
      <vt:lpstr>Common_Data!_FilterDatabase_0_0_0_0_0_0_0_0_0_0_0_0_0_0_0_0_0_0_0</vt:lpstr>
      <vt:lpstr>Cutting_Pattern!_FilterDatabase_0_0_0_0_0_0_0_0_0_0_0_0_0_0_0_0_0_0_0</vt:lpstr>
      <vt:lpstr>Demand_Fresh!_FilterDatabase_0_0_0_0_0_0_0_0_0_0_0_0_0_0_0_0_0_0_0</vt:lpstr>
      <vt:lpstr>Demand_Frozen!_FilterDatabase_0_0_0_0_0_0_0_0_0_0_0_0_0_0_0_0_0_0_0</vt:lpstr>
      <vt:lpstr>Fresh_Frozen_Relation!_FilterDatabase_0_0_0_0_0_0_0_0_0_0_0_0_0_0_0_0_0_0_0</vt:lpstr>
      <vt:lpstr>Holding_Cost_Fresh!_FilterDatabase_0_0_0_0_0_0_0_0_0_0_0_0_0_0_0_0_0_0_0</vt:lpstr>
      <vt:lpstr>Information!_FilterDatabase_0_0_0_0_0_0_0_0_0_0_0_0_0_0_0_0_0_0_0</vt:lpstr>
      <vt:lpstr>Initial_Inventory!_FilterDatabase_0_0_0_0_0_0_0_0_0_0_0_0_0_0_0_0_0_0_0</vt:lpstr>
      <vt:lpstr>Item_Product_Group_Map!_FilterDatabase_0_0_0_0_0_0_0_0_0_0_0_0_0_0_0_0_0_0_0</vt:lpstr>
      <vt:lpstr>Operational_Cost!_FilterDatabase_0_0_0_0_0_0_0_0_0_0_0_0_0_0_0_0_0_0_0</vt:lpstr>
      <vt:lpstr>Penalty_Fresh!_FilterDatabase_0_0_0_0_0_0_0_0_0_0_0_0_0_0_0_0_0_0_0</vt:lpstr>
      <vt:lpstr>Selling_Price_Fresh!_FilterDatabase_0_0_0_0_0_0_0_0_0_0_0_0_0_0_0_0_0_0_0</vt:lpstr>
      <vt:lpstr>Shelf_Life!_FilterDatabase_0_0_0_0_0_0_0_0_0_0_0_0_0_0_0_0_0_0_0</vt:lpstr>
      <vt:lpstr>Yield!_FilterDatabase_0_0_0_0_0_0_0_0_0_0_0_0_0_0_0_0_0_0_0</vt:lpstr>
      <vt:lpstr>Yield_Originals!_FilterDatabase_0_0_0_0_0_0_0_0_0_0_0_0_0_0_0_0_0_0_0</vt:lpstr>
      <vt:lpstr>Common_Data!_FilterDatabase_0_0_0_0_0_0_0_0_0_0_0_0_0_0_0_0_0_0_0_0</vt:lpstr>
      <vt:lpstr>Cutting_Pattern!_FilterDatabase_0_0_0_0_0_0_0_0_0_0_0_0_0_0_0_0_0_0_0_0</vt:lpstr>
      <vt:lpstr>Demand_Fresh!_FilterDatabase_0_0_0_0_0_0_0_0_0_0_0_0_0_0_0_0_0_0_0_0</vt:lpstr>
      <vt:lpstr>Demand_Frozen!_FilterDatabase_0_0_0_0_0_0_0_0_0_0_0_0_0_0_0_0_0_0_0_0</vt:lpstr>
      <vt:lpstr>Fresh_Frozen_Relation!_FilterDatabase_0_0_0_0_0_0_0_0_0_0_0_0_0_0_0_0_0_0_0_0</vt:lpstr>
      <vt:lpstr>Holding_Cost_Fresh!_FilterDatabase_0_0_0_0_0_0_0_0_0_0_0_0_0_0_0_0_0_0_0_0</vt:lpstr>
      <vt:lpstr>Information!_FilterDatabase_0_0_0_0_0_0_0_0_0_0_0_0_0_0_0_0_0_0_0_0</vt:lpstr>
      <vt:lpstr>Initial_Inventory!_FilterDatabase_0_0_0_0_0_0_0_0_0_0_0_0_0_0_0_0_0_0_0_0</vt:lpstr>
      <vt:lpstr>Item_Product_Group_Map!_FilterDatabase_0_0_0_0_0_0_0_0_0_0_0_0_0_0_0_0_0_0_0_0</vt:lpstr>
      <vt:lpstr>Operational_Cost!_FilterDatabase_0_0_0_0_0_0_0_0_0_0_0_0_0_0_0_0_0_0_0_0</vt:lpstr>
      <vt:lpstr>Penalty_Fresh!_FilterDatabase_0_0_0_0_0_0_0_0_0_0_0_0_0_0_0_0_0_0_0_0</vt:lpstr>
      <vt:lpstr>Selling_Price_Fresh!_FilterDatabase_0_0_0_0_0_0_0_0_0_0_0_0_0_0_0_0_0_0_0_0</vt:lpstr>
      <vt:lpstr>Shelf_Life!_FilterDatabase_0_0_0_0_0_0_0_0_0_0_0_0_0_0_0_0_0_0_0_0</vt:lpstr>
      <vt:lpstr>Yield!_FilterDatabase_0_0_0_0_0_0_0_0_0_0_0_0_0_0_0_0_0_0_0_0</vt:lpstr>
      <vt:lpstr>Yield_Originals!_FilterDatabase_0_0_0_0_0_0_0_0_0_0_0_0_0_0_0_0_0_0_0_0</vt:lpstr>
      <vt:lpstr>Common_Data!_FilterDatabase_0_0_0_0_0_0_0_0_0_0_0_0_0_0_0_0_0_0_0_0_0</vt:lpstr>
      <vt:lpstr>Cutting_Pattern!_FilterDatabase_0_0_0_0_0_0_0_0_0_0_0_0_0_0_0_0_0_0_0_0_0</vt:lpstr>
      <vt:lpstr>Demand_Fresh!_FilterDatabase_0_0_0_0_0_0_0_0_0_0_0_0_0_0_0_0_0_0_0_0_0</vt:lpstr>
      <vt:lpstr>Demand_Frozen!_FilterDatabase_0_0_0_0_0_0_0_0_0_0_0_0_0_0_0_0_0_0_0_0_0</vt:lpstr>
      <vt:lpstr>Fresh_Frozen_Relation!_FilterDatabase_0_0_0_0_0_0_0_0_0_0_0_0_0_0_0_0_0_0_0_0_0</vt:lpstr>
      <vt:lpstr>Holding_Cost_Fresh!_FilterDatabase_0_0_0_0_0_0_0_0_0_0_0_0_0_0_0_0_0_0_0_0_0</vt:lpstr>
      <vt:lpstr>Information!_FilterDatabase_0_0_0_0_0_0_0_0_0_0_0_0_0_0_0_0_0_0_0_0_0</vt:lpstr>
      <vt:lpstr>Initial_Inventory!_FilterDatabase_0_0_0_0_0_0_0_0_0_0_0_0_0_0_0_0_0_0_0_0_0</vt:lpstr>
      <vt:lpstr>Item_Product_Group_Map!_FilterDatabase_0_0_0_0_0_0_0_0_0_0_0_0_0_0_0_0_0_0_0_0_0</vt:lpstr>
      <vt:lpstr>Operational_Cost!_FilterDatabase_0_0_0_0_0_0_0_0_0_0_0_0_0_0_0_0_0_0_0_0_0</vt:lpstr>
      <vt:lpstr>Penalty_Fresh!_FilterDatabase_0_0_0_0_0_0_0_0_0_0_0_0_0_0_0_0_0_0_0_0_0</vt:lpstr>
      <vt:lpstr>Selling_Price_Fresh!_FilterDatabase_0_0_0_0_0_0_0_0_0_0_0_0_0_0_0_0_0_0_0_0_0</vt:lpstr>
      <vt:lpstr>Shelf_Life!_FilterDatabase_0_0_0_0_0_0_0_0_0_0_0_0_0_0_0_0_0_0_0_0_0</vt:lpstr>
      <vt:lpstr>Yield!_FilterDatabase_0_0_0_0_0_0_0_0_0_0_0_0_0_0_0_0_0_0_0_0_0</vt:lpstr>
      <vt:lpstr>Yield_Originals!_FilterDatabase_0_0_0_0_0_0_0_0_0_0_0_0_0_0_0_0_0_0_0_0_0</vt:lpstr>
      <vt:lpstr>Common_Data!_FilterDatabase_0_0_0_0_0_0_0_0_0_0_0_0_0_0_0_0_0_0_0_0_0_0</vt:lpstr>
      <vt:lpstr>Cutting_Pattern!_FilterDatabase_0_0_0_0_0_0_0_0_0_0_0_0_0_0_0_0_0_0_0_0_0_0</vt:lpstr>
      <vt:lpstr>Demand_Fresh!_FilterDatabase_0_0_0_0_0_0_0_0_0_0_0_0_0_0_0_0_0_0_0_0_0_0</vt:lpstr>
      <vt:lpstr>Demand_Frozen!_FilterDatabase_0_0_0_0_0_0_0_0_0_0_0_0_0_0_0_0_0_0_0_0_0_0</vt:lpstr>
      <vt:lpstr>Fresh_Frozen_Relation!_FilterDatabase_0_0_0_0_0_0_0_0_0_0_0_0_0_0_0_0_0_0_0_0_0_0</vt:lpstr>
      <vt:lpstr>Holding_Cost_Fresh!_FilterDatabase_0_0_0_0_0_0_0_0_0_0_0_0_0_0_0_0_0_0_0_0_0_0</vt:lpstr>
      <vt:lpstr>Information!_FilterDatabase_0_0_0_0_0_0_0_0_0_0_0_0_0_0_0_0_0_0_0_0_0_0</vt:lpstr>
      <vt:lpstr>Initial_Inventory!_FilterDatabase_0_0_0_0_0_0_0_0_0_0_0_0_0_0_0_0_0_0_0_0_0_0</vt:lpstr>
      <vt:lpstr>Item_Product_Group_Map!_FilterDatabase_0_0_0_0_0_0_0_0_0_0_0_0_0_0_0_0_0_0_0_0_0_0</vt:lpstr>
      <vt:lpstr>Operational_Cost!_FilterDatabase_0_0_0_0_0_0_0_0_0_0_0_0_0_0_0_0_0_0_0_0_0_0</vt:lpstr>
      <vt:lpstr>Penalty_Fresh!_FilterDatabase_0_0_0_0_0_0_0_0_0_0_0_0_0_0_0_0_0_0_0_0_0_0</vt:lpstr>
      <vt:lpstr>Selling_Price_Fresh!_FilterDatabase_0_0_0_0_0_0_0_0_0_0_0_0_0_0_0_0_0_0_0_0_0_0</vt:lpstr>
      <vt:lpstr>Shelf_Life!_FilterDatabase_0_0_0_0_0_0_0_0_0_0_0_0_0_0_0_0_0_0_0_0_0_0</vt:lpstr>
      <vt:lpstr>Yield!_FilterDatabase_0_0_0_0_0_0_0_0_0_0_0_0_0_0_0_0_0_0_0_0_0_0</vt:lpstr>
      <vt:lpstr>Yield_Originals!_FilterDatabase_0_0_0_0_0_0_0_0_0_0_0_0_0_0_0_0_0_0_0_0_0_0</vt:lpstr>
      <vt:lpstr>Common_Data!_FilterDatabase_0_0_0_0_0_0_0_0_0_0_0_0_0_0_0_0_0_0_0_0_0_0_0</vt:lpstr>
      <vt:lpstr>Cutting_Pattern!_FilterDatabase_0_0_0_0_0_0_0_0_0_0_0_0_0_0_0_0_0_0_0_0_0_0_0</vt:lpstr>
      <vt:lpstr>Demand_Fresh!_FilterDatabase_0_0_0_0_0_0_0_0_0_0_0_0_0_0_0_0_0_0_0_0_0_0_0</vt:lpstr>
      <vt:lpstr>Demand_Frozen!_FilterDatabase_0_0_0_0_0_0_0_0_0_0_0_0_0_0_0_0_0_0_0_0_0_0_0</vt:lpstr>
      <vt:lpstr>Fresh_Frozen_Relation!_FilterDatabase_0_0_0_0_0_0_0_0_0_0_0_0_0_0_0_0_0_0_0_0_0_0_0</vt:lpstr>
      <vt:lpstr>Holding_Cost_Fresh!_FilterDatabase_0_0_0_0_0_0_0_0_0_0_0_0_0_0_0_0_0_0_0_0_0_0_0</vt:lpstr>
      <vt:lpstr>Information!_FilterDatabase_0_0_0_0_0_0_0_0_0_0_0_0_0_0_0_0_0_0_0_0_0_0_0</vt:lpstr>
      <vt:lpstr>Initial_Inventory!_FilterDatabase_0_0_0_0_0_0_0_0_0_0_0_0_0_0_0_0_0_0_0_0_0_0_0</vt:lpstr>
      <vt:lpstr>Item_Product_Group_Map!_FilterDatabase_0_0_0_0_0_0_0_0_0_0_0_0_0_0_0_0_0_0_0_0_0_0_0</vt:lpstr>
      <vt:lpstr>Operational_Cost!_FilterDatabase_0_0_0_0_0_0_0_0_0_0_0_0_0_0_0_0_0_0_0_0_0_0_0</vt:lpstr>
      <vt:lpstr>Penalty_Fresh!_FilterDatabase_0_0_0_0_0_0_0_0_0_0_0_0_0_0_0_0_0_0_0_0_0_0_0</vt:lpstr>
      <vt:lpstr>Selling_Price_Fresh!_FilterDatabase_0_0_0_0_0_0_0_0_0_0_0_0_0_0_0_0_0_0_0_0_0_0_0</vt:lpstr>
      <vt:lpstr>Shelf_Life!_FilterDatabase_0_0_0_0_0_0_0_0_0_0_0_0_0_0_0_0_0_0_0_0_0_0_0</vt:lpstr>
      <vt:lpstr>Yield!_FilterDatabase_0_0_0_0_0_0_0_0_0_0_0_0_0_0_0_0_0_0_0_0_0_0_0</vt:lpstr>
      <vt:lpstr>Yield_Originals!_FilterDatabase_0_0_0_0_0_0_0_0_0_0_0_0_0_0_0_0_0_0_0_0_0_0_0</vt:lpstr>
      <vt:lpstr>Common_Data!_FilterDatabase_0_0_0_0_0_0_0_0_0_0_0_0_0_0_0_0_0_0_0_0_0_0_0_0</vt:lpstr>
      <vt:lpstr>Cutting_Pattern!_FilterDatabase_0_0_0_0_0_0_0_0_0_0_0_0_0_0_0_0_0_0_0_0_0_0_0_0</vt:lpstr>
      <vt:lpstr>Demand_Fresh!_FilterDatabase_0_0_0_0_0_0_0_0_0_0_0_0_0_0_0_0_0_0_0_0_0_0_0_0</vt:lpstr>
      <vt:lpstr>Demand_Frozen!_FilterDatabase_0_0_0_0_0_0_0_0_0_0_0_0_0_0_0_0_0_0_0_0_0_0_0_0</vt:lpstr>
      <vt:lpstr>Fresh_Frozen_Relation!_FilterDatabase_0_0_0_0_0_0_0_0_0_0_0_0_0_0_0_0_0_0_0_0_0_0_0_0</vt:lpstr>
      <vt:lpstr>Holding_Cost_Fresh!_FilterDatabase_0_0_0_0_0_0_0_0_0_0_0_0_0_0_0_0_0_0_0_0_0_0_0_0</vt:lpstr>
      <vt:lpstr>Information!_FilterDatabase_0_0_0_0_0_0_0_0_0_0_0_0_0_0_0_0_0_0_0_0_0_0_0_0</vt:lpstr>
      <vt:lpstr>Initial_Inventory!_FilterDatabase_0_0_0_0_0_0_0_0_0_0_0_0_0_0_0_0_0_0_0_0_0_0_0_0</vt:lpstr>
      <vt:lpstr>Item_Product_Group_Map!_FilterDatabase_0_0_0_0_0_0_0_0_0_0_0_0_0_0_0_0_0_0_0_0_0_0_0_0</vt:lpstr>
      <vt:lpstr>Operational_Cost!_FilterDatabase_0_0_0_0_0_0_0_0_0_0_0_0_0_0_0_0_0_0_0_0_0_0_0_0</vt:lpstr>
      <vt:lpstr>Penalty_Fresh!_FilterDatabase_0_0_0_0_0_0_0_0_0_0_0_0_0_0_0_0_0_0_0_0_0_0_0_0</vt:lpstr>
      <vt:lpstr>Selling_Price_Fresh!_FilterDatabase_0_0_0_0_0_0_0_0_0_0_0_0_0_0_0_0_0_0_0_0_0_0_0_0</vt:lpstr>
      <vt:lpstr>Shelf_Life!_FilterDatabase_0_0_0_0_0_0_0_0_0_0_0_0_0_0_0_0_0_0_0_0_0_0_0_0</vt:lpstr>
      <vt:lpstr>Yield!_FilterDatabase_0_0_0_0_0_0_0_0_0_0_0_0_0_0_0_0_0_0_0_0_0_0_0_0</vt:lpstr>
      <vt:lpstr>Yield_Originals!_FilterDatabase_0_0_0_0_0_0_0_0_0_0_0_0_0_0_0_0_0_0_0_0_0_0_0_0</vt:lpstr>
      <vt:lpstr>Common_Data!_FilterDatabase_0_0_0_0_0_0_0_0_0_0_0_0_0_0_0_0_0_0_0_0_0_0_0_0_0</vt:lpstr>
      <vt:lpstr>Cutting_Pattern!_FilterDatabase_0_0_0_0_0_0_0_0_0_0_0_0_0_0_0_0_0_0_0_0_0_0_0_0_0</vt:lpstr>
      <vt:lpstr>Demand_Fresh!_FilterDatabase_0_0_0_0_0_0_0_0_0_0_0_0_0_0_0_0_0_0_0_0_0_0_0_0_0</vt:lpstr>
      <vt:lpstr>Demand_Frozen!_FilterDatabase_0_0_0_0_0_0_0_0_0_0_0_0_0_0_0_0_0_0_0_0_0_0_0_0_0</vt:lpstr>
      <vt:lpstr>Fresh_Frozen_Relation!_FilterDatabase_0_0_0_0_0_0_0_0_0_0_0_0_0_0_0_0_0_0_0_0_0_0_0_0_0</vt:lpstr>
      <vt:lpstr>Holding_Cost_Fresh!_FilterDatabase_0_0_0_0_0_0_0_0_0_0_0_0_0_0_0_0_0_0_0_0_0_0_0_0_0</vt:lpstr>
      <vt:lpstr>Information!_FilterDatabase_0_0_0_0_0_0_0_0_0_0_0_0_0_0_0_0_0_0_0_0_0_0_0_0_0</vt:lpstr>
      <vt:lpstr>Initial_Inventory!_FilterDatabase_0_0_0_0_0_0_0_0_0_0_0_0_0_0_0_0_0_0_0_0_0_0_0_0_0</vt:lpstr>
      <vt:lpstr>Item_Product_Group_Map!_FilterDatabase_0_0_0_0_0_0_0_0_0_0_0_0_0_0_0_0_0_0_0_0_0_0_0_0_0</vt:lpstr>
      <vt:lpstr>Operational_Cost!_FilterDatabase_0_0_0_0_0_0_0_0_0_0_0_0_0_0_0_0_0_0_0_0_0_0_0_0_0</vt:lpstr>
      <vt:lpstr>Penalty_Fresh!_FilterDatabase_0_0_0_0_0_0_0_0_0_0_0_0_0_0_0_0_0_0_0_0_0_0_0_0_0</vt:lpstr>
      <vt:lpstr>Selling_Price_Fresh!_FilterDatabase_0_0_0_0_0_0_0_0_0_0_0_0_0_0_0_0_0_0_0_0_0_0_0_0_0</vt:lpstr>
      <vt:lpstr>Shelf_Life!_FilterDatabase_0_0_0_0_0_0_0_0_0_0_0_0_0_0_0_0_0_0_0_0_0_0_0_0_0</vt:lpstr>
      <vt:lpstr>Yield!_FilterDatabase_0_0_0_0_0_0_0_0_0_0_0_0_0_0_0_0_0_0_0_0_0_0_0_0_0</vt:lpstr>
      <vt:lpstr>Yield_Originals!_FilterDatabase_0_0_0_0_0_0_0_0_0_0_0_0_0_0_0_0_0_0_0_0_0_0_0_0_0</vt:lpstr>
      <vt:lpstr>Common_Data!_FilterDatabase_0_0_0_0_0_0_0_0_0_0_0_0_0_0_0_0_0_0_0_0_0_0_0_0_0_0</vt:lpstr>
      <vt:lpstr>Cutting_Pattern!_FilterDatabase_0_0_0_0_0_0_0_0_0_0_0_0_0_0_0_0_0_0_0_0_0_0_0_0_0_0</vt:lpstr>
      <vt:lpstr>Demand_Fresh!_FilterDatabase_0_0_0_0_0_0_0_0_0_0_0_0_0_0_0_0_0_0_0_0_0_0_0_0_0_0</vt:lpstr>
      <vt:lpstr>Demand_Frozen!_FilterDatabase_0_0_0_0_0_0_0_0_0_0_0_0_0_0_0_0_0_0_0_0_0_0_0_0_0_0</vt:lpstr>
      <vt:lpstr>Fresh_Frozen_Relation!_FilterDatabase_0_0_0_0_0_0_0_0_0_0_0_0_0_0_0_0_0_0_0_0_0_0_0_0_0_0</vt:lpstr>
      <vt:lpstr>Holding_Cost_Fresh!_FilterDatabase_0_0_0_0_0_0_0_0_0_0_0_0_0_0_0_0_0_0_0_0_0_0_0_0_0_0</vt:lpstr>
      <vt:lpstr>Information!_FilterDatabase_0_0_0_0_0_0_0_0_0_0_0_0_0_0_0_0_0_0_0_0_0_0_0_0_0_0</vt:lpstr>
      <vt:lpstr>Initial_Inventory!_FilterDatabase_0_0_0_0_0_0_0_0_0_0_0_0_0_0_0_0_0_0_0_0_0_0_0_0_0_0</vt:lpstr>
      <vt:lpstr>Item_Product_Group_Map!_FilterDatabase_0_0_0_0_0_0_0_0_0_0_0_0_0_0_0_0_0_0_0_0_0_0_0_0_0_0</vt:lpstr>
      <vt:lpstr>Operational_Cost!_FilterDatabase_0_0_0_0_0_0_0_0_0_0_0_0_0_0_0_0_0_0_0_0_0_0_0_0_0_0</vt:lpstr>
      <vt:lpstr>Penalty_Fresh!_FilterDatabase_0_0_0_0_0_0_0_0_0_0_0_0_0_0_0_0_0_0_0_0_0_0_0_0_0_0</vt:lpstr>
      <vt:lpstr>Selling_Price_Fresh!_FilterDatabase_0_0_0_0_0_0_0_0_0_0_0_0_0_0_0_0_0_0_0_0_0_0_0_0_0_0</vt:lpstr>
      <vt:lpstr>Shelf_Life!_FilterDatabase_0_0_0_0_0_0_0_0_0_0_0_0_0_0_0_0_0_0_0_0_0_0_0_0_0_0</vt:lpstr>
      <vt:lpstr>Yield!_FilterDatabase_0_0_0_0_0_0_0_0_0_0_0_0_0_0_0_0_0_0_0_0_0_0_0_0_0_0</vt:lpstr>
      <vt:lpstr>Yield_Originals!_FilterDatabase_0_0_0_0_0_0_0_0_0_0_0_0_0_0_0_0_0_0_0_0_0_0_0_0_0_0</vt:lpstr>
      <vt:lpstr>Common_Data!_FilterDatabase_0_0_0_0_0_0_0_0_0_0_0_0_0_0_0_0_0_0_0_0_0_0_0_0_0_0_0</vt:lpstr>
      <vt:lpstr>Cutting_Pattern!_FilterDatabase_0_0_0_0_0_0_0_0_0_0_0_0_0_0_0_0_0_0_0_0_0_0_0_0_0_0_0</vt:lpstr>
      <vt:lpstr>Demand_Fresh!_FilterDatabase_0_0_0_0_0_0_0_0_0_0_0_0_0_0_0_0_0_0_0_0_0_0_0_0_0_0_0</vt:lpstr>
      <vt:lpstr>Demand_Frozen!_FilterDatabase_0_0_0_0_0_0_0_0_0_0_0_0_0_0_0_0_0_0_0_0_0_0_0_0_0_0_0</vt:lpstr>
      <vt:lpstr>Fresh_Frozen_Relation!_FilterDatabase_0_0_0_0_0_0_0_0_0_0_0_0_0_0_0_0_0_0_0_0_0_0_0_0_0_0_0</vt:lpstr>
      <vt:lpstr>Holding_Cost_Fresh!_FilterDatabase_0_0_0_0_0_0_0_0_0_0_0_0_0_0_0_0_0_0_0_0_0_0_0_0_0_0_0</vt:lpstr>
      <vt:lpstr>Information!_FilterDatabase_0_0_0_0_0_0_0_0_0_0_0_0_0_0_0_0_0_0_0_0_0_0_0_0_0_0_0</vt:lpstr>
      <vt:lpstr>Initial_Inventory!_FilterDatabase_0_0_0_0_0_0_0_0_0_0_0_0_0_0_0_0_0_0_0_0_0_0_0_0_0_0_0</vt:lpstr>
      <vt:lpstr>Item_Product_Group_Map!_FilterDatabase_0_0_0_0_0_0_0_0_0_0_0_0_0_0_0_0_0_0_0_0_0_0_0_0_0_0_0</vt:lpstr>
      <vt:lpstr>Operational_Cost!_FilterDatabase_0_0_0_0_0_0_0_0_0_0_0_0_0_0_0_0_0_0_0_0_0_0_0_0_0_0_0</vt:lpstr>
      <vt:lpstr>Penalty_Fresh!_FilterDatabase_0_0_0_0_0_0_0_0_0_0_0_0_0_0_0_0_0_0_0_0_0_0_0_0_0_0_0</vt:lpstr>
      <vt:lpstr>Selling_Price_Fresh!_FilterDatabase_0_0_0_0_0_0_0_0_0_0_0_0_0_0_0_0_0_0_0_0_0_0_0_0_0_0_0</vt:lpstr>
      <vt:lpstr>Shelf_Life!_FilterDatabase_0_0_0_0_0_0_0_0_0_0_0_0_0_0_0_0_0_0_0_0_0_0_0_0_0_0_0</vt:lpstr>
      <vt:lpstr>Yield!_FilterDatabase_0_0_0_0_0_0_0_0_0_0_0_0_0_0_0_0_0_0_0_0_0_0_0_0_0_0_0</vt:lpstr>
      <vt:lpstr>Yield_Originals!_FilterDatabase_0_0_0_0_0_0_0_0_0_0_0_0_0_0_0_0_0_0_0_0_0_0_0_0_0_0_0</vt:lpstr>
      <vt:lpstr>Common_Data!_FilterDatabase_0_0_0_0_0_0_0_0_0_0_0_0_0_0_0_0_0_0_0_0_0_0_0_0_0_0_0_0</vt:lpstr>
      <vt:lpstr>Cutting_Pattern!_FilterDatabase_0_0_0_0_0_0_0_0_0_0_0_0_0_0_0_0_0_0_0_0_0_0_0_0_0_0_0_0</vt:lpstr>
      <vt:lpstr>Demand_Fresh!_FilterDatabase_0_0_0_0_0_0_0_0_0_0_0_0_0_0_0_0_0_0_0_0_0_0_0_0_0_0_0_0</vt:lpstr>
      <vt:lpstr>Fresh_Frozen_Relation!_FilterDatabase_0_0_0_0_0_0_0_0_0_0_0_0_0_0_0_0_0_0_0_0_0_0_0_0_0_0_0_0</vt:lpstr>
      <vt:lpstr>Holding_Cost_Fresh!_FilterDatabase_0_0_0_0_0_0_0_0_0_0_0_0_0_0_0_0_0_0_0_0_0_0_0_0_0_0_0_0</vt:lpstr>
      <vt:lpstr>Information!_FilterDatabase_0_0_0_0_0_0_0_0_0_0_0_0_0_0_0_0_0_0_0_0_0_0_0_0_0_0_0_0</vt:lpstr>
      <vt:lpstr>Initial_Inventory!_FilterDatabase_0_0_0_0_0_0_0_0_0_0_0_0_0_0_0_0_0_0_0_0_0_0_0_0_0_0_0_0</vt:lpstr>
      <vt:lpstr>Item_Product_Group_Map!_FilterDatabase_0_0_0_0_0_0_0_0_0_0_0_0_0_0_0_0_0_0_0_0_0_0_0_0_0_0_0_0</vt:lpstr>
      <vt:lpstr>Operational_Cost!_FilterDatabase_0_0_0_0_0_0_0_0_0_0_0_0_0_0_0_0_0_0_0_0_0_0_0_0_0_0_0_0</vt:lpstr>
      <vt:lpstr>Penalty_Fresh!_FilterDatabase_0_0_0_0_0_0_0_0_0_0_0_0_0_0_0_0_0_0_0_0_0_0_0_0_0_0_0_0</vt:lpstr>
      <vt:lpstr>Selling_Price_Fresh!_FilterDatabase_0_0_0_0_0_0_0_0_0_0_0_0_0_0_0_0_0_0_0_0_0_0_0_0_0_0_0_0</vt:lpstr>
      <vt:lpstr>Yield_Originals!_FilterDatabase_0_0_0_0_0_0_0_0_0_0_0_0_0_0_0_0_0_0_0_0_0_0_0_0_0_0_0_0</vt:lpstr>
      <vt:lpstr>Common_Data!_FilterDatabase_0_0_0_0_0_0_0_0_0_0_0_0_0_0_0_0_0_0_0_0_0_0_0_0_0_0_0_0_0</vt:lpstr>
      <vt:lpstr>Cutting_Pattern!_FilterDatabase_0_0_0_0_0_0_0_0_0_0_0_0_0_0_0_0_0_0_0_0_0_0_0_0_0_0_0_0_0</vt:lpstr>
      <vt:lpstr>Demand_Fresh!_FilterDatabase_0_0_0_0_0_0_0_0_0_0_0_0_0_0_0_0_0_0_0_0_0_0_0_0_0_0_0_0_0</vt:lpstr>
      <vt:lpstr>Fresh_Frozen_Relation!_FilterDatabase_0_0_0_0_0_0_0_0_0_0_0_0_0_0_0_0_0_0_0_0_0_0_0_0_0_0_0_0_0</vt:lpstr>
      <vt:lpstr>Holding_Cost_Fresh!_FilterDatabase_0_0_0_0_0_0_0_0_0_0_0_0_0_0_0_0_0_0_0_0_0_0_0_0_0_0_0_0_0</vt:lpstr>
      <vt:lpstr>Information!_FilterDatabase_0_0_0_0_0_0_0_0_0_0_0_0_0_0_0_0_0_0_0_0_0_0_0_0_0_0_0_0_0</vt:lpstr>
      <vt:lpstr>Initial_Inventory!_FilterDatabase_0_0_0_0_0_0_0_0_0_0_0_0_0_0_0_0_0_0_0_0_0_0_0_0_0_0_0_0_0</vt:lpstr>
      <vt:lpstr>Item_Product_Group_Map!_FilterDatabase_0_0_0_0_0_0_0_0_0_0_0_0_0_0_0_0_0_0_0_0_0_0_0_0_0_0_0_0_0</vt:lpstr>
      <vt:lpstr>Operational_Cost!_FilterDatabase_0_0_0_0_0_0_0_0_0_0_0_0_0_0_0_0_0_0_0_0_0_0_0_0_0_0_0_0_0</vt:lpstr>
      <vt:lpstr>Penalty_Fresh!_FilterDatabase_0_0_0_0_0_0_0_0_0_0_0_0_0_0_0_0_0_0_0_0_0_0_0_0_0_0_0_0_0</vt:lpstr>
      <vt:lpstr>Selling_Price_Fresh!_FilterDatabase_0_0_0_0_0_0_0_0_0_0_0_0_0_0_0_0_0_0_0_0_0_0_0_0_0_0_0_0_0</vt:lpstr>
      <vt:lpstr>Yield_Originals!_FilterDatabase_0_0_0_0_0_0_0_0_0_0_0_0_0_0_0_0_0_0_0_0_0_0_0_0_0_0_0_0_0</vt:lpstr>
      <vt:lpstr>Common_Data!_FilterDatabase_0_0_0_0_0_0_0_0_0_0_0_0_0_0_0_0_0_0_0_0_0_0_0_0_0_0_0_0_0_0</vt:lpstr>
      <vt:lpstr>Cutting_Pattern!_FilterDatabase_0_0_0_0_0_0_0_0_0_0_0_0_0_0_0_0_0_0_0_0_0_0_0_0_0_0_0_0_0_0</vt:lpstr>
      <vt:lpstr>Demand_Fresh!_FilterDatabase_0_0_0_0_0_0_0_0_0_0_0_0_0_0_0_0_0_0_0_0_0_0_0_0_0_0_0_0_0_0</vt:lpstr>
      <vt:lpstr>Fresh_Frozen_Relation!_FilterDatabase_0_0_0_0_0_0_0_0_0_0_0_0_0_0_0_0_0_0_0_0_0_0_0_0_0_0_0_0_0_0</vt:lpstr>
      <vt:lpstr>Holding_Cost_Fresh!_FilterDatabase_0_0_0_0_0_0_0_0_0_0_0_0_0_0_0_0_0_0_0_0_0_0_0_0_0_0_0_0_0_0</vt:lpstr>
      <vt:lpstr>Information!_FilterDatabase_0_0_0_0_0_0_0_0_0_0_0_0_0_0_0_0_0_0_0_0_0_0_0_0_0_0_0_0_0_0</vt:lpstr>
      <vt:lpstr>Initial_Inventory!_FilterDatabase_0_0_0_0_0_0_0_0_0_0_0_0_0_0_0_0_0_0_0_0_0_0_0_0_0_0_0_0_0_0</vt:lpstr>
      <vt:lpstr>Item_Product_Group_Map!_FilterDatabase_0_0_0_0_0_0_0_0_0_0_0_0_0_0_0_0_0_0_0_0_0_0_0_0_0_0_0_0_0_0</vt:lpstr>
      <vt:lpstr>Operational_Cost!_FilterDatabase_0_0_0_0_0_0_0_0_0_0_0_0_0_0_0_0_0_0_0_0_0_0_0_0_0_0_0_0_0_0</vt:lpstr>
      <vt:lpstr>Penalty_Fresh!_FilterDatabase_0_0_0_0_0_0_0_0_0_0_0_0_0_0_0_0_0_0_0_0_0_0_0_0_0_0_0_0_0_0</vt:lpstr>
      <vt:lpstr>Selling_Price_Fresh!_FilterDatabase_0_0_0_0_0_0_0_0_0_0_0_0_0_0_0_0_0_0_0_0_0_0_0_0_0_0_0_0_0_0</vt:lpstr>
      <vt:lpstr>Yield_Originals!_FilterDatabase_0_0_0_0_0_0_0_0_0_0_0_0_0_0_0_0_0_0_0_0_0_0_0_0_0_0_0_0_0_0</vt:lpstr>
      <vt:lpstr>Common_Data!_FilterDatabase_0_0_0_0_0_0_0_0_0_0_0_0_0_0_0_0_0_0_0_0_0_0_0_0_0_0_0_0_0_0_0</vt:lpstr>
      <vt:lpstr>Cutting_Pattern!_FilterDatabase_0_0_0_0_0_0_0_0_0_0_0_0_0_0_0_0_0_0_0_0_0_0_0_0_0_0_0_0_0_0_0</vt:lpstr>
      <vt:lpstr>Demand_Fresh!_FilterDatabase_0_0_0_0_0_0_0_0_0_0_0_0_0_0_0_0_0_0_0_0_0_0_0_0_0_0_0_0_0_0_0</vt:lpstr>
      <vt:lpstr>Fresh_Frozen_Relation!_FilterDatabase_0_0_0_0_0_0_0_0_0_0_0_0_0_0_0_0_0_0_0_0_0_0_0_0_0_0_0_0_0_0_0</vt:lpstr>
      <vt:lpstr>Holding_Cost_Fresh!_FilterDatabase_0_0_0_0_0_0_0_0_0_0_0_0_0_0_0_0_0_0_0_0_0_0_0_0_0_0_0_0_0_0_0</vt:lpstr>
      <vt:lpstr>Information!_FilterDatabase_0_0_0_0_0_0_0_0_0_0_0_0_0_0_0_0_0_0_0_0_0_0_0_0_0_0_0_0_0_0_0</vt:lpstr>
      <vt:lpstr>Initial_Inventory!_FilterDatabase_0_0_0_0_0_0_0_0_0_0_0_0_0_0_0_0_0_0_0_0_0_0_0_0_0_0_0_0_0_0_0</vt:lpstr>
      <vt:lpstr>Item_Product_Group_Map!_FilterDatabase_0_0_0_0_0_0_0_0_0_0_0_0_0_0_0_0_0_0_0_0_0_0_0_0_0_0_0_0_0_0_0</vt:lpstr>
      <vt:lpstr>Operational_Cost!_FilterDatabase_0_0_0_0_0_0_0_0_0_0_0_0_0_0_0_0_0_0_0_0_0_0_0_0_0_0_0_0_0_0_0</vt:lpstr>
      <vt:lpstr>Penalty_Fresh!_FilterDatabase_0_0_0_0_0_0_0_0_0_0_0_0_0_0_0_0_0_0_0_0_0_0_0_0_0_0_0_0_0_0_0</vt:lpstr>
      <vt:lpstr>Selling_Price_Fresh!_FilterDatabase_0_0_0_0_0_0_0_0_0_0_0_0_0_0_0_0_0_0_0_0_0_0_0_0_0_0_0_0_0_0_0</vt:lpstr>
      <vt:lpstr>Yield_Originals!_FilterDatabase_0_0_0_0_0_0_0_0_0_0_0_0_0_0_0_0_0_0_0_0_0_0_0_0_0_0_0_0_0_0_0</vt:lpstr>
      <vt:lpstr>Common_Data!_FilterDatabase_0_0_0_0_0_0_0_0_0_0_0_0_0_0_0_0_0_0_0_0_0_0_0_0_0_0_0_0_0_0_0_0</vt:lpstr>
      <vt:lpstr>Cutting_Pattern!_FilterDatabase_0_0_0_0_0_0_0_0_0_0_0_0_0_0_0_0_0_0_0_0_0_0_0_0_0_0_0_0_0_0_0_0</vt:lpstr>
      <vt:lpstr>Demand_Fresh!_FilterDatabase_0_0_0_0_0_0_0_0_0_0_0_0_0_0_0_0_0_0_0_0_0_0_0_0_0_0_0_0_0_0_0_0</vt:lpstr>
      <vt:lpstr>Fresh_Frozen_Relation!_FilterDatabase_0_0_0_0_0_0_0_0_0_0_0_0_0_0_0_0_0_0_0_0_0_0_0_0_0_0_0_0_0_0_0_0</vt:lpstr>
      <vt:lpstr>Holding_Cost_Fresh!_FilterDatabase_0_0_0_0_0_0_0_0_0_0_0_0_0_0_0_0_0_0_0_0_0_0_0_0_0_0_0_0_0_0_0_0</vt:lpstr>
      <vt:lpstr>Information!_FilterDatabase_0_0_0_0_0_0_0_0_0_0_0_0_0_0_0_0_0_0_0_0_0_0_0_0_0_0_0_0_0_0_0_0</vt:lpstr>
      <vt:lpstr>Initial_Inventory!_FilterDatabase_0_0_0_0_0_0_0_0_0_0_0_0_0_0_0_0_0_0_0_0_0_0_0_0_0_0_0_0_0_0_0_0</vt:lpstr>
      <vt:lpstr>Item_Product_Group_Map!_FilterDatabase_0_0_0_0_0_0_0_0_0_0_0_0_0_0_0_0_0_0_0_0_0_0_0_0_0_0_0_0_0_0_0_0</vt:lpstr>
      <vt:lpstr>Operational_Cost!_FilterDatabase_0_0_0_0_0_0_0_0_0_0_0_0_0_0_0_0_0_0_0_0_0_0_0_0_0_0_0_0_0_0_0_0</vt:lpstr>
      <vt:lpstr>Penalty_Fresh!_FilterDatabase_0_0_0_0_0_0_0_0_0_0_0_0_0_0_0_0_0_0_0_0_0_0_0_0_0_0_0_0_0_0_0_0</vt:lpstr>
      <vt:lpstr>Selling_Price_Fresh!_FilterDatabase_0_0_0_0_0_0_0_0_0_0_0_0_0_0_0_0_0_0_0_0_0_0_0_0_0_0_0_0_0_0_0_0</vt:lpstr>
      <vt:lpstr>Yield_Originals!_FilterDatabase_0_0_0_0_0_0_0_0_0_0_0_0_0_0_0_0_0_0_0_0_0_0_0_0_0_0_0_0_0_0_0_0</vt:lpstr>
      <vt:lpstr>Common_Data!_FilterDatabase_0_0_0_0_0_0_0_0_0_0_0_0_0_0_0_0_0_0_0_0_0_0_0_0_0_0_0_0_0_0_0_0_0</vt:lpstr>
      <vt:lpstr>Cutting_Pattern!_FilterDatabase_0_0_0_0_0_0_0_0_0_0_0_0_0_0_0_0_0_0_0_0_0_0_0_0_0_0_0_0_0_0_0_0_0</vt:lpstr>
      <vt:lpstr>Demand_Fresh!_FilterDatabase_0_0_0_0_0_0_0_0_0_0_0_0_0_0_0_0_0_0_0_0_0_0_0_0_0_0_0_0_0_0_0_0_0</vt:lpstr>
      <vt:lpstr>Fresh_Frozen_Relation!_FilterDatabase_0_0_0_0_0_0_0_0_0_0_0_0_0_0_0_0_0_0_0_0_0_0_0_0_0_0_0_0_0_0_0_0_0</vt:lpstr>
      <vt:lpstr>Holding_Cost_Fresh!_FilterDatabase_0_0_0_0_0_0_0_0_0_0_0_0_0_0_0_0_0_0_0_0_0_0_0_0_0_0_0_0_0_0_0_0_0</vt:lpstr>
      <vt:lpstr>Information!_FilterDatabase_0_0_0_0_0_0_0_0_0_0_0_0_0_0_0_0_0_0_0_0_0_0_0_0_0_0_0_0_0_0_0_0_0</vt:lpstr>
      <vt:lpstr>Initial_Inventory!_FilterDatabase_0_0_0_0_0_0_0_0_0_0_0_0_0_0_0_0_0_0_0_0_0_0_0_0_0_0_0_0_0_0_0_0_0</vt:lpstr>
      <vt:lpstr>Item_Product_Group_Map!_FilterDatabase_0_0_0_0_0_0_0_0_0_0_0_0_0_0_0_0_0_0_0_0_0_0_0_0_0_0_0_0_0_0_0_0_0</vt:lpstr>
      <vt:lpstr>Operational_Cost!_FilterDatabase_0_0_0_0_0_0_0_0_0_0_0_0_0_0_0_0_0_0_0_0_0_0_0_0_0_0_0_0_0_0_0_0_0</vt:lpstr>
      <vt:lpstr>Penalty_Fresh!_FilterDatabase_0_0_0_0_0_0_0_0_0_0_0_0_0_0_0_0_0_0_0_0_0_0_0_0_0_0_0_0_0_0_0_0_0</vt:lpstr>
      <vt:lpstr>Selling_Price_Fresh!_FilterDatabase_0_0_0_0_0_0_0_0_0_0_0_0_0_0_0_0_0_0_0_0_0_0_0_0_0_0_0_0_0_0_0_0_0</vt:lpstr>
      <vt:lpstr>Yield_Originals!_FilterDatabase_0_0_0_0_0_0_0_0_0_0_0_0_0_0_0_0_0_0_0_0_0_0_0_0_0_0_0_0_0_0_0_0_0</vt:lpstr>
      <vt:lpstr>Common_Data!_FilterDatabase_0_0_0_0_0_0_0_0_0_0_0_0_0_0_0_0_0_0_0_0_0_0_0_0_0_0_0_0_0_0_0_0_0_0</vt:lpstr>
      <vt:lpstr>Cutting_Pattern!_FilterDatabase_0_0_0_0_0_0_0_0_0_0_0_0_0_0_0_0_0_0_0_0_0_0_0_0_0_0_0_0_0_0_0_0_0_0</vt:lpstr>
      <vt:lpstr>Demand_Fresh!_FilterDatabase_0_0_0_0_0_0_0_0_0_0_0_0_0_0_0_0_0_0_0_0_0_0_0_0_0_0_0_0_0_0_0_0_0_0</vt:lpstr>
      <vt:lpstr>Fresh_Frozen_Relation!_FilterDatabase_0_0_0_0_0_0_0_0_0_0_0_0_0_0_0_0_0_0_0_0_0_0_0_0_0_0_0_0_0_0_0_0_0_0</vt:lpstr>
      <vt:lpstr>Holding_Cost_Fresh!_FilterDatabase_0_0_0_0_0_0_0_0_0_0_0_0_0_0_0_0_0_0_0_0_0_0_0_0_0_0_0_0_0_0_0_0_0_0</vt:lpstr>
      <vt:lpstr>Information!_FilterDatabase_0_0_0_0_0_0_0_0_0_0_0_0_0_0_0_0_0_0_0_0_0_0_0_0_0_0_0_0_0_0_0_0_0_0</vt:lpstr>
      <vt:lpstr>Initial_Inventory!_FilterDatabase_0_0_0_0_0_0_0_0_0_0_0_0_0_0_0_0_0_0_0_0_0_0_0_0_0_0_0_0_0_0_0_0_0_0</vt:lpstr>
      <vt:lpstr>Item_Product_Group_Map!_FilterDatabase_0_0_0_0_0_0_0_0_0_0_0_0_0_0_0_0_0_0_0_0_0_0_0_0_0_0_0_0_0_0_0_0_0_0</vt:lpstr>
      <vt:lpstr>Operational_Cost!_FilterDatabase_0_0_0_0_0_0_0_0_0_0_0_0_0_0_0_0_0_0_0_0_0_0_0_0_0_0_0_0_0_0_0_0_0_0</vt:lpstr>
      <vt:lpstr>Penalty_Fresh!_FilterDatabase_0_0_0_0_0_0_0_0_0_0_0_0_0_0_0_0_0_0_0_0_0_0_0_0_0_0_0_0_0_0_0_0_0_0</vt:lpstr>
      <vt:lpstr>Selling_Price_Fresh!_FilterDatabase_0_0_0_0_0_0_0_0_0_0_0_0_0_0_0_0_0_0_0_0_0_0_0_0_0_0_0_0_0_0_0_0_0_0</vt:lpstr>
      <vt:lpstr>Yield_Originals!_FilterDatabase_0_0_0_0_0_0_0_0_0_0_0_0_0_0_0_0_0_0_0_0_0_0_0_0_0_0_0_0_0_0_0_0_0_0</vt:lpstr>
      <vt:lpstr>Common_Data!_FilterDatabase_0_0_0_0_0_0_0_0_0_0_0_0_0_0_0_0_0_0_0_0_0_0_0_0_0_0_0_0_0_0_0_0_0_0_0</vt:lpstr>
      <vt:lpstr>Cutting_Pattern!_FilterDatabase_0_0_0_0_0_0_0_0_0_0_0_0_0_0_0_0_0_0_0_0_0_0_0_0_0_0_0_0_0_0_0_0_0_0_0</vt:lpstr>
      <vt:lpstr>Demand_Fresh!_FilterDatabase_0_0_0_0_0_0_0_0_0_0_0_0_0_0_0_0_0_0_0_0_0_0_0_0_0_0_0_0_0_0_0_0_0_0_0</vt:lpstr>
      <vt:lpstr>Fresh_Frozen_Relation!_FilterDatabase_0_0_0_0_0_0_0_0_0_0_0_0_0_0_0_0_0_0_0_0_0_0_0_0_0_0_0_0_0_0_0_0_0_0_0</vt:lpstr>
      <vt:lpstr>Holding_Cost_Fresh!_FilterDatabase_0_0_0_0_0_0_0_0_0_0_0_0_0_0_0_0_0_0_0_0_0_0_0_0_0_0_0_0_0_0_0_0_0_0_0</vt:lpstr>
      <vt:lpstr>Information!_FilterDatabase_0_0_0_0_0_0_0_0_0_0_0_0_0_0_0_0_0_0_0_0_0_0_0_0_0_0_0_0_0_0_0_0_0_0_0</vt:lpstr>
      <vt:lpstr>Initial_Inventory!_FilterDatabase_0_0_0_0_0_0_0_0_0_0_0_0_0_0_0_0_0_0_0_0_0_0_0_0_0_0_0_0_0_0_0_0_0_0_0</vt:lpstr>
      <vt:lpstr>Item_Product_Group_Map!_FilterDatabase_0_0_0_0_0_0_0_0_0_0_0_0_0_0_0_0_0_0_0_0_0_0_0_0_0_0_0_0_0_0_0_0_0_0_0</vt:lpstr>
      <vt:lpstr>Operational_Cost!_FilterDatabase_0_0_0_0_0_0_0_0_0_0_0_0_0_0_0_0_0_0_0_0_0_0_0_0_0_0_0_0_0_0_0_0_0_0_0</vt:lpstr>
      <vt:lpstr>Penalty_Fresh!_FilterDatabase_0_0_0_0_0_0_0_0_0_0_0_0_0_0_0_0_0_0_0_0_0_0_0_0_0_0_0_0_0_0_0_0_0_0_0</vt:lpstr>
      <vt:lpstr>Selling_Price_Fresh!_FilterDatabase_0_0_0_0_0_0_0_0_0_0_0_0_0_0_0_0_0_0_0_0_0_0_0_0_0_0_0_0_0_0_0_0_0_0_0</vt:lpstr>
      <vt:lpstr>Yield_Originals!_FilterDatabase_0_0_0_0_0_0_0_0_0_0_0_0_0_0_0_0_0_0_0_0_0_0_0_0_0_0_0_0_0_0_0_0_0_0_0</vt:lpstr>
      <vt:lpstr>Common_Data!_FilterDatabase_0_0_0_0_0_0_0_0_0_0_0_0_0_0_0_0_0_0_0_0_0_0_0_0_0_0_0_0_0_0_0_0_0_0_0_0</vt:lpstr>
      <vt:lpstr>Cutting_Pattern!_FilterDatabase_0_0_0_0_0_0_0_0_0_0_0_0_0_0_0_0_0_0_0_0_0_0_0_0_0_0_0_0_0_0_0_0_0_0_0_0</vt:lpstr>
      <vt:lpstr>Demand_Fresh!_FilterDatabase_0_0_0_0_0_0_0_0_0_0_0_0_0_0_0_0_0_0_0_0_0_0_0_0_0_0_0_0_0_0_0_0_0_0_0_0</vt:lpstr>
      <vt:lpstr>Fresh_Frozen_Relation!_FilterDatabase_0_0_0_0_0_0_0_0_0_0_0_0_0_0_0_0_0_0_0_0_0_0_0_0_0_0_0_0_0_0_0_0_0_0_0_0</vt:lpstr>
      <vt:lpstr>Holding_Cost_Fresh!_FilterDatabase_0_0_0_0_0_0_0_0_0_0_0_0_0_0_0_0_0_0_0_0_0_0_0_0_0_0_0_0_0_0_0_0_0_0_0_0</vt:lpstr>
      <vt:lpstr>Information!_FilterDatabase_0_0_0_0_0_0_0_0_0_0_0_0_0_0_0_0_0_0_0_0_0_0_0_0_0_0_0_0_0_0_0_0_0_0_0_0</vt:lpstr>
      <vt:lpstr>Initial_Inventory!_FilterDatabase_0_0_0_0_0_0_0_0_0_0_0_0_0_0_0_0_0_0_0_0_0_0_0_0_0_0_0_0_0_0_0_0_0_0_0_0</vt:lpstr>
      <vt:lpstr>Item_Product_Group_Map!_FilterDatabase_0_0_0_0_0_0_0_0_0_0_0_0_0_0_0_0_0_0_0_0_0_0_0_0_0_0_0_0_0_0_0_0_0_0_0_0</vt:lpstr>
      <vt:lpstr>Operational_Cost!_FilterDatabase_0_0_0_0_0_0_0_0_0_0_0_0_0_0_0_0_0_0_0_0_0_0_0_0_0_0_0_0_0_0_0_0_0_0_0_0</vt:lpstr>
      <vt:lpstr>Penalty_Fresh!_FilterDatabase_0_0_0_0_0_0_0_0_0_0_0_0_0_0_0_0_0_0_0_0_0_0_0_0_0_0_0_0_0_0_0_0_0_0_0_0</vt:lpstr>
      <vt:lpstr>Selling_Price_Fresh!_FilterDatabase_0_0_0_0_0_0_0_0_0_0_0_0_0_0_0_0_0_0_0_0_0_0_0_0_0_0_0_0_0_0_0_0_0_0_0_0</vt:lpstr>
      <vt:lpstr>Yield_Originals!_FilterDatabase_0_0_0_0_0_0_0_0_0_0_0_0_0_0_0_0_0_0_0_0_0_0_0_0_0_0_0_0_0_0_0_0_0_0_0_0</vt:lpstr>
      <vt:lpstr>Common_Data!_FilterDatabase_0_0_0_0_0_0_0_0_0_0_0_0_0_0_0_0_0_0_0_0_0_0_0_0_0_0_0_0_0_0_0_0_0_0_0_0_0</vt:lpstr>
      <vt:lpstr>Cutting_Pattern!_FilterDatabase_0_0_0_0_0_0_0_0_0_0_0_0_0_0_0_0_0_0_0_0_0_0_0_0_0_0_0_0_0_0_0_0_0_0_0_0_0</vt:lpstr>
      <vt:lpstr>Demand_Fresh!_FilterDatabase_0_0_0_0_0_0_0_0_0_0_0_0_0_0_0_0_0_0_0_0_0_0_0_0_0_0_0_0_0_0_0_0_0_0_0_0_0</vt:lpstr>
      <vt:lpstr>Fresh_Frozen_Relation!_FilterDatabase_0_0_0_0_0_0_0_0_0_0_0_0_0_0_0_0_0_0_0_0_0_0_0_0_0_0_0_0_0_0_0_0_0_0_0_0_0</vt:lpstr>
      <vt:lpstr>Holding_Cost_Fresh!_FilterDatabase_0_0_0_0_0_0_0_0_0_0_0_0_0_0_0_0_0_0_0_0_0_0_0_0_0_0_0_0_0_0_0_0_0_0_0_0_0</vt:lpstr>
      <vt:lpstr>Information!_FilterDatabase_0_0_0_0_0_0_0_0_0_0_0_0_0_0_0_0_0_0_0_0_0_0_0_0_0_0_0_0_0_0_0_0_0_0_0_0_0</vt:lpstr>
      <vt:lpstr>Initial_Inventory!_FilterDatabase_0_0_0_0_0_0_0_0_0_0_0_0_0_0_0_0_0_0_0_0_0_0_0_0_0_0_0_0_0_0_0_0_0_0_0_0_0</vt:lpstr>
      <vt:lpstr>Item_Product_Group_Map!_FilterDatabase_0_0_0_0_0_0_0_0_0_0_0_0_0_0_0_0_0_0_0_0_0_0_0_0_0_0_0_0_0_0_0_0_0_0_0_0_0</vt:lpstr>
      <vt:lpstr>Operational_Cost!_FilterDatabase_0_0_0_0_0_0_0_0_0_0_0_0_0_0_0_0_0_0_0_0_0_0_0_0_0_0_0_0_0_0_0_0_0_0_0_0_0</vt:lpstr>
      <vt:lpstr>Penalty_Fresh!_FilterDatabase_0_0_0_0_0_0_0_0_0_0_0_0_0_0_0_0_0_0_0_0_0_0_0_0_0_0_0_0_0_0_0_0_0_0_0_0_0</vt:lpstr>
      <vt:lpstr>Selling_Price_Fresh!_FilterDatabase_0_0_0_0_0_0_0_0_0_0_0_0_0_0_0_0_0_0_0_0_0_0_0_0_0_0_0_0_0_0_0_0_0_0_0_0_0</vt:lpstr>
      <vt:lpstr>Yield_Originals!_FilterDatabase_0_0_0_0_0_0_0_0_0_0_0_0_0_0_0_0_0_0_0_0_0_0_0_0_0_0_0_0_0_0_0_0_0_0_0_0_0</vt:lpstr>
      <vt:lpstr>Demand_Fresh!ha</vt:lpstr>
      <vt:lpstr>Information!ha</vt:lpstr>
      <vt:lpstr>Initial_Inventory!ha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rishi</cp:lastModifiedBy>
  <cp:revision>135</cp:revision>
  <dcterms:created xsi:type="dcterms:W3CDTF">2017-07-17T08:21:02Z</dcterms:created>
  <dcterms:modified xsi:type="dcterms:W3CDTF">2018-03-19T16:46:42Z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