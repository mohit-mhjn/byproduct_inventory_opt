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Cutting_Pattern" sheetId="1" state="visible" r:id="rId3"/>
    <sheet name="Yield (2)" sheetId="2" state="visible" r:id="rId4"/>
    <sheet name="Yield" sheetId="3" state="hidden" r:id="rId5"/>
    <sheet name="Item_Product_Group_Map" sheetId="4" state="visible" r:id="rId6"/>
    <sheet name="Bird_Type_Ratio" sheetId="5" state="visible" r:id="rId7"/>
    <sheet name="flock histogram data" sheetId="6" state="visible" r:id="rId8"/>
  </sheets>
  <externalReferences>
    <externalReference r:id="rId9"/>
  </externalReferences>
  <definedNames>
    <definedName function="false" hidden="true" localSheetId="0" name="_xlnm._FilterDatabase" vbProcedure="false">Cutting_Pattern!$A$1:$J$50</definedName>
    <definedName function="false" hidden="true" localSheetId="3" name="_xlnm._FilterDatabase" vbProcedure="false">Item_Product_Group_Map!$A$1:$I$269</definedName>
    <definedName function="false" hidden="true" localSheetId="1" name="_xlnm._FilterDatabase" vbProcedure="false">'Yield (2)'!$A$2:$AJ$449</definedName>
    <definedName function="false" hidden="false" localSheetId="0" name="_xlnm._FilterDatabase" vbProcedure="false">Cutting_Pattern!$A$1:$J$50</definedName>
    <definedName function="false" hidden="false" localSheetId="1" name="_xlnm._FilterDatabase" vbProcedure="false">'Yield (2)'!$A$2:$AJ$449</definedName>
    <definedName function="false" hidden="false" localSheetId="3" name="_xlnm._FilterDatabase" vbProcedure="false">Item_Product_Group_Map!$A$1:$I$269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/>
  </authors>
  <commentList>
    <comment ref="E43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obselete code</t>
        </r>
      </text>
    </comment>
  </commentList>
</comments>
</file>

<file path=xl/sharedStrings.xml><?xml version="1.0" encoding="utf-8"?>
<sst xmlns="http://schemas.openxmlformats.org/spreadsheetml/2006/main" count="3891" uniqueCount="1030">
  <si>
    <t xml:space="preserve">Line</t>
  </si>
  <si>
    <t xml:space="preserve">Section</t>
  </si>
  <si>
    <t xml:space="preserve">Cutting Pattern No</t>
  </si>
  <si>
    <t xml:space="preserve">Cutting Pattern Description</t>
  </si>
  <si>
    <t xml:space="preserve">Family</t>
  </si>
  <si>
    <t xml:space="preserve">part1</t>
  </si>
  <si>
    <t xml:space="preserve">part2</t>
  </si>
  <si>
    <t xml:space="preserve">Time hr/kg</t>
  </si>
  <si>
    <t xml:space="preserve">kg/hr</t>
  </si>
  <si>
    <t xml:space="preserve">Go Back To Information Tab</t>
  </si>
  <si>
    <t xml:space="preserve">9pc ACM</t>
  </si>
  <si>
    <t xml:space="preserve">9 pc ACM</t>
  </si>
  <si>
    <t xml:space="preserve">3JW MC</t>
  </si>
  <si>
    <t xml:space="preserve">RIB</t>
  </si>
  <si>
    <t xml:space="preserve">KEEL</t>
  </si>
  <si>
    <t xml:space="preserve">DS</t>
  </si>
  <si>
    <t xml:space="preserve">THI MC</t>
  </si>
  <si>
    <t xml:space="preserve">Manual Cut</t>
  </si>
  <si>
    <t xml:space="preserve">Texas</t>
  </si>
  <si>
    <t xml:space="preserve">WBRS</t>
  </si>
  <si>
    <t xml:space="preserve">Cube</t>
  </si>
  <si>
    <t xml:space="preserve">3JW CUBE</t>
  </si>
  <si>
    <t xml:space="preserve">BRS CUBE</t>
  </si>
  <si>
    <t xml:space="preserve">DS CUBE</t>
  </si>
  <si>
    <t xml:space="preserve">THI CUBE</t>
  </si>
  <si>
    <t xml:space="preserve">10 PC</t>
  </si>
  <si>
    <t xml:space="preserve">KRR</t>
  </si>
  <si>
    <t xml:space="preserve">4 PC</t>
  </si>
  <si>
    <t xml:space="preserve">NT</t>
  </si>
  <si>
    <t xml:space="preserve">3JW JC</t>
  </si>
  <si>
    <t xml:space="preserve">DMT</t>
  </si>
  <si>
    <t xml:space="preserve">2JW</t>
  </si>
  <si>
    <t xml:space="preserve">DMT </t>
  </si>
  <si>
    <t xml:space="preserve">MJW</t>
  </si>
  <si>
    <t xml:space="preserve">BL SINGLE BRS</t>
  </si>
  <si>
    <t xml:space="preserve">FIL</t>
  </si>
  <si>
    <t xml:space="preserve">BSL SINGLE BRS</t>
  </si>
  <si>
    <t xml:space="preserve">BL BFLY BRS</t>
  </si>
  <si>
    <t xml:space="preserve">BSL BFLY BRS</t>
  </si>
  <si>
    <t xml:space="preserve">BSL OPEN CUT BRS</t>
  </si>
  <si>
    <t xml:space="preserve">BRS STRIP</t>
  </si>
  <si>
    <t xml:space="preserve">FIL WOT</t>
  </si>
  <si>
    <t xml:space="preserve">FIL CUBE</t>
  </si>
  <si>
    <t xml:space="preserve">SWBH</t>
  </si>
  <si>
    <t xml:space="preserve">WPP WOW</t>
  </si>
  <si>
    <t xml:space="preserve">QLEG</t>
  </si>
  <si>
    <t xml:space="preserve">THIGH</t>
  </si>
  <si>
    <t xml:space="preserve">BL LEG</t>
  </si>
  <si>
    <t xml:space="preserve">BSL LEG</t>
  </si>
  <si>
    <t xml:space="preserve">CHOP</t>
  </si>
  <si>
    <t xml:space="preserve">BL THI</t>
  </si>
  <si>
    <t xml:space="preserve">BSL THI</t>
  </si>
  <si>
    <t xml:space="preserve">BS DS</t>
  </si>
  <si>
    <t xml:space="preserve">BSL LEG (2 CUT)</t>
  </si>
  <si>
    <t xml:space="preserve">BSL LEG CUBE</t>
  </si>
  <si>
    <t xml:space="preserve">WBD</t>
  </si>
  <si>
    <t xml:space="preserve">MAR</t>
  </si>
  <si>
    <t xml:space="preserve">Product Group</t>
  </si>
  <si>
    <t xml:space="preserve">SKU</t>
  </si>
  <si>
    <t xml:space="preserve">SKU Description</t>
  </si>
  <si>
    <t xml:space="preserve">Cutting Pattern</t>
  </si>
  <si>
    <t xml:space="preserve">Marination Yield (%)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</si>
  <si>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</si>
  <si>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</si>
  <si>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</si>
  <si>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</si>
  <si>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</si>
  <si>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</si>
  <si>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PIECE CUT</t>
  </si>
  <si>
    <t xml:space="preserve">C9PC0WIPZP18DC</t>
  </si>
  <si>
    <t xml:space="preserve">WIP-9 PC CUT</t>
  </si>
  <si>
    <t xml:space="preserve">C9PCGCH00P18DF</t>
  </si>
  <si>
    <t xml:space="preserve">9 PC CUT X 2 BIRD GCH (WO 3JW)</t>
  </si>
  <si>
    <t xml:space="preserve">C9PC00000P18DC</t>
  </si>
  <si>
    <t xml:space="preserve">9 PC CUT X 2 BIRDS</t>
  </si>
  <si>
    <t xml:space="preserve">C9PC00000P18DF</t>
  </si>
  <si>
    <t xml:space="preserve">C9PCWBM20P18DC</t>
  </si>
  <si>
    <t xml:space="preserve">9 PC CUT X 2 BIRDS (M2)</t>
  </si>
  <si>
    <t xml:space="preserve">C9PCWBM20P18DF</t>
  </si>
  <si>
    <t xml:space="preserve">C9PCMD000P18DC</t>
  </si>
  <si>
    <t xml:space="preserve">9 PC CUT X 2 BIRDS (QSR)</t>
  </si>
  <si>
    <t xml:space="preserve">C9PCMD000P18DF</t>
  </si>
  <si>
    <t xml:space="preserve">C9PCAW000P18DC</t>
  </si>
  <si>
    <t xml:space="preserve">C9PCAW000P18DF</t>
  </si>
  <si>
    <t xml:space="preserve">C9PC00WDZP18DC</t>
  </si>
  <si>
    <t xml:space="preserve">M-9 PC CUT X 2 BIRDS WENDY</t>
  </si>
  <si>
    <t xml:space="preserve">C9PCMD00ZP18DC</t>
  </si>
  <si>
    <t xml:space="preserve">M-9 PC CUT X 2 BIRDS MCD</t>
  </si>
  <si>
    <t xml:space="preserve">C9PCMDSTZP18DC</t>
  </si>
  <si>
    <t xml:space="preserve">M-9 PC CUT X 2 BIRDS MCD SLIT</t>
  </si>
  <si>
    <t xml:space="preserve">C9PCAW00ZP18DC</t>
  </si>
  <si>
    <t xml:space="preserve">M-9 PC CUT X 2 BIRDS A&amp;W</t>
  </si>
  <si>
    <t xml:space="preserve">C8PC0TEXZP16DC</t>
  </si>
  <si>
    <t xml:space="preserve">M-8 PC CUT X 2 BIRDS TEXAS</t>
  </si>
  <si>
    <t xml:space="preserve">C8PC0TEXZP08DC</t>
  </si>
  <si>
    <t xml:space="preserve">M-4 PC CUT X 2 BIRDS TEXAS</t>
  </si>
  <si>
    <t xml:space="preserve">C10PCKP0ZP10DC</t>
  </si>
  <si>
    <t xml:space="preserve">M-10 PC CUT X 1 BIRD KRR</t>
  </si>
  <si>
    <t xml:space="preserve">C4PC00000P08DC</t>
  </si>
  <si>
    <t xml:space="preserve">4 PC CUT WO SKIN X 2 BIRDS</t>
  </si>
  <si>
    <t xml:space="preserve">CUBE</t>
  </si>
  <si>
    <t xml:space="preserve">CCHICU000K06DC</t>
  </si>
  <si>
    <t xml:space="preserve">CHICKEN CUBE</t>
  </si>
  <si>
    <t xml:space="preserve">CCHICU000K06DF</t>
  </si>
  <si>
    <t xml:space="preserve">CCHICU000K02DC</t>
  </si>
  <si>
    <t xml:space="preserve">CCHI6080ZK06DC</t>
  </si>
  <si>
    <t xml:space="preserve">FP-CHICKEN CUBE 6080 </t>
  </si>
  <si>
    <t xml:space="preserve">CCHICU000RETDC</t>
  </si>
  <si>
    <t xml:space="preserve">CCHICU000RETDF</t>
  </si>
  <si>
    <t xml:space="preserve">CDS0CU000K02DC</t>
  </si>
  <si>
    <t xml:space="preserve">DRUMSTICK CUBE</t>
  </si>
  <si>
    <t xml:space="preserve">CDS0CU000K02DF</t>
  </si>
  <si>
    <t xml:space="preserve">DRUMSTICK CUBE FRZ</t>
  </si>
  <si>
    <t xml:space="preserve">C3JW07100K02DC</t>
  </si>
  <si>
    <t xml:space="preserve">3 JOINT WING MC (70-100G)</t>
  </si>
  <si>
    <t xml:space="preserve">C3JW07100K02DF</t>
  </si>
  <si>
    <t xml:space="preserve">C3JW0710ZK12DC</t>
  </si>
  <si>
    <t xml:space="preserve">M-3 JOINT WING MC (70-110G) </t>
  </si>
  <si>
    <t xml:space="preserve">C3JW09120K04DF</t>
  </si>
  <si>
    <t xml:space="preserve">3 JOINT WING MC (90-120G)</t>
  </si>
  <si>
    <t xml:space="preserve">C3JW09130K02DC</t>
  </si>
  <si>
    <t xml:space="preserve">3 JOINT WING MC (90-130G)</t>
  </si>
  <si>
    <t xml:space="preserve">C3JW09130K02DF</t>
  </si>
  <si>
    <t xml:space="preserve">C3JW0913VP06DC</t>
  </si>
  <si>
    <t xml:space="preserve">3 JOINT WING MC (90-130G) VP</t>
  </si>
  <si>
    <t xml:space="preserve">C3JW0913VP06DF</t>
  </si>
  <si>
    <t xml:space="preserve">C3JW00BRUK02DF</t>
  </si>
  <si>
    <t xml:space="preserve">MARINATED CHICKEN WING (MC)</t>
  </si>
  <si>
    <t xml:space="preserve">C3JWNSBRUK02DF</t>
  </si>
  <si>
    <t xml:space="preserve">MARINATED CHICKEN WING (MC)-NS</t>
  </si>
  <si>
    <t xml:space="preserve">C3JW0WIPZK12DC</t>
  </si>
  <si>
    <t xml:space="preserve">WIP-WING MC</t>
  </si>
  <si>
    <t xml:space="preserve">C3JWL0000K02DF</t>
  </si>
  <si>
    <t xml:space="preserve">FROZEN CHICKEN WING</t>
  </si>
  <si>
    <t xml:space="preserve">CLG00WIPZK12DC</t>
  </si>
  <si>
    <t xml:space="preserve">WIP-Q LEG</t>
  </si>
  <si>
    <t xml:space="preserve">CLG022270K06DC</t>
  </si>
  <si>
    <t xml:space="preserve">QUARTER LEG (220-270G)</t>
  </si>
  <si>
    <t xml:space="preserve">CLG022270K06DF</t>
  </si>
  <si>
    <t xml:space="preserve">CLG022270P10DC</t>
  </si>
  <si>
    <t xml:space="preserve">QUARTER LEG (220-270G) 10PC</t>
  </si>
  <si>
    <t xml:space="preserve">CLG022270P10DF</t>
  </si>
  <si>
    <t xml:space="preserve">QUARTER LEG (220-270G) 10 PC</t>
  </si>
  <si>
    <t xml:space="preserve">CLG026340K06DC</t>
  </si>
  <si>
    <t xml:space="preserve">QUARTER LEG (260-340G)</t>
  </si>
  <si>
    <t xml:space="preserve">CLG026340K06DF</t>
  </si>
  <si>
    <t xml:space="preserve">CLG000300K06DC</t>
  </si>
  <si>
    <t xml:space="preserve">QUARTER LEG (ABV 300G)</t>
  </si>
  <si>
    <t xml:space="preserve">CLG2227KZP10DC</t>
  </si>
  <si>
    <t xml:space="preserve">M-QUARTER LEG (220-270G) 10PC KRR</t>
  </si>
  <si>
    <t xml:space="preserve">CLG02528ZP10DC</t>
  </si>
  <si>
    <t xml:space="preserve">M-QUARTER LEG (250-280G) 10PC EK</t>
  </si>
  <si>
    <t xml:space="preserve">CLG02227ZP10DC</t>
  </si>
  <si>
    <t xml:space="preserve">M-QUARTER LEG (220-270G) 10PC MAR</t>
  </si>
  <si>
    <t xml:space="preserve">CSLG2227ZP10DC</t>
  </si>
  <si>
    <t xml:space="preserve">M-SKINLESS QUARTER LEG (260-340G) 10PC KRR</t>
  </si>
  <si>
    <t xml:space="preserve">CRB00WIPZK12DC</t>
  </si>
  <si>
    <t xml:space="preserve">WIP-RIB </t>
  </si>
  <si>
    <t xml:space="preserve">CRB015190K02DC</t>
  </si>
  <si>
    <t xml:space="preserve">RIB (150-190G)</t>
  </si>
  <si>
    <t xml:space="preserve">CRB015190K02DF</t>
  </si>
  <si>
    <t xml:space="preserve">CRB019240K02DC</t>
  </si>
  <si>
    <t xml:space="preserve">RIB (190-240G)</t>
  </si>
  <si>
    <t xml:space="preserve">CRB019240K02DF</t>
  </si>
  <si>
    <t xml:space="preserve">CRB01924VP04DC</t>
  </si>
  <si>
    <t xml:space="preserve">RIB (190-240G) VP</t>
  </si>
  <si>
    <t xml:space="preserve">CRB01924VP04DF</t>
  </si>
  <si>
    <t xml:space="preserve">CRB015190K06DC</t>
  </si>
  <si>
    <t xml:space="preserve">CRB019240K06DC</t>
  </si>
  <si>
    <t xml:space="preserve">CBRSH2332P10DC</t>
  </si>
  <si>
    <t xml:space="preserve">S'LESS BREAST 1/2(230-320)10PC</t>
  </si>
  <si>
    <t xml:space="preserve">CBRSH2332P10DF</t>
  </si>
  <si>
    <t xml:space="preserve">CBRSHWIPZK12DC</t>
  </si>
  <si>
    <t xml:space="preserve">WIP-SWBH</t>
  </si>
  <si>
    <t xml:space="preserve">CBR0F0000K06DC</t>
  </si>
  <si>
    <t xml:space="preserve">WHOLE BREAST</t>
  </si>
  <si>
    <t xml:space="preserve">CBR0F0000K06DF</t>
  </si>
  <si>
    <t xml:space="preserve">CTH00WIPZK12DC</t>
  </si>
  <si>
    <t xml:space="preserve">WIP-THIGH </t>
  </si>
  <si>
    <t xml:space="preserve">CTH013160K02DC</t>
  </si>
  <si>
    <t xml:space="preserve">THIGH (130-160G)</t>
  </si>
  <si>
    <t xml:space="preserve">CTH013160K02DF</t>
  </si>
  <si>
    <t xml:space="preserve">CTH013160P20DF</t>
  </si>
  <si>
    <t xml:space="preserve">THIGH (130-160G) 20 PC</t>
  </si>
  <si>
    <t xml:space="preserve">CTH015180P12DF</t>
  </si>
  <si>
    <t xml:space="preserve">THIGH (150-180G)</t>
  </si>
  <si>
    <t xml:space="preserve">CTH016190K02DF</t>
  </si>
  <si>
    <t xml:space="preserve">THIGH (160-190G)</t>
  </si>
  <si>
    <t xml:space="preserve">CTH016210K02DC</t>
  </si>
  <si>
    <t xml:space="preserve">THIGH (160-210G)</t>
  </si>
  <si>
    <t xml:space="preserve">CTH016210K02DF</t>
  </si>
  <si>
    <t xml:space="preserve">CTH016210P20DF</t>
  </si>
  <si>
    <t xml:space="preserve">THIGH (160-210G) 20 PC</t>
  </si>
  <si>
    <t xml:space="preserve">CTH01621VP04DC</t>
  </si>
  <si>
    <t xml:space="preserve">THIGH (160-210G) VP</t>
  </si>
  <si>
    <t xml:space="preserve">CTH01621VP04DF</t>
  </si>
  <si>
    <t xml:space="preserve">CTH01316ZK12DC</t>
  </si>
  <si>
    <t xml:space="preserve">M-THIGH  (130-160G) EK</t>
  </si>
  <si>
    <t xml:space="preserve">CTH01316ZP20DC</t>
  </si>
  <si>
    <t xml:space="preserve">M-THIGH (130-160G) 20PC NYONYA</t>
  </si>
  <si>
    <t xml:space="preserve">CDS010140K02DC</t>
  </si>
  <si>
    <t xml:space="preserve">DRUMSTICK (100-140G)</t>
  </si>
  <si>
    <t xml:space="preserve">CDS010140K02DF</t>
  </si>
  <si>
    <t xml:space="preserve">CDS010140P20DC</t>
  </si>
  <si>
    <t xml:space="preserve">DRUMSTICK (100-140G) 20PC</t>
  </si>
  <si>
    <t xml:space="preserve">CDS010140P20DF</t>
  </si>
  <si>
    <t xml:space="preserve">DRUMSTICK (100-140G) 20 PC</t>
  </si>
  <si>
    <t xml:space="preserve">CDS0MD00ZP20DC</t>
  </si>
  <si>
    <t xml:space="preserve">M-DRUMSTICK (80-110G) 20PC</t>
  </si>
  <si>
    <t xml:space="preserve">CDS01014VP06DC</t>
  </si>
  <si>
    <t xml:space="preserve">DRUMSTICK (100-140G) VP</t>
  </si>
  <si>
    <t xml:space="preserve">CDS01014VP06DF</t>
  </si>
  <si>
    <t xml:space="preserve">CDS008110K02DC</t>
  </si>
  <si>
    <t xml:space="preserve">DRUMSTICK (80-110G)</t>
  </si>
  <si>
    <t xml:space="preserve">CDS008110K02DF</t>
  </si>
  <si>
    <t xml:space="preserve">CDS0L0000K02DC</t>
  </si>
  <si>
    <t xml:space="preserve">DRUMSTICK L (110-140G)</t>
  </si>
  <si>
    <t xml:space="preserve">CDS00WIPZK12DC</t>
  </si>
  <si>
    <t xml:space="preserve">WIP-DRUMSTICK</t>
  </si>
  <si>
    <t xml:space="preserve">CDS0S0000K02DC</t>
  </si>
  <si>
    <t xml:space="preserve">DRUMSTICK S (70-90G)</t>
  </si>
  <si>
    <t xml:space="preserve">CDS0S0000K02DF</t>
  </si>
  <si>
    <t xml:space="preserve">CDS0J0000K02DF</t>
  </si>
  <si>
    <t xml:space="preserve">DRUMSTICK J (&gt;140G)</t>
  </si>
  <si>
    <t xml:space="preserve">CKE0F000ZK12DC</t>
  </si>
  <si>
    <t xml:space="preserve">FP-KEEL</t>
  </si>
  <si>
    <t xml:space="preserve">CKE0F0000K02DC</t>
  </si>
  <si>
    <t xml:space="preserve">CKE0F0000K02DF</t>
  </si>
  <si>
    <t xml:space="preserve">CKE01218VP04DC</t>
  </si>
  <si>
    <t xml:space="preserve">KEEL (120-180G) VP</t>
  </si>
  <si>
    <t xml:space="preserve">CKE01218VP04DF</t>
  </si>
  <si>
    <t xml:space="preserve">CKE00WIPZK12DC</t>
  </si>
  <si>
    <t xml:space="preserve">WIP-KEEL</t>
  </si>
  <si>
    <t xml:space="preserve">BL BREAST</t>
  </si>
  <si>
    <t xml:space="preserve">BBR0F0000K02DC</t>
  </si>
  <si>
    <t xml:space="preserve">BONELESS BREAST</t>
  </si>
  <si>
    <t xml:space="preserve">BBR0F0000K02DF</t>
  </si>
  <si>
    <t xml:space="preserve">BBR0F000ZK25DC</t>
  </si>
  <si>
    <t xml:space="preserve">WIP-BONELESS BREAST</t>
  </si>
  <si>
    <t xml:space="preserve">BL BFLY BREAST</t>
  </si>
  <si>
    <t xml:space="preserve">BBR02325ZK12DC</t>
  </si>
  <si>
    <t xml:space="preserve">M-BLBRS2325NDC</t>
  </si>
  <si>
    <t xml:space="preserve">BSL BREAST</t>
  </si>
  <si>
    <t xml:space="preserve">BBRSF000ZK25DC</t>
  </si>
  <si>
    <t xml:space="preserve">W-BSLBRS</t>
  </si>
  <si>
    <t xml:space="preserve">BBRSF00FZK12DC</t>
  </si>
  <si>
    <t xml:space="preserve">FP- S'LESS B'LESS BREAST </t>
  </si>
  <si>
    <t xml:space="preserve">BBRS7585ZP20DC</t>
  </si>
  <si>
    <t xml:space="preserve">M-S'LESS B'LESS BREAST (7585G) A&amp;W</t>
  </si>
  <si>
    <t xml:space="preserve">BBR0FTRFZK15DC</t>
  </si>
  <si>
    <t xml:space="preserve">FP-BREAST TRIM </t>
  </si>
  <si>
    <t xml:space="preserve">BBR0FTRWZK15DC</t>
  </si>
  <si>
    <t xml:space="preserve">FP-BREAST TRIM WING </t>
  </si>
  <si>
    <t xml:space="preserve">BBR0FTRIMK05DC</t>
  </si>
  <si>
    <t xml:space="preserve">BREAST TRIMMING</t>
  </si>
  <si>
    <t xml:space="preserve">BBR0FTRIMK05DF</t>
  </si>
  <si>
    <t xml:space="preserve">BBRSF3540K02DF</t>
  </si>
  <si>
    <t xml:space="preserve">S'LESS BLBRS FILLET (35-40G)</t>
  </si>
  <si>
    <t xml:space="preserve">BBRSF0000K02DC</t>
  </si>
  <si>
    <t xml:space="preserve">S'LESS B'LESS BREAST</t>
  </si>
  <si>
    <t xml:space="preserve">BBRSF0000K02DF</t>
  </si>
  <si>
    <t xml:space="preserve">BBRSMF000K05DC</t>
  </si>
  <si>
    <t xml:space="preserve">BBRSMF000K05DF</t>
  </si>
  <si>
    <t xml:space="preserve">BBRSMF000K04DC</t>
  </si>
  <si>
    <t xml:space="preserve">BBRSMF000K04DF</t>
  </si>
  <si>
    <t xml:space="preserve">BBRSMF02CK02DF</t>
  </si>
  <si>
    <t xml:space="preserve">S'LESS B'LESS BREAST (2 CUT)</t>
  </si>
  <si>
    <t xml:space="preserve">BBRSF0000K03PF</t>
  </si>
  <si>
    <t xml:space="preserve">S'LEES B'LESS BREAST</t>
  </si>
  <si>
    <t xml:space="preserve">BBRS12150K02DC</t>
  </si>
  <si>
    <t xml:space="preserve">S'LESS B'LESS BREAST 120-150G</t>
  </si>
  <si>
    <t xml:space="preserve">BBRS12150K02DF</t>
  </si>
  <si>
    <t xml:space="preserve">BBRS07595P24DF</t>
  </si>
  <si>
    <t xml:space="preserve">S'LESS B'LESS BRS (75-95G)24P</t>
  </si>
  <si>
    <t xml:space="preserve">BSL BFLY BREAST</t>
  </si>
  <si>
    <t xml:space="preserve">BBRS1821FK02DC</t>
  </si>
  <si>
    <t xml:space="preserve">BSB1821C</t>
  </si>
  <si>
    <t xml:space="preserve">BBRS1821FK02DF</t>
  </si>
  <si>
    <t xml:space="preserve">BSB1821F</t>
  </si>
  <si>
    <t xml:space="preserve">BBRS2325FK06DC</t>
  </si>
  <si>
    <t xml:space="preserve">BSB2325FLYC</t>
  </si>
  <si>
    <t xml:space="preserve">BBRS2325FK06DF</t>
  </si>
  <si>
    <t xml:space="preserve">BSB2325FLYF</t>
  </si>
  <si>
    <t xml:space="preserve">BBRS1823FK02DF</t>
  </si>
  <si>
    <t xml:space="preserve">BSB1823F</t>
  </si>
  <si>
    <t xml:space="preserve">BBRS16180K05DC</t>
  </si>
  <si>
    <t xml:space="preserve">BSB1618C</t>
  </si>
  <si>
    <t xml:space="preserve">BBRS16180K05DF</t>
  </si>
  <si>
    <t xml:space="preserve">BSB1618F</t>
  </si>
  <si>
    <t xml:space="preserve">BBRSF0NDZK12DC</t>
  </si>
  <si>
    <t xml:space="preserve">M-BSB1213NDC</t>
  </si>
  <si>
    <t xml:space="preserve">SBBFIL3540F</t>
  </si>
  <si>
    <t xml:space="preserve">BBRSF354ZK12DC</t>
  </si>
  <si>
    <t xml:space="preserve">M-SBBFIL3554TEXC</t>
  </si>
  <si>
    <t xml:space="preserve">BBRSFCHRZK12DC</t>
  </si>
  <si>
    <t xml:space="preserve">FP-BSLBRSCUBEHR</t>
  </si>
  <si>
    <t xml:space="preserve">BBRSF0PCZK12DC</t>
  </si>
  <si>
    <t xml:space="preserve">FP-BSLBRSPCORN</t>
  </si>
  <si>
    <t xml:space="preserve">P3JW0911ZK12DC</t>
  </si>
  <si>
    <t xml:space="preserve">M-3JWJ0911NDC</t>
  </si>
  <si>
    <t xml:space="preserve">P3JW00000K02PF</t>
  </si>
  <si>
    <t xml:space="preserve">3JWPF</t>
  </si>
  <si>
    <t xml:space="preserve">P3JW07090K02DC</t>
  </si>
  <si>
    <t xml:space="preserve">3JWJ0709C</t>
  </si>
  <si>
    <t xml:space="preserve">P3JW07090K02DF</t>
  </si>
  <si>
    <t xml:space="preserve">3JWJ0709F</t>
  </si>
  <si>
    <t xml:space="preserve">P3JW08100K02DC</t>
  </si>
  <si>
    <t xml:space="preserve">3JWJ0810C</t>
  </si>
  <si>
    <t xml:space="preserve">P3JW08100K02DF</t>
  </si>
  <si>
    <t xml:space="preserve">3JWJ0810F</t>
  </si>
  <si>
    <t xml:space="preserve">P3JWS0000K02DC</t>
  </si>
  <si>
    <t xml:space="preserve">3JWJCSC</t>
  </si>
  <si>
    <t xml:space="preserve">P3JWS0000K02DF</t>
  </si>
  <si>
    <t xml:space="preserve">3JWJCSF</t>
  </si>
  <si>
    <t xml:space="preserve">P3JWLTGIFK02DF</t>
  </si>
  <si>
    <t xml:space="preserve">3JWJCLTGIF</t>
  </si>
  <si>
    <t xml:space="preserve">P3JWSFPDZK12DC</t>
  </si>
  <si>
    <t xml:space="preserve">FP-3JWJCB</t>
  </si>
  <si>
    <t xml:space="preserve">P3JW00BRUK02DF</t>
  </si>
  <si>
    <t xml:space="preserve">3JWJBRUNEIF</t>
  </si>
  <si>
    <t xml:space="preserve">P3JW0000ZK25DC</t>
  </si>
  <si>
    <t xml:space="preserve">W-WINGJC</t>
  </si>
  <si>
    <t xml:space="preserve">P2JWF0000K02DC</t>
  </si>
  <si>
    <t xml:space="preserve">2JWAC</t>
  </si>
  <si>
    <t xml:space="preserve">P2JWF0000K02DF</t>
  </si>
  <si>
    <t xml:space="preserve">2JWAF</t>
  </si>
  <si>
    <t xml:space="preserve">P2JWF0HSZK12DC</t>
  </si>
  <si>
    <t xml:space="preserve">FP-2JWAHS</t>
  </si>
  <si>
    <t xml:space="preserve">PDMTF0000K02DC</t>
  </si>
  <si>
    <t xml:space="preserve">DMETAC</t>
  </si>
  <si>
    <t xml:space="preserve">PDMTF0000K02DF</t>
  </si>
  <si>
    <t xml:space="preserve">DMETAF</t>
  </si>
  <si>
    <t xml:space="preserve">PDMT03446K02DC</t>
  </si>
  <si>
    <t xml:space="preserve">DMET3446C</t>
  </si>
  <si>
    <t xml:space="preserve">PDMT04050K02DF</t>
  </si>
  <si>
    <t xml:space="preserve">DMET4050F</t>
  </si>
  <si>
    <t xml:space="preserve">PDMTFBRDZK12DC</t>
  </si>
  <si>
    <t xml:space="preserve">FP-DMETBRD</t>
  </si>
  <si>
    <t xml:space="preserve">PDMTFBRDZK12DF</t>
  </si>
  <si>
    <t xml:space="preserve">FP-DMETBRDF</t>
  </si>
  <si>
    <t xml:space="preserve">PDMTFFPDZK12DC</t>
  </si>
  <si>
    <t xml:space="preserve">FP-DMETA</t>
  </si>
  <si>
    <t xml:space="preserve">PDMTFFPDZK12DF</t>
  </si>
  <si>
    <t xml:space="preserve">FP-DMETAF</t>
  </si>
  <si>
    <t xml:space="preserve">PDMTMF000150DC</t>
  </si>
  <si>
    <t xml:space="preserve">DMETMFC</t>
  </si>
  <si>
    <t xml:space="preserve">PDMTMF000150DF</t>
  </si>
  <si>
    <t xml:space="preserve">DMETMFF</t>
  </si>
  <si>
    <t xml:space="preserve">PDMTF000ZK25DC</t>
  </si>
  <si>
    <t xml:space="preserve">W-DRUMMET</t>
  </si>
  <si>
    <t xml:space="preserve">PMJWF0000K02DC</t>
  </si>
  <si>
    <t xml:space="preserve">MIDJWC</t>
  </si>
  <si>
    <t xml:space="preserve">PMJWF0000K02DF</t>
  </si>
  <si>
    <t xml:space="preserve">MIDJWF</t>
  </si>
  <si>
    <t xml:space="preserve">PMJW02636K02DC</t>
  </si>
  <si>
    <t xml:space="preserve">MIDJW2636C</t>
  </si>
  <si>
    <t xml:space="preserve">PMJWF0000K01DC</t>
  </si>
  <si>
    <t xml:space="preserve">MIDJW1KGC</t>
  </si>
  <si>
    <t xml:space="preserve">PMJWF0000K01DF</t>
  </si>
  <si>
    <t xml:space="preserve">MIDJW1KGF</t>
  </si>
  <si>
    <t xml:space="preserve">PMJWF00FZK12DC</t>
  </si>
  <si>
    <t xml:space="preserve">FP-MIDJW</t>
  </si>
  <si>
    <t xml:space="preserve">PMJWF00FZK12DF</t>
  </si>
  <si>
    <t xml:space="preserve">FP-MIDJWF</t>
  </si>
  <si>
    <t xml:space="preserve">PMJWMF000150DC</t>
  </si>
  <si>
    <t xml:space="preserve">MIDJWMFC</t>
  </si>
  <si>
    <t xml:space="preserve">PMJWMF000150DF</t>
  </si>
  <si>
    <t xml:space="preserve">MIDJWMFF</t>
  </si>
  <si>
    <t xml:space="preserve">PMJWF000ZK25DC</t>
  </si>
  <si>
    <t xml:space="preserve">W-MJWA</t>
  </si>
  <si>
    <t xml:space="preserve">BFL0F0000K02PF</t>
  </si>
  <si>
    <t xml:space="preserve">FILAPF</t>
  </si>
  <si>
    <t xml:space="preserve">BFL0F0000K02DC</t>
  </si>
  <si>
    <t xml:space="preserve">FILAC</t>
  </si>
  <si>
    <t xml:space="preserve">BFL0F0000K02DF</t>
  </si>
  <si>
    <t xml:space="preserve">FILAF</t>
  </si>
  <si>
    <t xml:space="preserve">BFL0FFINZK12DC</t>
  </si>
  <si>
    <t xml:space="preserve">FP-FILFINGER</t>
  </si>
  <si>
    <t xml:space="preserve">BFL0F000ZK25DC</t>
  </si>
  <si>
    <t xml:space="preserve">W-FIL</t>
  </si>
  <si>
    <t xml:space="preserve">BFL0FWOTZK12DC</t>
  </si>
  <si>
    <t xml:space="preserve">FP-FILAWOT</t>
  </si>
  <si>
    <t xml:space="preserve">BFL004047K02DF</t>
  </si>
  <si>
    <t xml:space="preserve">FILACC</t>
  </si>
  <si>
    <t xml:space="preserve">BFL003540K02DF</t>
  </si>
  <si>
    <t xml:space="preserve">FIL3540F</t>
  </si>
  <si>
    <t xml:space="preserve">BFL02035ZK12DC</t>
  </si>
  <si>
    <t xml:space="preserve">M-FIL2035NDC</t>
  </si>
  <si>
    <t xml:space="preserve">BFL03554ZK12DC</t>
  </si>
  <si>
    <t xml:space="preserve">M-FIL3554TEXC</t>
  </si>
  <si>
    <t xml:space="preserve">BFL0MEATZK02DC</t>
  </si>
  <si>
    <t xml:space="preserve">FP-FILMEAT</t>
  </si>
  <si>
    <t xml:space="preserve">BFL0FTAYZK12DC</t>
  </si>
  <si>
    <t xml:space="preserve">FP-FILSATAY</t>
  </si>
  <si>
    <t xml:space="preserve">BCH019220K02DF</t>
  </si>
  <si>
    <t xml:space="preserve">CHOP1922F</t>
  </si>
  <si>
    <t xml:space="preserve">BCH0192JZK06DF</t>
  </si>
  <si>
    <t xml:space="preserve">FP-CHOPJ</t>
  </si>
  <si>
    <t xml:space="preserve">BCH01922ZK12DC</t>
  </si>
  <si>
    <t xml:space="preserve">M-CHOP1922C</t>
  </si>
  <si>
    <t xml:space="preserve">BCH02123ZK12DC</t>
  </si>
  <si>
    <t xml:space="preserve">M-CHOP2123KRRC</t>
  </si>
  <si>
    <t xml:space="preserve">BLG0F0000K02DC</t>
  </si>
  <si>
    <t xml:space="preserve">BLLEGAC</t>
  </si>
  <si>
    <t xml:space="preserve">BLG0F0000K02DF</t>
  </si>
  <si>
    <t xml:space="preserve">BLLEGAF</t>
  </si>
  <si>
    <t xml:space="preserve">BLG018230K02DF</t>
  </si>
  <si>
    <t xml:space="preserve">BLLEG1823F</t>
  </si>
  <si>
    <t xml:space="preserve">BLG0F000ZK25DC</t>
  </si>
  <si>
    <t xml:space="preserve">W-BLLEG</t>
  </si>
  <si>
    <t xml:space="preserve">BLGS07595P24DF</t>
  </si>
  <si>
    <t xml:space="preserve">BSL7595X24F</t>
  </si>
  <si>
    <t xml:space="preserve">BLGSF0000K02DC</t>
  </si>
  <si>
    <t xml:space="preserve">BSLLEGAC</t>
  </si>
  <si>
    <t xml:space="preserve">BLGSF0000K02DF</t>
  </si>
  <si>
    <t xml:space="preserve">BSLLEGAF</t>
  </si>
  <si>
    <t xml:space="preserve">BLGSMF000K05DC</t>
  </si>
  <si>
    <t xml:space="preserve">BSLLEGMFC</t>
  </si>
  <si>
    <t xml:space="preserve">BLGSF00FZK12DC</t>
  </si>
  <si>
    <t xml:space="preserve">FP-BSLLEGA</t>
  </si>
  <si>
    <t xml:space="preserve">BLGSF000ZK25DC</t>
  </si>
  <si>
    <t xml:space="preserve">W-BSLLEG</t>
  </si>
  <si>
    <t xml:space="preserve">CDS0081BZK12DC</t>
  </si>
  <si>
    <t xml:space="preserve">FP-DSB</t>
  </si>
  <si>
    <t xml:space="preserve">BTH0F0000K02DC</t>
  </si>
  <si>
    <t xml:space="preserve">BLTHIAC</t>
  </si>
  <si>
    <t xml:space="preserve">BTH0F0000K02DF</t>
  </si>
  <si>
    <t xml:space="preserve">BLTHIAF</t>
  </si>
  <si>
    <t xml:space="preserve">BTH007585K04DC</t>
  </si>
  <si>
    <t xml:space="preserve">BT7585MFC</t>
  </si>
  <si>
    <t xml:space="preserve">BTH007585P12DF</t>
  </si>
  <si>
    <t xml:space="preserve">SBT758512F</t>
  </si>
  <si>
    <t xml:space="preserve">BTH009100P10DC</t>
  </si>
  <si>
    <t xml:space="preserve">SBT0910C</t>
  </si>
  <si>
    <t xml:space="preserve">BTH009100K06DF</t>
  </si>
  <si>
    <t xml:space="preserve">BT0910MFK06F</t>
  </si>
  <si>
    <t xml:space="preserve">BTH0CU020K02DF</t>
  </si>
  <si>
    <t xml:space="preserve">BLTHICU20F</t>
  </si>
  <si>
    <t xml:space="preserve">BTH0F00DZK12DC</t>
  </si>
  <si>
    <t xml:space="preserve">FP-BLTHIADLITE</t>
  </si>
  <si>
    <t xml:space="preserve">BTH005565K06DF</t>
  </si>
  <si>
    <t xml:space="preserve">BT5565MFK06F</t>
  </si>
  <si>
    <t xml:space="preserve">BTH0F000ZK25DC</t>
  </si>
  <si>
    <t xml:space="preserve">W-BLTHI</t>
  </si>
  <si>
    <t xml:space="preserve">BTHSF0000K02DC</t>
  </si>
  <si>
    <t xml:space="preserve">BSLTHIAC</t>
  </si>
  <si>
    <t xml:space="preserve">BTHSF0000K02DF</t>
  </si>
  <si>
    <t xml:space="preserve">BSLTHIAF</t>
  </si>
  <si>
    <t xml:space="preserve">BTHSMF000K04DC</t>
  </si>
  <si>
    <t xml:space="preserve">BSLTHIMFK04C</t>
  </si>
  <si>
    <t xml:space="preserve">BTHSMF000K04DF</t>
  </si>
  <si>
    <t xml:space="preserve">BSLTHIMFK04F</t>
  </si>
  <si>
    <t xml:space="preserve">BTHSMF0FFK04DC</t>
  </si>
  <si>
    <t xml:space="preserve">BSLTHIFFMFK04C</t>
  </si>
  <si>
    <t xml:space="preserve">BTHSF00FZK12DC</t>
  </si>
  <si>
    <t xml:space="preserve">FP-BSLTHIA</t>
  </si>
  <si>
    <t xml:space="preserve">BTHSF000ZK25DC</t>
  </si>
  <si>
    <t xml:space="preserve">W-BSLTHI</t>
  </si>
  <si>
    <t xml:space="preserve">BTHS07595P24DF</t>
  </si>
  <si>
    <t xml:space="preserve">BST7595X24F</t>
  </si>
  <si>
    <t xml:space="preserve">BTHS5070ZK12DC</t>
  </si>
  <si>
    <t xml:space="preserve">M-BSLTHI5070NDC</t>
  </si>
  <si>
    <t xml:space="preserve">BTHS7090ZK12DC</t>
  </si>
  <si>
    <t xml:space="preserve">M-BSLTHI7090WDC</t>
  </si>
  <si>
    <t xml:space="preserve">BTHS8499ZK12DC</t>
  </si>
  <si>
    <t xml:space="preserve">M-BSLTHI8499TEXC</t>
  </si>
  <si>
    <t xml:space="preserve">BTHS8090ZK12DC</t>
  </si>
  <si>
    <t xml:space="preserve">M-BSLTHI8090EKC</t>
  </si>
  <si>
    <t xml:space="preserve">BTHSMF02CK02DF</t>
  </si>
  <si>
    <t xml:space="preserve">BSLTHIMF2PF</t>
  </si>
  <si>
    <t xml:space="preserve">BLGSFBSDZK12DC</t>
  </si>
  <si>
    <t xml:space="preserve">FP-BSDS</t>
  </si>
  <si>
    <t xml:space="preserve">BLGSFBSDZK12DF</t>
  </si>
  <si>
    <t xml:space="preserve">BLGSFTAYZK12DC</t>
  </si>
  <si>
    <t xml:space="preserve">FP-BSLLEGSATAY</t>
  </si>
  <si>
    <t xml:space="preserve">MPORC8TEXP16DC</t>
  </si>
  <si>
    <t xml:space="preserve">CHILL MAR. ORI CHICKEN (TEXAS) </t>
  </si>
  <si>
    <t xml:space="preserve">MPORC9MD0P18DC</t>
  </si>
  <si>
    <t xml:space="preserve">MAR. 9PC CUT MCD-OR 18PC </t>
  </si>
  <si>
    <t xml:space="preserve">MPORC9MDSP18DC</t>
  </si>
  <si>
    <t xml:space="preserve">MAR. 9PC CUT MCD-HS 18PC </t>
  </si>
  <si>
    <t xml:space="preserve">MPORWKR00P10DC</t>
  </si>
  <si>
    <t xml:space="preserve">MAR WHOLE BIRD KRR-OR 10BDS C </t>
  </si>
  <si>
    <t xml:space="preserve">MPORWKRBPP10DC</t>
  </si>
  <si>
    <t xml:space="preserve">MAR WHOLE BIRD KRR-BP 10BDS C </t>
  </si>
  <si>
    <t xml:space="preserve">MPORWNDORP04DC</t>
  </si>
  <si>
    <t xml:space="preserve">MAR WHOLE BIRD NANDOS-OR 4BDS </t>
  </si>
  <si>
    <t xml:space="preserve">WBL1BP000P10DC</t>
  </si>
  <si>
    <t xml:space="preserve">WHOLE CHICKEN (L1)1651-1950GBP </t>
  </si>
  <si>
    <t xml:space="preserve">WBL1SPG41P01DC</t>
  </si>
  <si>
    <t xml:space="preserve">WHOLE BIRD L1 (GIBLET 4 IN 1 ) </t>
  </si>
  <si>
    <t xml:space="preserve">WBL1SPHFGP01DC</t>
  </si>
  <si>
    <t xml:space="preserve">WHOLE CHICKEN WITH H&amp;F&amp;G (L1) </t>
  </si>
  <si>
    <t xml:space="preserve">WBM1BP000P10DC</t>
  </si>
  <si>
    <t xml:space="preserve">WHOLE CHICKEN (M1)1051-1350GBP </t>
  </si>
  <si>
    <t xml:space="preserve">WBM1SP000P01DC</t>
  </si>
  <si>
    <t xml:space="preserve">WHOLE CHICKEN (M1)1051-1350GSP </t>
  </si>
  <si>
    <t xml:space="preserve">WBM2BP000P10DC</t>
  </si>
  <si>
    <t xml:space="preserve">WHOLE CHICKEN (M2)1351-1650GBP </t>
  </si>
  <si>
    <t xml:space="preserve">WBM2SP000P01DC</t>
  </si>
  <si>
    <t xml:space="preserve">WHOLE CHICKEN (M2)1351-1650GSP </t>
  </si>
  <si>
    <t xml:space="preserve">WBM2SPGCHP01DC</t>
  </si>
  <si>
    <t xml:space="preserve">WHOLE CHIC(M2)1351-1650GSP GCH </t>
  </si>
  <si>
    <t xml:space="preserve">WBS2BP000P10DC</t>
  </si>
  <si>
    <t xml:space="preserve">WHOLE CHICKEN (S2) 851-1050GBP </t>
  </si>
  <si>
    <t xml:space="preserve">WNC03P000P03DC</t>
  </si>
  <si>
    <t xml:space="preserve">WHOLE CHICKEN 3X1 PACK </t>
  </si>
  <si>
    <t xml:space="preserve">WNC03P0S2P03DC</t>
  </si>
  <si>
    <t xml:space="preserve">WHOLE CHICKEN 3X1 PACK S2 </t>
  </si>
  <si>
    <t xml:space="preserve">WBL1BP000P10DF</t>
  </si>
  <si>
    <t xml:space="preserve">WBL1SPHFGP01DF</t>
  </si>
  <si>
    <t xml:space="preserve">WHOLE CHIC WITH H&amp;F&amp;G (L1) FRZ </t>
  </si>
  <si>
    <t xml:space="preserve">WBM1BP000P10DF</t>
  </si>
  <si>
    <t xml:space="preserve">WBM1SP000P01DF</t>
  </si>
  <si>
    <t xml:space="preserve">WBM1SP0JDP01DF</t>
  </si>
  <si>
    <t xml:space="preserve">WHOLE CHICKEN SP 1100-1250G JD 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</si>
  <si>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</si>
  <si>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</si>
  <si>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</si>
  <si>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</si>
  <si>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</si>
  <si>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MPORWBPM1P02DC</t>
  </si>
  <si>
    <t xml:space="preserve">ROAST WHOLE CHIC B.PEPPER M1 </t>
  </si>
  <si>
    <t xml:space="preserve">MPORWHYM1P02DC</t>
  </si>
  <si>
    <t xml:space="preserve">ROAST WHOLE CHICKEN HONEY M1 </t>
  </si>
  <si>
    <t xml:space="preserve">MPORWKRMXP10DC</t>
  </si>
  <si>
    <t xml:space="preserve">MAR WHOLE BIRD KRR-MEX 10BDS C </t>
  </si>
  <si>
    <t xml:space="preserve">obs</t>
  </si>
  <si>
    <t xml:space="preserve">MPORWM1BPP02DC</t>
  </si>
  <si>
    <t xml:space="preserve">BLACK PEPPER ROAST CHICKEN 1.1 </t>
  </si>
  <si>
    <t xml:space="preserve">MPORWM1HSP02DC</t>
  </si>
  <si>
    <t xml:space="preserve">ROAST CHICKEN HOT &amp; SPICY 2BDS </t>
  </si>
  <si>
    <t xml:space="preserve">MPORWM1HSRETDC</t>
  </si>
  <si>
    <t xml:space="preserve">MAR CHICKEN HOT &amp; SPICY (BFLY) </t>
  </si>
  <si>
    <t xml:space="preserve">MPORWM1HYP02DC</t>
  </si>
  <si>
    <t xml:space="preserve">ROAST CHICKEN HONEY 2BDS </t>
  </si>
  <si>
    <t xml:space="preserve">MPORWM1HYRETDC</t>
  </si>
  <si>
    <t xml:space="preserve">MAR CHICKEN HONEY (BFLY) </t>
  </si>
  <si>
    <t xml:space="preserve">MPORWM1PKP02DC</t>
  </si>
  <si>
    <t xml:space="preserve">ROAST CHICKEN PERCIK 2BDS </t>
  </si>
  <si>
    <t xml:space="preserve">MPORWM1PKRETDC</t>
  </si>
  <si>
    <t xml:space="preserve">MAR CHICKEN PERCIK (BFLY) </t>
  </si>
  <si>
    <t xml:space="preserve">MPORWM4BPRETDC</t>
  </si>
  <si>
    <t xml:space="preserve">MAR CHICKEN BLK PEPPER (BFLY) </t>
  </si>
  <si>
    <t xml:space="preserve">MPORWMHM1P02DC</t>
  </si>
  <si>
    <t xml:space="preserve">ROAST WHOLE CHIC MAHSURI M1 </t>
  </si>
  <si>
    <t xml:space="preserve">MPORWNDORP02DC</t>
  </si>
  <si>
    <t xml:space="preserve">MAR WHOLE BIRD NANDOS-OR 2BDS </t>
  </si>
  <si>
    <t xml:space="preserve">MPORWBPM1P01DF</t>
  </si>
  <si>
    <t xml:space="preserve">ROAST CHICKEN BLACKPEPPER (WB) </t>
  </si>
  <si>
    <t xml:space="preserve">MPORWHSM1P01DF</t>
  </si>
  <si>
    <t xml:space="preserve">ROAST CHICKEN HOT &amp; SPICY (WB) </t>
  </si>
  <si>
    <t xml:space="preserve">MPORWHYM1P01DF</t>
  </si>
  <si>
    <t xml:space="preserve">ROAST CHICKEN HONEY (WB) </t>
  </si>
  <si>
    <t xml:space="preserve">MPORWKR00P02DF</t>
  </si>
  <si>
    <t xml:space="preserve">MAR WHOLE BIRD KRR-OR 10BDS </t>
  </si>
  <si>
    <t xml:space="preserve">MPORWKRBPP02DF</t>
  </si>
  <si>
    <t xml:space="preserve">MAR WHOLE BIRD KRR-BP 10BDS </t>
  </si>
  <si>
    <t xml:space="preserve">MPORWKRMXP10DF</t>
  </si>
  <si>
    <t xml:space="preserve">MAR WHOLE BIRD KRR-MEX 10BDS </t>
  </si>
  <si>
    <t xml:space="preserve">MPORWMHM1P01DF</t>
  </si>
  <si>
    <t xml:space="preserve">ROAST CHICKEN MAHSURI (WB) </t>
  </si>
  <si>
    <t xml:space="preserve">MPORWNDORP01DF</t>
  </si>
  <si>
    <t xml:space="preserve">MAR WBIRD NANDOS-OR (FRZ THW) </t>
  </si>
  <si>
    <t xml:space="preserve">Product</t>
  </si>
  <si>
    <t xml:space="preserve">Cutting Pattern Code</t>
  </si>
  <si>
    <t xml:space="preserve">Cutting Pattern Decription</t>
  </si>
  <si>
    <t xml:space="preserve">M</t>
  </si>
  <si>
    <t xml:space="preserve">ML</t>
  </si>
  <si>
    <t xml:space="preserve">L</t>
  </si>
  <si>
    <t xml:space="preserve">Cut A1</t>
  </si>
  <si>
    <t xml:space="preserve">McD</t>
  </si>
  <si>
    <t xml:space="preserve">Cut A2</t>
  </si>
  <si>
    <t xml:space="preserve">KFC</t>
  </si>
  <si>
    <t xml:space="preserve">Cut A3</t>
  </si>
  <si>
    <t xml:space="preserve">HB / 3JW JC</t>
  </si>
  <si>
    <t xml:space="preserve">Cut A4</t>
  </si>
  <si>
    <t xml:space="preserve">HB / 3JW MC</t>
  </si>
  <si>
    <t xml:space="preserve">9 PC</t>
  </si>
  <si>
    <t xml:space="preserve">Cut A5</t>
  </si>
  <si>
    <t xml:space="preserve">WPP</t>
  </si>
  <si>
    <t xml:space="preserve">Cut A6</t>
  </si>
  <si>
    <t xml:space="preserve">FH</t>
  </si>
  <si>
    <t xml:space="preserve">Cut A7</t>
  </si>
  <si>
    <t xml:space="preserve">WPP / 3JW MC</t>
  </si>
  <si>
    <t xml:space="preserve">Cut A8</t>
  </si>
  <si>
    <t xml:space="preserve">Cut A9</t>
  </si>
  <si>
    <t xml:space="preserve">Cut A10</t>
  </si>
  <si>
    <t xml:space="preserve">Cut B1</t>
  </si>
  <si>
    <t xml:space="preserve">THI / DS</t>
  </si>
  <si>
    <t xml:space="preserve">DRUMSTICK</t>
  </si>
  <si>
    <t xml:space="preserve">Cut B2</t>
  </si>
  <si>
    <t xml:space="preserve">CUBE / DS</t>
  </si>
  <si>
    <t xml:space="preserve">Cut B3</t>
  </si>
  <si>
    <t xml:space="preserve">LEG</t>
  </si>
  <si>
    <t xml:space="preserve">Deb L1</t>
  </si>
  <si>
    <t xml:space="preserve">Deb L2</t>
  </si>
  <si>
    <t xml:space="preserve">SL CHOP</t>
  </si>
  <si>
    <t xml:space="preserve">Deb L3</t>
  </si>
  <si>
    <t xml:space="preserve">Deb L4</t>
  </si>
  <si>
    <t xml:space="preserve">Deb L5</t>
  </si>
  <si>
    <t xml:space="preserve">DS / BL THI</t>
  </si>
  <si>
    <t xml:space="preserve">BL THIGH</t>
  </si>
  <si>
    <t xml:space="preserve">Deb L6</t>
  </si>
  <si>
    <t xml:space="preserve">DS / BSL THI</t>
  </si>
  <si>
    <t xml:space="preserve">BL DRUMSTICK</t>
  </si>
  <si>
    <t xml:space="preserve">Deb L7</t>
  </si>
  <si>
    <t xml:space="preserve">BL DS / BL THI</t>
  </si>
  <si>
    <t xml:space="preserve">Deb L8</t>
  </si>
  <si>
    <t xml:space="preserve">BSDS / BSL THI</t>
  </si>
  <si>
    <t xml:space="preserve">Deb L9</t>
  </si>
  <si>
    <t xml:space="preserve">BSDS / THI 2CUT</t>
  </si>
  <si>
    <t xml:space="preserve">Deb L10</t>
  </si>
  <si>
    <t xml:space="preserve">LEG 4 CUT</t>
  </si>
  <si>
    <t xml:space="preserve">Deb L11</t>
  </si>
  <si>
    <t xml:space="preserve">LEG CUBE / SATAY</t>
  </si>
  <si>
    <t xml:space="preserve">W2</t>
  </si>
  <si>
    <t xml:space="preserve">2 joint wing</t>
  </si>
  <si>
    <t xml:space="preserve">Deb B1W2F1</t>
  </si>
  <si>
    <t xml:space="preserve">Deb B2W2F1</t>
  </si>
  <si>
    <t xml:space="preserve">Deb B3W2F1</t>
  </si>
  <si>
    <t xml:space="preserve">Deb B4W2F1</t>
  </si>
  <si>
    <t xml:space="preserve">Deb B5W2F1</t>
  </si>
  <si>
    <t xml:space="preserve">Deb B6W2F1</t>
  </si>
  <si>
    <t xml:space="preserve">Deb B7W2F1</t>
  </si>
  <si>
    <t xml:space="preserve">Deb B8W2F1</t>
  </si>
  <si>
    <t xml:space="preserve">Deb B1W2F2</t>
  </si>
  <si>
    <t xml:space="preserve">Deb B2W2F2</t>
  </si>
  <si>
    <t xml:space="preserve">Deb B3W2F2</t>
  </si>
  <si>
    <t xml:space="preserve">Deb B4W2F2</t>
  </si>
  <si>
    <t xml:space="preserve">Deb B5W2F2</t>
  </si>
  <si>
    <t xml:space="preserve">Deb B6W2F2</t>
  </si>
  <si>
    <t xml:space="preserve">Deb B7W2F2</t>
  </si>
  <si>
    <t xml:space="preserve">Deb B8W2F2</t>
  </si>
  <si>
    <t xml:space="preserve">Deb B1W2F3</t>
  </si>
  <si>
    <t xml:space="preserve">Deb B2W2F3</t>
  </si>
  <si>
    <t xml:space="preserve">Deb B3W2F3</t>
  </si>
  <si>
    <t xml:space="preserve">Deb B4W2F3</t>
  </si>
  <si>
    <t xml:space="preserve">Deb B5W2F3</t>
  </si>
  <si>
    <t xml:space="preserve">Deb B6W2F3</t>
  </si>
  <si>
    <t xml:space="preserve">Deb B7W2F3</t>
  </si>
  <si>
    <t xml:space="preserve">Deb B8W2F3</t>
  </si>
  <si>
    <t xml:space="preserve">Deb B1W2F4</t>
  </si>
  <si>
    <t xml:space="preserve">Deb B2W2F4</t>
  </si>
  <si>
    <t xml:space="preserve">Deb B3W2F4</t>
  </si>
  <si>
    <t xml:space="preserve">Deb B4W2F4</t>
  </si>
  <si>
    <t xml:space="preserve">Deb B5W2F4</t>
  </si>
  <si>
    <t xml:space="preserve">Deb B6W2F4</t>
  </si>
  <si>
    <t xml:space="preserve">Deb B7W2F4</t>
  </si>
  <si>
    <t xml:space="preserve">Deb B8W2F4</t>
  </si>
  <si>
    <t xml:space="preserve">W1</t>
  </si>
  <si>
    <t xml:space="preserve">3 joint wing</t>
  </si>
  <si>
    <t xml:space="preserve">Deb B1W1F1</t>
  </si>
  <si>
    <t xml:space="preserve">Deb B2W1F1</t>
  </si>
  <si>
    <t xml:space="preserve">Deb B3W1F1</t>
  </si>
  <si>
    <t xml:space="preserve">Deb B4W1F1</t>
  </si>
  <si>
    <t xml:space="preserve">Deb B5W1F1</t>
  </si>
  <si>
    <t xml:space="preserve">Deb B6W1F1</t>
  </si>
  <si>
    <t xml:space="preserve">Deb B7W1F1</t>
  </si>
  <si>
    <t xml:space="preserve">Deb B8W1F1</t>
  </si>
  <si>
    <t xml:space="preserve">Deb B1W1F2</t>
  </si>
  <si>
    <t xml:space="preserve">Deb B2W1F2</t>
  </si>
  <si>
    <t xml:space="preserve">Deb B3W1F2</t>
  </si>
  <si>
    <t xml:space="preserve">Deb B4W1F2</t>
  </si>
  <si>
    <t xml:space="preserve">Deb B5W1F2</t>
  </si>
  <si>
    <t xml:space="preserve">Deb B6W1F2</t>
  </si>
  <si>
    <t xml:space="preserve">Deb B7W1F2</t>
  </si>
  <si>
    <t xml:space="preserve">Deb B8W1F2</t>
  </si>
  <si>
    <t xml:space="preserve">Deb B1W1F3</t>
  </si>
  <si>
    <t xml:space="preserve">Deb B2W1F3</t>
  </si>
  <si>
    <t xml:space="preserve">Deb B3W1F3</t>
  </si>
  <si>
    <t xml:space="preserve">Deb B4W1F3</t>
  </si>
  <si>
    <t xml:space="preserve">Deb B5W1F3</t>
  </si>
  <si>
    <t xml:space="preserve">Deb B6W1F3</t>
  </si>
  <si>
    <t xml:space="preserve">Deb B7W1F3</t>
  </si>
  <si>
    <t xml:space="preserve">Deb B8W1F3</t>
  </si>
  <si>
    <t xml:space="preserve">Deb B1W1F4</t>
  </si>
  <si>
    <t xml:space="preserve">Deb B2W1F4</t>
  </si>
  <si>
    <t xml:space="preserve">Deb B3W1F4</t>
  </si>
  <si>
    <t xml:space="preserve">Deb B4W1F4</t>
  </si>
  <si>
    <t xml:space="preserve">Deb B5W1F4</t>
  </si>
  <si>
    <t xml:space="preserve">Deb B6W1F4</t>
  </si>
  <si>
    <t xml:space="preserve">Deb B7W1F4</t>
  </si>
  <si>
    <t xml:space="preserve">Deb B8W1F4</t>
  </si>
  <si>
    <t xml:space="preserve">B1</t>
  </si>
  <si>
    <t xml:space="preserve">Boneless breast</t>
  </si>
  <si>
    <t xml:space="preserve">Deb B1W3F1</t>
  </si>
  <si>
    <t xml:space="preserve">Deb B1W3F2</t>
  </si>
  <si>
    <t xml:space="preserve">Deb B1W3F3</t>
  </si>
  <si>
    <t xml:space="preserve">Deb B1W3F4</t>
  </si>
  <si>
    <t xml:space="preserve">B2</t>
  </si>
  <si>
    <t xml:space="preserve">Boneless butterfly breast</t>
  </si>
  <si>
    <t xml:space="preserve">Deb B2W3F1</t>
  </si>
  <si>
    <t xml:space="preserve">Deb B2W3F2</t>
  </si>
  <si>
    <t xml:space="preserve">Deb B2W3F3</t>
  </si>
  <si>
    <t xml:space="preserve">Deb B2W3F4</t>
  </si>
  <si>
    <t xml:space="preserve">L3</t>
  </si>
  <si>
    <t xml:space="preserve">Boneless leg</t>
  </si>
  <si>
    <t xml:space="preserve">L8</t>
  </si>
  <si>
    <t xml:space="preserve">Boneless skinless drumstick</t>
  </si>
  <si>
    <t xml:space="preserve">L4</t>
  </si>
  <si>
    <t xml:space="preserve">Boneless skinless leg</t>
  </si>
  <si>
    <t xml:space="preserve">L11</t>
  </si>
  <si>
    <t xml:space="preserve">Boneless skinless leg satay</t>
  </si>
  <si>
    <t xml:space="preserve">L10</t>
  </si>
  <si>
    <t xml:space="preserve">Boneless skinless thigh</t>
  </si>
  <si>
    <t xml:space="preserve">L6</t>
  </si>
  <si>
    <t xml:space="preserve">L5</t>
  </si>
  <si>
    <t xml:space="preserve">Boneless thigh</t>
  </si>
  <si>
    <t xml:space="preserve">L1</t>
  </si>
  <si>
    <t xml:space="preserve">Chop</t>
  </si>
  <si>
    <t xml:space="preserve">W3</t>
  </si>
  <si>
    <t xml:space="preserve">Drummet</t>
  </si>
  <si>
    <t xml:space="preserve">Deb B3W3F1</t>
  </si>
  <si>
    <t xml:space="preserve">Deb B4W3F1</t>
  </si>
  <si>
    <t xml:space="preserve">Deb B5W3F1</t>
  </si>
  <si>
    <t xml:space="preserve">Deb B6W3F1</t>
  </si>
  <si>
    <t xml:space="preserve">Deb B7W3F1</t>
  </si>
  <si>
    <t xml:space="preserve">Deb B8W3F1</t>
  </si>
  <si>
    <t xml:space="preserve">Deb B3W3F2</t>
  </si>
  <si>
    <t xml:space="preserve">Deb B4W3F2</t>
  </si>
  <si>
    <t xml:space="preserve">Deb B5W3F2</t>
  </si>
  <si>
    <t xml:space="preserve">Deb B6W3F2</t>
  </si>
  <si>
    <t xml:space="preserve">Deb B7W3F2</t>
  </si>
  <si>
    <t xml:space="preserve">Deb B8W3F2</t>
  </si>
  <si>
    <t xml:space="preserve">Deb B3W3F3</t>
  </si>
  <si>
    <t xml:space="preserve">Deb B4W3F3</t>
  </si>
  <si>
    <t xml:space="preserve">Deb B5W3F3</t>
  </si>
  <si>
    <t xml:space="preserve">Deb B6W3F3</t>
  </si>
  <si>
    <t xml:space="preserve">Deb B7W3F3</t>
  </si>
  <si>
    <t xml:space="preserve">Deb B8W3F3</t>
  </si>
  <si>
    <t xml:space="preserve">Deb B3W3F4</t>
  </si>
  <si>
    <t xml:space="preserve">Deb B4W3F4</t>
  </si>
  <si>
    <t xml:space="preserve">Deb B5W3F4</t>
  </si>
  <si>
    <t xml:space="preserve">Deb B6W3F4</t>
  </si>
  <si>
    <t xml:space="preserve">Deb B7W3F4</t>
  </si>
  <si>
    <t xml:space="preserve">Deb B8W3F4</t>
  </si>
  <si>
    <t xml:space="preserve">Drumstick JC</t>
  </si>
  <si>
    <t xml:space="preserve">F1</t>
  </si>
  <si>
    <t xml:space="preserve">Fillet A</t>
  </si>
  <si>
    <t xml:space="preserve">F3</t>
  </si>
  <si>
    <t xml:space="preserve">Fillet meat</t>
  </si>
  <si>
    <t xml:space="preserve">F4</t>
  </si>
  <si>
    <t xml:space="preserve">Fillet satay</t>
  </si>
  <si>
    <t xml:space="preserve">F2</t>
  </si>
  <si>
    <t xml:space="preserve">Fillet wot</t>
  </si>
  <si>
    <t xml:space="preserve">Mid joint wing</t>
  </si>
  <si>
    <t xml:space="preserve">B3</t>
  </si>
  <si>
    <t xml:space="preserve">Skinnless boneless breast</t>
  </si>
  <si>
    <t xml:space="preserve">B8</t>
  </si>
  <si>
    <t xml:space="preserve">Skinnless boneless breast cube</t>
  </si>
  <si>
    <t xml:space="preserve">B7</t>
  </si>
  <si>
    <t xml:space="preserve">Skinnless boneless breast fillet</t>
  </si>
  <si>
    <t xml:space="preserve">B6</t>
  </si>
  <si>
    <t xml:space="preserve">Skinnless boneless breast nandos</t>
  </si>
  <si>
    <t xml:space="preserve">B5</t>
  </si>
  <si>
    <t xml:space="preserve">Skinnless boneless breast open cut</t>
  </si>
  <si>
    <t xml:space="preserve">B4</t>
  </si>
  <si>
    <t xml:space="preserve">Skinnless boneless butterfly breast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</si>
  <si>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</si>
  <si>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</si>
  <si>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</si>
  <si>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</si>
  <si>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</si>
  <si>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LL</t>
  </si>
  <si>
    <t xml:space="preserve">UL</t>
  </si>
  <si>
    <t xml:space="preserve">2202</t>
  </si>
  <si>
    <t xml:space="preserve">BLBRSAC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</si>
  <si>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</si>
  <si>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</si>
  <si>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</si>
  <si>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</si>
  <si>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</si>
  <si>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</si>
  <si>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1.60_1.80_B</t>
  </si>
  <si>
    <t xml:space="preserve">2200</t>
  </si>
  <si>
    <t xml:space="preserve">FP-BSLBRSA</t>
  </si>
  <si>
    <t xml:space="preserve">2216</t>
  </si>
  <si>
    <t xml:space="preserve">BSLBRSAC</t>
  </si>
  <si>
    <t xml:space="preserve">2217</t>
  </si>
  <si>
    <t xml:space="preserve">BSLBRSAF</t>
  </si>
  <si>
    <t xml:space="preserve">2218</t>
  </si>
  <si>
    <t xml:space="preserve">BSLBRSMFC</t>
  </si>
  <si>
    <t xml:space="preserve">2219</t>
  </si>
  <si>
    <t xml:space="preserve">BSLBRSMFF</t>
  </si>
  <si>
    <t xml:space="preserve">2220</t>
  </si>
  <si>
    <t xml:space="preserve">BSLBRSMFK04C</t>
  </si>
  <si>
    <t xml:space="preserve">2221</t>
  </si>
  <si>
    <t xml:space="preserve">BSLBRSMFK04F</t>
  </si>
  <si>
    <t xml:space="preserve">2223</t>
  </si>
  <si>
    <t xml:space="preserve">BSLBRSMF2PF</t>
  </si>
  <si>
    <t xml:space="preserve">2225</t>
  </si>
  <si>
    <t xml:space="preserve">BSLBRSAPF</t>
  </si>
  <si>
    <t xml:space="preserve">2228</t>
  </si>
  <si>
    <t xml:space="preserve">BSB12150C</t>
  </si>
  <si>
    <t xml:space="preserve">2229</t>
  </si>
  <si>
    <t xml:space="preserve">BSB12150F</t>
  </si>
  <si>
    <t xml:space="preserve">2240</t>
  </si>
  <si>
    <t xml:space="preserve">2204</t>
  </si>
  <si>
    <t xml:space="preserve">M-BSB7585AWC</t>
  </si>
  <si>
    <t xml:space="preserve">2245</t>
  </si>
  <si>
    <t xml:space="preserve">BSB7595X24F</t>
  </si>
  <si>
    <t xml:space="preserve">2208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</si>
  <si>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</si>
  <si>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</si>
  <si>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</si>
  <si>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</si>
  <si>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</si>
  <si>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</si>
  <si>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BRSTRIMF</t>
  </si>
  <si>
    <t xml:space="preserve">2232</t>
  </si>
  <si>
    <t xml:space="preserve">2233</t>
  </si>
  <si>
    <t xml:space="preserve">2234</t>
  </si>
  <si>
    <t xml:space="preserve">2235</t>
  </si>
  <si>
    <t xml:space="preserve">2247</t>
  </si>
  <si>
    <t xml:space="preserve">2242</t>
  </si>
  <si>
    <t xml:space="preserve">1.81_2.00_B</t>
  </si>
  <si>
    <t xml:space="preserve">2243</t>
  </si>
  <si>
    <t xml:space="preserve">2252</t>
  </si>
  <si>
    <t xml:space="preserve">2215</t>
  </si>
  <si>
    <t xml:space="preserve">2256</t>
  </si>
  <si>
    <t xml:space="preserve">2236</t>
  </si>
  <si>
    <t xml:space="preserve">2238</t>
  </si>
  <si>
    <t xml:space="preserve">2006</t>
  </si>
  <si>
    <t xml:space="preserve">2007</t>
  </si>
  <si>
    <t xml:space="preserve">2008</t>
  </si>
  <si>
    <t xml:space="preserve">2009</t>
  </si>
  <si>
    <t xml:space="preserve">2010</t>
  </si>
  <si>
    <t xml:space="preserve">2011</t>
  </si>
  <si>
    <t xml:space="preserve">2012</t>
  </si>
  <si>
    <t xml:space="preserve">2013</t>
  </si>
  <si>
    <t xml:space="preserve">2017</t>
  </si>
  <si>
    <t xml:space="preserve">2014</t>
  </si>
  <si>
    <t xml:space="preserve">2033</t>
  </si>
  <si>
    <t xml:space="preserve">2050</t>
  </si>
  <si>
    <t xml:space="preserve">2000</t>
  </si>
  <si>
    <t xml:space="preserve">2001</t>
  </si>
  <si>
    <t xml:space="preserve">2004</t>
  </si>
  <si>
    <t xml:space="preserve">2018</t>
  </si>
  <si>
    <t xml:space="preserve">2019</t>
  </si>
  <si>
    <t xml:space="preserve">2020</t>
  </si>
  <si>
    <t xml:space="preserve">2023</t>
  </si>
  <si>
    <t xml:space="preserve">2026</t>
  </si>
  <si>
    <t xml:space="preserve">2027</t>
  </si>
  <si>
    <t xml:space="preserve">2028</t>
  </si>
  <si>
    <t xml:space="preserve">2029</t>
  </si>
  <si>
    <t xml:space="preserve">2030</t>
  </si>
  <si>
    <t xml:space="preserve">2031</t>
  </si>
  <si>
    <t xml:space="preserve">2046</t>
  </si>
  <si>
    <t xml:space="preserve">2034</t>
  </si>
  <si>
    <t xml:space="preserve">2035</t>
  </si>
  <si>
    <t xml:space="preserve">2036</t>
  </si>
  <si>
    <t xml:space="preserve">2038</t>
  </si>
  <si>
    <t xml:space="preserve">2039</t>
  </si>
  <si>
    <t xml:space="preserve">2040</t>
  </si>
  <si>
    <t xml:space="preserve">2041</t>
  </si>
  <si>
    <t xml:space="preserve">2042</t>
  </si>
  <si>
    <t xml:space="preserve">2043</t>
  </si>
  <si>
    <t xml:space="preserve">2048</t>
  </si>
  <si>
    <t xml:space="preserve">2249</t>
  </si>
  <si>
    <t xml:space="preserve">2250</t>
  </si>
  <si>
    <t xml:space="preserve">2251</t>
  </si>
  <si>
    <t xml:space="preserve">2260</t>
  </si>
  <si>
    <t xml:space="preserve">2264</t>
  </si>
  <si>
    <t xml:space="preserve">2266</t>
  </si>
  <si>
    <t xml:space="preserve">2254</t>
  </si>
  <si>
    <t xml:space="preserve">2255</t>
  </si>
  <si>
    <t xml:space="preserve">2268</t>
  </si>
  <si>
    <t xml:space="preserve">2270</t>
  </si>
  <si>
    <t xml:space="preserve">2253</t>
  </si>
  <si>
    <t xml:space="preserve">2262</t>
  </si>
  <si>
    <t xml:space="preserve">2407</t>
  </si>
  <si>
    <t xml:space="preserve">2423</t>
  </si>
  <si>
    <t xml:space="preserve">2486</t>
  </si>
  <si>
    <t xml:space="preserve">2488</t>
  </si>
  <si>
    <t xml:space="preserve">2400</t>
  </si>
  <si>
    <t xml:space="preserve">2401</t>
  </si>
  <si>
    <t xml:space="preserve">2403</t>
  </si>
  <si>
    <t xml:space="preserve">2404</t>
  </si>
  <si>
    <t xml:space="preserve">2409</t>
  </si>
  <si>
    <t xml:space="preserve">2432</t>
  </si>
  <si>
    <t xml:space="preserve">2433</t>
  </si>
  <si>
    <t xml:space="preserve">2434</t>
  </si>
  <si>
    <t xml:space="preserve">2436</t>
  </si>
  <si>
    <t xml:space="preserve">2440</t>
  </si>
  <si>
    <t xml:space="preserve">2002</t>
  </si>
  <si>
    <t xml:space="preserve">2442</t>
  </si>
  <si>
    <t xml:space="preserve">2443</t>
  </si>
  <si>
    <t xml:space="preserve">2444</t>
  </si>
  <si>
    <t xml:space="preserve">2445</t>
  </si>
  <si>
    <t xml:space="preserve">2446</t>
  </si>
  <si>
    <t xml:space="preserve">2447</t>
  </si>
  <si>
    <t xml:space="preserve">2449</t>
  </si>
  <si>
    <t xml:space="preserve">2450</t>
  </si>
  <si>
    <t xml:space="preserve">2453</t>
  </si>
  <si>
    <t xml:space="preserve">2454</t>
  </si>
  <si>
    <t xml:space="preserve">2456</t>
  </si>
  <si>
    <t xml:space="preserve">2457</t>
  </si>
  <si>
    <t xml:space="preserve">2458</t>
  </si>
  <si>
    <t xml:space="preserve">2459</t>
  </si>
  <si>
    <t xml:space="preserve">2462</t>
  </si>
  <si>
    <t xml:space="preserve">2470</t>
  </si>
  <si>
    <t xml:space="preserve">2474</t>
  </si>
  <si>
    <t xml:space="preserve">2477</t>
  </si>
  <si>
    <t xml:space="preserve">2478</t>
  </si>
  <si>
    <t xml:space="preserve">2480</t>
  </si>
  <si>
    <t xml:space="preserve">2482</t>
  </si>
  <si>
    <t xml:space="preserve">2484</t>
  </si>
  <si>
    <t xml:space="preserve">2430</t>
  </si>
  <si>
    <t xml:space="preserve">2431</t>
  </si>
  <si>
    <t xml:space="preserve">2461</t>
  </si>
  <si>
    <t xml:space="preserve">2438</t>
  </si>
  <si>
    <t xml:space="preserve">1000</t>
  </si>
  <si>
    <t xml:space="preserve">1001</t>
  </si>
  <si>
    <t xml:space="preserve">1002</t>
  </si>
  <si>
    <t xml:space="preserve">1003</t>
  </si>
  <si>
    <t xml:space="preserve">1004</t>
  </si>
  <si>
    <t xml:space="preserve">1005</t>
  </si>
  <si>
    <t xml:space="preserve">1006</t>
  </si>
  <si>
    <t xml:space="preserve">1007</t>
  </si>
  <si>
    <t xml:space="preserve">1009</t>
  </si>
  <si>
    <t xml:space="preserve">1011</t>
  </si>
  <si>
    <t xml:space="preserve">1012</t>
  </si>
  <si>
    <t xml:space="preserve">1165</t>
  </si>
  <si>
    <t xml:space="preserve">1014</t>
  </si>
  <si>
    <t xml:space="preserve">1015</t>
  </si>
  <si>
    <t xml:space="preserve">1016</t>
  </si>
  <si>
    <t xml:space="preserve">1018</t>
  </si>
  <si>
    <t xml:space="preserve">1020</t>
  </si>
  <si>
    <t xml:space="preserve">1021</t>
  </si>
  <si>
    <t xml:space="preserve">1030</t>
  </si>
  <si>
    <t xml:space="preserve">1031</t>
  </si>
  <si>
    <t xml:space="preserve">1024</t>
  </si>
  <si>
    <t xml:space="preserve">1025</t>
  </si>
  <si>
    <t xml:space="preserve">1026</t>
  </si>
  <si>
    <t xml:space="preserve">1027</t>
  </si>
  <si>
    <t xml:space="preserve">1028</t>
  </si>
  <si>
    <t xml:space="preserve">1032</t>
  </si>
  <si>
    <t xml:space="preserve">1033</t>
  </si>
  <si>
    <t xml:space="preserve">1034</t>
  </si>
  <si>
    <t xml:space="preserve">1035</t>
  </si>
  <si>
    <t xml:space="preserve">1036</t>
  </si>
  <si>
    <t xml:space="preserve">1038</t>
  </si>
  <si>
    <t xml:space="preserve">1080</t>
  </si>
  <si>
    <t xml:space="preserve">1081</t>
  </si>
  <si>
    <t xml:space="preserve">1163</t>
  </si>
  <si>
    <t xml:space="preserve">1022</t>
  </si>
  <si>
    <t xml:space="preserve">1040</t>
  </si>
  <si>
    <t xml:space="preserve">1041</t>
  </si>
  <si>
    <t xml:space="preserve">1042</t>
  </si>
  <si>
    <t xml:space="preserve">1043</t>
  </si>
  <si>
    <t xml:space="preserve">1044</t>
  </si>
  <si>
    <t xml:space="preserve">1060</t>
  </si>
  <si>
    <t xml:space="preserve">1.60_1.80_A</t>
  </si>
  <si>
    <t xml:space="preserve">1064</t>
  </si>
  <si>
    <t xml:space="preserve">1067</t>
  </si>
  <si>
    <t xml:space="preserve">1068</t>
  </si>
  <si>
    <t xml:space="preserve">1069</t>
  </si>
  <si>
    <t xml:space="preserve">1070</t>
  </si>
  <si>
    <t xml:space="preserve">1071</t>
  </si>
  <si>
    <t xml:space="preserve">1072</t>
  </si>
  <si>
    <t xml:space="preserve">1073</t>
  </si>
  <si>
    <t xml:space="preserve">1074</t>
  </si>
  <si>
    <t xml:space="preserve">1075</t>
  </si>
  <si>
    <t xml:space="preserve">1140</t>
  </si>
  <si>
    <t xml:space="preserve">1142</t>
  </si>
  <si>
    <t xml:space="preserve">1144</t>
  </si>
  <si>
    <t xml:space="preserve">1146</t>
  </si>
  <si>
    <t xml:space="preserve">1148</t>
  </si>
  <si>
    <t xml:space="preserve">1162</t>
  </si>
  <si>
    <t xml:space="preserve">1170</t>
  </si>
  <si>
    <t xml:space="preserve">1.81_2.00_A</t>
  </si>
  <si>
    <t xml:space="preserve">1086</t>
  </si>
  <si>
    <t xml:space="preserve">QUARTER LEG</t>
  </si>
  <si>
    <t xml:space="preserve">1088</t>
  </si>
  <si>
    <t xml:space="preserve">1089</t>
  </si>
  <si>
    <t xml:space="preserve">1090</t>
  </si>
  <si>
    <t xml:space="preserve">1091</t>
  </si>
  <si>
    <t xml:space="preserve">1100</t>
  </si>
  <si>
    <t xml:space="preserve">1101</t>
  </si>
  <si>
    <t xml:space="preserve">1102</t>
  </si>
  <si>
    <t xml:space="preserve">1150</t>
  </si>
  <si>
    <t xml:space="preserve">1152</t>
  </si>
  <si>
    <t xml:space="preserve">1154</t>
  </si>
  <si>
    <t xml:space="preserve">1156</t>
  </si>
  <si>
    <t xml:space="preserve">1104</t>
  </si>
  <si>
    <t xml:space="preserve">1106</t>
  </si>
  <si>
    <t xml:space="preserve">1107</t>
  </si>
  <si>
    <t xml:space="preserve">1108</t>
  </si>
  <si>
    <t xml:space="preserve">1109</t>
  </si>
  <si>
    <t xml:space="preserve">1110</t>
  </si>
  <si>
    <t xml:space="preserve">1111</t>
  </si>
  <si>
    <t xml:space="preserve">1166</t>
  </si>
  <si>
    <t xml:space="preserve">1168</t>
  </si>
  <si>
    <t xml:space="preserve">1112</t>
  </si>
  <si>
    <t xml:space="preserve">1113</t>
  </si>
  <si>
    <t xml:space="preserve">1114</t>
  </si>
  <si>
    <t xml:space="preserve">1116</t>
  </si>
  <si>
    <t xml:space="preserve">1117</t>
  </si>
  <si>
    <t xml:space="preserve">1118</t>
  </si>
  <si>
    <t xml:space="preserve">THIGH MC</t>
  </si>
  <si>
    <t xml:space="preserve">1120</t>
  </si>
  <si>
    <t xml:space="preserve">1121</t>
  </si>
  <si>
    <t xml:space="preserve">1123</t>
  </si>
  <si>
    <t xml:space="preserve">1129</t>
  </si>
  <si>
    <t xml:space="preserve">1131</t>
  </si>
  <si>
    <t xml:space="preserve">1132</t>
  </si>
  <si>
    <t xml:space="preserve">1133</t>
  </si>
  <si>
    <t xml:space="preserve">1135</t>
  </si>
  <si>
    <t xml:space="preserve">1136</t>
  </si>
  <si>
    <t xml:space="preserve">1137</t>
  </si>
  <si>
    <t xml:space="preserve">1158</t>
  </si>
  <si>
    <t xml:space="preserve">1160</t>
  </si>
  <si>
    <t xml:space="preserve">2.06_2.30_A</t>
  </si>
  <si>
    <t xml:space="preserve">1.86_2.05_A</t>
  </si>
  <si>
    <t xml:space="preserve">1.65_1.85_A</t>
  </si>
  <si>
    <t xml:space="preserve">Bird Type</t>
  </si>
  <si>
    <t xml:space="preserve">Ratio</t>
  </si>
  <si>
    <t xml:space="preserve">forecast</t>
  </si>
  <si>
    <t xml:space="preserve">A</t>
  </si>
  <si>
    <t xml:space="preserve">B</t>
  </si>
  <si>
    <t xml:space="preserve">2.01_2.30_A</t>
  </si>
  <si>
    <t xml:space="preserve">1.65_1.85_B</t>
  </si>
  <si>
    <t xml:space="preserve">1.86_2.05_B</t>
  </si>
  <si>
    <t xml:space="preserve">2.06_2.30_B</t>
  </si>
  <si>
    <t xml:space="preserve">Dressed weight (LL)</t>
  </si>
  <si>
    <t xml:space="preserve">Dressed weight (UL)</t>
  </si>
  <si>
    <t xml:space="preserve">Live weight (LL)</t>
  </si>
  <si>
    <t xml:space="preserve">Live weight (UL)</t>
  </si>
  <si>
    <t xml:space="preserve">Average (%)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</si>
</sst>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_(* #,##0.00_);_(* \(#,##0.00\);_(* \-??_);_(@_)"/>
    <numFmt numFmtId="166" formatCode="0%"/>
    <numFmt numFmtId="167" formatCode="0.00000"/>
    <numFmt numFmtId="168" formatCode="0.00"/>
    <numFmt numFmtId="169" formatCode="0"/>
    <numFmt numFmtId="170" formatCode="0.000"/>
    <numFmt numFmtId="171" formatCode="_(* #,##0.00_);_(* \(#,##0.00\);_(* \-??_);_(@_)"/>
    <numFmt numFmtId="172" formatCode="0.0%"/>
    <numFmt numFmtId="173" formatCode="0.00%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2"/>
      <charset val="1"/>
    </font>
    <font>
      <b val="true"/>
      <sz val="11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7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0" fillId="2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2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7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1" fontId="0" fillId="0" borderId="0" xfId="15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0" fillId="2" borderId="3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73" fontId="0" fillId="2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1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Comma 2" xfId="21" builtinId="53" customBuiltin="true"/>
    <cellStyle name="Normal 2" xfId="22" builtinId="53" customBuiltin="true"/>
    <cellStyle name="Normal 3" xfId="23" builtinId="53" customBuiltin="true"/>
    <cellStyle name="Normal 4" xfId="24" builtinId="53" customBuiltin="true"/>
    <cellStyle name="Percent 2" xfId="25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B4C7E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ABABA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externalLink" Target="externalLinks/externalLink1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arena/Desktop/MxP.xlsx" TargetMode="External"/>
</Relationships>
</file>

<file path=xl/externalLinks/externalLink1.xml><?xml version="1.0" encoding="UTF-8" standalone="yes"?>
<externalLink xmlns="http://schemas.openxmlformats.org/spreadsheetml/2006/main"><externalBook xmlns:r="http://schemas.openxmlformats.org/officeDocument/2006/relationships" r:id="rId1"><sheetNames><sheetName val="MxP"/><sheetName val="wbd"/><sheetName val="mar (wbd)"/><sheetName val="mar yield-refer mr koay"/></sheetNames><sheetDataSet><sheetData sheetId="0"><row r="1"><cell r="C1" t="str"><v>External Code</v></cell><cell r="D1" t="str"><v>Material X Package</v></cell><cell r="E1" t="str"><v>Reduced Name</v></cell></row><row r="2"><cell r="C2" t="str"><v>FSGECKT00800DF</v></cell><cell r="D2" t="str"><v>AD CHICKEN COCKTAIL 800G</v></cell><cell r="E2" t="str"><v>CTAD800G</v></cell><cell r="F2" t="str"><v>7027</v></cell></row><row r="3"><cell r="C3" t="str"><v>FSGESFR00300DF</v></cell><cell r="D3" t="str"><v>AD SMOKED CHICKEN FRANK</v></cell><cell r="E3" t="str"><v>SFAD300G</v></cell><cell r="F3" t="str"><v>7001</v></cell></row><row r="4"><cell r="C4" t="str"><v>FSGESFR00800DF</v></cell><cell r="D4" t="str"><v>AD JUMBO FRANK (ORIGINAL)</v></cell><cell r="E4" t="str"><v>SFADORJ800G</v></cell><cell r="F4" t="str"><v>7005</v></cell></row><row r="5"><cell r="C5" t="str"><v>FSGESFR00P12DF</v></cell><cell r="D5" t="str"><v>AD JUMBO FRANK (ORIGINAL) FDM</v></cell><cell r="E5" t="str"><v>SFADORJ12</v></cell><cell r="F5" t="str"><v>7006</v></cell></row><row r="6"><cell r="C6" t="str"><v>FSGESFRCZP12DF</v></cell><cell r="D6" t="str"><v>AD JUMBO FRANK (CHEESE) FDM</v></cell><cell r="E6" t="str"><v>SFADCZJ12</v></cell><cell r="F6" t="str"><v>7002</v></cell></row><row r="7"><cell r="C7" t="str"><v>FSGESFRCZ800DF</v></cell><cell r="D7" t="str"><v>AD JUMBO FRANK (CHEESE)</v></cell><cell r="E7" t="str"><v>SFADCZJ800G</v></cell><cell r="F7" t="str"><v>7003</v></cell></row><row r="8"><cell r="C8" t="str"><v>FSGESFRCZP06DF</v></cell><cell r="D8" t="str"><v>AD CHEESE CHIC FRANK JUMBO 6PC</v></cell><cell r="E8" t="str"><v>SFADCZJ300G</v></cell><cell r="F8" t="str"><v>7004</v></cell></row><row r="9"><cell r="C9" t="str"><v>FSGECKT00850FF</v></cell><cell r="D9" t="str"><v>FST CHICKEN COCKTAIL</v></cell><cell r="E9" t="str"><v>CTFST12</v></cell><cell r="F9" t="str"><v>7028</v></cell></row><row r="10"><cell r="C10" t="str"><v>FSGESFR00P05FF</v></cell><cell r="D10" t="str"><v>FST SMOKED CHICKEN FRANK 150G</v></cell><cell r="E10" t="str"><v>SFFST150G</v></cell><cell r="F10" t="str"><v>7008</v></cell></row><row r="11"><cell r="C11" t="str"><v>FSGESFR00P11FF</v></cell><cell r="D11" t="str"><v>FST CHICKEN FRANK 11PC</v></cell><cell r="E11" t="str"><v>SFFST11PC</v></cell><cell r="F11" t="str"><v>7009</v></cell></row><row r="12"><cell r="C12" t="str"><v>FSGESFR00P22FF</v></cell><cell r="D12" t="str"><v>FST CHICKEN FRANK 22PC</v></cell><cell r="E12" t="str"><v>SFFST22PC</v></cell><cell r="F12" t="str"><v>7010</v></cell></row><row r="13"><cell r="C13" t="str"><v>FSGESFRCZ270FF</v></cell><cell r="D13" t="str"><v>FST CHEESE CHICKEN FRANK 270G</v></cell><cell r="E13" t="str"><v>SFFSTCZ270G</v></cell><cell r="F13" t="str"><v>7011</v></cell></row><row r="14"><cell r="C14" t="str"><v>FSGESFRCZP20FF</v></cell><cell r="D14" t="str"><v>FST CHEESE CHICKEN FRANK 20PC</v></cell><cell r="E14" t="str"><v>SFFSTCZ20PC</v></cell><cell r="F14" t="str"><v>7012</v></cell></row><row r="15"><cell r="C15" t="str"><v>FSGESFRHY270FF</v></cell><cell r="D15" t="str"><v>FST HONEY CHICKEN FRANK 270G</v></cell><cell r="E15" t="str"><v>SFFSTHY270G</v></cell><cell r="F15" t="str"><v>7014</v></cell></row><row r="16"><cell r="C16" t="str"><v>FSGESFRHY270HF</v></cell><cell r="D16" t="str"><v>DELIHOUS HONEY CHIC FRANK 270G</v></cell><cell r="E16" t="str"><v>SFDHHY270G</v></cell><cell r="F16" t="str"><v>7015</v></cell></row><row r="17"><cell r="C17" t="str"><v>FSGESFRHY300FF</v></cell><cell r="D17" t="str"><v>FST HONEY CHICKEN FRANK 300G</v></cell><cell r="E17" t="str"><v>SFFSTHY300G</v></cell><cell r="F17" t="str"><v>7016</v></cell></row><row r="18"><cell r="C18" t="str"><v>FSGESFRHYP20FF</v></cell><cell r="D18" t="str"><v>FST HONEY CHICKEN FRANK 20PC</v></cell><cell r="E18" t="str"><v>SFFSTHY20PC</v></cell><cell r="F18" t="str"><v>7017</v></cell></row><row r="19"><cell r="C19" t="str"><v>FSGESGCHYP32CF</v></cell><cell r="D19" t="str"><v>GC HONEY CHICKEN FRANK 270G</v></cell><cell r="E19" t="str"><v>SFHYGC270G</v></cell><cell r="F19" t="str"><v>7018</v></cell></row><row r="20"><cell r="C20" t="str"><v>FSGESFRCZ300FF</v></cell><cell r="D20" t="str"><v>FST CHEESE CHICKEN FRANK 300G</v></cell><cell r="E20" t="str"><v>SFFSTCZ300G</v></cell><cell r="F20" t="str"><v>7013</v></cell></row><row r="21"><cell r="C21" t="str"><v>FSGESFR00270HF</v></cell><cell r="D21" t="str"><v>DELIHOUS CHICKEN FRANKFURTER</v></cell><cell r="E21" t="str"><v>SFDH32</v></cell><cell r="F21" t="str"><v>7020</v></cell></row><row r="22"><cell r="C22" t="str"><v>FSGESFR00270JF</v></cell><cell r="D22" t="str"><v>JMF SMOKED CHICKEN FRANK 270G</v></cell><cell r="E22" t="str"><v>SFJM270G</v></cell><cell r="F22" t="str"><v>7021</v></cell></row><row r="23"><cell r="C23" t="str"><v>FSGESFR00300JF</v></cell><cell r="D23" t="str"><v>JMF SMOKED CHICKEN FRANK 300G</v></cell><cell r="E23" t="str"><v>SFJM300G</v></cell><cell r="F23" t="str"><v>7022</v></cell></row><row r="24"><cell r="C24" t="str"><v>FSGESFR00P30JF</v></cell><cell r="D24" t="str"><v>JMF FRANK 30PC</v></cell><cell r="E24" t="str"><v>SFJM30PC</v></cell><cell r="F24" t="str"><v>7023</v></cell></row><row r="25"><cell r="C25" t="str"><v>FSGESFRGCP32CF</v></cell><cell r="D25" t="str"><v>GC ORIGINAL CHICKEN FRANK 270G</v></cell><cell r="E25" t="str"><v>FRANK270G</v></cell><cell r="F25" t="str"><v>7024</v></cell></row><row r="26"><cell r="C26" t="str"><v>FSGESFRCZ300JF</v></cell><cell r="D26" t="str"><v>JMF CHEESE CHICKEN FRANK</v></cell><cell r="E26" t="str"><v>SFJMCZ300G</v></cell><cell r="F26" t="str"><v>7025</v></cell></row><row r="27"><cell r="C27" t="str"><v>FSGESGCCZP32CF</v></cell><cell r="D27" t="str"><v>GC CHEESE CHICKEN FRANK 270G</v></cell><cell r="E27" t="str"><v>SFCZGC270G</v></cell><cell r="F27" t="str"><v>7026</v></cell></row><row r="28"><cell r="C28" t="str"><v>FSGESFRBM300CF</v></cell><cell r="D28" t="str"><v>SMOKED CHICKEN FRANK BUMIMAS</v></cell><cell r="E28" t="str"><v>SFBUMI300G</v></cell><cell r="F28" t="str"><v>7007</v></cell></row><row r="29"><cell r="C29" t="str"><v>FSGESFRHLP11CF</v></cell><cell r="D29" t="str"><v>CHICKEN FRANKFURTER HL 11PC</v></cell><cell r="E29" t="str"><v>SFHL11PC</v></cell><cell r="F29" t="str"><v>7019</v></cell></row><row r="30"><cell r="C30" t="str"><v>FFOMML000500DF</v></cell><cell r="D30" t="str"><v>AD CHICKEN MEATLOAF PLAIN</v></cell><cell r="E30" t="str"><v>SLOAFAD20</v></cell><cell r="F30" t="str"><v>7351</v></cell></row><row r="31"><cell r="C31" t="str"><v>FFOMML000K01DF</v></cell><cell r="D31" t="str"><v>AD MEATLOAF PLAIN 1KG</v></cell><cell r="E31" t="str"><v>SLOAF</v></cell><cell r="F31" t="str"><v>7352</v></cell></row><row r="32"><cell r="C32" t="str"><v>FFOMML000P32DF</v></cell><cell r="D32" t="str"><v>AD MEATLOAF PLAIN 200G</v></cell><cell r="E32" t="str"><v>MLOAF32</v></cell><cell r="F32" t="str"><v>7353</v></cell></row><row r="33"><cell r="C33" t="str"><v>FFOMML0HR500DF</v></cell><cell r="D33" t="str"><v>AD MEATLOAF PLAIN 500G (HR)</v></cell><cell r="E33" t="str"><v>SLOAFHR20</v></cell><cell r="F33" t="str"><v>7354</v></cell></row><row r="34"><cell r="C34" t="str"><v>FFOMML000200FF</v></cell><cell r="D34" t="str"><v>FST CHICKEN MEATLOAF PLAIN</v></cell><cell r="E34" t="str"><v>MLOAFFST32</v></cell><cell r="F34" t="str"><v>7355</v></cell></row><row r="35"><cell r="C35" t="str"><v>FFOMBAL00400DF</v></cell><cell r="D35" t="str"><v>AD CHICKEN BALL PLAIN 400G</v></cell><cell r="E35" t="str"><v>CBALL400</v></cell><cell r="F35" t="str"><v>7301</v></cell></row><row r="36"><cell r="C36" t="str"><v>FFOMBAL00800DF</v></cell><cell r="D36" t="str"><v>AD CHICKEN BALL PLAIN 800G</v></cell><cell r="E36" t="str"><v>CBALLAD12</v></cell><cell r="F36" t="str"><v>7302</v></cell></row><row r="37"><cell r="C37" t="str"><v>FFOMBAL00850FF</v></cell><cell r="D37" t="str"><v>FST CHICKEN BALL PLAIN 850G</v></cell><cell r="E37" t="str"><v>CBALLFST12</v></cell><cell r="F37" t="str"><v>7303</v></cell></row><row r="38"><cell r="C38" t="str"><v>FPORDLITEK01DF</v></cell><cell r="D38" t="str"><v>AD BBQ D''LITE 10 PCS</v></cell><cell r="E38" t="str"><v>BBQDLITEID</v></cell><cell r="F38" t="str"><v>7401</v></cell></row><row r="39"><cell r="C39" t="str"><v>FPORDLITEP04DF</v></cell><cell r="D39" t="str"><v>AD BBQ D'LITE 400G</v></cell><cell r="E39" t="str"><v>BBQDLITE</v></cell><cell r="F39" t="str"><v>7402</v></cell></row><row r="40"><cell r="C40" t="str"><v>FPORSATAYP10DF</v></cell><cell r="D40" t="str"><v>AD PREMIUM CHICKEN SATAY</v></cell><cell r="E40" t="str"><v>CSATAYAD10</v></cell><cell r="F40" t="str"><v>7403</v></cell></row><row r="41"><cell r="C41" t="str"><v>FPORSATAYP12DF</v></cell><cell r="D41" t="str"><v>AD CHICKEN SATAY (HR)</v></cell><cell r="E41" t="str"><v>CSATAYHR12</v></cell><cell r="F41" t="str"><v>7404</v></cell></row><row r="42"><cell r="C42" t="str"><v>FPORTBSHRK01DF</v></cell><cell r="D42" t="str"><v>FULLY COOKED BSL THI & BRS(HR)</v></cell><cell r="E42" t="str"><v>BSLTBRSCUHR</v></cell><cell r="F42" t="str"><v>7405</v></cell></row><row r="43"><cell r="C43" t="str"><v>MCONSS000100DC</v></cell><cell r="D43" t="str"><v>SATE SAUCE 100G</v></cell><cell r="E43" t="str"><v>SATESAUCE</v></cell><cell r="F43" t="str"><v>7406</v></cell></row><row r="44"><cell r="C44" t="str"><v>FPORBDSCBK02DF</v></cell><cell r="D44" t="str"><v>FULLY COOKED BSL DSTK CAMPBELL</v></cell><cell r="E44" t="str"><v>BSDSCMBELL</v></cell><cell r="F44" t="str"><v>7407</v></cell></row><row r="45"><cell r="C45" t="str"><v>FPORFILCBK02DF</v></cell><cell r="D45" t="str"><v>FULLY COOKED FILLET CAMPBELL</v></cell><cell r="E45" t="str"><v>FILCMBELL</v></cell><cell r="F45" t="str"><v>7408</v></cell></row><row r="46"><cell r="C46" t="str"><v>MPORPDMT0K02CF</v></cell><cell r="D46" t="str"><v>MAR. BBQ DRUMMET DMN 2KG</v></cell><cell r="E46" t="str"><v>BBQDMTDMN</v></cell><cell r="F46" t="str"><v>7409</v></cell></row><row r="47"><cell r="C47" t="str"><v>MPORPMJW0K02CF</v></cell><cell r="D47" t="str"><v>MAR. BBQ MID JOINT WG DMN 2KG</v></cell><cell r="E47" t="str"><v>BBQMJWDMN</v></cell><cell r="F47" t="str"><v>7410</v></cell></row><row r="48"><cell r="C48" t="str"><v>GGRDMMTSKK02DF</v></cell><cell r="D48" t="str"><v>CHICKEN MINCED MEAT - SK</v></cell><cell r="E48" t="str"><v>MMEATSK</v></cell><cell r="F48" t="str"><v>7411</v></cell></row><row r="49"><cell r="C49" t="str"><v>GGRDMMTPRK01DF</v></cell><cell r="D49" t="str"><v>AD MINCED MEAT PREMIUM 1KG</v></cell><cell r="E49" t="str"><v>MMEAT10</v></cell><cell r="F49" t="str"><v>7412</v></cell></row><row r="50"><cell r="C50" t="str"><v>FFNSNUGSF2X1FF</v></cell><cell r="D50" t="str"><v>FST 99 COMBO PACK (NUG&FRK)</v></cell><cell r="E50" t="str"><v>CFSTNUGSF12</v></cell><cell r="F50" t="str"><v>7514</v></cell></row><row r="51"><cell r="C51" t="str"><v>FFNSNUGSF2X1HF</v></cell><cell r="D51" t="str"><v>DELIHOUS 99 PROMO PACK (NG&FK)</v></cell><cell r="E51" t="str"><v>CDHNUGSF12</v></cell><cell r="F51" t="str"><v>7515</v></cell></row><row r="52"><cell r="C52" t="str"><v>FFNSNUGSF2X1JF</v></cell><cell r="D52" t="str"><v>JMF 99 VALUE PACK (NUG&FRK)</v></cell><cell r="E52" t="str"><v>CJMNUGSF12</v></cell><cell r="F52" t="str"><v>7516</v></cell></row><row r="53"><cell r="C53" t="str"><v>FFOMBUR00600DF</v></cell><cell r="D53" t="str"><v>AD BURGER 600G</v></cell><cell r="E53" t="str"><v>BURGER</v></cell><cell r="F53" t="str"><v>7801</v></cell></row><row r="54"><cell r="C54" t="str"><v>FFOMBUR00800HF</v></cell><cell r="D54" t="str"><v>DELIHOUS FRIED CHICKEN BURGER</v></cell><cell r="E54" t="str"><v>BURGERDH12</v></cell><cell r="F54" t="str"><v>7803</v></cell></row><row r="55"><cell r="C55" t="str"><v>FFOMBUR00K01JF</v></cell><cell r="D55" t="str"><v>JMF FRIED CHICKEN BURGER</v></cell><cell r="E55" t="str"><v>FRDBURGERJM12</v></cell><cell r="F55" t="str"><v>7804</v></cell></row><row r="56"><cell r="C56" t="str"><v>FFOMNGCTEP12CF</v></cell><cell r="D56" t="str"><v>GC TEMPURA CHICKEN NUGGET 800G</v></cell><cell r="E56" t="str"><v>TEMPUGC800G</v></cell><cell r="F56" t="str"><v>7520</v></cell></row><row r="57"><cell r="C57" t="str"><v>FFOMNUG00105JF</v></cell><cell r="D57" t="str"><v>JMF NUGGET 1.05 KG</v></cell><cell r="E57" t="str"><v>NUGJMEX50</v></cell><cell r="F57" t="str"><v>7505</v></cell></row><row r="58"><cell r="C58" t="str"><v>FFOMNUG00400FF</v></cell><cell r="D58" t="str"><v>FST NUGGET 400G</v></cell><cell r="E58" t="str"><v>NUGFST400G</v></cell><cell r="F58" t="str"><v>7502</v></cell></row><row r="59"><cell r="C59" t="str"><v>FFOMNUG00800DF</v></cell><cell r="D59" t="str"><v>AD NUGGET 800G</v></cell><cell r="E59" t="str"><v>NUGAD800G</v></cell><cell r="F59" t="str"><v>7501</v></cell></row><row r="60"><cell r="C60" t="str"><v>FFOMNUG00800HF</v></cell><cell r="D60" t="str"><v>DELIHOUS CHICKEN NUGGET</v></cell><cell r="E60" t="str"><v>NUGDH800G</v></cell><cell r="F60" t="str"><v>7506</v></cell></row><row r="61"><cell r="C61" t="str"><v>FFOMNUG00K02FF</v></cell><cell r="D61" t="str"><v>FST NUGGET 2KG</v></cell><cell r="E61" t="str"><v>NUGFST2KG</v></cell><cell r="F61" t="str"><v>7503</v></cell></row><row r="62"><cell r="C62" t="str"><v>FFOMNUG12850FF</v></cell><cell r="D62" t="str"><v>FST NUGGET 850G</v></cell><cell r="E62" t="str"><v>NUGFST12</v></cell><cell r="F62" t="str"><v>7504</v></cell></row><row r="63"><cell r="C63" t="str"><v>FFOMBALL0850FF</v></cell><cell r="D63" t="str"><v>FST BREADED CHICKEN BALL</v></cell><cell r="E63" t="str"><v>BRDCBFST12</v></cell><cell r="F63" t="str"><v>7304</v></cell></row><row r="64"><cell r="C64" t="str"><v>FFOMNUGAJK01CF</v></cell><cell r="D64" t="str"><v>AYAM JUARA CHICKEN NUGGET 1KG</v></cell><cell r="E64" t="str"><v>NUGAJ12</v></cell><cell r="F64" t="str"><v>7507</v></cell></row><row r="65"><cell r="C65" t="str"><v>FFOMNUGBM850CF</v></cell><cell r="D65" t="str"><v>CHICKEN NUGGET BUMIMAS</v></cell><cell r="E65" t="str"><v>NUGBUMI12</v></cell><cell r="F65" t="str"><v>7508</v></cell></row><row r="66"><cell r="C66" t="str"><v>FFOMNUGCZ800DF</v></cell><cell r="D66" t="str"><v>AD CHEESY NUGGET 800G</v></cell><cell r="E66" t="str"><v>TEMPUCHEZ12</v></cell><cell r="F66" t="str"><v>7518</v></cell></row><row r="67"><cell r="C67" t="str"><v>FFOMNUGGCP12CF</v></cell><cell r="D67" t="str"><v>GC CHICKEN NUGGET 800G</v></cell><cell r="E67" t="str"><v>NUGGC800G</v></cell><cell r="F67" t="str"><v>7509</v></cell></row><row r="68"><cell r="C68" t="str"><v>FFOMNUGHL400CF</v></cell><cell r="D68" t="str"><v>CHICKEN NUGGET HL 400G</v></cell><cell r="E68" t="str"><v>NUGHL400G</v></cell><cell r="F68" t="str"><v>7510</v></cell></row><row r="69"><cell r="C69" t="str"><v>FFOMNUGLZ850CF</v></cell><cell r="D69" t="str"><v>CHICKEN NUGGET LAZAT</v></cell><cell r="E69" t="str"><v>NUGLAZAT12</v></cell><cell r="F69" t="str"><v>7511</v></cell></row><row r="70"><cell r="C70" t="str"><v>FFOMNUGST800HF</v></cell><cell r="D70" t="str"><v>DELIHOUS CHICKEN NUGGET STICK</v></cell><cell r="E70" t="str"><v>NUGDHST800G</v></cell><cell r="F70" t="str"><v>7512</v></cell></row><row r="71"><cell r="C71" t="str"><v>FFOMNUGSTK01JF</v></cell><cell r="D71" t="str"><v>JMF NUGGET STICK</v></cell><cell r="E71" t="str"><v>NUGJMST12</v></cell><cell r="F71" t="str"><v>7513</v></cell></row><row r="72"><cell r="C72" t="str"><v>FFOMNUGTE800DF</v></cell><cell r="D72" t="str"><v>AD NUGGET TEMPURA 800G</v></cell><cell r="E72" t="str"><v>TEMPU800</v></cell><cell r="F72" t="str"><v>7517</v></cell></row><row r="73"><cell r="C73" t="str"><v>FFOMNUGTE850FF</v></cell><cell r="D73" t="str"><v>FST NUGGET TEMPURA</v></cell><cell r="E73" t="str"><v>TEMPUFST12</v></cell><cell r="F73" t="str"><v>7519</v></cell></row><row r="74"><cell r="C74" t="str"><v>FFOMNUGTEK01JF</v></cell><cell r="D74" t="str"><v>JMF NUGGET TEMPURA</v></cell><cell r="E74" t="str"><v>TEMPUJM12</v></cell><cell r="F74" t="str"><v>7521</v></cell></row><row r="75"><cell r="C75" t="str"><v>FPORBUR00700FF</v></cell><cell r="D75" t="str"><v>FST CHICKEN PATTY</v></cell><cell r="E75" t="str"><v>BURGERFST20</v></cell><cell r="F75" t="str"><v>7802</v></cell></row><row r="76"><cell r="C76" t="str"><v>FPORCH0EKP10DF</v></cell><cell r="D76" t="str"><v>ORI CHIC CHOP - EK (210-250G)</v></cell><cell r="E76" t="str"><v>BRDCHOPEK</v></cell><cell r="F76" t="str"><v>7851</v></cell></row><row r="77"><cell r="C77" t="str"><v>FPORCHI00800DF</v></cell><cell r="D77" t="str"><v>AD FRIED CHICKEN 800G</v></cell><cell r="E77" t="str"><v>FRDCHIAD12</v></cell><cell r="F77" t="str"><v>7852</v></cell></row><row r="78"><cell r="C78" t="str"><v>FPORCHI00850FF</v></cell><cell r="D78" t="str"><v>FST FRIED CHICKEN</v></cell><cell r="E78" t="str"><v>FRDCHIFST12</v></cell><cell r="F78" t="str"><v>7859</v></cell></row><row r="79"><cell r="C79" t="str"><v>FPORCHI00K16DF</v></cell><cell r="D79" t="str"><v>AD FRIED CHICKEN INDUSTRIAL PK</v></cell><cell r="E79" t="str"><v>FRDCHIADID6</v></cell><cell r="F79" t="str"><v>7853</v></cell></row><row r="80"><cell r="C80" t="str"><v>FPORCHIHT800DF</v></cell><cell r="D80" t="str"><v>AD HOT TEMPTATION FRIED CHIC</v></cell><cell r="E80" t="str"><v>HTFRDCHIAD12</v></cell><cell r="F80" t="str"><v>7854</v></cell></row><row r="81"><cell r="C81" t="str"><v>FPORCHIHTK16DF</v></cell><cell r="D81" t="str"><v>AD HOT TEMPTATION FRDCHI ID PK</v></cell><cell r="E81" t="str"><v>HTFRDCHIADID6</v></cell><cell r="F81" t="str"><v>7855</v></cell></row><row r="82"><cell r="C82" t="str"><v>FPORDT000800DF</v></cell><cell r="D82" t="str"><v>AD BREADED DRUMMET 800G</v></cell><cell r="E82" t="str"><v>BRDDMETAD12</v></cell><cell r="F82" t="str"><v>7856</v></cell></row><row r="83"><cell r="C83" t="str"><v>FPORDT0HS800DF</v></cell><cell r="D83" t="str"><v>AD FIERY HOT BREADED DRUMMET</v></cell><cell r="E83" t="str"><v>FHDMETAD12</v></cell><cell r="F83" t="str"><v>7857</v></cell></row><row r="84"><cell r="C84" t="str"><v>FPORFIN00400DF</v></cell><cell r="D84" t="str"><v>AD CRISPY FINGERS 400G</v></cell><cell r="E84" t="str"><v>FINGERS400</v></cell><cell r="F84" t="str"><v>7858</v></cell></row><row r="85"><cell r="C85" t="str"><v>FPORPCORN400FF</v></cell><cell r="D85" t="str"><v>FST CHICKEN POPCORN</v></cell><cell r="E85" t="str"><v>POPCORNFST20</v></cell><cell r="F85" t="str"><v>7860</v></cell></row><row r="86"><cell r="C86" t="str"><v>FPORTL000400FF</v></cell><cell r="D86" t="str"><v>FST BREADED CHICKEN TAIL</v></cell><cell r="E86" t="str"><v>BRDTKFST20</v></cell><cell r="F86" t="str"><v>7861</v></cell></row><row r="87"><cell r="C87" t="str"><v>FPORWG0HS850FF</v></cell><cell r="D87" t="str"><v>FST HOT & SPICY CHICKEN WING</v></cell><cell r="E87" t="str"><v>HSWGFST12</v></cell><cell r="F87" t="str"><v>7862</v></cell></row><row r="88"><cell r="C88" t="str"><v>RSGECKT00800DF</v></cell><cell r="D88" t="str"><v>BATCH-AD CHICKEN COCKTAIL 800G</v></cell><cell r="E88" t="str"><v>B-CTAD800G</v></cell><cell r="F88" t="str"><v>8027</v></cell></row><row r="89"><cell r="C89" t="str"><v>RSGESFR00300DF</v></cell><cell r="D89" t="str"><v>BATCH-AD SMOKED CHICKEN FRANK</v></cell><cell r="E89" t="str"><v>B-SFAD300G</v></cell><cell r="F89" t="str"><v>8001</v></cell></row><row r="90"><cell r="C90" t="str"><v>RSGESFR00800DF</v></cell><cell r="D90" t="str"><v>BATCH-AD JUMBO FRANK (ORIGINAL)</v></cell><cell r="E90" t="str"><v>B-SFADORJ800G</v></cell><cell r="F90" t="str"><v>8005</v></cell></row><row r="91"><cell r="C91" t="str"><v>RSGESFR00P12DF</v></cell><cell r="D91" t="str"><v>BATCH-AD JUMBO FRANK (ORIGINAL) FDM</v></cell><cell r="E91" t="str"><v>B-SFADORJ12</v></cell><cell r="F91" t="str"><v>8006</v></cell></row><row r="92"><cell r="C92" t="str"><v>RSGESFRCZP12DF</v></cell><cell r="D92" t="str"><v>BATCH-AD JUMBO FRANK (CHEESE) FDM</v></cell><cell r="E92" t="str"><v>B-SFADCZJ12</v></cell><cell r="F92" t="str"><v>8002</v></cell></row><row r="93"><cell r="C93" t="str"><v>RSGESFRCZ800DF</v></cell><cell r="D93" t="str"><v>BATCH-AD JUMBO FRANK (CHEESE)</v></cell><cell r="E93" t="str"><v>B-SFADCZJ800G</v></cell><cell r="F93" t="str"><v>8003</v></cell></row><row r="94"><cell r="C94" t="str"><v>RSGESFRCZP06DF</v></cell><cell r="D94" t="str"><v>BATCH-AD CHEESE CHIC FRANK JUMBO 6PC</v></cell><cell r="E94" t="str"><v>B-SFADCZJ300G</v></cell><cell r="F94" t="str"><v>8004</v></cell></row><row r="95"><cell r="C95" t="str"><v>RSGECKT00850FF</v></cell><cell r="D95" t="str"><v>BATCH-FST CHICKEN COCKTAIL</v></cell><cell r="E95" t="str"><v>B-CTFST12</v></cell><cell r="F95" t="str"><v>8028</v></cell></row><row r="96"><cell r="C96" t="str"><v>RSGESFR00P05FF</v></cell><cell r="D96" t="str"><v>BATCH-FST SMOKED CHICKEN FRANK 150G</v></cell><cell r="E96" t="str"><v>B-SFFST150G</v></cell><cell r="F96" t="str"><v>8008</v></cell></row><row r="97"><cell r="C97" t="str"><v>RSGESFR00P11FF</v></cell><cell r="D97" t="str"><v>BATCH-FST CHICKEN FRANK 11PC</v></cell><cell r="E97" t="str"><v>B-SFFST11PC</v></cell><cell r="F97" t="str"><v>8009</v></cell></row><row r="98"><cell r="C98" t="str"><v>RSGESFR00P22FF</v></cell><cell r="D98" t="str"><v>BATCH-FST CHICKEN FRANK 22PC</v></cell><cell r="E98" t="str"><v>B-SFFST22PC</v></cell><cell r="F98" t="str"><v>8010</v></cell></row><row r="99"><cell r="C99" t="str"><v>RSGESFRCZ270FF</v></cell><cell r="D99" t="str"><v>BATCH-FST CHEESE CHICKEN FRANK 270G</v></cell><cell r="E99" t="str"><v>B-SFFSTCZ270G</v></cell><cell r="F99" t="str"><v>8011</v></cell></row><row r="100"><cell r="C100" t="str"><v>RSGESFRCZP20FF</v></cell><cell r="D100" t="str"><v>BATCH-FST CHEESE CHICKEN FRANK 20PC</v></cell><cell r="E100" t="str"><v>B-SFFSTCZ20PC</v></cell><cell r="F100" t="str"><v>8012</v></cell></row><row r="101"><cell r="C101" t="str"><v>RSGESFRHY270FF</v></cell><cell r="D101" t="str"><v>BATCH-FST HONEY CHICKEN FRANK 270G</v></cell><cell r="E101" t="str"><v>B-SFFSTHY270G</v></cell><cell r="F101" t="str"><v>8014</v></cell></row><row r="102"><cell r="C102" t="str"><v>RSGESFRHY270HF</v></cell><cell r="D102" t="str"><v>BATCH-DELIHOUS HONEY CHIC FRANK 270G</v></cell><cell r="E102" t="str"><v>B-SFDHHY270G</v></cell><cell r="F102" t="str"><v>8015</v></cell></row><row r="103"><cell r="C103" t="str"><v>RSGESFRHY300FF</v></cell><cell r="D103" t="str"><v>BATCH-FST HONEY CHICKEN FRANK 300G</v></cell><cell r="E103" t="str"><v>B-SFFSTHY300G</v></cell><cell r="F103" t="str"><v>8016</v></cell></row><row r="104"><cell r="C104" t="str"><v>RSGESFRHYP20FF</v></cell><cell r="D104" t="str"><v>BATCH-FST HONEY CHICKEN FRANK 20PC</v></cell><cell r="E104" t="str"><v>B-SFFSTHY20PC</v></cell><cell r="F104" t="str"><v>8017</v></cell></row><row r="105"><cell r="C105" t="str"><v>RSGESGCHYP32CF</v></cell><cell r="D105" t="str"><v>BATCH-GC HONEY CHICKEN FRANK 270G</v></cell><cell r="E105" t="str"><v>B-SFHYGC270G</v></cell><cell r="F105" t="str"><v>8018</v></cell></row><row r="106"><cell r="C106" t="str"><v>RSGESFRCZ300FF</v></cell><cell r="D106" t="str"><v>BATCH-FST CHEESE CHICKEN FRANK 300G</v></cell><cell r="E106" t="str"><v>B-SFFSTCZ300G</v></cell><cell r="F106" t="str"><v>8013</v></cell></row><row r="107"><cell r="C107" t="str"><v>RSGESFR00270HF</v></cell><cell r="D107" t="str"><v>BATCH-DELIHOUS CHICKEN FRANKFURTER</v></cell><cell r="E107" t="str"><v>B-SFDH270G</v></cell><cell r="F107" t="str"><v>8020</v></cell></row><row r="108"><cell r="C108" t="str"><v>RSGESFR00270JF</v></cell><cell r="D108" t="str"><v>BATCH-JMF SMOKED CHICKEN FRANK 270G</v></cell><cell r="E108" t="str"><v>B-SFJM270G</v></cell><cell r="F108" t="str"><v>8021</v></cell></row><row r="109"><cell r="C109" t="str"><v>RSGESFR00300JF</v></cell><cell r="D109" t="str"><v>BATCH-JMF SMOKED CHICKEN FRANK 300G</v></cell><cell r="E109" t="str"><v>B-SFJM300G</v></cell><cell r="F109" t="str"><v>8022</v></cell></row><row r="110"><cell r="C110" t="str"><v>RSGESFR00P30JF</v></cell><cell r="D110" t="str"><v>BATCH-JMF FRANK 30PC</v></cell><cell r="E110" t="str"><v>B-SFJM30PC</v></cell><cell r="F110" t="str"><v>8023</v></cell></row><row r="111"><cell r="C111" t="str"><v>RSGESFRGCP32CF</v></cell><cell r="D111" t="str"><v>BATCH-GC ORIGINAL CHICKEN FRANK 270G</v></cell><cell r="E111" t="str"><v>B-FRANK270G</v></cell><cell r="F111" t="str"><v>8024</v></cell></row><row r="112"><cell r="C112" t="str"><v>RSGESFRCZ300JF</v></cell><cell r="D112" t="str"><v>BATCH-JMF CHEESE CHICKEN FRANK</v></cell><cell r="E112" t="str"><v>B-SFJMCZ300G</v></cell><cell r="F112" t="str"><v>8025</v></cell></row><row r="113"><cell r="C113" t="str"><v>RSGESGCCZP32CF</v></cell><cell r="D113" t="str"><v>BATCH-GC CHEESE CHICKEN FRANK 270G</v></cell><cell r="E113" t="str"><v>B-SFCZGC270G</v></cell><cell r="F113" t="str"><v>8026</v></cell></row><row r="114"><cell r="C114" t="str"><v>RSGESFRBM300CF</v></cell><cell r="D114" t="str"><v>BATCH-SMOKED CHICKEN FRANK BUMIMAS</v></cell><cell r="E114" t="str"><v>B-SFBUMI300G</v></cell><cell r="F114" t="str"><v>8007</v></cell></row><row r="115"><cell r="C115" t="str"><v>RSGESFRHLP11CF</v></cell><cell r="D115" t="str"><v>BATCH-CHICKEN FRANKFURTER HL 11PC</v></cell><cell r="E115" t="str"><v>B-SFHL11PC</v></cell><cell r="F115" t="str"><v>8019</v></cell></row><row r="116"><cell r="C116" t="str"><v>RFOMML000500DF</v></cell><cell r="D116" t="str"><v>BATCH-AD CHICKEN MEATLOAF PLAIN</v></cell><cell r="E116" t="str"><v>B-SLOAFAD20</v></cell><cell r="F116" t="str"><v>8351</v></cell></row><row r="117"><cell r="C117" t="str"><v>RFOMML000K01DF</v></cell><cell r="D117" t="str"><v>BATCH-AD MEATLOAF PLAIN 1KG</v></cell><cell r="E117" t="str"><v>B-SLOAF</v></cell><cell r="F117" t="str"><v>8352</v></cell></row><row r="118"><cell r="C118" t="str"><v>RFOMML000P32DF</v></cell><cell r="D118" t="str"><v>BATCH-AD MEATLOAF PLAIN 200G</v></cell><cell r="E118" t="str"><v>B-MLOAF32</v></cell><cell r="F118" t="str"><v>8353</v></cell></row><row r="119"><cell r="C119" t="str"><v>RFOMML0HR500DF</v></cell><cell r="D119" t="str"><v>BATCH-AD MEATLOAF PLAIN 500G (HR)</v></cell><cell r="E119" t="str"><v>B-SLOAFHR20</v></cell><cell r="F119" t="str"><v>8354</v></cell></row><row r="120"><cell r="C120" t="str"><v>RFOMML000200FF</v></cell><cell r="D120" t="str"><v>BATCH-FST CHICKEN MEATLOAF PLAIN</v></cell><cell r="E120" t="str"><v>B-MLOAFFST32</v></cell><cell r="F120" t="str"><v>8355</v></cell></row><row r="121"><cell r="C121" t="str"><v>RFOMBAL00400DF</v></cell><cell r="D121" t="str"><v>BATCH-AD CHICKEN BALL PLAIN 400G</v></cell><cell r="E121" t="str"><v>B-CBALL400</v></cell><cell r="F121" t="str"><v>8301</v></cell></row><row r="122"><cell r="C122" t="str"><v>RFOMBAL00800DF</v></cell><cell r="D122" t="str"><v>BATCH-AD CHICKEN BALL PLAIN 800G</v></cell><cell r="E122" t="str"><v>B-CBALLAD12</v></cell><cell r="F122" t="str"><v>8302</v></cell></row><row r="123"><cell r="C123" t="str"><v>RFOMBAL00850FF</v></cell><cell r="D123" t="str"><v>BATCH-FST CHICKEN BALL PLAIN 850G</v></cell><cell r="E123" t="str"><v>B-CBALLFST12</v></cell><cell r="F123" t="str"><v>8303</v></cell></row><row r="124"><cell r="C124" t="str"><v>RPORDLITEK01DF</v></cell><cell r="D124" t="str"><v>BATCH-AD BBQ D'LITE 10 PCS</v></cell><cell r="E124" t="str"><v>B-BBQDLITEID</v></cell><cell r="F124" t="str"><v>8401</v></cell></row><row r="125"><cell r="C125" t="str"><v>RPORDLITEP04DF</v></cell><cell r="D125" t="str"><v>BATCH-AD BBQ D'LITE 400G</v></cell><cell r="E125" t="str"><v>B-BBQDLITE</v></cell><cell r="F125" t="str"><v>8402</v></cell></row><row r="126"><cell r="C126" t="str"><v>RPORSATAYP10DF</v></cell><cell r="D126" t="str"><v>BATCH-AD PREMIUM CHICKEN SATAY</v></cell><cell r="E126" t="str"><v>B-CSATAYAD10</v></cell><cell r="F126" t="str"><v>8403</v></cell></row><row r="127"><cell r="C127" t="str"><v>RPORSATAYP12DF</v></cell><cell r="D127" t="str"><v>BATCH-AD CHICKEN SATAY (HR)</v></cell><cell r="E127" t="str"><v>B-CSATAYHR12</v></cell><cell r="F127" t="str"><v>8404</v></cell></row><row r="128"><cell r="C128" t="str"><v>RPORTBSHRK01DF</v></cell><cell r="D128" t="str"><v>BATCH-FULLY COOKED BSL THI & BRS(HR)</v></cell><cell r="E128" t="str"><v>B-BSLTBRSCUHR</v></cell><cell r="F128" t="str"><v>8405</v></cell></row><row r="129"><cell r="C129" t="str"><v>RCONSS000100DC</v></cell><cell r="D129" t="str"><v>BATCH-SATE SAUCE 100G</v></cell><cell r="E129" t="str"><v>B-SATESAUCE</v></cell><cell r="F129" t="str"><v>8406</v></cell></row><row r="130"><cell r="C130" t="str"><v>RPORBDSCBK02DF</v></cell><cell r="D130" t="str"><v>BATCH-FULLY COOKED BSL DSTK CAMPBELL</v></cell><cell r="E130" t="str"><v>B-BSDSCMBELL</v></cell><cell r="F130" t="str"><v>8407</v></cell></row><row r="131"><cell r="C131" t="str"><v>RPORFILCBK02DF</v></cell><cell r="D131" t="str"><v>BATCH-FULLY COOKED FILLET CAMPBELL</v></cell><cell r="E131" t="str"><v>B-FILCMBELL</v></cell><cell r="F131" t="str"><v>8408</v></cell></row><row r="132"><cell r="C132" t="str"><v>RPORPDMT0K02CF</v></cell><cell r="D132" t="str"><v>BATCH-MAR. BBQ DRUMMET DMN 2KG</v></cell><cell r="E132" t="str"><v>B-BBQDMTDMN</v></cell><cell r="F132" t="str"><v>8409</v></cell></row><row r="133"><cell r="C133" t="str"><v>RPORPMJW0K02CF</v></cell><cell r="D133" t="str"><v>BATCH-MAR. BBQ MID JOINT WG DMN 2KG</v></cell><cell r="E133" t="str"><v>B-BBQMJWDMN</v></cell><cell r="F133" t="str"><v>8410</v></cell></row><row r="134"><cell r="C134" t="str"><v>RGRDMMTSKK02DF</v></cell><cell r="D134" t="str"><v>BATCH-CHICKEN MINCED MEAT - SK</v></cell><cell r="E134" t="str"><v>B-MMEATSK</v></cell><cell r="F134" t="str"><v>8411</v></cell></row><row r="135"><cell r="C135" t="str"><v>RGRDMMTPRK01DF</v></cell><cell r="D135" t="str"><v>BATCH-AD MINCED MEAT PREMIUM 1KG</v></cell><cell r="E135" t="str"><v>B-MMEAT10</v></cell><cell r="F135" t="str"><v>8412</v></cell></row><row r="136"><cell r="C136" t="str"><v>RFNSNUGSF2X1FF</v></cell><cell r="D136" t="str"><v>BATCH-FST 99 COMBO PACK (NUG&FRK)</v></cell><cell r="E136" t="str"><v>B-CFSTNUGSF12</v></cell><cell r="F136" t="str"><v>8514</v></cell></row><row r="137"><cell r="C137" t="str"><v>RFNSNUGSF2X1HF</v></cell><cell r="D137" t="str"><v>BATCH-DELIHOUS 99 PROMO PACK (NG&FK)</v></cell><cell r="E137" t="str"><v>B-CDHNUGSF12</v></cell><cell r="F137" t="str"><v>8515</v></cell></row><row r="138"><cell r="C138" t="str"><v>RFNSNUGSF2X1JF</v></cell><cell r="D138" t="str"><v>BATCH-JMF 99 VALUE PACK (NUG&FRK)</v></cell><cell r="E138" t="str"><v>B-CJMNUGSF12</v></cell><cell r="F138" t="str"><v>8516</v></cell></row><row r="139"><cell r="C139" t="str"><v>RFOMBUR00600DF</v></cell><cell r="D139" t="str"><v>BATCH-AD BURGER 600G</v></cell><cell r="E139" t="str"><v>B-BURGER E</v></cell><cell r="F139" t="str"><v>8801</v></cell></row><row r="140"><cell r="C140" t="str"><v>RFOMBUR00800HF</v></cell><cell r="D140" t="str"><v>BATCH-DELIHOUS FRIED CHICKEN BURGER</v></cell><cell r="E140" t="str"><v>B-BURGERDH12</v></cell><cell r="F140" t="str"><v>8803</v></cell></row><row r="141"><cell r="C141" t="str"><v>RFOMBUR00K01JF</v></cell><cell r="D141" t="str"><v>BATCH-JMF FRIED CHICKEN BURGER</v></cell><cell r="E141" t="str"><v>B-FRDBURGERJM12</v></cell><cell r="F141" t="str"><v>8804</v></cell></row><row r="142"><cell r="C142" t="str"><v>RFOMNGCTEP12CF</v></cell><cell r="D142" t="str"><v>BATCH-GC TEMPURA CHICKEN NUGGET 800G</v></cell><cell r="E142" t="str"><v>B-TEMPUGC800G</v></cell><cell r="F142" t="str"><v>8520</v></cell></row><row r="143"><cell r="C143" t="str"><v>RFOMNUG00105JF</v></cell><cell r="D143" t="str"><v>BATCH-JMF NUGGET 1.05 KG</v></cell><cell r="E143" t="str"><v>B-NUGJMEX50</v></cell><cell r="F143" t="str"><v>8505</v></cell></row><row r="144"><cell r="C144" t="str"><v>RFOMNUG00400FF</v></cell><cell r="D144" t="str"><v>BATCH-FST NUGGET 400G</v></cell><cell r="E144" t="str"><v>B-NUGFST400G</v></cell><cell r="F144" t="str"><v>8502</v></cell></row><row r="145"><cell r="C145" t="str"><v>RFOMNUG00800DF</v></cell><cell r="D145" t="str"><v>BATCH-AD NUGGET 800G</v></cell><cell r="E145" t="str"><v>B-NUGAD800</v></cell><cell r="F145" t="str"><v>8501</v></cell></row><row r="146"><cell r="C146" t="str"><v>RFOMNUG00800HF</v></cell><cell r="D146" t="str"><v>BATCH-DELIHOUS CHICKEN NUGGET</v></cell><cell r="E146" t="str"><v>B-NUGDH800G</v></cell><cell r="F146" t="str"><v>8506</v></cell></row><row r="147"><cell r="C147" t="str"><v>RFOMNUG00K02FF</v></cell><cell r="D147" t="str"><v>BATCH-FST NUGGET 2KG</v></cell><cell r="E147" t="str"><v>B-NUG FST2KG</v></cell><cell r="F147" t="str"><v>8503</v></cell></row><row r="148"><cell r="C148" t="str"><v>RFOMNUG12850FF</v></cell><cell r="D148" t="str"><v>BATCH-FST NUGGET 850G</v></cell><cell r="E148" t="str"><v>B-NUGFST12</v></cell><cell r="F148" t="str"><v>8504</v></cell></row><row r="149"><cell r="C149" t="str"><v>RFOMBALL0850FF</v></cell><cell r="D149" t="str"><v>BATCH-FST BREADED CHICKEN BALL</v></cell><cell r="E149" t="str"><v>B-BRDCBFST12</v></cell><cell r="F149" t="str"><v>8304</v></cell></row><row r="150"><cell r="C150" t="str"><v>RFOMNUGAJK01CF</v></cell><cell r="D150" t="str"><v>BATCH-AYAM JUARA CHICKEN NUGGET 1KG</v></cell><cell r="E150" t="str"><v>B-NUGAJ12</v></cell><cell r="F150" t="str"><v>8507</v></cell></row><row r="151"><cell r="C151" t="str"><v>RFOMNUGBM850CF</v></cell><cell r="D151" t="str"><v>BATCH-CHICKEN NUGGET BUMIMAS</v></cell><cell r="E151" t="str"><v>B-NUGBUMI12</v></cell><cell r="F151" t="str"><v>8508</v></cell></row><row r="152"><cell r="C152" t="str"><v>RFOMNUGCZ800DF</v></cell><cell r="D152" t="str"><v>BATCH-AD CHEESY NUGGET 800G</v></cell><cell r="E152" t="str"><v>B-TEMPUCHEZ12</v></cell><cell r="F152" t="str"><v>8518</v></cell></row><row r="153"><cell r="C153" t="str"><v>RFOMNUGGCP12CF</v></cell><cell r="D153" t="str"><v>BATCH-GC CHICKEN NUGGET 800G</v></cell><cell r="E153" t="str"><v>B-NUGGC800G</v></cell><cell r="F153" t="str"><v>8509</v></cell></row><row r="154"><cell r="C154" t="str"><v>RFOMNUGHL400CF</v></cell><cell r="D154" t="str"><v>BATCH-CHICKEN NUGGET HL 400G</v></cell><cell r="E154" t="str"><v>B-NUGHL400</v></cell><cell r="F154" t="str"><v>8510</v></cell></row><row r="155"><cell r="C155" t="str"><v>RFOMNUGLZ850CF</v></cell><cell r="D155" t="str"><v>BATCH-CHICKEN NUGGET LAZAT</v></cell><cell r="E155" t="str"><v>B-NUGLAZAT850</v></cell><cell r="F155" t="str"><v>8511</v></cell></row><row r="156"><cell r="C156" t="str"><v>RFOMNUGST800HF</v></cell><cell r="D156" t="str"><v>BATCH-DELIHOUS CHICKEN NUGGET STICK</v></cell><cell r="E156" t="str"><v>B-NUGDHST800G</v></cell><cell r="F156" t="str"><v>8512</v></cell></row><row r="157"><cell r="C157" t="str"><v>RFOMNUGSTK01JF</v></cell><cell r="D157" t="str"><v>BATCH-JMF NUGGET STICK</v></cell><cell r="E157" t="str"><v>B-NUGJMST12</v></cell><cell r="F157" t="str"><v>8513</v></cell></row><row r="158"><cell r="C158" t="str"><v>RFOMNUGTE800DF</v></cell><cell r="D158" t="str"><v>BATCH-AD NUGGET TEMPURA 800G</v></cell><cell r="E158" t="str"><v>B-TEMPU 800</v></cell><cell r="F158" t="str"><v>8517</v></cell></row><row r="159"><cell r="C159" t="str"><v>RFOMNUGTE850FF</v></cell><cell r="D159" t="str"><v>BATCH-FST NUGGET TEMPURA</v></cell><cell r="E159" t="str"><v>B-TEMPUFST12</v></cell><cell r="F159" t="str"><v>8519</v></cell></row><row r="160"><cell r="C160" t="str"><v>RFOMNUGTEK01JF</v></cell><cell r="D160" t="str"><v>BATCH-JMF NUGGET TEMPURA</v></cell><cell r="E160" t="str"><v>B-TEMPUJM12</v></cell><cell r="F160" t="str"><v>8521</v></cell></row><row r="161"><cell r="C161" t="str"><v>RPORBUR00700FF</v></cell><cell r="D161" t="str"><v>BATCH-FST CHICKEN PATTY</v></cell><cell r="E161" t="str"><v>B-BURGERFST20</v></cell><cell r="F161" t="str"><v>8802</v></cell></row><row r="162"><cell r="C162" t="str"><v>RPORCH0EKP10DF</v></cell><cell r="D162" t="str"><v>BATCH-ORI CHIC CHOP - EK (210-250G)</v></cell><cell r="E162" t="str"><v>B-BRDCHOPEK</v></cell><cell r="F162" t="str"><v>8851</v></cell></row><row r="163"><cell r="C163" t="str"><v>RPORCHI00800DF</v></cell><cell r="D163" t="str"><v>BATCH-AD FRIED CHICKEN 800G</v></cell><cell r="E163" t="str"><v>B-FRDCHIAD12</v></cell><cell r="F163" t="str"><v>8852</v></cell></row><row r="164"><cell r="C164" t="str"><v>RPORCHI00850FF</v></cell><cell r="D164" t="str"><v>BATCH-FST FRIED CHICKEN</v></cell><cell r="E164" t="str"><v>B-FRDCHIFST12</v></cell><cell r="F164" t="str"><v>8859</v></cell></row><row r="165"><cell r="C165" t="str"><v>RPORCHI00K16DF</v></cell><cell r="D165" t="str"><v>BATCH-AD FRIED CHICKEN INDUSTRIAL PK</v></cell><cell r="E165" t="str"><v>B-FRDCHIADID6</v></cell><cell r="F165" t="str"><v>8853</v></cell></row><row r="166"><cell r="C166" t="str"><v>RPORCHIHT800DF</v></cell><cell r="D166" t="str"><v>BATCH-AD HOT TEMPTATION FRIED CHIC</v></cell><cell r="E166" t="str"><v>B-HTFRDCHIAD12</v></cell><cell r="F166" t="str"><v>8854</v></cell></row><row r="167"><cell r="C167" t="str"><v>RPORCHIHTK16DF</v></cell><cell r="D167" t="str"><v>BATCH-AD HOT TEMPTATION FRDCHI ID PK</v></cell><cell r="E167" t="str"><v>B-HTFRDCHIADID6</v></cell><cell r="F167" t="str"><v>8855</v></cell></row><row r="168"><cell r="C168" t="str"><v>RPORDT000800DF</v></cell><cell r="D168" t="str"><v>BATCH-AD BREADED DRUMMET 800G</v></cell><cell r="E168" t="str"><v>B-BRDDMETAD12</v></cell><cell r="F168" t="str"><v>8856</v></cell></row><row r="169"><cell r="C169" t="str"><v>RPORDT0HS800DF</v></cell><cell r="D169" t="str"><v>BATCH-AD FIERY HOT BREADED DRUMMET</v></cell><cell r="E169" t="str"><v>B-FHDMETAD12</v></cell><cell r="F169" t="str"><v>8857</v></cell></row><row r="170"><cell r="C170" t="str"><v>RPORFIN00400DF</v></cell><cell r="D170" t="str"><v>BATCH-AD CRISPY FINGERS 400G</v></cell><cell r="E170" t="str"><v>B-FINGERS400</v></cell><cell r="F170" t="str"><v>8858</v></cell></row><row r="171"><cell r="C171" t="str"><v>RPORPCORN400FF</v></cell><cell r="D171" t="str"><v>BATCH-FST CHICKEN POPCORN</v></cell><cell r="E171" t="str"><v>B-POPCORNFST20</v></cell><cell r="F171" t="str"><v>8860</v></cell></row><row r="172"><cell r="C172" t="str"><v>RPORTL000400FF</v></cell><cell r="D172" t="str"><v>BATCH-FST BREADED CHICKEN TAIL</v></cell><cell r="E172" t="str"><v>B-BRDTKFST20</v></cell><cell r="F172" t="str"><v>8861</v></cell></row><row r="173"><cell r="C173" t="str"><v>RPORWG0HS850FF</v></cell><cell r="D173" t="str"><v>BATCH-FST HOT & SPICY CHICKEN WING</v></cell><cell r="E173" t="str"><v>B-HSWGFST12 </v></cell><cell r="F173" t="str"><v>8862</v></cell></row><row r="174"><cell r="C174" t="str"><v>USGECKT00800DF</v></cell><cell r="D174" t="str"><v>WIP-AD CHICKEN COCKTAIL 800G</v></cell><cell r="E174" t="str"><v>W-CTAD800G</v></cell><cell r="F174" t="str"><v>9027</v></cell></row><row r="175"><cell r="C175" t="str"><v>USGESFR00300DF</v></cell><cell r="D175" t="str"><v>WIP-AD SMOKED CHICKEN FRANK</v></cell><cell r="E175" t="str"><v>W-SFAD300G</v></cell><cell r="F175" t="str"><v>9001</v></cell></row><row r="176"><cell r="C176" t="str"><v>USGESFR00800DF</v></cell><cell r="D176" t="str"><v>WIP-AD JUMBO FRANK (ORIGINAL)</v></cell><cell r="E176" t="str"><v>W-SFADORJ800G</v></cell><cell r="F176" t="str"><v>9005</v></cell></row><row r="177"><cell r="C177" t="str"><v>USGESFR00P12DF</v></cell><cell r="D177" t="str"><v>WIP-AD JUMBO FRANK (ORIGINAL) FDM</v></cell><cell r="E177" t="str"><v>W-SFADORJ12</v></cell><cell r="F177" t="str"><v>9006</v></cell></row><row r="178"><cell r="C178" t="str"><v>USGESFRCZP12DF</v></cell><cell r="D178" t="str"><v>WIP-AD JUMBO FRANK (CHEESE) FDM</v></cell><cell r="E178" t="str"><v>W-SFADCZJ12</v></cell><cell r="F178" t="str"><v>9002</v></cell></row><row r="179"><cell r="C179" t="str"><v>USGESFRCZ800DF</v></cell><cell r="D179" t="str"><v>WIP-AD JUMBO FRANK (CHEESE)</v></cell><cell r="E179" t="str"><v>W-SFADCZJ800G</v></cell><cell r="F179" t="str"><v>9003</v></cell></row><row r="180"><cell r="C180" t="str"><v>USGESFRCZP06DF</v></cell><cell r="D180" t="str"><v>WIP-AD CHEESE CHIC FRANK JUMBO 6PC</v></cell><cell r="E180" t="str"><v>W-SFADCZJ300G</v></cell><cell r="F180" t="str"><v>9004</v></cell></row><row r="181"><cell r="C181" t="str"><v>USGECKT00850FF</v></cell><cell r="D181" t="str"><v>WIP-FST CHICKEN COCKTAIL</v></cell><cell r="E181" t="str"><v>W-CTFST12</v></cell><cell r="F181" t="str"><v>9028</v></cell></row><row r="182"><cell r="C182" t="str"><v>USGESFR00P05FF</v></cell><cell r="D182" t="str"><v>WIP-FST SMOKED CHICKEN FRANK 150G</v></cell><cell r="E182" t="str"><v>W-SFFST150G</v></cell><cell r="F182" t="str"><v>9008</v></cell></row><row r="183"><cell r="C183" t="str"><v>USGESFR00P11FF</v></cell><cell r="D183" t="str"><v>WIP-FST CHICKEN FRANK 11PC</v></cell><cell r="E183" t="str"><v>W-SFFST11PC</v></cell><cell r="F183" t="str"><v>9009</v></cell></row><row r="184"><cell r="C184" t="str"><v>USGESFR00P22FF</v></cell><cell r="D184" t="str"><v>WIP-FST CHICKEN FRANK 22PC</v></cell><cell r="E184" t="str"><v>W-SFFST22PC</v></cell><cell r="F184" t="str"><v>9010</v></cell></row><row r="185"><cell r="C185" t="str"><v>USGESFRCZ270FF</v></cell><cell r="D185" t="str"><v>WIP-FST CHEESE CHICKEN FRANK 270G</v></cell><cell r="E185" t="str"><v>W-SFFSTCZ270G</v></cell><cell r="F185" t="str"><v>9011</v></cell></row><row r="186"><cell r="C186" t="str"><v>USGESFRCZP20FF</v></cell><cell r="D186" t="str"><v>WIP-FST CHEESE CHICKEN FRANK 20PC</v></cell><cell r="E186" t="str"><v>W-SFFSTCZ20PC</v></cell><cell r="F186" t="str"><v>9012</v></cell></row><row r="187"><cell r="C187" t="str"><v>USGESFRHY270FF</v></cell><cell r="D187" t="str"><v>WIP-FST HONEY CHICKEN FRANK 270G</v></cell><cell r="E187" t="str"><v>W-SFFSTHY270G</v></cell><cell r="F187" t="str"><v>9014</v></cell></row><row r="188"><cell r="C188" t="str"><v>USGESFRHY270HF</v></cell><cell r="D188" t="str"><v>WIP-DELIHOUS HONEY CHIC FRANK 270G</v></cell><cell r="E188" t="str"><v>W-SFDHHY270G</v></cell><cell r="F188" t="str"><v>9015</v></cell></row><row r="189"><cell r="C189" t="str"><v>USGESFRHY300FF</v></cell><cell r="D189" t="str"><v>WIP-FST HONEY CHICKEN FRANK 300G</v></cell><cell r="E189" t="str"><v>W-SFFSTHY300G</v></cell><cell r="F189" t="str"><v>9016</v></cell></row><row r="190"><cell r="C190" t="str"><v>USGESFRHYP20FF</v></cell><cell r="D190" t="str"><v>WIP-FST HONEY CHICKEN FRANK 20PC</v></cell><cell r="E190" t="str"><v>W-SFFSTHY20PC</v></cell><cell r="F190" t="str"><v>9017</v></cell></row><row r="191"><cell r="C191" t="str"><v>USGESGCHYP32CF</v></cell><cell r="D191" t="str"><v>WIP-GC HONEY CHICKEN FRANK 270G</v></cell><cell r="E191" t="str"><v>W-SFHYGC270G</v></cell><cell r="F191" t="str"><v>9018</v></cell></row><row r="192"><cell r="C192" t="str"><v>USGESFRCZ300FF</v></cell><cell r="D192" t="str"><v>WIP-FST CHEESE CHICKEN FRANK 300G</v></cell><cell r="E192" t="str"><v>W-SFFSTCZ300G</v></cell><cell r="F192" t="str"><v>9013</v></cell></row><row r="193"><cell r="C193" t="str"><v>USGESFR00270HF</v></cell><cell r="D193" t="str"><v>WIP-DELIHOUS CHICKEN FRANKFURTER</v></cell><cell r="E193" t="str"><v>W-SFDH270G</v></cell><cell r="F193" t="str"><v>9020</v></cell></row><row r="194"><cell r="C194" t="str"><v>USGESFR00270JF</v></cell><cell r="D194" t="str"><v>WIP-JMF SMOKED CHICKEN FRANK 270G</v></cell><cell r="E194" t="str"><v>W-SFJM270G</v></cell><cell r="F194" t="str"><v>9021</v></cell></row><row r="195"><cell r="C195" t="str"><v>USGESFR00300JF</v></cell><cell r="D195" t="str"><v>WIP-JMF SMOKED CHICKEN FRANK 300G</v></cell><cell r="E195" t="str"><v>W-SFJM300G</v></cell><cell r="F195" t="str"><v>9022</v></cell></row><row r="196"><cell r="C196" t="str"><v>USGESFR00P30JF</v></cell><cell r="D196" t="str"><v>WIP-JMF FRANK 30PC</v></cell><cell r="E196" t="str"><v>W-SFJM30PC</v></cell><cell r="F196" t="str"><v>9023</v></cell></row><row r="197"><cell r="C197" t="str"><v>USGESFRGCP32CF</v></cell><cell r="D197" t="str"><v>WIP-GC ORIGINAL CHICKEN FRANK 270G</v></cell><cell r="E197" t="str"><v>W-FRANK270G</v></cell><cell r="F197" t="str"><v>9024</v></cell></row><row r="198"><cell r="C198" t="str"><v>USGESFRCZ300JF</v></cell><cell r="D198" t="str"><v>WIP-JMF CHEESE CHICKEN FRANK</v></cell><cell r="E198" t="str"><v>W-SFJMCZ300G</v></cell><cell r="F198" t="str"><v>9025</v></cell></row><row r="199"><cell r="C199" t="str"><v>USGESGCCZP32CF</v></cell><cell r="D199" t="str"><v>WIP-GC CHEESE CHICKEN FRANK 270G</v></cell><cell r="E199" t="str"><v>W-SFCZGC270G</v></cell><cell r="F199" t="str"><v>9026</v></cell></row><row r="200"><cell r="C200" t="str"><v>USGESFRBM300CF</v></cell><cell r="D200" t="str"><v>WIP-SMOKED CHICKEN FRANK BUMIMAS</v></cell><cell r="E200" t="str"><v>W-SFBUMI300G</v></cell><cell r="F200" t="str"><v>9007</v></cell></row><row r="201"><cell r="C201" t="str"><v>USGESFRHLP11CF</v></cell><cell r="D201" t="str"><v>WIP-CHICKEN FRANKFURTER HL 11PC</v></cell><cell r="E201" t="str"><v>W-SFHL11PC</v></cell><cell r="F201" t="str"><v>9019</v></cell></row><row r="202"><cell r="C202" t="str"><v>UFOMML000500DF</v></cell><cell r="D202" t="str"><v>WIP-AD CHICKEN MEATLOAF PLAIN</v></cell><cell r="E202" t="str"><v>W-SLOAFAD20</v></cell><cell r="F202" t="str"><v>9351</v></cell></row><row r="203"><cell r="C203" t="str"><v>UFOMML000K01DF</v></cell><cell r="D203" t="str"><v>WIP-AD MEATLOAF PLAIN 1KG</v></cell><cell r="E203" t="str"><v>W-SLOAF</v></cell><cell r="F203" t="str"><v>9352</v></cell></row><row r="204"><cell r="C204" t="str"><v>UFOMML000P32DF</v></cell><cell r="D204" t="str"><v>WIP-AD MEATLOAF PLAIN 200G</v></cell><cell r="E204" t="str"><v>W-MLOAF32</v></cell><cell r="F204" t="str"><v>9353</v></cell></row><row r="205"><cell r="C205" t="str"><v>UFOMML0HR500DF</v></cell><cell r="D205" t="str"><v>WIP-AD MEATLOAF PLAIN 500G (HR)</v></cell><cell r="E205" t="str"><v>W-SLOAFHR20</v></cell><cell r="F205" t="str"><v>9354</v></cell></row><row r="206"><cell r="C206" t="str"><v>UFOMML000200FF</v></cell><cell r="D206" t="str"><v>WIP-FST CHICKEN MEATLOAF PLAIN</v></cell><cell r="E206" t="str"><v>W-MLOAFFST32</v></cell><cell r="F206" t="str"><v>9355</v></cell></row><row r="207"><cell r="C207" t="str"><v>UFOMBAL00400DF</v></cell><cell r="D207" t="str"><v>WIP-AD CHICKEN BALL PLAIN 400G</v></cell><cell r="E207" t="str"><v>W-CBALL400</v></cell><cell r="F207" t="str"><v>9301</v></cell></row><row r="208"><cell r="C208" t="str"><v>UFOMBAL00800DF</v></cell><cell r="D208" t="str"><v>WIP-AD CHICKEN BALL PLAIN 800G</v></cell><cell r="E208" t="str"><v>W-CBALLAD12</v></cell><cell r="F208" t="str"><v>9302</v></cell></row><row r="209"><cell r="C209" t="str"><v>UFOMBAL00850FF</v></cell><cell r="D209" t="str"><v>WIP-FST CHICKEN BALL PLAIN 850G</v></cell><cell r="E209" t="str"><v>W-CBALLFST12</v></cell><cell r="F209" t="str"><v>9303</v></cell></row><row r="210"><cell r="C210" t="str"><v>UPORDLITEK01DF</v></cell><cell r="D210" t="str"><v>WIP-AD BBQ D'LITE 10 PCS</v></cell><cell r="E210" t="str"><v>W-BBQDLITEID</v></cell><cell r="F210" t="str"><v>9401</v></cell></row><row r="211"><cell r="C211" t="str"><v>UPORDLITEP04DF</v></cell><cell r="D211" t="str"><v>WIP-AD BBQ D'LITE 400G</v></cell><cell r="E211" t="str"><v>W-BBQDLITE</v></cell><cell r="F211" t="str"><v>9402</v></cell></row><row r="212"><cell r="C212" t="str"><v>UPORSATAYP10DF</v></cell><cell r="D212" t="str"><v>WIP-AD PREMIUM CHICKEN SATAY</v></cell><cell r="E212" t="str"><v>W-CSATAYAD10</v></cell><cell r="F212" t="str"><v>9403</v></cell></row><row r="213"><cell r="C213" t="str"><v>UPORSATAYP12DF</v></cell><cell r="D213" t="str"><v>WIP-AD CHICKEN SATAY (HR)</v></cell><cell r="E213" t="str"><v>W-CSATAYHR12</v></cell><cell r="F213" t="str"><v>9404</v></cell></row><row r="214"><cell r="C214" t="str"><v>UPORTBSHRK01DF</v></cell><cell r="D214" t="str"><v>WIP-FULLY COOKED BSL THI & BRS(HR)</v></cell><cell r="E214" t="str"><v>W-BSLTBRSCUHR</v></cell><cell r="F214" t="str"><v>9405</v></cell></row><row r="215"><cell r="C215" t="str"><v>UCONSS000100DC</v></cell><cell r="D215" t="str"><v>WIP-SATE SAUCE 100G</v></cell><cell r="E215" t="str"><v>W-SATESAUCE</v></cell><cell r="F215" t="str"><v>9406</v></cell></row><row r="216"><cell r="C216" t="str"><v>UPORBDSCBK02DF</v></cell><cell r="D216" t="str"><v>WIP-FULLY COOKED BSL DSTK CAMPBELL</v></cell><cell r="E216" t="str"><v>W-BSDSCMBELL</v></cell><cell r="F216" t="str"><v>9407</v></cell></row><row r="217"><cell r="C217" t="str"><v>UPORFILCBK02DF</v></cell><cell r="D217" t="str"><v>WIP-FULLY COOKED FILLET CAMPBELL</v></cell><cell r="E217" t="str"><v>W-FILCMBELL</v></cell><cell r="F217" t="str"><v>9408</v></cell></row><row r="218"><cell r="C218" t="str"><v>UPORPDMT0K02CF</v></cell><cell r="D218" t="str"><v>WIP-MAR. BBQ DRUMMET DMN 2KG</v></cell><cell r="E218" t="str"><v>W-BBQDMTDMN</v></cell><cell r="F218" t="str"><v>9409</v></cell></row><row r="219"><cell r="C219" t="str"><v>UPORPMJW0K02CF</v></cell><cell r="D219" t="str"><v>WIP-MAR. BBQ MID JOINT WG DMN 2KG</v></cell><cell r="E219" t="str"><v>W-BBQMJWDMN</v></cell><cell r="F219" t="str"><v>9410</v></cell></row><row r="220"><cell r="C220" t="str"><v>UGRDMMTSKK02DF</v></cell><cell r="D220" t="str"><v>WIP-CHICKEN MINCED MEAT - SK</v></cell><cell r="E220" t="str"><v>W-MMEATSK</v></cell><cell r="F220" t="str"><v>9411</v></cell></row><row r="221"><cell r="C221" t="str"><v>UGRDMMTPRK01DF</v></cell><cell r="D221" t="str"><v>WIP-AD MINCED MEAT PREMIUM 1KG</v></cell><cell r="E221" t="str"><v>W-MMEAT10</v></cell><cell r="F221" t="str"><v>9412</v></cell></row><row r="222"><cell r="C222" t="str"><v>UFNSNUGSF2X1FF</v></cell><cell r="D222" t="str"><v>WIP-FST 99 COMBO PACK (NUG&FRK)</v></cell><cell r="E222" t="str"><v>W-CFSTNUGSF12</v></cell><cell r="F222" t="str"><v>9514</v></cell></row><row r="223"><cell r="C223" t="str"><v>UFNSNUGSF2X1HF</v></cell><cell r="D223" t="str"><v>WIP-DELIHOUS 99 PROMO PACK (NG&FK)</v></cell><cell r="E223" t="str"><v>W-CDHNUGSF12</v></cell><cell r="F223" t="str"><v>9515</v></cell></row><row r="224"><cell r="C224" t="str"><v>UFNSNUGSF2X1JF</v></cell><cell r="D224" t="str"><v>WIP-JMF 99 VALUE PACK (NUG&FRK)</v></cell><cell r="E224" t="str"><v>W-CJMNUGSF12</v></cell><cell r="F224" t="str"><v>9516</v></cell></row><row r="225"><cell r="C225" t="str"><v>UFOMBUR00600DF</v></cell><cell r="D225" t="str"><v>WIP-AD BURGER 600G</v></cell><cell r="E225" t="str"><v>W-BURGER E</v></cell><cell r="F225" t="str"><v>9801</v></cell></row><row r="226"><cell r="C226" t="str"><v>UFOMBUR00800HF</v></cell><cell r="D226" t="str"><v>WIP-DELIHOUS FRIED CHICKEN BURGER</v></cell><cell r="E226" t="str"><v>W-BURGERDH12</v></cell><cell r="F226" t="str"><v>9803</v></cell></row><row r="227"><cell r="C227" t="str"><v>UFOMBUR00K01JF</v></cell><cell r="D227" t="str"><v>WIP-JMF FRIED CHICKEN BURGER</v></cell><cell r="E227" t="str"><v>W-FRDBURGERJM12</v></cell><cell r="F227" t="str"><v>9804</v></cell></row><row r="228"><cell r="C228" t="str"><v>UFOMNGCTEP12CF</v></cell><cell r="D228" t="str"><v>WIP-GC TEMPURA CHICKEN NUGGET 800G</v></cell><cell r="E228" t="str"><v>W-TEMPUGC800G</v></cell><cell r="F228" t="str"><v>9520</v></cell></row><row r="229"><cell r="C229" t="str"><v>UFOMNUG00105JF</v></cell><cell r="D229" t="str"><v>WIP-JMF NUGGET 1.05 KG</v></cell><cell r="E229" t="str"><v>W-NUGJMEX50</v></cell><cell r="F229" t="str"><v>9505</v></cell></row><row r="230"><cell r="C230" t="str"><v>UFOMNUG00400FF</v></cell><cell r="D230" t="str"><v>WIP-FST NUGGET 400G</v></cell><cell r="E230" t="str"><v>W-NUGFST400G</v></cell><cell r="F230" t="str"><v>9502</v></cell></row><row r="231"><cell r="C231" t="str"><v>UFOMNUG00800DF</v></cell><cell r="D231" t="str"><v>WIP-AD NUGGET 800G</v></cell><cell r="E231" t="str"><v>W-NUGAD800</v></cell><cell r="F231" t="str"><v>9501</v></cell></row><row r="232"><cell r="C232" t="str"><v>UFOMNUG00800HF</v></cell><cell r="D232" t="str"><v>WIP-DELIHOUS CHICKEN NUGGET</v></cell><cell r="E232" t="str"><v>W-NUGDH800G</v></cell><cell r="F232" t="str"><v>9506</v></cell></row><row r="233"><cell r="C233" t="str"><v>UFOMNUG00K02FF</v></cell><cell r="D233" t="str"><v>WIP-FST NUGGET 2KG</v></cell><cell r="E233" t="str"><v>W-NUG FST2KG</v></cell><cell r="F233" t="str"><v>9503</v></cell></row><row r="234"><cell r="C234" t="str"><v>UFOMNUG12850FF</v></cell><cell r="D234" t="str"><v>WIP-FST NUGGET 850G</v></cell><cell r="E234" t="str"><v>W-NUGFST12</v></cell><cell r="F234" t="str"><v>9504</v></cell></row><row r="235"><cell r="C235" t="str"><v>UFOMBALL0850FF</v></cell><cell r="D235" t="str"><v>WIP-FST BREADED CHICKEN BALL</v></cell><cell r="E235" t="str"><v>W-BRDCBFST12</v></cell><cell r="F235" t="str"><v>9304</v></cell></row><row r="236"><cell r="C236" t="str"><v>UFOMNUGAJK01CF</v></cell><cell r="D236" t="str"><v>WIP-AYAM JUARA CHICKEN NUGGET 1KG</v></cell><cell r="E236" t="str"><v>W-NUGAJ12</v></cell><cell r="F236" t="str"><v>9507</v></cell></row><row r="237"><cell r="C237" t="str"><v>UFOMNUGBM850CF</v></cell><cell r="D237" t="str"><v>WIP-CHICKEN NUGGET BUMIMAS</v></cell><cell r="E237" t="str"><v>W-NUGBUMI12</v></cell><cell r="F237" t="str"><v>9508</v></cell></row><row r="238"><cell r="C238" t="str"><v>UFOMNUGCZ800DF</v></cell><cell r="D238" t="str"><v>WIP-AD CHEESY NUGGET 800G</v></cell><cell r="E238" t="str"><v>W-TEMPUCHEZ12</v></cell><cell r="F238" t="str"><v>9518</v></cell></row><row r="239"><cell r="C239" t="str"><v>UFOMNUGGCP12CF</v></cell><cell r="D239" t="str"><v>WIP-GC CHICKEN NUGGET 800G</v></cell><cell r="E239" t="str"><v>W-NUGGC800G</v></cell><cell r="F239" t="str"><v>9509</v></cell></row><row r="240"><cell r="C240" t="str"><v>UFOMNUGHL400CF</v></cell><cell r="D240" t="str"><v>WIP-CHICKEN NUGGET HL 400G</v></cell><cell r="E240" t="str"><v>W-NUGHL400</v></cell><cell r="F240" t="str"><v>9510</v></cell></row><row r="241"><cell r="C241" t="str"><v>UFOMNUGLZ850CF</v></cell><cell r="D241" t="str"><v>WIP-CHICKEN NUGGET LAZAT</v></cell><cell r="E241" t="str"><v>W-NUGLAZAT850</v></cell><cell r="F241" t="str"><v>9511</v></cell></row><row r="242"><cell r="C242" t="str"><v>UFOMNUGST800HF</v></cell><cell r="D242" t="str"><v>WIP-DELIHOUS CHICKEN NUGGET STICK</v></cell><cell r="E242" t="str"><v>W-NUGDHST800G</v></cell><cell r="F242" t="str"><v>9512</v></cell></row><row r="243"><cell r="C243" t="str"><v>UFOMNUGSTK01JF</v></cell><cell r="D243" t="str"><v>WIP-JMF NUGGET STICK</v></cell><cell r="E243" t="str"><v>W-NUGJMST12</v></cell><cell r="F243" t="str"><v>9513</v></cell></row><row r="244"><cell r="C244" t="str"><v>UFOMNUGTE800DF</v></cell><cell r="D244" t="str"><v>WIP-AD NUGGET TEMPURA 800G</v></cell><cell r="E244" t="str"><v>W-TEMPU 800</v></cell><cell r="F244" t="str"><v>9517</v></cell></row><row r="245"><cell r="C245" t="str"><v>UFOMNUGTE850FF</v></cell><cell r="D245" t="str"><v>WIP-FST NUGGET TEMPURA</v></cell><cell r="E245" t="str"><v>W-TEMPUFST12</v></cell><cell r="F245" t="str"><v>9519</v></cell></row><row r="246"><cell r="C246" t="str"><v>UFOMNUGTEK01JF</v></cell><cell r="D246" t="str"><v>WIP-JMF NUGGET TEMPURA</v></cell><cell r="E246" t="str"><v>W-TEMPUJM12</v></cell><cell r="F246" t="str"><v>9521</v></cell></row><row r="247"><cell r="C247" t="str"><v>UPORBUR00700FF</v></cell><cell r="D247" t="str"><v>WIP-FST CHICKEN PATTY</v></cell><cell r="E247" t="str"><v>W-BURGERFST20</v></cell><cell r="F247" t="str"><v>9802</v></cell></row><row r="248"><cell r="C248" t="str"><v>UPORCH0EKP10DF</v></cell><cell r="D248" t="str"><v>WIP-ORI CHIC CHOP - EK (210-250G)</v></cell><cell r="E248" t="str"><v>W-BRDCHOPEK</v></cell><cell r="F248" t="str"><v>9851</v></cell></row><row r="249"><cell r="C249" t="str"><v>UPORCHI00800DF</v></cell><cell r="D249" t="str"><v>WIP-AD FRIED CHICKEN 800G</v></cell><cell r="E249" t="str"><v>W-FRDCHIAD12</v></cell><cell r="F249" t="str"><v>9852</v></cell></row><row r="250"><cell r="C250" t="str"><v>UPORCHI00850FF</v></cell><cell r="D250" t="str"><v>WIP-FST FRIED CHICKEN</v></cell><cell r="E250" t="str"><v>W-FRDCHIFST12</v></cell><cell r="F250" t="str"><v>9859</v></cell></row><row r="251"><cell r="C251" t="str"><v>UPORCHI00K16DF</v></cell><cell r="D251" t="str"><v>WIP-AD FRIED CHICKEN INDUSTRIAL PK</v></cell><cell r="E251" t="str"><v>W-FRDCHIADID6</v></cell><cell r="F251" t="str"><v>9853</v></cell></row><row r="252"><cell r="C252" t="str"><v>UPORCHIHT800DF</v></cell><cell r="D252" t="str"><v>WIP-AD HOT TEMPTATION FRIED CHIC</v></cell><cell r="E252" t="str"><v>W-HTFRDCHIAD12</v></cell><cell r="F252" t="str"><v>9854</v></cell></row><row r="253"><cell r="C253" t="str"><v>UPORCHIHTK16DF</v></cell><cell r="D253" t="str"><v>WIP-AD HOT TEMPTATION FRDCHI ID PK</v></cell><cell r="E253" t="str"><v>W-HTFRDCHIADID6</v></cell><cell r="F253" t="str"><v>9855</v></cell></row><row r="254"><cell r="C254" t="str"><v>UPORDT000800DF</v></cell><cell r="D254" t="str"><v>WIP-AD BREADED DRUMMET 800G</v></cell><cell r="E254" t="str"><v>W-BRDDMETAD12</v></cell><cell r="F254" t="str"><v>9856</v></cell></row><row r="255"><cell r="C255" t="str"><v>UPORDT0HS800DF</v></cell><cell r="D255" t="str"><v>WIP-AD FIERY HOT BREADED DRUMMET</v></cell><cell r="E255" t="str"><v>W-FHDMETAD12</v></cell><cell r="F255" t="str"><v>9857</v></cell></row><row r="256"><cell r="C256" t="str"><v>UPORFIN00400DF</v></cell><cell r="D256" t="str"><v>WIP-AD CRISPY FINGERS 400G</v></cell><cell r="E256" t="str"><v>W-FINGERS400</v></cell><cell r="F256" t="str"><v>9858</v></cell></row><row r="257"><cell r="C257" t="str"><v>UPORPCORN400FF</v></cell><cell r="D257" t="str"><v>WIP-FST CHICKEN POPCORN</v></cell><cell r="E257" t="str"><v>W-POPCORNFST20</v></cell><cell r="F257" t="str"><v>9860</v></cell></row><row r="258"><cell r="C258" t="str"><v>UPORTL000400FF</v></cell><cell r="D258" t="str"><v>WIP-FST BREADED CHICKEN TAIL</v></cell><cell r="E258" t="str"><v>W-BRDTKFST20</v></cell><cell r="F258" t="str"><v>9861</v></cell></row><row r="259"><cell r="C259" t="str"><v>UPORWG0HS850FF</v></cell><cell r="D259" t="str"><v>WIP-FST HOT & SPICY CHICKEN WING</v></cell><cell r="E259" t="str"><v>W-HSWGFST12 </v></cell><cell r="F259" t="str"><v>9862</v></cell></row><row r="260"><cell r="C260" t="str"><v>FGRDSGM00K05DF</v></cell><cell r="D260" t="str"><v>SPENT GROUND MEAT FROZEN</v></cell><cell r="E260" t="str"><v>MDMCULLF</v></cell><cell r="F260" t="str"><v>7950</v></cell></row><row r="261"><cell r="C261" t="str"><v>FGRDMGWPPK05DF</v></cell><cell r="D261" t="str"><v>GROUND WHITE PORTION PART FROZEN</v></cell><cell r="E261" t="str"><v>GWPPF</v></cell><cell r="F261" t="str"><v>7951</v></cell></row><row r="262"><cell r="C262" t="str"><v>FGRDMGM00K05DF</v></cell><cell r="D262" t="str"><v>GROUND MEAT FROZEN</v></cell><cell r="E262" t="str"><v>GRDMEATF</v></cell><cell r="F262" t="str"><v>7952</v></cell></row><row r="263"><cell r="C263" t="str"><v>FGRDMDM00K05DF</v></cell><cell r="D263" t="str"><v>MECHANICAL DEBONED MEAT 5KG FROZEN</v></cell><cell r="E263" t="str"><v>MDMF</v></cell><cell r="F263" t="str"><v>7953</v></cell></row><row r="264"><cell r="C264" t="str"><v>FGRDCTG00K05DF</v></cell><cell r="D264" t="str"><v>GROUND CARTILAGE FROZEN</v></cell><cell r="E264" t="str"><v>GRDCARTF</v></cell><cell r="F264" t="str"><v>7954</v></cell></row><row r="265"><cell r="C265" t="str"><v>FGRDGBT00K05DC</v></cell><cell r="D265" t="str"><v>GROUND BREAST TRIMMING CHILL</v></cell><cell r="E265" t="str"><v>BRSTRIM05C</v></cell><cell r="F265" t="str"><v>7955</v></cell></row><row r="266"><cell r="C266" t="str"><v>FGRDBRS00K05DC</v></cell><cell r="D266" t="str"><v>GROUND S'LESS B'LESS BREAST CHILL</v></cell><cell r="E266" t="str"><v>BSLBRSA05C</v></cell><cell r="F266" t="str"><v>7956</v></cell></row><row r="267"><cell r="C267" t="str"><v>FGRDLEG00K05DC</v></cell><cell r="D267" t="str"><v>GROUND S'LESS B'LESS LEG CHILL</v></cell><cell r="E267" t="str"><v>BSLLEGA05C</v></cell><cell r="F267" t="str"><v>7957</v></cell></row><row r="268"><cell r="C268" t="str"><v>FGRDGLT00K05DC</v></cell><cell r="D268" t="str"><v>GROUND LEG TRIMMINGS CHILL</v></cell><cell r="E268" t="str"><v>LEGTRIM05C</v></cell><cell r="F268" t="str"><v>7958</v></cell></row><row r="269"><cell r="C269" t="str"><v>FGRDSKN00K05DC</v></cell><cell r="D269" t="str"><v>GROUND CHICKEN SKIN CHILL</v></cell><cell r="E269" t="str"><v>SKIN05C</v></cell><cell r="F269" t="str"><v>7959</v></cell></row><row r="270"><cell r="C270" t="str"><v>FGRDTHI00K05DC</v></cell><cell r="D270" t="str"><v>GROUND S'LESS B'LESS THIGH CHILL</v></cell><cell r="E270" t="str"><v>BSLTHIA05C</v></cell><cell r="F270" t="str"><v>7960</v></cell></row><row r="271"><cell r="C271" t="str"><v>FGRDFAT00K05DC</v></cell><cell r="D271" t="str"><v>GROUND CHICKEN FATS CHILL</v></cell><cell r="E271" t="str"><v>FAT05C</v></cell><cell r="F271" t="str"><v>7961</v></cell></row><row r="272"><cell r="C272" t="str"><v>FGRDSKTF0005DC</v></cell><cell r="D272" t="str"><v>GROUND CHICKEN THIGH SKIN CHILL</v></cell><cell r="E272" t="str"><v>SKINT05C</v></cell><cell r="F272" t="str"><v>7962</v></cell></row><row r="273"><cell r="C273" t="str"><v>FGRDSGM00K05DC</v></cell><cell r="D273" t="str"><v>SPENT GROUND MEAT CHILL</v></cell><cell r="E273" t="str"><v>MDMCULLC</v></cell><cell r="F273" t="str"><v>7963</v></cell></row><row r="274"><cell r="C274" t="str"><v>FGRDMGWPPK05DC</v></cell><cell r="D274" t="str"><v>GROUND WHITE PORTION PART CHILL</v></cell><cell r="E274" t="str"><v>GWPPC</v></cell><cell r="F274" t="str"><v>7964</v></cell></row><row r="275"><cell r="C275" t="str"><v>FGRDMGM00K05DC</v></cell><cell r="D275" t="str"><v>GROUND MEAT CHILL</v></cell><cell r="E275" t="str"><v>GRDMEATC</v></cell><cell r="F275" t="str"><v>7965</v></cell></row><row r="276"><cell r="C276" t="str"><v>FGRDMDM00K05DC</v></cell><cell r="D276" t="str"><v>MECHANICAL DEBONED MEAT 5KG CHILL</v></cell><cell r="E276" t="str"><v>MDMC</v></cell><cell r="F276" t="str"><v>7966</v></cell></row><row r="277"><cell r="C277" t="str"><v>FGRDCTG00K05DC</v></cell><cell r="D277" t="str"><v>GROUND CARTILAGE CHILL</v></cell><cell r="E277" t="str"><v>GRDCARTC</v></cell><cell r="F277" t="str"><v>7967</v></cell></row><row r="278"><cell r="C278" t="str"><v>MCONBS000K02DC</v></cell><cell r="D278" t="str"><v>BASTING SAUCE 2KG</v></cell><cell r="E278" t="str"><v>BSAUCE</v></cell><cell r="F278" t="str"><v>3000</v></cell></row><row r="279"><cell r="C279" t="str"><v>MPOR3JWHSK01DC</v></cell><cell r="D279" t="str"><v>3JW  MAR. HOT & SPICY</v></cell><cell r="E279" t="str"><v>R3JWHS</v></cell><cell r="F279" t="str"><v>3001</v></cell></row><row r="280"><cell r="C280" t="str"><v>MPOR3JWHYK01DC</v></cell><cell r="D280" t="str"><v>3JWI MAR. HONEY</v></cell><cell r="E280" t="str"><v>R3JWHY</v></cell><cell r="F280" t="str"><v>3002</v></cell></row><row r="281"><cell r="C281" t="str"><v>MPOR3JWPKK01DC</v></cell><cell r="D281" t="str"><v>3JW MAR. PERCIK</v></cell><cell r="E281" t="str"><v>R3JWMH</v></cell><cell r="F281" t="str"><v>3003</v></cell></row><row r="282"><cell r="C282" t="str"><v>MPORBBSAWP10DF</v></cell><cell r="D282" t="str"><v>MAR. S'LESS B'LESS BREAST 10PC</v></cell><cell r="E282" t="str"><v>FMBAW</v></cell><cell r="F282" t="str"><v>3004</v></cell></row><row r="283"><cell r="C283" t="str"><v>MPORBBSNDP05DC</v></cell><cell r="D283" t="str"><v>MAR BREAST NANDO'S 5PC</v></cell><cell r="E283" t="str"><v>CMB05ND</v></cell><cell r="F283" t="str"><v>3005</v></cell></row><row r="284"><cell r="C284" t="str"><v>MPORBFTEXK02DF</v></cell><cell r="D284" t="str"><v>MAR SBB FILLET (TEXAS)</v></cell><cell r="E284" t="str"><v>SBBFILTEXF</v></cell><cell r="F284" t="str"><v>3006</v></cell></row><row r="285"><cell r="C285" t="str"><v>MPORBLBNDP04DC</v></cell><cell r="D285" t="str"><v>MAR. BL BREAST BFLY ND 4PC</v></cell><cell r="E285" t="str"><v>CMBLBRSND</v></cell><cell r="F285" t="str"><v>3007</v></cell></row><row r="286"><cell r="C286" t="str"><v>MPORBSTEKP12DF</v></cell><cell r="D286" t="str"><v>MAR CHICKEN THIGH-EK (90-105G)</v></cell><cell r="E286" t="str"><v>FMBSTEK10</v></cell><cell r="F286" t="str"><v>3008</v></cell></row><row r="287"><cell r="C287" t="str"><v>MPORBSTNDP10DC</v></cell><cell r="D287" t="str"><v>MAR BSL THIGH 5070 ND-10P</v></cell><cell r="E287" t="str"><v>BSLTHINDP10C</v></cell><cell r="F287" t="str"><v>3009</v></cell></row><row r="288"><cell r="C288" t="str"><v>MPORBTSTXK02DF</v></cell><cell r="D288" t="str"><v>MAR. ORI BSL THIGH (TEXAS)</v></cell><cell r="E288" t="str"><v>BSLTHITEXF</v></cell><cell r="F288" t="str"><v>3010</v></cell></row><row r="289"><cell r="C289" t="str"><v>MPORBTSWDP20DF</v></cell><cell r="D289" t="str"><v>MAR BSL THIGH 7090 WENDY'S FRZ</v></cell><cell r="E289" t="str"><v>BSLTHIWD7090F</v></cell><cell r="F289" t="str"><v>3011</v></cell></row><row r="290"><cell r="C290" t="str"><v>MPORC8TEXP16DC</v></cell><cell r="D290" t="str"><v>CHILL MAR. ORI CHICKEN (TEXAS)</v></cell><cell r="E290" t="str"><v>CMCTEX8</v></cell><cell r="F290" t="str"><v>3012</v></cell></row><row r="291"><cell r="C291" t="str"><v>MPORC9AW0P09DF</v></cell><cell r="D291" t="str"><v>MAR. 9PC CUT A&W-OR 9PC</v></cell><cell r="E291" t="str"><v>FMCAW</v></cell><cell r="F291" t="str"><v>3013</v></cell></row><row r="292"><cell r="C292" t="str"><v>MPORC9AWSP09DF</v></cell><cell r="D292" t="str"><v>MAR. 9PC CUT A&W-SAC 9PC</v></cell><cell r="E292" t="str"><v>FMCAWHS</v></cell><cell r="F292" t="str"><v>3014</v></cell></row><row r="293"><cell r="C293" t="str"><v>MPORC9MD0P09DF</v></cell><cell r="D293" t="str"><v>MAR. 9PC CUT MCD-OR 9PC</v></cell><cell r="E293" t="str"><v>FMCD9</v></cell><cell r="F293" t="str"><v>3015</v></cell></row><row r="294"><cell r="C294" t="str"><v>MPORC9MD0P18DC</v></cell><cell r="D294" t="str"><v>MAR. 9PC CUT MCD-OR 18PC</v></cell><cell r="E294" t="str"><v>CMCD9</v></cell><cell r="F294" t="str"><v>3016</v></cell></row><row r="295"><cell r="C295" t="str"><v>MPORC9MDSP09DF</v></cell><cell r="D295" t="str"><v>MAR. 9PC CUT MCD-HS 9PC</v></cell><cell r="E295" t="str"><v>FMCDS9</v></cell><cell r="F295" t="str"><v>3017</v></cell></row><row r="296"><cell r="C296" t="str"><v>MPORC9MDSP18DC</v></cell><cell r="D296" t="str"><v>MAR. 9PC CUT MCD-HS 18PC</v></cell><cell r="E296" t="str"><v>CMCDS9</v></cell><cell r="F296" t="str"><v>3018</v></cell></row><row r="297"><cell r="C297" t="str"><v>MPORC9WD0P18DC</v></cell><cell r="D297" t="str"><v>CHILL MAR ORI CHICKEN WENDY'S</v></cell><cell r="E297" t="str"><v>CMCWD9</v></cell><cell r="F297" t="str"><v>3019</v></cell></row><row r="298"><cell r="C298" t="str"><v>MPORCH0BPP02DF</v></cell><cell r="D298" t="str"><v>MAR CHICKEN CHOP (B.PEPPER)</v></cell><cell r="E298" t="str"><v>BPCHOPP02F</v></cell><cell r="F298" t="str"><v>3020</v></cell></row><row r="299"><cell r="C299" t="str"><v>MPORCHBBQP02DF</v></cell><cell r="D299" t="str"><v>MAR CHICKEN CHOP (HONEY BBQ)</v></cell><cell r="E299" t="str"><v>BBQCHOPP02F</v></cell><cell r="F299" t="str"><v>3021</v></cell></row><row r="300"><cell r="C300" t="str"><v>MPORCHKROP10DF</v></cell><cell r="D300" t="str"><v>MAR ORIGINAL CHOP KRR</v></cell><cell r="E300" t="str"><v>KRRORICHOPP10</v></cell><cell r="F300" t="str"><v>3022</v></cell></row><row r="301"><cell r="C301" t="str"><v>MPORCHORIP10DF</v></cell><cell r="D301" t="str"><v>MAR. CHICKEN CHOP (ORIGINAL)</v></cell><cell r="E301" t="str"><v>ORICHOPP10F</v></cell><cell r="F301" t="str"><v>3023</v></cell></row><row r="302"><cell r="C302" t="str"><v>MPORFILNDP20DC</v></cell><cell r="D302" t="str"><v>MAR FILLET NANDO'S-20PC</v></cell><cell r="E302" t="str"><v>FILNANDOC</v></cell><cell r="F302" t="str"><v>3024</v></cell></row><row r="303"><cell r="C303" t="str"><v>MPORFLTEXK02DF</v></cell><cell r="D303" t="str"><v>MAR. FILLET (TEXAS)</v></cell><cell r="E303" t="str"><v>FILTEXF</v></cell><cell r="F303" t="str"><v>3025</v></cell></row><row r="304"><cell r="C304" t="str"><v>MPORPWLNDP09DC</v></cell><cell r="D304" t="str"><v>MAR WING NANDO'S 9PC</v></cell><cell r="E304" t="str"><v>CMWND09</v></cell><cell r="F304" t="str"><v>3026</v></cell></row><row r="305"><cell r="C305" t="str"><v>MPORQLEKKP10DC</v></cell><cell r="D305" t="str"><v>MAR QLEG KUNYIT-EK (250-270G)</v></cell><cell r="E305" t="str"><v>QLEGEKP10</v></cell><cell r="F305" t="str"><v>3027</v></cell></row><row r="306"><cell r="C306" t="str"><v>MPORQLSBPP10DF</v></cell><cell r="D306" t="str"><v>MAR B/PEPPER S'LESS QLEG KRR</v></cell><cell r="E306" t="str"><v>KRRSQLEGBPP10</v></cell><cell r="F306" t="str"><v>3028</v></cell></row><row r="307"><cell r="C307" t="str"><v>MPORQLSORP10DF</v></cell><cell r="D307" t="str"><v>MAR ORIGINAL S'LESS QLEG KRR</v></cell><cell r="E307" t="str"><v>KRRSQLEGORP10</v></cell><cell r="F307" t="str"><v>3029</v></cell></row><row r="308"><cell r="C308" t="str"><v>MPORQTLBPP10DC</v></cell><cell r="D308" t="str"><v>BLACK PEPPER ROAST QUARTER LEG</v></cell><cell r="E308" t="str"><v>BPRQLEG</v></cell><cell r="F308" t="str"><v>3030</v></cell></row><row r="309"><cell r="C309" t="str"><v>MPORQTLHSP10DC</v></cell><cell r="D309" t="str"><v>HOT & SPICY ROAST QUARTER LEG</v></cell><cell r="E309" t="str"><v>HSRQLEG</v></cell><cell r="F309" t="str"><v>3031</v></cell></row><row r="310"><cell r="C310" t="str"><v>MPORQTLHYP10DC</v></cell><cell r="D310" t="str"><v>HONEY ROAST QUARTER LEG</v></cell><cell r="E310" t="str"><v>HYRQLEG</v></cell><cell r="F310" t="str"><v>3032</v></cell></row><row r="311"><cell r="C311" t="str"><v>MPORTHDNYP20DF</v></cell><cell r="D311" t="str"><v>MAR THIGH NYONYA (130-160)</v></cell><cell r="E311" t="str"><v>ORITHINYAF</v></cell><cell r="F311" t="str"><v>3033</v></cell></row><row r="312"><cell r="C312" t="str"><v>MPORTHEKKP12DC</v></cell><cell r="D312" t="str"><v>MAR THI TURMERIC-EK(140-160G)</v></cell><cell r="E312" t="str"><v>THIEKP12</v></cell><cell r="F312" t="str"><v>3034</v></cell></row><row r="313"><cell r="C313" t="str"><v>MPORWBPM1P01DF</v></cell><cell r="D313" t="str"><v>ROAST CHICKEN BLACKPEPPER (WB)</v></cell><cell r="E313" t="str"><v>RCBPWCM01F</v></cell><cell r="F313" t="str"><v>3035</v></cell></row><row r="314"><cell r="C314" t="str"><v>MPORWBPM1P02DC</v></cell><cell r="D314" t="str"><v>ROAST WHOLE CHIC B.PEPPER M1</v></cell><cell r="E314" t="str"><v>RCBPWCM1</v></cell><cell r="F314" t="str"><v>3036</v></cell></row><row r="315"><cell r="C315" t="str"><v>MPORWHSM1P01DF</v></cell><cell r="D315" t="str"><v>ROAST CHICKEN HOT & SPICY (WB)</v></cell><cell r="E315" t="str"><v>RCHSWCM01F</v></cell><cell r="F315" t="str"><v>3037</v></cell></row><row r="316"><cell r="C316" t="str"><v>MPORWHSM1P02DC</v></cell><cell r="D316" t="str"><v>ROAST WHOLE CHIC HOT&SPICY M1</v></cell><cell r="E316" t="str"><v>RCHSWCM1</v></cell><cell r="F316" t="str"><v>3038</v></cell></row><row r="317"><cell r="C317" t="str"><v>MPORWHYM1P01DF</v></cell><cell r="D317" t="str"><v>ROAST CHICKEN HONEY (WB)</v></cell><cell r="E317" t="str"><v>RCHYWCM01F</v></cell><cell r="F317" t="str"><v>3039</v></cell></row><row r="318"><cell r="C318" t="str"><v>MPORWHYM1P02DC</v></cell><cell r="D318" t="str"><v>ROAST WHOLE CHICKEN HONEY M1</v></cell><cell r="E318" t="str"><v>RCHYWCM1</v></cell><cell r="F318" t="str"><v>3040</v></cell></row><row r="319"><cell r="C319" t="str"><v>MPORWKR00P02DF</v></cell><cell r="D319" t="str"><v>MAR WHOLE BIRD KRR-OR 10BDS</v></cell><cell r="E319" t="str"><v>KRROR</v></cell><cell r="F319" t="str"><v>3041</v></cell></row><row r="320"><cell r="C320" t="str"><v>MPORWKRBPP02DF</v></cell><cell r="D320" t="str"><v>MAR WHOLE BIRD KRR-BP 10BDS</v></cell><cell r="E320" t="str"><v>KRRBP</v></cell><cell r="F320" t="str"><v>3042</v></cell></row><row r="321"><cell r="C321" t="str"><v>MPORWM1BPP02DC</v></cell><cell r="D321" t="str"><v>BLACK PEPPER ROAST CHICKEN 1.1</v></cell><cell r="E321" t="str"><v>BPRC1.1</v></cell><cell r="F321" t="str"><v>3043</v></cell></row><row r="322"><cell r="C322" t="str"><v>MPORWM1HSP02DC</v></cell><cell r="D322" t="str"><v>ROAST CHICKEN HOT & SPICY 2BDS</v></cell><cell r="E322" t="str"><v>RCHS</v></cell><cell r="F322" t="str"><v>3044</v></cell></row><row r="323"><cell r="C323" t="str"><v>MPORWM1HYP02DC</v></cell><cell r="D323" t="str"><v>ROAST CHICKEN HONEY 2BDS</v></cell><cell r="E323" t="str"><v>RCHY</v></cell><cell r="F323" t="str"><v>3045</v></cell></row><row r="324"><cell r="C324" t="str"><v>MPORWM1PKP02DC</v></cell><cell r="D324" t="str"><v>ROAST CHICKEN PERCIK 2BDS</v></cell><cell r="E324" t="str"><v>RCPK</v></cell><cell r="F324" t="str"><v>3046</v></cell></row><row r="325"><cell r="C325" t="str"><v>MPORWMHM1P01DF</v></cell><cell r="D325" t="str"><v>ROAST CHICKEN MAHSURI (WB)</v></cell><cell r="E325" t="str"><v>RCMHWCM01F</v></cell><cell r="F325" t="str"><v>3047</v></cell></row><row r="326"><cell r="C326" t="str"><v>MPORWMHM1P02DC</v></cell><cell r="D326" t="str"><v>ROAST WHOLE CHIC MAHSURI M1</v></cell><cell r="E326" t="str"><v>RCMHWCM1</v></cell><cell r="F326" t="str"><v>3048</v></cell></row><row r="327"><cell r="C327" t="str"><v>MCONCS000K02DC</v></cell><cell r="D327" t="str"><v>CHILLI SAUCE 2KG</v></cell><cell r="E327" t="str"><v>CSAUCE</v></cell><cell r="F327" t="str"><v>3049</v></cell></row><row r="328"><cell r="C328" t="str"><v>MPORWNDORP02DC</v></cell><cell r="D328" t="str"><v>MAR WHOLE BIRD NANDOS-OR 2BDS</v></cell><cell r="E328" t="str"><v>CMCNDP02</v></cell><cell r="F328" t="str"><v>3050</v></cell></row><row r="329"><cell r="D329" t="str"><v>MAR WBIRD NANDOS-OR (FRZ THW)</v></cell><cell r="E329" t="str"><v>FMCNDP01</v></cell><cell r="F329" t="str"><v>3051</v></cell></row><row r="330"><cell r="C330" t="str"><v>UCOHSMAR0Z00DC</v></cell><cell r="D330" t="str"><v>HOT & SPICY MARINADE</v></cell><cell r="E330" t="str"><v>HOT&SPICYMAR</v></cell><cell r="F330" t="str"><v>3052</v></cell></row><row r="331"><cell r="C331" t="str"><v>UCOHYMAR0Z00DC</v></cell><cell r="D331" t="str"><v>HONEY MARINADE</v></cell><cell r="E331" t="str"><v>HONEYMAR</v></cell><cell r="F331" t="str"><v>3053</v></cell></row><row r="332"><cell r="C332" t="str"><v>UCOMHMAR0Z00DC</v></cell><cell r="D332" t="str"><v>MAHSURI MARINADE</v></cell><cell r="E332" t="str"><v>MAHSURIMAR</v></cell><cell r="F332" t="str"><v>3054</v></cell></row><row r="333"><cell r="C333" t="str"><v>RCONBS000K02DC</v></cell><cell r="D333" t="str"><v>BATCH-BASTING SAUCE 2KG</v></cell><cell r="E333" t="str"><v>B-BSAUCE</v></cell><cell r="F333" t="str"><v>3500</v></cell></row><row r="334"><cell r="C334" t="str"><v>RPOR3JWHSK01DC</v></cell><cell r="D334" t="str"><v>BATCH-3JW  MAR. HOT & SPICY</v></cell><cell r="E334" t="str"><v>B-R3JWHS</v></cell><cell r="F334" t="str"><v>3501</v></cell></row><row r="335"><cell r="C335" t="str"><v>RPOR3JWHYK01DC</v></cell><cell r="D335" t="str"><v>BATCH-3JWI MAR. HONEY</v></cell><cell r="E335" t="str"><v>B-R3JWHY</v></cell><cell r="F335" t="str"><v>3502</v></cell></row><row r="336"><cell r="C336" t="str"><v>RPOR3JWPKK01DC</v></cell><cell r="D336" t="str"><v>BATCH-3JW MAR. PERCIK</v></cell><cell r="E336" t="str"><v>B-R3JWMH</v></cell><cell r="F336" t="str"><v>3503</v></cell></row><row r="337"><cell r="C337" t="str"><v>RPORBBSAWP10DF</v></cell><cell r="D337" t="str"><v>BATCH-MAR. S'LESS B'LESS BREAST 10PC</v></cell><cell r="E337" t="str"><v>B-FMBAW</v></cell><cell r="F337" t="str"><v>3504</v></cell></row><row r="338"><cell r="C338" t="str"><v>RPORBBSNDP05DC</v></cell><cell r="D338" t="str"><v>BATCH-MAR BREAST NANDO'S 5PC</v></cell><cell r="E338" t="str"><v>B-CMB05ND</v></cell><cell r="F338" t="str"><v>3505</v></cell></row><row r="339"><cell r="C339" t="str"><v>RPORBFTEXK02DF</v></cell><cell r="D339" t="str"><v>BATCH-MAR SBB FILLET (TEXAS)</v></cell><cell r="E339" t="str"><v>B-SBBFILTEXF</v></cell><cell r="F339" t="str"><v>3506</v></cell></row><row r="340"><cell r="C340" t="str"><v>RPORBLBNDP04DC</v></cell><cell r="D340" t="str"><v>BATCH-MAR. BL BREAST BFLY ND 4PC</v></cell><cell r="E340" t="str"><v>B-CMBLBRSND</v></cell><cell r="F340" t="str"><v>3507</v></cell></row><row r="341"><cell r="C341" t="str"><v>RPORBSTEKP12DF</v></cell><cell r="D341" t="str"><v>BATCH-MAR CHICKEN THIGH-EK (90-105G)</v></cell><cell r="E341" t="str"><v>B-FMBSTEK10</v></cell><cell r="F341" t="str"><v>3508</v></cell></row><row r="342"><cell r="C342" t="str"><v>RPORBSTNDP10DC</v></cell><cell r="D342" t="str"><v>BATCH-MAR BSL THIGH 5070 ND-10P</v></cell><cell r="E342" t="str"><v>B-BSLTHINDP10C</v></cell><cell r="F342" t="str"><v>3509</v></cell></row><row r="343"><cell r="C343" t="str"><v>RPORBTSTXK02DF</v></cell><cell r="D343" t="str"><v>BATCH-MAR. ORI BSL THIGH (TEXAS)</v></cell><cell r="E343" t="str"><v>B-BSLTHITEXF</v></cell><cell r="F343" t="str"><v>3510</v></cell></row><row r="344"><cell r="C344" t="str"><v>RPORBTSWDP20DF</v></cell><cell r="D344" t="str"><v>BATCH-MAR BSL THIGH 7090 WENDY'S FRZ</v></cell><cell r="E344" t="str"><v>B-BSLTHIWD7090F</v></cell><cell r="F344" t="str"><v>3511</v></cell></row><row r="345"><cell r="C345" t="str"><v>RPORC8TEXP16DC</v></cell><cell r="D345" t="str"><v>BATCH-CHILL MAR. ORI CHICKEN (TEXAS)</v></cell><cell r="E345" t="str"><v>B-CMCTEX8</v></cell><cell r="F345" t="str"><v>3512</v></cell></row><row r="346"><cell r="C346" t="str"><v>RPORC9AW0P09DF</v></cell><cell r="D346" t="str"><v>BATCH-MAR. 9PC CUT A&W-OR 9PC</v></cell><cell r="E346" t="str"><v>B-FMCAW</v></cell><cell r="F346" t="str"><v>3513</v></cell></row><row r="347"><cell r="C347" t="str"><v>RPORC9AWSP09DF</v></cell><cell r="D347" t="str"><v>BATCH-MAR. 9PC CUT A&W-HS 9PC</v></cell><cell r="E347" t="str"><v>B-FMCAWHS</v></cell><cell r="F347" t="str"><v>3514</v></cell></row><row r="348"><cell r="C348" t="str"><v>RPORC9MD0P09DF</v></cell><cell r="D348" t="str"><v>BATCH-MAR. 9PC CUT MCD-OR 9PC</v></cell><cell r="E348" t="str"><v>B-FMCD9</v></cell><cell r="F348" t="str"><v>3515</v></cell></row><row r="349"><cell r="C349" t="str"><v>RPORC9MD0P18DC</v></cell><cell r="D349" t="str"><v>BATCH-MAR. 9PC CUT MCD-OR 18PC</v></cell><cell r="E349" t="str"><v>B-CMCD9</v></cell><cell r="F349" t="str"><v>3516</v></cell></row><row r="350"><cell r="C350" t="str"><v>RPORC9MDSP09DF</v></cell><cell r="D350" t="str"><v>BATCH-MAR. 9PC CUT MCD-HS 9PC</v></cell><cell r="E350" t="str"><v>B-FMCDS9</v></cell><cell r="F350" t="str"><v>3517</v></cell></row><row r="351"><cell r="C351" t="str"><v>RPORC9MDSP18DC</v></cell><cell r="D351" t="str"><v>BATCH-MAR. 9PC CUT MCD-HS 18PC</v></cell><cell r="E351" t="str"><v>B-CMCDS9</v></cell><cell r="F351" t="str"><v>3518</v></cell></row><row r="352"><cell r="C352" t="str"><v>RPORC9WD0P18DC</v></cell><cell r="D352" t="str"><v>BATCH-CHILL MAR ORI CHICKEN WENDY'S</v></cell><cell r="E352" t="str"><v>B-CMCWD9</v></cell><cell r="F352" t="str"><v>3519</v></cell></row><row r="353"><cell r="C353" t="str"><v>RPORCH0BPP02DF</v></cell><cell r="D353" t="str"><v>BATCH-MAR CHICKEN CHOP (B.PEPPER)</v></cell><cell r="E353" t="str"><v>B-BPCHOPP02F</v></cell><cell r="F353" t="str"><v>3520</v></cell></row><row r="354"><cell r="C354" t="str"><v>RPORCHBBQP02DF</v></cell><cell r="D354" t="str"><v>BATCH-MAR CHICKEN CHOP (HONEY BBQ)</v></cell><cell r="E354" t="str"><v>B-BBQCHOPP02F</v></cell><cell r="F354" t="str"><v>3521</v></cell></row><row r="355"><cell r="C355" t="str"><v>RPORCHORIP10DF</v></cell><cell r="D355" t="str"><v>BATCH-MAR. CHICKEN CHOP (ORIGINAL)</v></cell><cell r="E355" t="str"><v>B-ORICHOPP10F</v></cell><cell r="F355" t="str"><v>3522</v></cell></row><row r="356"><cell r="C356" t="str"><v>RPORCHKROP10DF</v></cell><cell r="D356" t="str"><v>BATCH-MAR ORIGINAL CHOP KRR</v></cell><cell r="E356" t="str"><v>B-KRRORICHOPP10</v></cell><cell r="F356" t="str"><v>3523</v></cell></row><row r="357"><cell r="C357" t="str"><v>RPORFILNDP20DC</v></cell><cell r="D357" t="str"><v>BATCH-MAR FILLET NANDO'S-20PC</v></cell><cell r="E357" t="str"><v>B-FILNANDOC</v></cell><cell r="F357" t="str"><v>3524</v></cell></row><row r="358"><cell r="C358" t="str"><v>RPORFLTEXK02DF</v></cell><cell r="D358" t="str"><v>BATCH-MAR. FILLET (TEXAS)</v></cell><cell r="E358" t="str"><v>B-FILTEXF</v></cell><cell r="F358" t="str"><v>3525</v></cell></row><row r="359"><cell r="C359" t="str"><v>RPORPWLNDP09DC</v></cell><cell r="D359" t="str"><v>BATCH-MAR WING NANDO'S 9PC</v></cell><cell r="E359" t="str"><v>B-CMWND09</v></cell><cell r="F359" t="str"><v>3526</v></cell></row><row r="360"><cell r="C360" t="str"><v>RPORQLEKKP10DC</v></cell><cell r="D360" t="str"><v>BATCH-MAR QLEG KUNYIT-EK (250-270G)</v></cell><cell r="E360" t="str"><v>B-QLEGEKP10</v></cell><cell r="F360" t="str"><v>3527</v></cell></row><row r="361"><cell r="C361" t="str"><v>RPORQLSBPP10DF</v></cell><cell r="D361" t="str"><v>BATCH-MAR B/PEPPER S'LESS QLEG KRR</v></cell><cell r="E361" t="str"><v>B-KRRSQLEGBPP10</v></cell><cell r="F361" t="str"><v>3528</v></cell></row><row r="362"><cell r="C362" t="str"><v>RPORQLSORP10DF</v></cell><cell r="D362" t="str"><v>BATCH-MAR ORIGINAL S'LESS QLEG KRR</v></cell><cell r="E362" t="str"><v>B-KRRSQLEGORP10</v></cell><cell r="F362" t="str"><v>3529</v></cell></row><row r="363"><cell r="C363" t="str"><v>RPORQTLBPP10DC</v></cell><cell r="D363" t="str"><v>BATCH-BLACK PEPPER ROAST QUARTER LEG</v></cell><cell r="E363" t="str"><v>B-BPRQLEG</v></cell><cell r="F363" t="str"><v>3530</v></cell></row><row r="364"><cell r="C364" t="str"><v>RPORQTLHSP10DC</v></cell><cell r="D364" t="str"><v>BATCH-HOT & SPICY ROAST QUARTER LEG</v></cell><cell r="E364" t="str"><v>B-HSRQLEG</v></cell><cell r="F364" t="str"><v>3531</v></cell></row><row r="365"><cell r="C365" t="str"><v>RPORQTLHYP10DC</v></cell><cell r="D365" t="str"><v>BATCH-HONEY ROAST QUARTER LEG</v></cell><cell r="E365" t="str"><v>B-HYRQLEG</v></cell><cell r="F365" t="str"><v>3532</v></cell></row><row r="366"><cell r="C366" t="str"><v>RPORTHDNYP20DF</v></cell><cell r="D366" t="str"><v>BATCH-MAR THIGH NYONYA (130-160)</v></cell><cell r="E366" t="str"><v>B-ORITHINYAF</v></cell><cell r="F366" t="str"><v>3533</v></cell></row><row r="367"><cell r="C367" t="str"><v>RPORTHEKKP12DC</v></cell><cell r="D367" t="str"><v>BATCH-MAR THI TURMERIC-EK(140-160G)</v></cell><cell r="E367" t="str"><v>B-THIEKP12</v></cell><cell r="F367" t="str"><v>3534</v></cell></row><row r="368"><cell r="C368" t="str"><v>RPORWBPM1P01DF</v></cell><cell r="D368" t="str"><v>BATCH-ROAST WHOLE CHIC B.PEPPER M1F</v></cell><cell r="E368" t="str"><v>B-RCBPWCM01F</v></cell><cell r="F368" t="str"><v>3535</v></cell></row><row r="369"><cell r="C369" t="str"><v>RPORWBPM1P02DC</v></cell><cell r="D369" t="str"><v>BATCH-ROAST WHOLE CHIC B.PEPPER M1</v></cell><cell r="E369" t="str"><v>B-RCBPWCM1</v></cell><cell r="F369" t="str"><v>3536</v></cell></row><row r="370"><cell r="C370" t="str"><v>RPORWHSM1P01DF</v></cell><cell r="D370" t="str"><v>BATCH-ROAST WHOLE CHIC HOT&SPICY M1F</v></cell><cell r="E370" t="str"><v>B-RCHSWCM01F</v></cell><cell r="F370" t="str"><v>3537</v></cell></row><row r="371"><cell r="C371" t="str"><v>RPORWHSM1P02DC</v></cell><cell r="D371" t="str"><v>BATCH-ROAST WHOLE CHIC HOT&SPICY M1</v></cell><cell r="E371" t="str"><v>B-RCHSWCM1</v></cell><cell r="F371" t="str"><v>3538</v></cell></row><row r="372"><cell r="C372" t="str"><v>RPORWHYM1P01DF</v></cell><cell r="D372" t="str"><v>BATCH-ROAST WHOLE CHICKEN HONEY M1F</v></cell><cell r="E372" t="str"><v>B-RCHYWCM01F</v></cell><cell r="F372" t="str"><v>3539</v></cell></row><row r="373"><cell r="C373" t="str"><v>RPORWHYM1P02DC</v></cell><cell r="D373" t="str"><v>BATCH-ROAST WHOLE CHICKEN HONEY M1</v></cell><cell r="E373" t="str"><v>B-RCHYWCM1</v></cell><cell r="F373" t="str"><v>3540</v></cell></row><row r="374"><cell r="C374" t="str"><v>RPORWKR00P02DF</v></cell><cell r="D374" t="str"><v>BATCH-MAR WHOLE BIRD KRR-OR 10BDS</v></cell><cell r="E374" t="str"><v>B-KRROR</v></cell><cell r="F374" t="str"><v>3541</v></cell></row><row r="375"><cell r="C375" t="str"><v>RPORWKRBPP02DF</v></cell><cell r="D375" t="str"><v>BATCH-MAR WHOLE BIRD KRR-BP 10BDS</v></cell><cell r="E375" t="str"><v>B-KRRBP</v></cell><cell r="F375" t="str"><v>3542</v></cell></row><row r="376"><cell r="C376" t="str"><v>RPORWM1BPP02DC</v></cell><cell r="D376" t="str"><v>BATCH-BLACK PEPPER ROAST CHICKEN 1.1</v></cell><cell r="E376" t="str"><v>B-BPRC1.1</v></cell><cell r="F376" t="str"><v>3543</v></cell></row><row r="377"><cell r="C377" t="str"><v>RPORWM1HSP02DC</v></cell><cell r="D377" t="str"><v>BATCH-ROAST CHICKEN HOT & SPICY 2BDS</v></cell><cell r="E377" t="str"><v>B-RCHS</v></cell><cell r="F377" t="str"><v>3544</v></cell></row><row r="378"><cell r="C378" t="str"><v>RPORWM1HYP02DC</v></cell><cell r="D378" t="str"><v>BATCH-ROAST CHICKEN HONEY 2BDS</v></cell><cell r="E378" t="str"><v>B-RCHY</v></cell><cell r="F378" t="str"><v>3545</v></cell></row><row r="379"><cell r="C379" t="str"><v>RPORWM1PKP02DC</v></cell><cell r="D379" t="str"><v>BATCH-ROAST CHICKEN PERCIK 2BDS</v></cell><cell r="E379" t="str"><v>B-RCPK</v></cell><cell r="F379" t="str"><v>3546</v></cell></row><row r="380"><cell r="C380" t="str"><v>RPORWMHM1P01DF</v></cell><cell r="D380" t="str"><v>BATCH-ROAST WHOLE CHIC MAHSURI M1F</v></cell><cell r="E380" t="str"><v>B-RCMHWCM01F</v></cell><cell r="F380" t="str"><v>3547</v></cell></row><row r="381"><cell r="C381" t="str"><v>RPORWMHM1P02DC</v></cell><cell r="D381" t="str"><v>BATCH-ROAST WHOLE CHIC MAHSURI M1</v></cell><cell r="E381" t="str"><v>B-RCMHWCM1</v></cell><cell r="F381" t="str"><v>3548</v></cell></row><row r="382"><cell r="C382" t="str"><v>RCONCS000K02DC</v></cell><cell r="D382" t="str"><v>BATCH-CHILLI SAUCE 2KG</v></cell><cell r="E382" t="str"><v>B-CSAUCE</v></cell><cell r="F382" t="str"><v>3549</v></cell></row><row r="383"><cell r="C383" t="str"><v>RPORWNDORP02DC</v></cell><cell r="D383" t="str"><v>BATCH-MAR WHOLE BIRD NANDOS-OR 2BDS</v></cell><cell r="E383" t="str"><v>B-CMCNDP02</v></cell><cell r="F383" t="str"><v>3550</v></cell></row><row r="384"><cell r="C384" t="str"><v>RPORWNDORP01DF</v></cell><cell r="D384" t="str"><v>BATCH-MAR WBIRD NANDOS-OR (FRZ THW)</v></cell><cell r="E384" t="str"><v>B-FMCNDP01</v></cell><cell r="F384" t="str"><v>3551</v></cell></row><row r="385"><cell r="C385" t="str"><v>RCONHS000K01DC</v></cell><cell r="D385" t="str"><v>BATCH-HOT & SPICY MARINADE</v></cell><cell r="E385" t="str"><v>B-HOT&SPICYMAR</v></cell><cell r="F385" t="str"><v>3552</v></cell></row><row r="386"><cell r="C386" t="str"><v>RCONHY000K01DC</v></cell><cell r="D386" t="str"><v>BATCH-HONEY MARINADE</v></cell><cell r="E386" t="str"><v>B-HONEYMAR</v></cell><cell r="F386" t="str"><v>3553</v></cell></row><row r="387"><cell r="C387" t="str"><v>RCONMH000K01DC</v></cell><cell r="D387" t="str"><v>BATCH-MAHSURI MARINADE</v></cell><cell r="E387" t="str"><v>B-MAHSURIMAR</v></cell><cell r="F387" t="str"><v>3554</v></cell></row><row r="388"><cell r="C388" t="str"><v>UCONCS00K001DF</v></cell><cell r="D388" t="str"><v>WIP-CHILLI SAUCE 100G</v></cell><cell r="E388" t="str"><v>W-CS100G</v></cell><cell r="F388" t="str"><v>3900</v></cell></row><row r="389"><cell r="C389" t="str"><v>MPORWNDORZ01DF</v></cell><cell r="D389" t="str"><v>WIP-MAR WBIRD NANDOS</v></cell><cell r="E389" t="str"><v>W-FMCNDP01</v></cell><cell r="F389" t="str"><v>3901</v></cell></row><row r="390"><cell r="C390" t="str"><v>UPORC9MD0K18DC</v></cell><cell r="D390" t="str"><v>WIP-MAR. 9PC CUT MCD-OR 18PC</v></cell><cell r="E390" t="str"><v>W-CMCD9</v></cell><cell r="F390" t="str"><v>3902</v></cell></row><row r="391"><cell r="C391" t="str"><v>UPORC9MDSK18DC</v></cell><cell r="D391" t="str"><v>WIP-MAR. 9PC CUT MCD-HS 18PC</v></cell><cell r="E391" t="str"><v>W-CMCDS9</v></cell><cell r="F391" t="str"><v>3903</v></cell></row><row r="392"><cell r="C392" t="str"><v>UPORWNDORP02DC</v></cell><cell r="D392" t="str"><v>WIP-MAR WB NANDOS</v></cell><cell r="E392" t="str"><v>W-MAR WB ND</v></cell><cell r="F392" t="str"><v>3904</v></cell></row><row r="393"><cell r="C393" t="str"><v>UPORWHSM1Z01DF</v></cell><cell r="D393" t="str"><v>REWORK-MARINATED 9PC</v></cell><cell r="E393" t="str"><v>MAR9PCREWORK</v></cell><cell r="F393" t="str"><v>3905</v></cell></row><row r="394"><cell r="C394" t="str"><v>WBM1BPKRZP01DC</v></cell><cell r="D394" t="str"><v>RETURN-WB KRR</v></cell><cell r="E394" t="str"><v>WBKRRRETURN</v></cell><cell r="F394" t="str"><v>3906</v></cell></row><row r="395"><cell r="C395" t="str"><v>WBM1BPNDZP01DC</v></cell><cell r="D395" t="str"><v>RETURN-WB NANDOS</v></cell><cell r="E395" t="str"><v>WBNDRETURN</v></cell><cell r="F395" t="str"><v>3907</v></cell></row><row r="396"><cell r="C396" t="str"><v>TEST</v></cell><cell r="D396" t="str"><v>TESTING</v></cell><cell r="E396" t="str"><v>TEST</v></cell><cell r="F396" t="str"><v>0000</v></cell></row><row r="397"><cell r="C397" t="str"><v>WBM2SPGCHP01DC</v></cell><cell r="D397" t="str"><v>WHOLE CHIC(M2)1351-1650GSP GCH</v></cell><cell r="E397" t="str"><v>WBM02SPCGCH</v></cell><cell r="F397" t="str"><v>0002</v></cell></row><row r="398"><cell r="C398" t="str"><v>WJ03BP000P08DC</v></cell><cell r="D398" t="str"><v>WHOLE CHICKEN (J3)1950-2500GBP</v></cell><cell r="E398" t="str"><v>WBJ3BPC</v></cell><cell r="F398" t="str"><v>0004</v></cell></row><row r="399"><cell r="C399" t="str"><v>WJ03BP000P08DF</v></cell><cell r="D399" t="str"><v>WHOLE CHICKEN (J3)1950-2500GBP</v></cell><cell r="E399" t="str"><v>WBJ3BPF</v></cell><cell r="F399" t="str"><v>0005</v></cell></row><row r="400"><cell r="C400" t="str"><v>WBL1BP000P10DC</v></cell><cell r="D400" t="str"><v>WHOLE CHICKEN (L1)1651-1950GBP</v></cell><cell r="E400" t="str"><v>WBL01BPC</v></cell><cell r="F400" t="str"><v>0006</v></cell></row><row r="401"><cell r="C401" t="str"><v>WBL1BP000P10DF</v></cell><cell r="D401" t="str"><v>WHOLE CHICKEN (L1)1651-1950GBP</v></cell><cell r="E401" t="str"><v>WBL01BPF</v></cell><cell r="F401" t="str"><v>0007</v></cell></row><row r="402"><cell r="C402" t="str"><v>WBM1BP000P10DC</v></cell><cell r="D402" t="str"><v>WHOLE CHICKEN (M1)1051-1350GBP</v></cell><cell r="E402" t="str"><v>WBM01BPC</v></cell><cell r="F402" t="str"><v>0008</v></cell></row><row r="403"><cell r="C403" t="str"><v>WBM1BP000P10DF</v></cell><cell r="D403" t="str"><v>WHOLE CHICKEN (M1)1051-1350GBP</v></cell><cell r="E403" t="str"><v>WBM01BPF</v></cell><cell r="F403" t="str"><v>0009</v></cell></row><row r="404"><cell r="C404" t="str"><v>WBM1SP000P01DC</v></cell><cell r="D404" t="str"><v>WHOLE CHICKEN (M1)1051-1350GSP</v></cell><cell r="E404" t="str"><v>WBM01SPC</v></cell><cell r="F404" t="str"><v>0010</v></cell></row><row r="405"><cell r="C405" t="str"><v>WBM1SP000P01DF</v></cell><cell r="D405" t="str"><v>WHOLE CHICKEN (M1)1051-1350GSP</v></cell><cell r="E405" t="str"><v>WBM01SPF</v></cell><cell r="F405" t="str"><v>0011</v></cell></row><row r="406"><cell r="C406" t="str"><v>WBM2BP000P10DC</v></cell><cell r="D406" t="str"><v>WHOLE CHICKEN (M2)1351-1650GBP</v></cell><cell r="E406" t="str"><v>WBM02BPC</v></cell><cell r="F406" t="str"><v>0012</v></cell></row><row r="407"><cell r="C407" t="str"><v>WBM2BP000P10DF</v></cell><cell r="D407" t="str"><v>WHOLE CHICKEN (M2)1351-1650GBP</v></cell><cell r="E407" t="str"><v>WBM02BPF</v></cell><cell r="F407" t="str"><v>0013</v></cell></row><row r="408"><cell r="C408" t="str"><v>WBM2SP000P01DC</v></cell><cell r="D408" t="str"><v>WHOLE CHICKEN (M2)1351-1650GSP</v></cell><cell r="E408" t="str"><v>WBM02SPC</v></cell><cell r="F408" t="str"><v>0014</v></cell></row><row r="409"><cell r="C409" t="str"><v>WBM2SP000P01DF</v></cell><cell r="D409" t="str"><v>WHOLE CHICKEN (M2)1351-1650GSP</v></cell><cell r="E409" t="str"><v>WBM02SPF</v></cell><cell r="F409" t="str"><v>0015</v></cell></row><row r="410"><cell r="C410" t="str"><v>WBS2BP000P10DC</v></cell><cell r="D410" t="str"><v>WHOLE CHICKEN (S2) 851-1050GBP</v></cell><cell r="E410" t="str"><v>WBS02BPC</v></cell><cell r="F410" t="str"><v>0016</v></cell></row><row r="411"><cell r="C411" t="str"><v>WBS2BP000P10DF</v></cell><cell r="D411" t="str"><v>WHOLE CHICKEN (S2) 851-1050GBP</v></cell><cell r="E411" t="str"><v>WBS02BPF</v></cell><cell r="F411" t="str"><v>0017</v></cell></row><row r="412"><cell r="C412" t="str"><v>WNC03P000P03DC</v></cell><cell r="D412" t="str"><v>WHOLE CHICKEN 3X1 PACK</v></cell><cell r="E412" t="str"><v>WBNC3X1DC</v></cell><cell r="F412" t="str"><v>0018</v></cell></row><row r="413"><cell r="C413" t="str"><v>WNC03P000P03DF</v></cell><cell r="D413" t="str"><v>WHOLE CHICKEN 3X1 PACK</v></cell><cell r="E413" t="str"><v>WBNC3X1DF</v></cell><cell r="F413" t="str"><v>0019</v></cell></row><row r="414"><cell r="C414" t="str"><v>WNCB3P000P03DC</v></cell><cell r="D414" t="str"><v>WHOLE CHICKEN 3X1 PACK (B)</v></cell><cell r="E414" t="str"><v>WBNCB3X1DC</v></cell><cell r="F414" t="str"><v>0020</v></cell></row><row r="415"><cell r="C415" t="str"><v>WNCB3P000P03DF</v></cell><cell r="D415" t="str"><v>WHOLE CHICKEN 3X1 PACK (B)</v></cell><cell r="E415" t="str"><v>WBNCB3X1DF</v></cell><cell r="F415" t="str"><v>0021</v></cell></row><row r="416"><cell r="C416" t="str"><v>WNCB0FP0ZP12DC</v></cell><cell r="D416" t="str"><v>WHOLE CHICKEN 3X1 PACK (B)</v></cell><cell r="E416" t="str"><v>WBNCBFPDC</v></cell><cell r="F416" t="str"><v>0022</v></cell></row><row r="417"><cell r="C417" t="str"><v>WNC03P0S2P03DC</v></cell><cell r="D417" t="str"><v>WHOLE CHICKEN 3X1 PACK S2</v></cell><cell r="E417" t="str"><v>WBNCS23X1DC</v></cell><cell r="F417" t="str"><v>0024</v></cell></row><row r="418"><cell r="C418" t="str"><v>WNC03P0S2P03DF</v></cell><cell r="D418" t="str"><v>WHOLE CHICKEN 3X1 PACK S2</v></cell><cell r="E418" t="str"><v>WBNCS23X1DF</v></cell><cell r="F418" t="str"><v>0025</v></cell></row><row r="419"><cell r="C419" t="str"><v>WIO00000ZK25DC</v></cell><cell r="D419" t="str"><v>REJ-INTERNAL ORGAN (WB)</v></cell><cell r="E419" t="str"><v>R-INTORGWB</v></cell><cell r="F419" t="str"><v>0026</v></cell></row><row r="420"><cell r="C420" t="str"><v>WBM1SP0JDP01DF</v></cell><cell r="D420" t="str"><v>WHOLE CHICKEN SP 1100-1250G JD</v></cell><cell r="E420" t="str"><v>WBM01SPFJD</v></cell><cell r="F420" t="str"><v>0027</v></cell></row><row r="421"><cell r="C421" t="str"><v>WBL1SPG41P01DC</v></cell><cell r="D421" t="str"><v>WHOLE BIRD L1 (GIBLET 4 IN 1 )</v></cell><cell r="E421" t="str"><v>WBL1SPG4X1C</v></cell><cell r="F421" t="str"><v>0028</v></cell></row><row r="422"><cell r="C422" t="str"><v>WBS2CU00ZP10DC</v></cell><cell r="D422" t="str"><v>WB CUP 1.0-1.19</v></cell><cell r="E422" t="str"><v>WBCUPYEL</v></cell><cell r="F422" t="str"><v>0030</v></cell></row><row r="423"><cell r="C423" t="str"><v>WBM2CU00ZP10DC</v></cell><cell r="D423" t="str"><v>WB CUP 1.55-1.65</v></cell><cell r="E423" t="str"><v>WBCUPPUR</v></cell><cell r="F423" t="str"><v>0032</v></cell></row><row r="424"><cell r="C424" t="str"><v>WBM2DE00ZP10DC</v></cell><cell r="D424" t="str"><v>WB DEB 1.35-1.50</v></cell><cell r="E424" t="str"><v>WBDEBORE</v></cell><cell r="F424" t="str"><v>0034</v></cell></row><row r="425"><cell r="C425" t="str"><v>WBWIPDE0ZP10DC</v></cell><cell r="D425" t="str"><v>WIP-WB DEB</v></cell><cell r="E425" t="str"><v>W-WBDEB</v></cell><cell r="F425" t="str"><v>0036</v></cell></row><row r="426"><cell r="C426" t="str"><v>WBL1SPHFGP01DC</v></cell><cell r="D426" t="str"><v>WHOLE CHICKEN WITH H&F&G (L1)</v></cell><cell r="E426" t="str"><v>WBL01WHFSPC</v></cell><cell r="F426" t="str"><v>0038</v></cell></row><row r="427"><cell r="C427" t="str"><v>WBM1CU00ZP10DC</v></cell><cell r="D427" t="str"><v>WB CUP 1.19-1.35</v></cell><cell r="E427" t="str"><v>WBCUPRED</v></cell><cell r="F427" t="str"><v>0040</v></cell></row><row r="428"><cell r="C428" t="str"><v>WBWIPCU0ZP10DC</v></cell><cell r="D428" t="str"><v>WIP-WB CUP</v></cell><cell r="E428" t="str"><v>W-WBCUP</v></cell><cell r="F428" t="str"><v>0042</v></cell></row><row r="429"><cell r="C429" t="str"><v>WBL1DE00ZP10DC</v></cell><cell r="D429" t="str"><v>WB DEB 1.65-1.95</v></cell><cell r="E429" t="str"><v>WBDEBBLU</v></cell><cell r="F429" t="str"><v>0044</v></cell></row><row r="430"><cell r="C430" t="str"><v>WBM10KBPZP10DC</v></cell><cell r="D430" t="str"><v>M-WHOLE CHICKEN (M1) 1230-1300G KRR BP</v></cell><cell r="E430" t="str"><v>WBM1KRRBPC</v></cell><cell r="F430" t="str"><v>0046</v></cell></row><row r="431"><cell r="C431" t="str"><v>WBM10KORZP10DC</v></cell><cell r="D431" t="str"><v>M-WHOLE CHICKEN (M1) 1280-1380G KRR OR</v></cell><cell r="E431" t="str"><v>WBM1KRRORC</v></cell><cell r="F431" t="str"><v>0048</v></cell></row><row r="432"><cell r="C432" t="str"><v>WBM10ND0ZP10DC</v></cell><cell r="D432" t="str"><v>M-WHOLE CHICKEN (M1) 1230-1350G NANDOS</v></cell><cell r="E432" t="str"><v>WBM1SPNDC</v></cell><cell r="F432" t="str"><v>0050</v></cell></row><row r="433"><cell r="C433" t="str"><v>WBSM10RCZP10DC</v></cell><cell r="D433" t="str"><v>M-WHOLE CHICKEN (M1) 1051-1230G RC</v></cell><cell r="E433" t="str"><v>WBM1SPRC</v></cell><cell r="F433" t="str"><v>0052</v></cell></row><row r="434"><cell r="C434" t="str"><v>WBS2BP00ZP10DC</v></cell><cell r="D434" t="str"><v>M-WHOLE CHICKEN (S2) 851-1050G RC</v></cell><cell r="E434" t="str"><v>WBS2BPRC</v></cell><cell r="F434" t="str"><v>0054</v></cell></row><row r="435"><cell r="C435" t="str"><v>GFT0RG000K06DC</v></cell><cell r="D435" t="str"><v>FEET REGULAR</v></cell><cell r="E435" t="str"><v>FTRGC</v></cell><cell r="F435" t="str"><v>0800</v></cell></row><row r="436"><cell r="C436" t="str"><v>GFT0RG000K06DF</v></cell><cell r="D436" t="str"><v>FEET REGULAR</v></cell><cell r="E436" t="str"><v>FTRGF</v></cell><cell r="F436" t="str"><v>0801</v></cell></row><row r="437"><cell r="C437" t="str"><v>GGIZF0000K02DC</v></cell><cell r="D437" t="str"><v>GIZZARD</v></cell><cell r="E437" t="str"><v>GIZC</v></cell><cell r="F437" t="str"><v>0802</v></cell></row><row r="438"><cell r="C438" t="str"><v>GGIZF0000K02DF</v></cell><cell r="D438" t="str"><v>GIZZARD</v></cell><cell r="E438" t="str"><v>GIZF</v></cell><cell r="F438" t="str"><v>0803</v></cell></row><row r="439"><cell r="C439" t="str"><v>GFT0FBK00K06DC</v></cell><cell r="D439" t="str"><v>FEET BROKEN</v></cell><cell r="E439" t="str"><v>FTBKC</v></cell><cell r="F439" t="str"><v>0804</v></cell></row><row r="440"><cell r="C440" t="str"><v>GFT0FBK00K06DF</v></cell><cell r="D440" t="str"><v>FEET BROKEN</v></cell><cell r="E440" t="str"><v>FTBKF</v></cell><cell r="F440" t="str"><v>0805</v></cell></row><row r="441"><cell r="C441" t="str"><v>GFT0J0000K06DC</v></cell><cell r="D441" t="str"><v>FEET JUMBO</v></cell><cell r="E441" t="str"><v>FTJC</v></cell><cell r="F441" t="str"><v>0806</v></cell></row><row r="442"><cell r="C442" t="str"><v>GFT0J0000K06DF</v></cell><cell r="D442" t="str"><v>FEET JUMBO</v></cell><cell r="E442" t="str"><v>FTJF</v></cell><cell r="F442" t="str"><v>0807</v></cell></row><row r="443"><cell r="C443" t="str"><v>GLH0F0000K02DC</v></cell><cell r="D443" t="str"><v>LIVER</v></cell><cell r="E443" t="str"><v>LHAC</v></cell><cell r="F443" t="str"><v>0808</v></cell></row><row r="444"><cell r="C444" t="str"><v>GLH0F0000K02DF</v></cell><cell r="D444" t="str"><v>LIVER</v></cell><cell r="E444" t="str"><v>LHAF</v></cell><cell r="F444" t="str"><v>0809</v></cell></row><row r="445"><cell r="C445" t="str"><v>GFT0BDOT0K06DF</v></cell><cell r="D445" t="str"><v>FEET WITH BLACK DOT</v></cell><cell r="E445" t="str"><v>FTBDOTF</v></cell><cell r="F445" t="str"><v>0811</v></cell></row><row r="446"><cell r="C446" t="str"><v>GLV002426K13DC</v></cell><cell r="D446" t="str"><v>LIVER WITHOUT HEART 125G</v></cell><cell r="E446" t="str"><v>LVNANDOS125C</v></cell><cell r="F446" t="str"><v>0812</v></cell></row><row r="447"><cell r="C447" t="str"><v>GGIBPK0ZP100DC</v></cell><cell r="D447" t="str"><v>GIBLET 4 IN 1</v></cell><cell r="E447" t="str"><v>GIB4IN1C</v></cell><cell r="F447" t="str"><v>0814</v></cell></row><row r="448"><cell r="C448" t="str"><v>GLGBF0000K06DC</v></cell><cell r="D448" t="str"><v>LEGBONE</v></cell><cell r="E448" t="str"><v>LEGBONEC</v></cell><cell r="F448" t="str"><v>0900</v></cell></row><row r="449"><cell r="C449" t="str"><v>GLGBF0000K06DF</v></cell><cell r="D449" t="str"><v>LEGBONE</v></cell><cell r="E449" t="str"><v>LEGBONEF</v></cell><cell r="F449" t="str"><v>0901</v></cell></row><row r="450"><cell r="C450" t="str"><v>GREJLGBRZK25DC</v></cell><cell r="D450" t="str"><v>REJ-LEGBONE</v></cell><cell r="E450" t="str"><v>R-LEGBONE</v></cell><cell r="F450" t="str"><v>0902</v></cell></row><row r="451"><cell r="C451" t="str"><v>GCARF0000K10DC</v></cell><cell r="D451" t="str"><v>CARCASS</v></cell><cell r="E451" t="str"><v>CARCC</v></cell><cell r="F451" t="str"><v>0904</v></cell></row><row r="452"><cell r="C452" t="str"><v>GCARF0000K10DF</v></cell><cell r="D452" t="str"><v>CARCASS</v></cell><cell r="E452" t="str"><v>CARCF</v></cell><cell r="F452" t="str"><v>0905</v></cell></row><row r="453"><cell r="C453" t="str"><v>GCTGFFILZK12DC</v></cell><cell r="D453" t="str"><v>FP-CARTILAGE FILLET</v></cell><cell r="E453" t="str"><v>FP-CARTILAGEFIL</v></cell><cell r="F453" t="str"><v>0906</v></cell></row><row r="454"><cell r="C454" t="str"><v>GCTGF0000K12DC</v></cell><cell r="D454" t="str"><v>CHICKEN CARTILAGE</v></cell><cell r="E454" t="str"><v>CARTILAGEC</v></cell><cell r="F454" t="str"><v>0908</v></cell></row><row r="455"><cell r="C455" t="str"><v>GFAT000SKK01DF</v></cell><cell r="D455" t="str"><v>CHICKEN FAT - SK (1KG)</v></cell><cell r="E455" t="str"><v>FATFSK12</v></cell><cell r="F455" t="str"><v>0911</v></cell></row><row r="456"><cell r="C456" t="str"><v>GFATF0000K05DC</v></cell><cell r="D456" t="str"><v>CHICKEN FATS</v></cell><cell r="E456" t="str"><v>FATC</v></cell><cell r="F456" t="str"><v>0912</v></cell></row><row r="457"><cell r="C457" t="str"><v>GFATF0000K05DF</v></cell><cell r="D457" t="str"><v>CHICKEN FATS</v></cell><cell r="E457" t="str"><v>FATF</v></cell><cell r="F457" t="str"><v>0913</v></cell></row><row r="458"><cell r="C458" t="str"><v>GFATF000ZK25DC</v></cell><cell r="D458" t="str"><v>WIP-FAT</v></cell><cell r="E458" t="str"><v>W-FAT</v></cell><cell r="F458" t="str"><v>0914</v></cell></row><row r="459"><cell r="C459" t="str"><v>GNKSF0000K06DC</v></cell><cell r="D459" t="str"><v>CHICKEN SKINLESS NECK</v></cell><cell r="E459" t="str"><v>SLNECKC</v></cell><cell r="F459" t="str"><v>0916</v></cell></row><row r="460"><cell r="C460" t="str"><v>GNKSF0000K06DF</v></cell><cell r="D460" t="str"><v>CHICKEN SKINLESS NECK</v></cell><cell r="E460" t="str"><v>SLNECKF</v></cell><cell r="F460" t="str"><v>0917</v></cell></row><row r="461"><cell r="C461" t="str"><v>GSKNF0000K05DC</v></cell><cell r="D461" t="str"><v>CHICKEN NECK SKIN</v></cell><cell r="E461" t="str"><v>NECKSKINC</v></cell><cell r="F461" t="str"><v>0918</v></cell></row><row r="462"><cell r="C462" t="str"><v>GSK0F0000K05DC</v></cell><cell r="D462" t="str"><v>CHICKEN SKIN</v></cell><cell r="E462" t="str"><v>SKINC</v></cell><cell r="F462" t="str"><v>0920</v></cell></row><row r="463"><cell r="C463" t="str"><v>GSK0F0000K05DF</v></cell><cell r="D463" t="str"><v>CHICKEN SKIN</v></cell><cell r="E463" t="str"><v>SKINF</v></cell><cell r="F463" t="str"><v>0921</v></cell></row><row r="464"><cell r="C464" t="str"><v>GSK0MF000K05DC</v></cell><cell r="D464" t="str"><v>CHICKEN SKIN</v></cell><cell r="E464" t="str"><v>SKINMFC</v></cell><cell r="F464" t="str"><v>0922</v></cell></row><row r="465"><cell r="C465" t="str"><v>GSK0MF000K04DC</v></cell><cell r="D465" t="str"><v>CHICKEN SKIN</v></cell><cell r="E465" t="str"><v>SKINMFK04C</v></cell><cell r="F465" t="str"><v>0924</v></cell></row><row r="466"><cell r="C466" t="str"><v>GSK0MF000K02DF</v></cell><cell r="D466" t="str"><v>CHICKEN SKIN</v></cell><cell r="E466" t="str"><v>SKINMFF2K</v></cell><cell r="F466" t="str"><v>0925</v></cell></row><row r="467"><cell r="C467" t="str"><v>GSKTF0000K05DF</v></cell><cell r="D467" t="str"><v>CHICKEN THIGH SKIN</v></cell><cell r="E467" t="str"><v>SKINTF</v></cell><cell r="F467" t="str"><v>0927</v></cell></row><row r="468"><cell r="C468" t="str"><v>GSK0MTAYZK12DC</v></cell><cell r="D468" t="str"><v>FP-SKIN SATAY </v></cell><cell r="E468" t="str"><v>FP-SKINSATAY</v></cell><cell r="F468" t="str"><v>0928</v></cell></row><row r="469"><cell r="C469" t="str"><v>GTL0F0000K06DC</v></cell><cell r="D469" t="str"><v>CHICKEN TAIL</v></cell><cell r="E469" t="str"><v>TAILC</v></cell><cell r="F469" t="str"><v>0930</v></cell></row><row r="470"><cell r="C470" t="str"><v>GTL0F0000K06DF</v></cell><cell r="D470" t="str"><v>CHICKEN TAIL</v></cell><cell r="E470" t="str"><v>TAILF</v></cell><cell r="F470" t="str"><v>0931</v></cell></row><row r="471"><cell r="C471" t="str"><v>GSK0F000ZK25DC</v></cell><cell r="D471" t="str"><v>WIP-SKIN</v></cell><cell r="E471" t="str"><v>W-SKIN</v></cell><cell r="F471" t="str"><v>0932</v></cell></row><row r="472"><cell r="C472" t="str"><v>GTL0F000ZK25DC</v></cell><cell r="D472" t="str"><v>WIP-TAIL</v></cell><cell r="E472" t="str"><v>W-TAIL</v></cell><cell r="F472" t="str"><v>0934</v></cell></row><row r="473"><cell r="C473" t="str"><v>GTL0F0BRUK06DF</v></cell><cell r="D473" t="str"><v>MARINATED CHICKEN TAIL</v></cell><cell r="E473" t="str"><v>TAILBRUNEIF</v></cell><cell r="F473" t="str"><v>0935</v></cell></row><row r="474"><cell r="C474" t="str"><v>C3JW07100K02DC</v></cell><cell r="D474" t="str"><v>3 JOINT WING MC (70-100G)</v></cell><cell r="E474" t="str"><v>3JWM0710C</v></cell><cell r="F474" t="str"><v>1000</v></cell></row><row r="475"><cell r="C475" t="str"><v>C3JW07100K02DF</v></cell><cell r="D475" t="str"><v>3 JOINT WING MC (70-100G)</v></cell><cell r="E475" t="str"><v>3JWM0710F</v></cell><cell r="F475" t="str"><v>1001</v></cell></row><row r="476"><cell r="C476" t="str"><v>C3JW0710ZK12DC</v></cell><cell r="D476" t="str"><v>M-3 JOINT WING MC (70-110G) </v></cell><cell r="E476" t="str"><v>M-3JWM0710C</v></cell><cell r="F476" t="str"><v>1002</v></cell></row><row r="477"><cell r="C477" t="str"><v>C3JW09120K04DF</v></cell><cell r="D477" t="str"><v>3 JOINT WING MC (90-120G)</v></cell><cell r="E477" t="str"><v>3JWM0912K04MF</v></cell><cell r="F477" t="str"><v>1003</v></cell></row><row r="478"><cell r="C478" t="str"><v>C3JW09130K02DC</v></cell><cell r="D478" t="str"><v>3 JOINT WING MC (90-130G)</v></cell><cell r="E478" t="str"><v>3JWM0913C</v></cell><cell r="F478" t="str"><v>1004</v></cell></row><row r="479"><cell r="C479" t="str"><v>C3JW09130K02DF</v></cell><cell r="D479" t="str"><v>3 JOINT WING MC (90-130G)</v></cell><cell r="E479" t="str"><v>3JWM0913F</v></cell><cell r="F479" t="str"><v>1005</v></cell></row><row r="480"><cell r="C480" t="str"><v>C3JW0913VP06DC</v></cell><cell r="D480" t="str"><v>3 JOINT WING MC (90-130G) VP</v></cell><cell r="E480" t="str"><v>3JWM0913X06C</v></cell><cell r="F480" t="str"><v>1006</v></cell></row><row r="481"><cell r="C481" t="str"><v>C3JW0913VP06DF</v></cell><cell r="D481" t="str"><v>3 JOINT WING MC (90-130G) VP</v></cell><cell r="E481" t="str"><v>3JWM0913X06F</v></cell><cell r="F481" t="str"><v>1007</v></cell></row><row r="482"><cell r="C482" t="str"><v>CIO00000ZK25DC</v></cell><cell r="D482" t="str"><v>REJ-INTERNAL ORGAN (CUP)</v></cell><cell r="E482" t="str"><v>R-INTORGCUP</v></cell><cell r="F482" t="str"><v>1008</v></cell></row><row r="483"><cell r="C483" t="str"><v>C3JW00BRUK02DF</v></cell><cell r="D483" t="str"><v>MARINATED CHICKEN WING (MC)</v></cell><cell r="E483" t="str"><v>3JWMBRUNEIF</v></cell><cell r="F483" t="str"><v>1009</v></cell></row><row r="484"><cell r="C484" t="str"><v>CLU00000ZK25DC</v></cell><cell r="D484" t="str"><v>REJ-LUNGS</v></cell><cell r="E484" t="str"><v>R-LUNGS</v></cell><cell r="F484" t="str"><v>1010</v></cell></row><row r="485"><cell r="C485" t="str"><v>C3JWNSBRUK02DF</v></cell><cell r="D485" t="str"><v>MARINATED CHICKEN WING (MC)-NS</v></cell><cell r="E485" t="str"><v>3JWMBRUNEIFNS</v></cell><cell r="F485" t="str"><v>1011</v></cell></row><row r="486"><cell r="C486" t="str"><v>C3JW0WIPZK12DC</v></cell><cell r="D486" t="str"><v>WIP-WING MC</v></cell><cell r="E486" t="str"><v>W-WINGMC</v></cell><cell r="F486" t="str"><v>1012</v></cell></row><row r="487"><cell r="C487" t="str"><v>CCHICU000K06DC</v></cell><cell r="D487" t="str"><v>CHICKEN CUBE</v></cell><cell r="E487" t="str"><v>CHICUC</v></cell><cell r="F487" t="str"><v>1014</v></cell></row><row r="488"><cell r="C488" t="str"><v>CCHICU000K06DF</v></cell><cell r="D488" t="str"><v>CHICKEN CUBE</v></cell><cell r="E488" t="str"><v>CHICUF</v></cell><cell r="F488" t="str"><v>1015</v></cell></row><row r="489"><cell r="C489" t="str"><v>CCHICU000K02DC</v></cell><cell r="D489" t="str"><v>CHICKEN CUBE</v></cell><cell r="E489" t="str"><v>CHICU2KGC</v></cell><cell r="F489" t="str"><v>1016</v></cell></row><row r="490"><cell r="C490" t="str"><v>CCHI6080ZK06DC</v></cell><cell r="D490" t="str"><v>FP-CHICKEN CUBE 6080 </v></cell><cell r="E490" t="str"><v>FP-CHICU6080</v></cell><cell r="F490" t="str"><v>1018</v></cell></row><row r="491"><cell r="C491" t="str"><v>CDS010140K02DC</v></cell><cell r="D491" t="str"><v>DRUMSTICK (100-140G)</v></cell><cell r="E491" t="str"><v>DS1014C</v></cell><cell r="F491" t="str"><v>1024</v></cell></row><row r="492"><cell r="C492" t="str"><v>CDS010140K02DF</v></cell><cell r="D492" t="str"><v>DRUMSTICK (100-140G)</v></cell><cell r="E492" t="str"><v>DS1014F</v></cell><cell r="F492" t="str"><v>1025</v></cell></row><row r="493"><cell r="C493" t="str"><v>CDS010140P20DC</v></cell><cell r="D493" t="str"><v>DRUMSTICK (100-140G) 20PC</v></cell><cell r="E493" t="str"><v>DS1014X20C</v></cell><cell r="F493" t="str"><v>1026</v></cell></row><row r="494"><cell r="C494" t="str"><v>CDS010140P20DF</v></cell><cell r="D494" t="str"><v>DRUMSTICK (100-140G) 20 PC</v></cell><cell r="E494" t="str"><v>DS1014X20F</v></cell><cell r="F494" t="str"><v>1027</v></cell></row><row r="495"><cell r="C495" t="str"><v>CDS0MD00ZP20DC</v></cell><cell r="D495" t="str"><v>M-DRUMSTICK (80-110G) 20PC</v></cell><cell r="E495" t="str"><v>M-DS8011MDC</v></cell><cell r="F495" t="str"><v>1028</v></cell></row><row r="496"><cell r="C496" t="str"><v>CDS01014VP06DC</v></cell><cell r="D496" t="str"><v>DRUMSTICK (100-140G) VP</v></cell><cell r="E496" t="str"><v>DS1014X06C</v></cell><cell r="F496" t="str"><v>1032</v></cell></row><row r="497"><cell r="C497" t="str"><v>CDS01014VP06DF</v></cell><cell r="D497" t="str"><v>DRUMSTICK (100-140G) VP</v></cell><cell r="E497" t="str"><v>DS1014X06F</v></cell><cell r="F497" t="str"><v>1033</v></cell></row><row r="498"><cell r="C498" t="str"><v>CDS008110K02DC</v></cell><cell r="D498" t="str"><v>DRUMSTICK (80-110G)</v></cell><cell r="E498" t="str"><v>DS0811C</v></cell><cell r="F498" t="str"><v>1034</v></cell></row><row r="499"><cell r="C499" t="str"><v>CDS008110K02DF</v></cell><cell r="D499" t="str"><v>DRUMSTICK (80-110G)</v></cell><cell r="E499" t="str"><v>DS0811F</v></cell><cell r="F499" t="str"><v>1035</v></cell></row><row r="500"><cell r="C500" t="str"><v>CDS0L0000K02DC</v></cell><cell r="D500" t="str"><v>DRUMSTICK L (110-140G)</v></cell><cell r="E500" t="str"><v>DSMCLC</v></cell><cell r="F500" t="str"><v>1036</v></cell></row><row r="501"><cell r="C501" t="str"><v>CDS00WIPZK12DC</v></cell><cell r="D501" t="str"><v>WIP-DRUMSTICK</v></cell><cell r="E501" t="str"><v>W-DS</v></cell><cell r="F501" t="str"><v>1038</v></cell></row><row r="502"><cell r="C502" t="str"><v>CKE0F0000K02DC</v></cell><cell r="D502" t="str"><v>KEEL</v></cell><cell r="E502" t="str"><v>KEAC</v></cell><cell r="F502" t="str"><v>1040</v></cell></row><row r="503"><cell r="C503" t="str"><v>CKE0F0000K02DF</v></cell><cell r="D503" t="str"><v>KEEL</v></cell><cell r="E503" t="str"><v>KEAF</v></cell><cell r="F503" t="str"><v>1041</v></cell></row><row r="504"><cell r="C504" t="str"><v>CKE01218VP04DC</v></cell><cell r="D504" t="str"><v>KEEL (120-180G) VP</v></cell><cell r="E504" t="str"><v>KE1218X04C</v></cell><cell r="F504" t="str"><v>1042</v></cell></row><row r="505"><cell r="C505" t="str"><v>CKE01218VP04DF</v></cell><cell r="D505" t="str"><v>KEEL (120-180G) VP</v></cell><cell r="E505" t="str"><v>KE1218X04F</v></cell><cell r="F505" t="str"><v>1043</v></cell></row><row r="506"><cell r="C506" t="str"><v>CKE00WIPZK12DC</v></cell><cell r="D506" t="str"><v>WIP-KEEL</v></cell><cell r="E506" t="str"><v>W-KEA</v></cell><cell r="F506" t="str"><v>1044</v></cell></row><row r="507"><cell r="C507" t="str"><v>CHT00000ZK25DC</v></cell><cell r="D507" t="str"><v>REJ-HOCK TRIM</v></cell><cell r="E507" t="str"><v>R-HOCK</v></cell><cell r="F507" t="str"><v>1046</v></cell></row><row r="508"><cell r="C508" t="str"><v>CKI00000ZK25DC</v></cell><cell r="D508" t="str"><v>REJ-KIDNEY</v></cell><cell r="E508" t="str"><v>R-KIDNEY</v></cell><cell r="F508" t="str"><v>1048</v></cell></row><row r="509"><cell r="C509" t="str"><v>CRP00000ZK25DC</v></cell><cell r="D509" t="str"><v>REJ-PROD (CUP)</v></cell><cell r="E509" t="str"><v>R-PRODCUP</v></cell><cell r="F509" t="str"><v>1050</v></cell></row><row r="510"><cell r="C510" t="str"><v>C4PC00000P08DC</v></cell><cell r="D510" t="str"><v>4 PC CUT WO SKIN X 2 BIRDS</v></cell><cell r="E510" t="str"><v>4PCWOSX2C</v></cell><cell r="F510" t="str"><v>1060</v></cell></row><row r="511"><cell r="C511" t="str"><v>C9PC0WIPZP18DC</v></cell><cell r="D511" t="str"><v>WIP-9 PC CUT</v></cell><cell r="E511" t="str"><v>W-9PCUT</v></cell><cell r="F511" t="str"><v>1064</v></cell></row><row r="512"><cell r="C512" t="str"><v>C9PCGCH00P18DF</v></cell><cell r="D512" t="str"><v>9 PC CUT X 2 BIRD GCH (WO 3JW)</v></cell><cell r="E512" t="str"><v>9PCX2FGCH</v></cell><cell r="F512" t="str"><v>1067</v></cell></row><row r="513"><cell r="C513" t="str"><v>C9PC00000P18DC</v></cell><cell r="D513" t="str"><v>9 PC CUT X 2 BIRDS</v></cell><cell r="E513" t="str"><v>9PCX2C</v></cell><cell r="F513" t="str"><v>1068</v></cell></row><row r="514"><cell r="C514" t="str"><v>C9PC00000P18DF</v></cell><cell r="D514" t="str"><v>9 PC CUT X 2 BIRDS</v></cell><cell r="E514" t="str"><v>9PCX2F</v></cell><cell r="F514" t="str"><v>1069</v></cell></row><row r="515"><cell r="C515" t="str"><v>C9PCWBM20P18DC</v></cell><cell r="D515" t="str"><v>9 PC CUT X 2 BIRDS (M2)</v></cell><cell r="E515" t="str"><v>9PCXM2C</v></cell><cell r="F515" t="str"><v>1070</v></cell></row><row r="516"><cell r="C516" t="str"><v>C9PCWBM20P18DF</v></cell><cell r="D516" t="str"><v>9 PC CUT X 2 BIRDS (M2)</v></cell><cell r="E516" t="str"><v>9PCXM2F</v></cell><cell r="F516" t="str"><v>1071</v></cell></row><row r="517"><cell r="C517" t="str"><v>C9PCMD000P18DC</v></cell><cell r="D517" t="str"><v>9 PC CUT X 2 BIRDS (QSR)</v></cell><cell r="E517" t="str"><v>9PCX2MDC</v></cell><cell r="F517" t="str"><v>1072</v></cell></row><row r="518"><cell r="C518" t="str"><v>C9PCAW000P18DC</v></cell><cell r="D518" t="str"><v>9 PC CUT X 2 BIRDS (QSR)</v></cell><cell r="E518" t="str"><v>9PCXCA&WC</v></cell><cell r="F518" t="str"><v>1074</v></cell></row><row r="519"><cell r="C519" t="str"><v>C9PCKFC00P18DC</v></cell><cell r="D519" t="str"><v>9 PCCUT CHIC - KFC HS</v></cell><cell r="E519" t="str"><v>9PCKFCHS18C</v></cell><cell r="F519" t="str"><v>1082</v></cell></row><row r="520"><cell r="C520" t="str"><v>C9PC00KFCP18DF</v></cell><cell r="D520" t="str"><v>9 PCCUT CHIC - KFC HS F</v></cell><cell r="E520" t="str"><v>9PCKFCHS18F</v></cell><cell r="F520" t="str"><v>1083</v></cell></row><row r="521"><cell r="C521" t="str"><v>C9PCKFC00P14DC</v></cell><cell r="D521" t="str"><v>9 PCCUT CHIC - KFC OR (WO 3JW)</v></cell><cell r="E521" t="str"><v>9PCKFCOR14</v></cell><cell r="F521" t="str"><v>1084</v></cell></row><row r="522"><cell r="C522" t="str"><v>C9PCKFC00P14DF</v></cell><cell r="D522" t="str"><v>9 PCCUT CHIC - KFC OR F (WO 3JW)</v></cell><cell r="E522" t="str"><v>9PCKFCOR14F</v></cell><cell r="F522" t="str"><v>1085</v></cell></row><row r="523"><cell r="C523" t="str"><v>CLG00WIPZK12DC</v></cell><cell r="D523" t="str"><v>WIP-Q LEG</v></cell><cell r="E523" t="str"><v>W-QLEG</v></cell><cell r="F523" t="str"><v>1086</v></cell></row><row r="524"><cell r="C524" t="str"><v>CLG022270K06DC</v></cell><cell r="D524" t="str"><v>QUARTER LEG (220-270G)</v></cell><cell r="E524" t="str"><v>QLEG2227C</v></cell><cell r="F524" t="str"><v>1088</v></cell></row><row r="525"><cell r="C525" t="str"><v>CLG022270K06DF</v></cell><cell r="D525" t="str"><v>QUARTER LEG (220-270G)</v></cell><cell r="E525" t="str"><v>QLEG2227F</v></cell><cell r="F525" t="str"><v>1089</v></cell></row><row r="526"><cell r="C526" t="str"><v>CLG022270P10DC</v></cell><cell r="D526" t="str"><v>QUARTER LEG (220-270G) 10PC</v></cell><cell r="E526" t="str"><v>QLEG2227X10C</v></cell><cell r="F526" t="str"><v>1090</v></cell></row><row r="527"><cell r="C527" t="str"><v>CLG022270P10DF</v></cell><cell r="D527" t="str"><v>QUARTER LEG (220-270G) 10 PC</v></cell><cell r="E527" t="str"><v>QLEG2227X10F</v></cell><cell r="F527" t="str"><v>1091</v></cell></row><row r="528"><cell r="C528" t="str"><v>CLG026340K06DC</v></cell><cell r="D528" t="str"><v>QUARTER LEG (260-340G)</v></cell><cell r="E528" t="str"><v>QLEG2634C</v></cell><cell r="F528" t="str"><v>1100</v></cell></row><row r="529"><cell r="C529" t="str"><v>CLG026340K06DF</v></cell><cell r="D529" t="str"><v>QUARTER LEG (260-340G)</v></cell><cell r="E529" t="str"><v>QLEG2634F</v></cell><cell r="F529" t="str"><v>1101</v></cell></row><row r="530"><cell r="C530" t="str"><v>CLG000300K06DC</v></cell><cell r="D530" t="str"><v>QUARTER LEG (ABV 300G)</v></cell><cell r="E530" t="str"><v>QLEGAMSC</v></cell><cell r="F530" t="str"><v>1102</v></cell></row><row r="531"><cell r="C531" t="str"><v>CRB00WIPZK12DC</v></cell><cell r="D531" t="str"><v>WIP-RIB </v></cell><cell r="E531" t="str"><v>W-RIB</v></cell><cell r="F531" t="str"><v>1104</v></cell></row><row r="532"><cell r="C532" t="str"><v>CRB015190K02DC</v></cell><cell r="D532" t="str"><v>RIB (150-190G)</v></cell><cell r="E532" t="str"><v>RIB1519C</v></cell><cell r="F532" t="str"><v>1106</v></cell></row><row r="533"><cell r="C533" t="str"><v>CRB015190K02DF</v></cell><cell r="D533" t="str"><v>RIB (150-190G)</v></cell><cell r="E533" t="str"><v>RIB1519F</v></cell><cell r="F533" t="str"><v>1107</v></cell></row><row r="534"><cell r="C534" t="str"><v>CRB019240K02DC</v></cell><cell r="D534" t="str"><v>RIB (190-240G)</v></cell><cell r="E534" t="str"><v>RIB1924C</v></cell><cell r="F534" t="str"><v>1108</v></cell></row><row r="535"><cell r="C535" t="str"><v>CRB019240K02DF</v></cell><cell r="D535" t="str"><v>RIB (190-240G)</v></cell><cell r="E535" t="str"><v>RIB1924F</v></cell><cell r="F535" t="str"><v>1109</v></cell></row><row r="536"><cell r="C536" t="str"><v>CRB01924VP04DC</v></cell><cell r="D536" t="str"><v>RIB (190-240G) VP</v></cell><cell r="E536" t="str"><v>RIB1924X04C</v></cell><cell r="F536" t="str"><v>1110</v></cell></row><row r="537"><cell r="C537" t="str"><v>CRB01924VP04DF</v></cell><cell r="D537" t="str"><v>RIB (190-240G) VP</v></cell><cell r="E537" t="str"><v>RIB1924X04F</v></cell><cell r="F537" t="str"><v>1111</v></cell></row><row r="538"><cell r="C538" t="str"><v>CBRSH2332P10DC</v></cell><cell r="D538" t="str"><v>S'LESS BREAST 1/2(230-320)10PC</v></cell><cell r="E538" t="str"><v>SWBH2332C</v></cell><cell r="F538" t="str"><v>1112</v></cell></row><row r="539"><cell r="C539" t="str"><v>CBRSH2332P10DF</v></cell><cell r="D539" t="str"><v>S'LESS BREAST 1/2(230-320)10PC</v></cell><cell r="E539" t="str"><v>SWBH2332F</v></cell><cell r="F539" t="str"><v>1113</v></cell></row><row r="540"><cell r="C540" t="str"><v>CBRSHWIPZK12DC</v></cell><cell r="D540" t="str"><v>WIP-SWBH</v></cell><cell r="E540" t="str"><v>W-SWBH</v></cell><cell r="F540" t="str"><v>1114</v></cell></row><row r="541"><cell r="C541" t="str"><v>CBR0F0000K06DC</v></cell><cell r="D541" t="str"><v>WHOLE BREAST</v></cell><cell r="E541" t="str"><v>BRSC</v></cell><cell r="F541" t="str"><v>1116</v></cell></row><row r="542"><cell r="C542" t="str"><v>CTH00WIPZK12DC</v></cell><cell r="D542" t="str"><v>WIP-THIGH </v></cell><cell r="E542" t="str"><v>W-THI</v></cell><cell r="F542" t="str"><v>1118</v></cell></row><row r="543"><cell r="C543" t="str"><v>CTH013160K02DC</v></cell><cell r="D543" t="str"><v>THIGH (130-160G)</v></cell><cell r="E543" t="str"><v>THI1316C</v></cell><cell r="F543" t="str"><v>1120</v></cell></row><row r="544"><cell r="C544" t="str"><v>CTH013160K02DF</v></cell><cell r="D544" t="str"><v>THIGH (130-160G)</v></cell><cell r="E544" t="str"><v>THI1316F</v></cell><cell r="F544" t="str"><v>1121</v></cell></row><row r="545"><cell r="C545" t="str"><v>CTH013160P20DF</v></cell><cell r="D545" t="str"><v>THIGH (130-160G) 20 PC</v></cell><cell r="E545" t="str"><v>THI1316X20F</v></cell><cell r="F545" t="str"><v>1123</v></cell></row><row r="546"><cell r="C546" t="str"><v>CTH015180P12DF</v></cell><cell r="D546" t="str"><v>THIGH (150-180G)</v></cell><cell r="E546" t="str"><v>THI1518X12F</v></cell><cell r="F546" t="str"><v>1129</v></cell></row><row r="547"><cell r="C547" t="str"><v>CTH016190K02DF</v></cell><cell r="D547" t="str"><v>THIGH (160-190G)</v></cell><cell r="E547" t="str"><v>THI1619F</v></cell><cell r="F547" t="str"><v>1131</v></cell></row><row r="548"><cell r="C548" t="str"><v>CTH016210K02DC</v></cell><cell r="D548" t="str"><v>THIGH (160-210G)</v></cell><cell r="E548" t="str"><v>THI1621C</v></cell><cell r="F548" t="str"><v>1132</v></cell></row><row r="549"><cell r="C549" t="str"><v>CTH016210K02DF</v></cell><cell r="D549" t="str"><v>THIGH (160-210G)</v></cell><cell r="E549" t="str"><v>THI1621F</v></cell><cell r="F549" t="str"><v>1133</v></cell></row><row r="550"><cell r="C550" t="str"><v>CTH016210P20DF</v></cell><cell r="D550" t="str"><v>THIGH (160-210G) 20 PC</v></cell><cell r="E550" t="str"><v>THI1621X20F</v></cell><cell r="F550" t="str"><v>1135</v></cell></row><row r="551"><cell r="C551" t="str"><v>CTH01621VP04DC</v></cell><cell r="D551" t="str"><v>THIGH (160-210G) VP</v></cell><cell r="E551" t="str"><v>THI1621X04C</v></cell><cell r="F551" t="str"><v>1136</v></cell></row><row r="552"><cell r="C552" t="str"><v>CTH01621VP04DF</v></cell><cell r="D552" t="str"><v>THIGH (160-210G) VP</v></cell><cell r="E552" t="str"><v>THI1621X04F</v></cell><cell r="F552" t="str"><v>1137</v></cell></row><row r="553"><cell r="C553" t="str"><v>CWP00000ZK25DC</v></cell><cell r="D553" t="str"><v>WIP-WPP</v></cell><cell r="E553" t="str"><v>W-WPP</v></cell><cell r="F553" t="str"><v>1138</v></cell></row><row r="554"><cell r="C554" t="str"><v>C8PC0TEXZP16DC</v></cell><cell r="D554" t="str"><v>M-8 PC CUT X 2 BIRDS TEXAS</v></cell><cell r="E554" t="str"><v>M-8PCX2TEXC</v></cell><cell r="F554" t="str"><v>1140</v></cell></row><row r="555"><cell r="C555" t="str"><v>C9PC00WDZP18DC</v></cell><cell r="D555" t="str"><v>M-9 PC CUT X 2 BIRDS WENDY</v></cell><cell r="E555" t="str"><v>M-9PCX2WDC</v></cell><cell r="F555" t="str"><v>1142</v></cell></row><row r="556"><cell r="C556" t="str"><v>C9PCMD00ZP18DC</v></cell><cell r="D556" t="str"><v>M-9 PC CUT X 2 BIRDS MCD</v></cell><cell r="E556" t="str"><v>M-9PCX2MDC</v></cell><cell r="F556" t="str"><v>1144</v></cell></row><row r="557"><cell r="C557" t="str"><v>C9PCMDSTZP18DC</v></cell><cell r="D557" t="str"><v>M-9 PC CUT X 2 BIRDS MCD SLIT</v></cell><cell r="E557" t="str"><v>M-9PCX2MDSLTC</v></cell><cell r="F557" t="str"><v>1146</v></cell></row><row r="558"><cell r="C558" t="str"><v>C9PCAW00ZP18DC</v></cell><cell r="D558" t="str"><v>M-9 PC CUT X 2 BIRDS A&W</v></cell><cell r="E558" t="str"><v>M-9PCXCAWC</v></cell><cell r="F558" t="str"><v>1148</v></cell></row><row r="559"><cell r="C559" t="str"><v>CLG2227KZP10DC</v></cell><cell r="D559" t="str"><v>M-QUARTER LEG (220-270G) 10PC KRR</v></cell><cell r="E559" t="str"><v>M-QLEG2227KRRC</v></cell><cell r="F559" t="str"><v>1150</v></cell></row><row r="560"><cell r="C560" t="str"><v>CLG02528ZP10DC</v></cell><cell r="D560" t="str"><v>M-QUARTER LEG (250-280G) 10PC EK</v></cell><cell r="E560" t="str"><v>M-QLEG2528EKC</v></cell><cell r="F560" t="str"><v>1152</v></cell></row><row r="561"><cell r="C561" t="str"><v>CLG02227ZP10DC</v></cell><cell r="D561" t="str"><v>M-QUARTER LEG (220-270G) 10PC MAR</v></cell><cell r="E561" t="str"><v>M-QLEG2227C</v></cell><cell r="F561" t="str"><v>1154</v></cell></row><row r="562"><cell r="C562" t="str"><v>CSLG2227ZP10DC</v></cell><cell r="D562" t="str"><v>M-SKINLESS QUARTER LEG (260-340G) 10PC KRR</v></cell><cell r="E562" t="str"><v>M-SLQLEG2634KRRC</v></cell><cell r="F562" t="str"><v>1156</v></cell></row><row r="563"><cell r="C563" t="str"><v>CTH01316ZK12DC</v></cell><cell r="D563" t="str"><v>M-THIGH  (130-160G) EK</v></cell><cell r="E563" t="str"><v>M-THI1316EKC</v></cell><cell r="F563" t="str"><v>1158</v></cell></row><row r="564"><cell r="C564" t="str"><v>CTH01316ZP20DC</v></cell><cell r="D564" t="str"><v>M-THIGH (130-160G) 20PC NYONYA</v></cell><cell r="E564" t="str"><v>M-THI1316X20NYAC</v></cell><cell r="F564" t="str"><v>1160</v></cell></row><row r="565"><cell r="C565" t="str"><v>P2JWF0000K02DC</v></cell><cell r="D565" t="str"><v>2 JOINT WING</v></cell><cell r="E565" t="str"><v>2JWAC</v></cell><cell r="F565" t="str"><v>2000</v></cell></row><row r="566"><cell r="C566" t="str"><v>P2JWF0000K02DF</v></cell><cell r="D566" t="str"><v>2 JOINT WING</v></cell><cell r="E566" t="str"><v>2JWAF</v></cell><cell r="F566" t="str"><v>2001</v></cell></row><row r="567"><cell r="C567" t="str"><v>CDS0081BZK12DC</v></cell><cell r="D567" t="str"><v>FP-DRUMSTICK B </v></cell><cell r="E567" t="str"><v>FP-DSB</v></cell><cell r="F567" t="str"><v>2002</v></cell></row><row r="568"><cell r="C568" t="str"><v>P2JWF0HSZK12DC</v></cell><cell r="D568" t="str"><v>FP-2 JOINT WING HS </v></cell><cell r="E568" t="str"><v>FP-2JWAHS</v></cell><cell r="F568" t="str"><v>2004</v></cell></row><row r="569"><cell r="C569" t="str"><v>P3JW0911ZK12DC</v></cell><cell r="D569" t="str"><v>M-3 JOINT WING JC (90-110G) NANDOS</v></cell><cell r="E569" t="str"><v>M-3JWJ0911NDC</v></cell><cell r="F569" t="str"><v>2006</v></cell></row><row r="570"><cell r="C570" t="str"><v>P3JW00000K02PF</v></cell><cell r="D570" t="str"><v>3 JOINT WING FRZ (PURCHASE)</v></cell><cell r="E570" t="str"><v>3JWPF</v></cell><cell r="F570" t="str"><v>2007</v></cell></row><row r="571"><cell r="C571" t="str"><v>P3JW07090K02DC</v></cell><cell r="D571" t="str"><v>3 JOINT WING JC (70-90G)</v></cell><cell r="E571" t="str"><v>3JWJ0709C</v></cell><cell r="F571" t="str"><v>2008</v></cell></row><row r="572"><cell r="C572" t="str"><v>P3JW07090K02DF</v></cell><cell r="D572" t="str"><v>3 JOINT WING JC (70-90G)</v></cell><cell r="E572" t="str"><v>3JWJ0709F</v></cell><cell r="F572" t="str"><v>2009</v></cell></row><row r="573"><cell r="C573" t="str"><v>P3JW08100K02DC</v></cell><cell r="D573" t="str"><v>3 JOINT WING JC (80-100G)</v></cell><cell r="E573" t="str"><v>3JWJ0810C</v></cell><cell r="F573" t="str"><v>2010</v></cell></row><row r="574"><cell r="C574" t="str"><v>P3JW08100K02DF</v></cell><cell r="D574" t="str"><v>3 JOINT WING JC (80-100G)</v></cell><cell r="E574" t="str"><v>3JWJ0810F</v></cell><cell r="F574" t="str"><v>2011</v></cell></row><row r="575"><cell r="C575" t="str"><v>P3JWSFPDZK12DC</v></cell><cell r="D575" t="str"><v>FP-3 JOINT WING JC B </v></cell><cell r="E575" t="str"><v>FP-3JWJCB</v></cell><cell r="F575" t="str"><v>2014</v></cell></row><row r="576"><cell r="C576" t="str"><v>P3JWLTGIFK02DF</v></cell><cell r="D576" t="str"><v>3 JOINT WING JCL (TGIF)</v></cell><cell r="E576" t="str"><v>3JWJCLTGIF</v></cell><cell r="F576" t="str"><v>2017</v></cell></row><row r="577"><cell r="C577" t="str"><v>PDMTF0000K02DC</v></cell><cell r="D577" t="str"><v>DRUMMET</v></cell><cell r="E577" t="str"><v>DMETAC</v></cell><cell r="F577" t="str"><v>2018</v></cell></row><row r="578"><cell r="C578" t="str"><v>PDMTF0000K02DF</v></cell><cell r="D578" t="str"><v>DRUMMET</v></cell><cell r="E578" t="str"><v>DMETAF</v></cell><cell r="F578" t="str"><v>2019</v></cell></row><row r="579"><cell r="C579" t="str"><v>PDMT03446K02DC</v></cell><cell r="D579" t="str"><v>DRUMMET (34-46G)</v></cell><cell r="E579" t="str"><v>DMET3446C</v></cell><cell r="F579" t="str"><v>2020</v></cell></row><row r="580"><cell r="C580" t="str"><v>PDMT04050K02DF</v></cell><cell r="D580" t="str"><v>DRUMMET (40-50G)</v></cell><cell r="E580" t="str"><v>DMET4050F</v></cell><cell r="F580" t="str"><v>2023</v></cell></row><row r="581"><cell r="C581" t="str"><v>PDMTFBRDZK12DC</v></cell><cell r="D581" t="str"><v>FP-DRUMMET BRD </v></cell><cell r="E581" t="str"><v>FP-DMETBRD</v></cell><cell r="F581" t="str"><v>2026</v></cell></row><row r="582"><cell r="C582" t="str"><v>PDMTFFPDZK12DC</v></cell><cell r="D582" t="str"><v>FP-DRUMMET </v></cell><cell r="E582" t="str"><v>FP-DMETA</v></cell><cell r="F582" t="str"><v>2028</v></cell></row><row r="583"><cell r="C583" t="str"><v>PDMTMF000150DC</v></cell><cell r="D583" t="str"><v>DRUMMET MF (38-50G) 150PC</v></cell><cell r="E583" t="str"><v>DMETMFC</v></cell><cell r="F583" t="str"><v>2030</v></cell></row><row r="584"><cell r="C584" t="str"><v>P3JW00BRUK02DF</v></cell><cell r="D584" t="str"><v>MARINATED CHICKEN WING (JC)</v></cell><cell r="E584" t="str"><v>3JWJBRUNEIF</v></cell><cell r="F584" t="str"><v>2033</v></cell></row><row r="585"><cell r="C585" t="str"><v>PMJWF0000K02DC</v></cell><cell r="D585" t="str"><v>MID JOINT WING</v></cell><cell r="E585" t="str"><v>MIDJWC</v></cell><cell r="F585" t="str"><v>2034</v></cell></row><row r="586"><cell r="C586" t="str"><v>PMJWF0000K02DF</v></cell><cell r="D586" t="str"><v>MID JOINT WING</v></cell><cell r="E586" t="str"><v>MIDJWF</v></cell><cell r="F586" t="str"><v>2035</v></cell></row><row r="587"><cell r="C587" t="str"><v>PMJW02636K02DC</v></cell><cell r="D587" t="str"><v>MID JOINT WING (26-36G)</v></cell><cell r="E587" t="str"><v>MIDJW2636C</v></cell><cell r="F587" t="str"><v>2036</v></cell></row><row r="588"><cell r="C588" t="str"><v>PMJWF00FZK12DC</v></cell><cell r="D588" t="str"><v>FP-MID JOINT WING </v></cell><cell r="E588" t="str"><v>FP-MIDJW</v></cell><cell r="F588" t="str"><v>2040</v></cell></row><row r="589"><cell r="C589" t="str"><v>PMJWMF000150DC</v></cell><cell r="D589" t="str"><v>MID JOINT WING MF(30-40)150PC</v></cell><cell r="E589" t="str"><v>MIDJWMFC</v></cell><cell r="F589" t="str"><v>2042</v></cell></row><row r="590"><cell r="C590" t="str"><v>GREJTIPFZK25DC</v></cell><cell r="D590" t="str"><v>REJ-WING TIP</v></cell><cell r="E590" t="str"><v>R-WINGTIP</v></cell><cell r="F590" t="str"><v>2044</v></cell></row><row r="591"><cell r="C591" t="str"><v>PDMTF000ZK25DC</v></cell><cell r="D591" t="str"><v>WIP-DRUMMET</v></cell><cell r="E591" t="str"><v>W-DRUMMET</v></cell><cell r="F591" t="str"><v>2046</v></cell></row><row r="592"><cell r="C592" t="str"><v>PMJWF000ZK25DC</v></cell><cell r="D592" t="str"><v>WIP-MID JOINT WING</v></cell><cell r="E592" t="str"><v>W-MJWA</v></cell><cell r="F592" t="str"><v>2048</v></cell></row><row r="593"><cell r="C593" t="str"><v>P3JW0000ZK25DC</v></cell><cell r="D593" t="str"><v>WIP-WING JC</v></cell><cell r="E593" t="str"><v>W-WINGJC</v></cell><cell r="F593" t="str"><v>2050</v></cell></row><row r="594"><cell r="C594" t="str"><v>GREJDEBRZK25DC</v></cell><cell r="D594" t="str"><v>REJ-PROD (DEB)</v></cell><cell r="E594" t="str"><v>R-PRODDEB</v></cell><cell r="F594" t="str"><v>2052</v></cell></row><row r="595"><cell r="C595" t="str"><v>BBRSF00FZK12DC</v></cell><cell r="D595" t="str"><v>FP- S'LESS B'LESS BREAST </v></cell><cell r="E595" t="str"><v>FP-BSLBRSA</v></cell><cell r="F595" t="str"><v>2200</v></cell></row><row r="596"><cell r="C596" t="str"><v>BBR0F0000K02DC</v></cell><cell r="D596" t="str"><v>BONELESS BREAST</v></cell><cell r="E596" t="str"><v>BLBRSAC</v></cell><cell r="F596" t="str"><v>2202</v></cell></row><row r="597"><cell r="C597" t="str"><v>BBR0F0000K02DF</v></cell><cell r="D597" t="str"><v>BONELESS BREAST</v></cell><cell r="E597" t="str"><v>BLBRSAF</v></cell><cell r="F597" t="str"><v>2203</v></cell></row><row r="598"><cell r="C598" t="str"><v>BBRS7585ZP20DC</v></cell><cell r="D598" t="str"><v>M-S'LESS B'LESS BREAST (7585G) A&W</v></cell><cell r="E598" t="str"><v>M-BSB7585AWC</v></cell><cell r="F598" t="str"><v>2204</v></cell></row><row r="599"><cell r="C599" t="str"><v>BBR0F000ZK25DC</v></cell><cell r="D599" t="str"><v>WIP-BONELESS BREAST</v></cell><cell r="E599" t="str"><v>W-BLBRS</v></cell><cell r="F599" t="str"><v>2206</v></cell></row><row r="600"><cell r="C600" t="str"><v>BBBRF0000K02PF</v></cell><cell r="D600" t="str"><v>BONELESS WHOLE BREAST</v></cell><cell r="E600" t="str"><v>BLWBRSPF</v></cell><cell r="F600" t="str"><v>2207</v></cell></row><row r="601"><cell r="C601" t="str"><v>BBR0FTRFZK15DC</v></cell><cell r="D601" t="str"><v>FP-BREAST TRIM </v></cell><cell r="E601" t="str"><v>FP-BRSTRIM</v></cell><cell r="F601" t="str"><v>2208</v></cell></row><row r="602"><cell r="C602" t="str"><v>BBR0FTRWZK15DC</v></cell><cell r="D602" t="str"><v>FP-BREAST TRIM WING </v></cell><cell r="E602" t="str"><v>FP-BRSTRIMWG</v></cell><cell r="F602" t="str"><v>2210</v></cell></row><row r="603"><cell r="C603" t="str"><v>BBR0FTRIMK05DC</v></cell><cell r="D603" t="str"><v>BREAST TRIMMING</v></cell><cell r="E603" t="str"><v>BRSTRIMC</v></cell><cell r="F603" t="str"><v>2212</v></cell></row><row r="604"><cell r="C604" t="str"><v>BBR0FTRIMK05DF</v></cell><cell r="D604" t="str"><v>BREAST TRIMMING</v></cell><cell r="E604" t="str"><v>BRSTRIMF</v></cell><cell r="F604" t="str"><v>2213</v></cell></row><row r="605"><cell r="C605" t="str"><v>BBRSF3540K02DF</v></cell><cell r="D605" t="str"><v>S'LESS BLBRS FILLET (35-40G)</v></cell><cell r="E605" t="str"><v>SBBFIL3540F</v></cell><cell r="F605" t="str"><v>2215</v></cell></row><row r="606"><cell r="C606" t="str"><v>BBRSF0000K02DC</v></cell><cell r="D606" t="str"><v>S'LESS B'LESS BREAST</v></cell><cell r="E606" t="str"><v>BSLBRSAC</v></cell><cell r="F606" t="str"><v>2216</v></cell></row><row r="607"><cell r="C607" t="str"><v>BBRSF0000K02DF</v></cell><cell r="D607" t="str"><v>S'LESS B'LESS BREAST</v></cell><cell r="E607" t="str"><v>BSLBRSAF</v></cell><cell r="F607" t="str"><v>2217</v></cell></row><row r="608"><cell r="C608" t="str"><v>BBRSMF000K05DC</v></cell><cell r="D608" t="str"><v>S'LESS B'LESS BREAST</v></cell><cell r="E608" t="str"><v>BSLBRSMFC</v></cell><cell r="F608" t="str"><v>2218</v></cell></row><row r="609"><cell r="C609" t="str"><v>BBRSMF000K04DC</v></cell><cell r="D609" t="str"><v>S'LESS B'LESS BREAST</v></cell><cell r="E609" t="str"><v>BSLBRSMFK04C</v></cell><cell r="F609" t="str"><v>2220</v></cell></row><row r="610"><cell r="C610" t="str"><v>BBRSMF000K04DF</v></cell><cell r="D610" t="str"><v>S'LESS B'LESS BREAST</v></cell><cell r="E610" t="str"><v>BSLBRSMFK04F</v></cell><cell r="F610" t="str"><v>2221</v></cell></row><row r="611"><cell r="C611" t="str"><v>BBRSMF02CK02DF</v></cell><cell r="D611" t="str"><v>S'LESS B'LESS BREAST (2 CUT)</v></cell><cell r="E611" t="str"><v>BSLBRSMF2PF</v></cell><cell r="F611" t="str"><v>2223</v></cell></row><row r="612"><cell r="C612" t="str"><v>BBRS12150K02DC</v></cell><cell r="D612" t="str"><v>S'LESS B'LESS BREAST 120-150G</v></cell><cell r="E612" t="str"><v>BSB12150C</v></cell><cell r="F612" t="str"><v>2228</v></cell></row><row r="613"><cell r="C613" t="str"><v>BBRS12150K02DF</v></cell><cell r="D613" t="str"><v>S'LESS B'LESS BREAST 120-150G</v></cell><cell r="E613" t="str"><v>BSB12150F</v></cell><cell r="F613" t="str"><v>2229</v></cell></row><row r="614"><cell r="C614" t="str"><v>BBRS1821FK02DC</v></cell><cell r="D614" t="str"><v>S'LESS B'LESS BREAST BFLY</v></cell><cell r="E614" t="str"><v>BSB1821C</v></cell><cell r="F614" t="str"><v>2232</v></cell></row><row r="615"><cell r="C615" t="str"><v>BBRS1821FK02DF</v></cell><cell r="D615" t="str"><v>S'LESS B'LESS BREAST BFLY</v></cell><cell r="E615" t="str"><v>BSB1821F</v></cell><cell r="F615" t="str"><v>2233</v></cell></row><row r="616"><cell r="C616" t="str"><v>BBRS2325FK06DC</v></cell><cell r="D616" t="str"><v>S'LESS B'LESS BREAST BFLY</v></cell><cell r="E616" t="str"><v>BSB2325FLYC</v></cell><cell r="F616" t="str"><v>2234</v></cell></row><row r="617"><cell r="C617" t="str"><v>BBRS2325FK06DF</v></cell><cell r="D617" t="str"><v>S'LESS B'LESS BREAST BFLY</v></cell><cell r="E617" t="str"><v>BSB2325FLYF</v></cell><cell r="F617" t="str"><v>2235</v></cell></row><row r="618"><cell r="C618" t="str"><v>BBRSFCHRZK12DC</v></cell><cell r="D618" t="str"><v>FP-S'LESS B'LESS BREAST CUBE HR </v></cell><cell r="E618" t="str"><v>FP-BSLBRSCUBEHR</v></cell><cell r="F618" t="str"><v>2236</v></cell></row><row r="619"><cell r="C619" t="str"><v>BBRSF0PCZK12DC</v></cell><cell r="D619" t="str"><v>FP-S'LESS B'LESS BREAST P.CORN </v></cell><cell r="E619" t="str"><v>FP-BSLBRSPCORN</v></cell><cell r="F619" t="str"><v>2238</v></cell></row><row r="620"><cell r="C620" t="str"><v>BBRSF000ZK25DC</v></cell><cell r="D620" t="str"><v>WIP-S'LESS B'LESS BREAST</v></cell><cell r="E620" t="str"><v>W-BSLBRS</v></cell><cell r="F620" t="str"><v>2240</v></cell></row><row r="621"><cell r="C621" t="str"><v>BBRS16180K05DC</v></cell><cell r="D621" t="str"><v>S'LESS B'LESS BREAST(160-180G)</v></cell><cell r="E621" t="str"><v>BSB1618C</v></cell><cell r="F621" t="str"><v>2242</v></cell></row><row r="622"><cell r="C622" t="str"><v>BBRS16180K05DF</v></cell><cell r="D622" t="str"><v>S'LESS B'LESS BREAST(160-180G)</v></cell><cell r="E622" t="str"><v>BSB1618F</v></cell><cell r="F622" t="str"><v>2243</v></cell></row><row r="623"><cell r="C623" t="str"><v>BBRS07595P24DF</v></cell><cell r="D623" t="str"><v>S'LESS B'LESS BRS (75-95G)24P</v></cell><cell r="E623" t="str"><v>BSB7595X24F</v></cell><cell r="F623" t="str"><v>2245</v></cell></row><row r="624"><cell r="C624" t="str"><v>BBRS1823FK02DF</v></cell><cell r="D624" t="str"><v>S'LESS B'LESS BRS BFLY180-236G</v></cell><cell r="E624" t="str"><v>BSB1823F</v></cell><cell r="F624" t="str"><v>2247</v></cell></row><row r="625"><cell r="C625" t="str"><v>BBR02325ZK12DC</v></cell><cell r="D625" t="str"><v>M-BONELESS BREAST (230-250G) NANDOS</v></cell><cell r="E625" t="str"><v>M-BLBRS2325NDC</v></cell><cell r="F625" t="str"><v>2248</v></cell></row><row r="626"><cell r="C626" t="str"><v>BFL0F0000K02PF</v></cell><cell r="D626" t="str"><v>CHICKEN FILLET</v></cell><cell r="E626" t="str"><v>FILAPF</v></cell><cell r="F626" t="str"><v>2249</v></cell></row><row r="627"><cell r="C627" t="str"><v>BFL0F0000K02DC</v></cell><cell r="D627" t="str"><v>FILLET</v></cell><cell r="E627" t="str"><v>FILAC</v></cell><cell r="F627" t="str"><v>2250</v></cell></row><row r="628"><cell r="C628" t="str"><v>BFL0F0000K02DF</v></cell><cell r="D628" t="str"><v>FILLET</v></cell><cell r="E628" t="str"><v>FILAF</v></cell><cell r="F628" t="str"><v>2251</v></cell></row><row r="629"><cell r="C629" t="str"><v>BBRSF0NDZK12DC</v></cell><cell r="D629" t="str"><v>M-S'LESS B'LESS BREAST (120-135G) NANDOS</v></cell><cell r="E629" t="str"><v>M-BSB1213NDC</v></cell><cell r="F629" t="str"><v>2252</v></cell></row><row r="630"><cell r="C630" t="str"><v>BFL0MEATZK02DC</v></cell><cell r="D630" t="str"><v>FP-FILLET MEAT</v></cell><cell r="E630" t="str"><v>FP-FILMEAT</v></cell><cell r="F630" t="str"><v>2253</v></cell></row><row r="631"><cell r="C631" t="str"><v>BFL004047K02DF</v></cell><cell r="D631" t="str"><v>FILLET (40-47G)</v></cell><cell r="E631" t="str"><v>FILACC</v></cell><cell r="F631" t="str"><v>2254</v></cell></row><row r="632"><cell r="C632" t="str"><v>BFL003540K02DF</v></cell><cell r="D632" t="str"><v>FILLET (35-40G)</v></cell><cell r="E632" t="str"><v>FIL3540F</v></cell><cell r="F632" t="str"><v>2255</v></cell></row><row r="633"><cell r="C633" t="str"><v>BBRSF354ZK12DC</v></cell><cell r="D633" t="str"><v>M-S'LESS B'LESS BREAST FIL (35-54G) TEXAS</v></cell><cell r="E633" t="str"><v>M-SBBFIL3554TEXC</v></cell><cell r="F633" t="str"><v>2256</v></cell></row><row r="634"><cell r="C634" t="str"><v>BFL0FFINZK12DC</v></cell><cell r="D634" t="str"><v>FP-FILLET FINGER</v></cell><cell r="E634" t="str"><v>FP-FILFINGER</v></cell><cell r="F634" t="str"><v>2260</v></cell></row><row r="635"><cell r="C635" t="str"><v>BFL0FTAYZK12DC</v></cell><cell r="D635" t="str"><v>FP-FILLET SATAY</v></cell><cell r="E635" t="str"><v>FP-FILSATAY</v></cell><cell r="F635" t="str"><v>2262</v></cell></row><row r="636"><cell r="C636" t="str"><v>BFL0F000ZK25DC</v></cell><cell r="D636" t="str"><v>WIP-FILLET</v></cell><cell r="E636" t="str"><v>W-FIL</v></cell><cell r="F636" t="str"><v>2264</v></cell></row><row r="637"><cell r="C637" t="str"><v>BFL0FWOTZK12DC</v></cell><cell r="D637" t="str"><v>FP-FILLET WOT</v></cell><cell r="E637" t="str"><v>FP-FILAWOT</v></cell><cell r="F637" t="str"><v>2266</v></cell></row><row r="638"><cell r="C638" t="str"><v>BFL02035ZK12DC</v></cell><cell r="D638" t="str"><v>M-FILLET (20-35G) NANDO'S</v></cell><cell r="E638" t="str"><v>M-FIL2035NDC</v></cell><cell r="F638" t="str"><v>2268</v></cell></row><row r="639"><cell r="C639" t="str"><v>BFL03554ZK12DC</v></cell><cell r="D639" t="str"><v>M-FILLET (35-54G) TEXAS</v></cell><cell r="E639" t="str"><v>M-FIL3554TEXC</v></cell><cell r="F639" t="str"><v>2270</v></cell></row><row r="640"><cell r="C640" t="str"><v>BLG0F0000K02DC</v></cell><cell r="D640" t="str"><v>BONELESS LEG</v></cell><cell r="E640" t="str"><v>BLLEGAC</v></cell><cell r="F640" t="str"><v>2400</v></cell></row><row r="641"><cell r="C641" t="str"><v>BLG0F0000K02DF</v></cell><cell r="D641" t="str"><v>BONELESS LEG</v></cell><cell r="E641" t="str"><v>BLLEGAF</v></cell><cell r="F641" t="str"><v>2401</v></cell></row><row r="642"><cell r="C642" t="str"><v>BLG018230K02DF</v></cell><cell r="D642" t="str"><v>BONELESS LEG (1823) FRZ</v></cell><cell r="E642" t="str"><v>BLLEG1823F</v></cell><cell r="F642" t="str"><v>2403</v></cell></row><row r="643"><cell r="C643" t="str"><v>BLG0F000ZK25DC</v></cell><cell r="D643" t="str"><v>WIP-BONELESS LEG</v></cell><cell r="E643" t="str"><v>W-BLLEG</v></cell><cell r="F643" t="str"><v>2404</v></cell></row><row r="644"><cell r="C644" t="str"><v>BCH019220K02DF</v></cell><cell r="D644" t="str"><v>CHICKEN CHOP (190-220G)</v></cell><cell r="E644" t="str"><v>CHOP1922F</v></cell><cell r="F644" t="str"><v>2407</v></cell></row><row r="645"><cell r="C645" t="str"><v>BCH0192JZK06DF</v></cell><cell r="D645" t="str"><v>FP-CHOP J </v></cell><cell r="E645" t="str"><v>FP-CHOPJ</v></cell><cell r="F645" t="str"><v>2423</v></cell></row><row r="646"><cell r="C646" t="str"><v>BLG0FTRCZK15DC</v></cell><cell r="D646" t="str"><v>FP-LEG TRIM CUBE </v></cell><cell r="E646" t="str"><v>FP-LEGTRIMCUBE</v></cell><cell r="F646" t="str"><v>2424</v></cell></row><row r="647"><cell r="C647" t="str"><v>BLG0FTRFZK15DC</v></cell><cell r="D647" t="str"><v>FP-LEG TRIM </v></cell><cell r="E647" t="str"><v>FP-LEGTRIM</v></cell><cell r="F647" t="str"><v>2426</v></cell></row><row r="648"><cell r="C648" t="str"><v>BLG0FTRIMK05DC</v></cell><cell r="D648" t="str"><v>LEG TRIMMINGS</v></cell><cell r="E648" t="str"><v>LEGTRIMC</v></cell><cell r="F648" t="str"><v>2428</v></cell></row><row r="649"><cell r="C649" t="str"><v>BLG0FTRIMK05DF</v></cell><cell r="D649" t="str"><v>LEG TRIMMINGS</v></cell><cell r="E649" t="str"><v>LEGTRIMF</v></cell><cell r="F649" t="str"><v>2429</v></cell></row><row r="650"><cell r="C650" t="str"><v>BLGSFBSDZK12DC</v></cell><cell r="D650" t="str"><v>FP-S'LESS B'LESS DRUMSTICK </v></cell><cell r="E650" t="str"><v>FP-BSDS</v></cell><cell r="F650" t="str"><v>2430</v></cell></row><row r="651"><cell r="C651" t="str"><v>BLGSF0000K02DC</v></cell><cell r="D651" t="str"><v>S'LESS B'LESS LEG</v></cell><cell r="E651" t="str"><v>BSLLEGAC</v></cell><cell r="F651" t="str"><v>2432</v></cell></row><row r="652"><cell r="C652" t="str"><v>BLGSF0000K02DF</v></cell><cell r="D652" t="str"><v>S'LESS B'LESS LEG</v></cell><cell r="E652" t="str"><v>BSLLEGAF</v></cell><cell r="F652" t="str"><v>2433</v></cell></row><row r="653"><cell r="C653" t="str"><v>BLGSMF000K05DC</v></cell><cell r="D653" t="str"><v>S'LESS B'LESS LEG</v></cell><cell r="E653" t="str"><v>BSLLEGMFC</v></cell><cell r="F653" t="str"><v>2434</v></cell></row><row r="654"><cell r="C654" t="str"><v>BLGSF00FZK12DC</v></cell><cell r="D654" t="str"><v>FP-S'LESS B'LESS LEG </v></cell><cell r="E654" t="str"><v>FP-BSLLEGA</v></cell><cell r="F654" t="str"><v>2436</v></cell></row><row r="655"><cell r="C655" t="str"><v>BLGSFTAYZK12DC</v></cell><cell r="D655" t="str"><v>FP-S'LESS B'LESS LEG SATAY </v></cell><cell r="E655" t="str"><v>FP-BSLLEGSATAY</v></cell><cell r="F655" t="str"><v>2438</v></cell></row><row r="656"><cell r="C656" t="str"><v>BLGSF000ZK25DC</v></cell><cell r="D656" t="str"><v>WIP-S'LESS B'LESS LEG</v></cell><cell r="E656" t="str"><v>W-BSLLEG</v></cell><cell r="F656" t="str"><v>2440</v></cell></row><row r="657"><cell r="C657" t="str"><v>BTH0F0000K02DC</v></cell><cell r="D657" t="str"><v>BONELESS THIGH</v></cell><cell r="E657" t="str"><v>BLTHIAC</v></cell><cell r="F657" t="str"><v>2442</v></cell></row><row r="658"><cell r="C658" t="str"><v>BTH0F0000K02DF</v></cell><cell r="D658" t="str"><v>BONELESS THIGH</v></cell><cell r="E658" t="str"><v>BLTHIAF</v></cell><cell r="F658" t="str"><v>2443</v></cell></row><row r="659"><cell r="C659" t="str"><v>BTH007585K04DC</v></cell><cell r="D659" t="str"><v>BONELESS THIGH (75-85G)</v></cell><cell r="E659" t="str"><v>BT7585MFC</v></cell><cell r="F659" t="str"><v>2444</v></cell></row><row r="660"><cell r="C660" t="str"><v>BTH007585P12DF</v></cell><cell r="D660" t="str"><v>BONELESS THIGH (75-85G) 12PC</v></cell><cell r="E660" t="str"><v>SBT758512F</v></cell><cell r="F660" t="str"><v>2445</v></cell></row><row r="661"><cell r="C661" t="str"><v>BTH009100P10DC</v></cell><cell r="D661" t="str"><v>BONELESS THIGH (90-100G) 10PC</v></cell><cell r="E661" t="str"><v>SBT0910C</v></cell><cell r="F661" t="str"><v>2446</v></cell></row><row r="662"><cell r="C662" t="str"><v>BTH009100K06DF</v></cell><cell r="D662" t="str"><v>BONELESS THIGH (90-100G) FRZ</v></cell><cell r="E662" t="str"><v>BT0910MFK06F</v></cell><cell r="F662" t="str"><v>2447</v></cell></row><row r="663"><cell r="C663" t="str"><v>BTH0CU020K02DF</v></cell><cell r="D663" t="str"><v>BONELESS THIGH CUBE (20GM)</v></cell><cell r="E663" t="str"><v>BLTHICU20F</v></cell><cell r="F663" t="str"><v>2449</v></cell></row><row r="664"><cell r="C664" t="str"><v>BTH0F00DZK12DC</v></cell><cell r="D664" t="str"><v>FP-BONELESS THIGH </v></cell><cell r="E664" t="str"><v>FP-BLTHIADLITE</v></cell><cell r="F664" t="str"><v>2450</v></cell></row><row r="665"><cell r="C665" t="str"><v>BTH005565K06DF</v></cell><cell r="D665" t="str"><v>BONELESS THIGH FROZEN (55-65G)</v></cell><cell r="E665" t="str"><v>BT5565MFK06F</v></cell><cell r="F665" t="str"><v>2453</v></cell></row><row r="666"><cell r="C666" t="str"><v>BTH0F000ZK25DC</v></cell><cell r="D666" t="str"><v>WIP-BONELESS THIGH</v></cell><cell r="E666" t="str"><v>W-BLTHI</v></cell><cell r="F666" t="str"><v>2454</v></cell></row><row r="667"><cell r="C667" t="str"><v>BTHSF0000K02DC</v></cell><cell r="D667" t="str"><v>S'LESS B'LESS THIGH</v></cell><cell r="E667" t="str"><v>BSLTHIAC</v></cell><cell r="F667" t="str"><v>2456</v></cell></row><row r="668"><cell r="C668" t="str"><v>BTHSF0000K02DF</v></cell><cell r="D668" t="str"><v>S'LESS B'LESS THIGH</v></cell><cell r="E668" t="str"><v>BSLTHIAF</v></cell><cell r="F668" t="str"><v>2457</v></cell></row><row r="669"><cell r="C669" t="str"><v>BTHSMF000K04DC</v></cell><cell r="D669" t="str"><v>S'LESS B'LESS THIGH</v></cell><cell r="E669" t="str"><v>BSLTHIMFK04C</v></cell><cell r="F669" t="str"><v>2458</v></cell></row><row r="670"><cell r="C670" t="str"><v>BTHSMF000K04DF</v></cell><cell r="D670" t="str"><v>S'LESS B'LESS THIGH</v></cell><cell r="E670" t="str"><v>BSLTHIMFK04F</v></cell><cell r="F670" t="str"><v>2459</v></cell></row><row r="671"><cell r="C671" t="str"><v>BTHSMF02CK02DF</v></cell><cell r="D671" t="str"><v>S'LESS B'LESS THIGH (2 CUT)</v></cell><cell r="E671" t="str"><v>BSLTHIMF2PF</v></cell><cell r="F671" t="str"><v>2461</v></cell></row><row r="672"><cell r="C672" t="str"><v>BTHSMF0FFK04DC</v></cell><cell r="D672" t="str"><v>S'LESS B'LESS THIGH (FAT FREE)</v></cell><cell r="E672" t="str"><v>BSLTHIFFMFK04C</v></cell><cell r="F672" t="str"><v>2462</v></cell></row><row r="673"><cell r="C673" t="str"><v>BTHSF00FZK12DC</v></cell><cell r="D673" t="str"><v>FP-S'LESS B'LESS THIGH </v></cell><cell r="E673" t="str"><v>FP-BSLTHIA</v></cell><cell r="F673" t="str"><v>2470</v></cell></row><row r="674"><cell r="C674" t="str"><v>BTHSF000ZK25DC</v></cell><cell r="D674" t="str"><v>WIP-S'LESS B'LESS THIGH</v></cell><cell r="E674" t="str"><v>W-BSLTHI</v></cell><cell r="F674" t="str"><v>2474</v></cell></row><row r="675"><cell r="C675" t="str"><v>BTHS07595P24DF</v></cell><cell r="D675" t="str"><v>S'LESS B'LESS THIGH(75-95G)24P</v></cell><cell r="E675" t="str"><v>BST7595X24F</v></cell><cell r="F675" t="str"><v>2477</v></cell></row><row r="676"><cell r="C676" t="str"><v>BTHS5070ZK12DC</v></cell><cell r="D676" t="str"><v>M-S'LESS B'LESS THIGH (50-70G) NANDOS</v></cell><cell r="E676" t="str"><v>M-BSLTHI5070NDC</v></cell><cell r="F676" t="str"><v>2478</v></cell></row><row r="677"><cell r="C677" t="str"><v>BTHS7090ZK12DC</v></cell><cell r="D677" t="str"><v>M-S'LESS B'LESS THIGH (70-90G) WENDY</v></cell><cell r="E677" t="str"><v>M-BSLTHI7090WDC</v></cell><cell r="F677" t="str"><v>2480</v></cell></row><row r="678"><cell r="C678" t="str"><v>BTHS8499ZK12DC</v></cell><cell r="D678" t="str"><v>M-S'LESS B'LESS THIGH (84-99G) TEXAS</v></cell><cell r="E678" t="str"><v>M-BSLTHI8499TEXC</v></cell><cell r="F678" t="str"><v>2482</v></cell></row><row r="679"><cell r="C679" t="str"><v>BTHS8090ZK12DC</v></cell><cell r="D679" t="str"><v>M-S'LESS B'LESS THIGH STEAK (80-90G)</v></cell><cell r="E679" t="str"><v>M-BSLTHI8090EKC</v></cell><cell r="F679" t="str"><v>2484</v></cell></row><row r="680"><cell r="C680" t="str"><v>BCH01922ZK12DC</v></cell><cell r="D680" t="str"><v>M-CHICKEN CHOP (190-220G) 10PC MAR</v></cell><cell r="E680" t="str"><v>M-CHOP1922C</v></cell><cell r="F680" t="str"><v>2486</v></cell></row><row r="681"><cell r="C681" t="str"><v>BCH02123ZK12DC</v></cell><cell r="D681" t="str"><v>M-CHICKEN CHOP (210-230G) KRR</v></cell><cell r="E681" t="str"><v>M-CHOP2123KRRC</v></cell><cell r="F681" t="str"><v>2488</v></cell></row><row r="682"><cell r="C682" t="str"><v>FGRDMDMIMK10PF</v></cell><cell r="D682" t="str"><v>MECHANICAL DEBONED MEAT IMPORT FROZEN</v></cell><cell r="E682" t="str"><v>MDMIMF</v></cell><cell r="F682" t="str"><v>7968</v></cell></row><row r="683"><cell r="C683" t="str"><v>CCHICU000RETDC</v></cell><cell r="D683" t="str"><v>CHICKEN CUBE</v></cell><cell r="E683" t="str"><v>RCHICUC</v></cell><cell r="F683" t="str"><v>1020</v></cell></row><row r="684"><cell r="C684" t="str"><v>CCHICU000RETDF</v></cell><cell r="D684" t="str"><v>CHICKEN CUBE</v></cell><cell r="E684" t="str"><v>RCHICUF</v></cell><cell r="F684" t="str"><v>1021</v></cell></row><row r="685"><cell r="C685" t="str"><v>GSKNF0000K05DF</v></cell><cell r="D685" t="str"><v>CHICKEN NECK SKIN</v></cell><cell r="E685" t="str"><v>NECKSKINF</v></cell><cell r="F685" t="str"><v>0919</v></cell></row><row r="686"><cell r="C686" t="str"><v>PMJWF00FZK12DF</v></cell><cell r="D686" t="str"><v>FP-MID JOINT WING</v></cell><cell r="E686" t="str"><v>FP-MIDJWF</v></cell><cell r="F686" t="str"><v>2041</v></cell></row><row r="687"><cell r="C687" t="str"><v>PDMTFFPDZK12DF</v></cell><cell r="D687" t="str"><v>FP-DRUMMET</v></cell><cell r="E687" t="str"><v>FP-DMETAF</v></cell><cell r="F687" t="str"><v>2029</v></cell></row><row r="688"><cell r="C688" t="str"><v>PDMTFBRDZK12DF</v></cell><cell r="D688" t="str"><v>FP-DRUMMET BRD</v></cell><cell r="E688" t="str"><v>FP-DMETBRDF</v></cell><cell r="F688" t="str"><v>2027</v></cell></row><row r="689"><cell r="C689" t="str"><v>ADDCOSTS</v></cell><cell r="D689" t="str"><v>ADDITIONAL LABOUR COSTS</v></cell><cell r="E689" t="str"><v>ADDCOSTS</v></cell><cell r="F689" t="str"><v>0799</v></cell></row><row r="690"><cell r="C690" t="str"><v>ADDNONSTUNOP</v></cell><cell r="D690" t="str"><v>ADDITIONAL NON STUN OPERATION</v></cell><cell r="E690" t="str"><v>ADDNONSTUNOP</v></cell><cell r="F690" t="str"><v>0798</v></cell></row><row r="691"><cell r="C691" t="str"><v>ADDFRZCOST</v></cell><cell r="D691" t="str"><v>ADDITIONAL FREEZING COST</v></cell><cell r="E691" t="str"><v>ADDFRZCOST</v></cell><cell r="F691" t="str"><v>0797</v></cell></row><row r="692"><cell r="C692" t="str"><v>WBSIZINGD0P1DC</v></cell><cell r="D692" t="str"><v>WHOLE CHICKEN SIZING BIRD</v></cell><cell r="E692" t="str"><v>WBSIZINGDROP</v></cell><cell r="F692" t="str"><v>0001</v></cell></row><row r="693"><cell r="C693" t="str"><v>CBR0F0000K06DF</v></cell><cell r="D693" t="str"><v>WHOLE BREAST</v></cell><cell r="E693" t="str"><v>BRSF</v></cell><cell r="F693" t="str"><v>1117</v></cell></row><row r="694"><cell r="C694" t="str"><v>WBSM1214ZP10DC</v></cell><cell r="D694" t="str"><v>M-WHOLE CHICKEN (M1) 1251-1350G</v></cell><cell r="E694" t="str"><v>WBD1214C</v></cell><cell r="F694" t="str"><v>0056</v></cell></row><row r="695"><cell r="C695" t="str"><v>WBSM1214ZP10DF</v></cell><cell r="D695" t="str"><v>M-WHOLE CHICKEN (M1) 1251-1350G</v></cell><cell r="E695" t="str"><v>WBD1214F</v></cell><cell r="F695" t="str"><v>0057</v></cell></row><row r="696"><cell r="C696" t="str"><v>C9PCMD000P18DF</v></cell><cell r="D696" t="str"><v>9 PC CUT X 2 BIRDS (QSR)</v></cell><cell r="E696" t="str"><v>9PCX2MDF</v></cell><cell r="F696" t="str"><v>1073</v></cell></row><row r="697"><cell r="C697" t="str"><v>CDS0J0000K02DF</v></cell><cell r="D697" t="str"><v>DRUMSTICK J (>140G)</v></cell><cell r="E697" t="str"><v>DSJF</v></cell><cell r="F697" t="str"><v>1163</v></cell></row><row r="698"><cell r="C698" t="str"><v>CDS0S0000K02DF</v></cell><cell r="D698" t="str"><v>DRUMSTICK S (70-90G)</v></cell><cell r="E698" t="str"><v>DSSF</v></cell><cell r="F698" t="str"><v>1081</v></cell></row><row r="699"><cell r="C699" t="str"><v>CDS0S0000K02DC</v></cell><cell r="D699" t="str"><v>DRUMSTICK S (70-90G)</v></cell><cell r="E699" t="str"><v>DSSC</v></cell><cell r="F699" t="str"><v>1080</v></cell></row><row r="700"><cell r="C700" t="str"><v>FFNSNFGCH2X1FF</v></cell><cell r="D700" t="str"><v>FST 99 COMBO PACK (NUG&FRK)GCH</v></cell><cell r="E700" t="str"><v>CFSTNF12GCH</v></cell><cell r="F700" t="str"><v>7522</v></cell></row><row r="701"><cell r="C701" t="str"><v>WBM1CUGTZP10DC</v></cell><cell r="D701" t="str"><v>WB CUP GIANT 1.28 - 1.4</v></cell><cell r="E701" t="str"><v>WBCUPGIANT</v></cell><cell r="F701" t="str"><v>0058</v></cell></row><row r="702"><cell r="D702" t="str"><v>BATCH-MAR WHOLE BIRD KRR-BP 10BDS C do not use</v></cell><cell r="E702" t="str"><v>B-KRRBPC</v></cell><cell r="F702" t="str"><v>3055</v></cell></row><row r="703"><cell r="D703" t="str"><v>BATCH-MAR WHOLE BIRD KRR-OR 10BDS C do not use</v></cell><cell r="E703" t="str"><v>B-KRRORC</v></cell><cell r="F703" t="str"><v>3056</v></cell></row><row r="704"><cell r="D704" t="str"><v>BATCH-MAR ORIGINAL CHOP KRR C do not use</v></cell><cell r="E704" t="str"><v>B-KRRORICHOPP10C</v></cell><cell r="F704" t="str"><v>3057</v></cell></row><row r="705"><cell r="D705" t="str"><v>BATCH-MAR ORIGINAL S'LESS QLEG KRR C do not use</v></cell><cell r="E705" t="str"><v>B-KRRSQLEGORP10C</v></cell><cell r="F705" t="str"><v>3058</v></cell></row><row r="706"><cell r="D706" t="str"><v>BATCH-FROZEN MAR ORI CHICKEN WENDY'S do not use</v></cell><cell r="E706" t="str"><v>B-FMCWD9</v></cell><cell r="F706" t="str"><v>3059</v></cell></row><row r="707"><cell r="C707" t="str"><v>MPORWKRBPP10DC</v></cell><cell r="D707" t="str"><v>MAR WHOLE BIRD KRR-BP 10BDS C</v></cell><cell r="E707" t="str"><v>KRRBPC</v></cell><cell r="F707" t="str"><v>3060</v></cell></row><row r="708"><cell r="C708" t="str"><v>MPORWKR00P10DC</v></cell><cell r="D708" t="str"><v>MAR WHOLE BIRD KRR-OR 10BDS C</v></cell><cell r="E708" t="str"><v>KRRORC</v></cell><cell r="F708" t="str"><v>3061</v></cell></row><row r="709"><cell r="C709" t="str"><v>MPORCHKROP10DC</v></cell><cell r="D709" t="str"><v>MAR ORIGINAL CHOP KRR C</v></cell><cell r="E709" t="str"><v>KRRORICHOPP10C</v></cell><cell r="F709" t="str"><v>3062</v></cell></row><row r="710"><cell r="C710" t="str"><v>MPORQLSORP10DC</v></cell><cell r="D710" t="str"><v>MAR ORIGINAL S'LESS QLEG KRR C</v></cell><cell r="E710" t="str"><v>KRRSQLEGORP10C</v></cell><cell r="F710" t="str"><v>3063</v></cell></row><row r="711"><cell r="C711" t="str"><v>WBM2CUKCZP10DC</v></cell><cell r="D711" t="str"><v>WB CUP KFC 1.4 - 1.5</v></cell><cell r="E711" t="str"><v>WBCUPKFC</v></cell><cell r="F711" t="str"><v>0060</v></cell></row><row r="712"><cell r="C712" t="str"><v>MPORC9WD0P18DF</v></cell><cell r="D712" t="str"><v>FROZEN MAR ORI CHICKEN WENDY'S</v></cell><cell r="E712" t="str"><v>FMCWD9</v></cell><cell r="F712" t="str"><v>3064</v></cell></row><row r="713"><cell r="C713" t="str"><v>RMPORWKRBPP10DC</v></cell><cell r="D713" t="str"><v>BATCH-MAR WHOLE BIRD KRR-BP 10BDS C</v></cell><cell r="E713" t="str"><v>B-KRRBPC</v></cell><cell r="F713" t="str"><v>3560</v></cell></row><row r="714"><cell r="C714" t="str"><v>RMPORWKR00P10DC</v></cell><cell r="D714" t="str"><v>BATCH-MAR WHOLE BIRD KRR-OR 10BDS C</v></cell><cell r="E714" t="str"><v>B-KRRORC</v></cell><cell r="F714" t="str"><v>3561</v></cell></row><row r="715"><cell r="C715" t="str"><v>RMPORCHKROP10DC</v></cell><cell r="D715" t="str"><v>BATCH-MAR ORIGINAL CHOP KRR C</v></cell><cell r="E715" t="str"><v>B-KRRORICHOPP10C</v></cell><cell r="F715" t="str"><v>3562</v></cell></row><row r="716"><cell r="C716" t="str"><v>RMPORQLSORP10DC</v></cell><cell r="D716" t="str"><v>BATCH-MAR ORIGINAL S'LESS QLEG KRR C</v></cell><cell r="E716" t="str"><v>B-KRRSQLEGORP10C</v></cell><cell r="F716" t="str"><v>3563</v></cell></row><row r="717"><cell r="C717" t="str"><v>RMPORC9WD0P18DF</v></cell><cell r="D717" t="str"><v>BATCH-FROZEN MAR ORI CHICKEN WENDY'S</v></cell><cell r="E717" t="str"><v>B-FMCWD9</v></cell><cell r="F717" t="str"><v>3564</v></cell></row><row r="718"><cell r="C718" t="str"><v>WBL1DEBPZP10DC</v></cell><cell r="D718" t="str"><v>WB DEB L01BP A 1.65-1.95</v></cell><cell r="E718" t="str"><v>WBL01BPDEBAC</v></cell><cell r="F718" t="str"><v>0062</v></cell></row><row r="719"><cell r="C719" t="str"><v>WBM2DEBPZP10DC</v></cell><cell r="D719" t="str"><v>WB DEB M02BP A 1.35-1.65</v></cell><cell r="E719" t="str"><v>WBM02BPDEBAC</v></cell><cell r="F719" t="str"><v>0064</v></cell></row><row r="720"><cell r="C720" t="str"><v>BBRSMF000K05DF</v></cell><cell r="D720" t="str"><v>S'LESS B'LESS BREAST</v></cell><cell r="E720" t="str"><v>BSLBRSMFF</v></cell><cell r="F720" t="str"><v>2219</v></cell></row><row r="721"><cell r="C721" t="str"><v>GLH0FBK00K02DC</v></cell><cell r="D721" t="str"><v>LIVER BROKEN</v></cell><cell r="E721" t="str"><v>LHBC</v></cell><cell r="F721" t="str"><v>0816</v></cell></row><row r="722"><cell r="C722" t="str"><v>PDMTMF000150DF</v></cell><cell r="D722" t="str"><v>DRUMMET MF (38-50G) 150PC</v></cell><cell r="E722" t="str"><v>DMETMFF</v></cell><cell r="F722" t="str"><v>2031</v></cell></row><row r="723"><cell r="C723" t="str"><v>PMJWMF000150DF</v></cell><cell r="D723" t="str"><v>MID JOINT WING MF(30-40)150PC</v></cell><cell r="E723" t="str"><v>MIDJWMFF</v></cell><cell r="F723" t="str"><v>2043</v></cell></row><row r="724"><cell r="C724" t="str"><v>RMPORWM4BPRETDC</v></cell><cell r="D724" t="str"><v>BATCH-MAR CHICKEN BLK PEPPER (BFLY)</v></cell><cell r="E724" t="str"><v>B-RBPMC1.1C</v></cell><cell r="F724" t="str"><v>3568</v></cell></row><row r="725"><cell r="C725" t="str"><v>MPORWM4BPRETDC</v></cell><cell r="D725" t="str"><v>MAR CHICKEN BLK PEPPER (BFLY)</v></cell><cell r="E725" t="str"><v>RBPMC1.1C</v></cell><cell r="F725" t="str"><v>3068</v></cell></row><row r="726"><cell r="C726" t="str"><v>MPORWM1PKRETDC</v></cell><cell r="D726" t="str"><v>MAR CHICKEN PERCIK (BFLY)</v></cell><cell r="E726" t="str"><v>RCPKC</v></cell><cell r="F726" t="str"><v>3070</v></cell></row><row r="727"><cell r="C727" t="str"><v>RMPORWM1PKRETDC</v></cell><cell r="D727" t="str"><v>BATCH-MAR CHICKEN PERCIK (BFLY)</v></cell><cell r="E727" t="str"><v>B-RCPKC</v></cell><cell r="F727" t="str"><v>3570</v></cell></row><row r="728"><cell r="C728" t="str"><v>MPORWM1HSRETDC</v></cell><cell r="D728" t="str"><v>MAR CHICKEN HOT & SPICY (BFLY)</v></cell><cell r="E728" t="str"><v>RCHSC</v></cell><cell r="F728" t="str"><v>3069</v></cell></row><row r="729"><cell r="C729" t="str"><v>RMPORWM1HSRETDC</v></cell><cell r="D729" t="str"><v>BATCH-MAR CHICKEN HOT & SPICY (BFLY)</v></cell><cell r="E729" t="str"><v>B-RCHSC</v></cell><cell r="F729" t="str"><v>3569</v></cell></row><row r="730"><cell r="C730" t="str"><v>MPORWM1HYRETDC</v></cell><cell r="D730" t="str"><v>MAR CHICKEN HONEY (BFLY)</v></cell><cell r="E730" t="str"><v>RCHYC</v></cell><cell r="F730" t="str"><v>3071</v></cell></row><row r="731"><cell r="C731" t="str"><v>RMPORWM1HYRETDC</v></cell><cell r="D731" t="str"><v>BATCH-MAR CHICKEN HONEY (BFLY)</v></cell><cell r="E731" t="str"><v>B-RCHYC</v></cell><cell r="F731" t="str"><v>3571</v></cell></row><row r="732"><cell r="C732" t="str"><v>MPOR3JWHSRETDC</v></cell><cell r="D732" t="str"><v>3JW  MAR. HOT & SPICY</v></cell><cell r="E732" t="str"><v>R3JWHSC</v></cell><cell r="F732" t="str"><v>3065</v></cell></row><row r="733"><cell r="C733" t="str"><v>MPOR3JWPKRETDC</v></cell><cell r="D733" t="str"><v>3JW MAR. PERCIK</v></cell><cell r="E733" t="str"><v>R3JWMHC</v></cell><cell r="F733" t="str"><v>3066</v></cell></row><row r="734"><cell r="C734" t="str"><v>MPOR3JWHYRETDC</v></cell><cell r="D734" t="str"><v>3JWI MAR. HONEY</v></cell><cell r="E734" t="str"><v>R3JWRCC</v></cell><cell r="F734" t="str"><v>3067</v></cell></row><row r="735"><cell r="C735" t="str"><v>RMPOR3JWHSRETDC</v></cell><cell r="D735" t="str"><v>BATCH-3JW  MAR. HOT & SPICY</v></cell><cell r="E735" t="str"><v>B-R3JWHSC</v></cell><cell r="F735" t="str"><v>3565</v></cell></row><row r="736"><cell r="C736" t="str"><v>RMPOR3JWPKRETDC</v></cell><cell r="D736" t="str"><v>BATCH-3JW MAR. PERCIK</v></cell><cell r="E736" t="str"><v>B-R3JWMHC</v></cell><cell r="F736" t="str"><v>3566</v></cell></row><row r="737"><cell r="C737" t="str"><v>RMPOR3JWHYRETDC</v></cell><cell r="D737" t="str"><v>BATCH-3JWI MAR. HONEY</v></cell><cell r="E737" t="str"><v>B-R3JWRCC</v></cell><cell r="F737" t="str"><v>3567</v></cell></row><row r="738"><cell r="C738" t="str"><v>MPORWNDORP04DC</v></cell><cell r="D738" t="str"><v>MAR WHOLE BIRD NANDOS-OR 4BDS</v></cell><cell r="E738" t="str"><v>CMCNDP04</v></cell><cell r="F738" t="str"><v>3072</v></cell></row><row r="739"><cell r="C739" t="str"><v>RMPORWNDORP04DC</v></cell><cell r="D739" t="str"><v>BATCH-MAR WHOLE BIRD NANDOS-OR 4BDS</v></cell><cell r="E739" t="str"><v>B-CMCNDP04</v></cell><cell r="F739" t="str"><v>3572</v></cell></row><row r="740"><cell r="C740" t="str"><v>MPORPWLNDP20DC</v></cell><cell r="D740" t="str"><v>MAR WING NANDO'S 20PC</v></cell><cell r="E740" t="str"><v>CMWND</v></cell><cell r="F740" t="str"><v>3073</v></cell></row><row r="741"><cell r="C741" t="str"><v>RMPORPWLNDP20DC</v></cell><cell r="D741" t="str"><v>BATCH-MAR WING NANDO'S 20PC</v></cell><cell r="E741" t="str"><v>B-CMWND</v></cell><cell r="F741" t="str"><v>3573</v></cell></row><row r="742"><cell r="C742" t="str"><v>FFOMNUG00K01JF</v></cell><cell r="D742" t="str"><v>JMF NUGGET 1KG</v></cell><cell r="E742" t="str"><v>NUGJM</v></cell><cell r="F742" t="str"><v>7523</v></cell></row><row r="743"><cell r="C743" t="str"><v>C3JWL0000K02DF</v></cell><cell r="D743" t="str"><v>FROZEN CHICKEN WING</v></cell><cell r="E743" t="str"><v>3JWMCLF</v></cell><cell r="F743" t="str"><v>1165</v></cell></row><row r="744"><cell r="C744" t="str"><v>MPORWNDORP01DF</v></cell><cell r="D744" t="str"><v>MAR WBIRD NANDOS-OR (FRZ THW)</v></cell><cell r="E744" t="str"><v>FMCNDP01</v></cell><cell r="F744" t="str"><v>3951</v></cell></row><row r="745"><cell r="C745" t="str"><v>RFOMNUG00K01JF</v></cell><cell r="D745" t="str"><v>BATCH-JMF NUGGET 1KG</v></cell><cell r="E745" t="str"><v>B-NUGJM</v></cell><cell r="F745" t="str"><v>8523</v></cell></row><row r="746"><cell r="C746" t="str"><v>WBL1SPHFGP01DF</v></cell><cell r="D746" t="str"><v>WHOLE CHIC WITH H&F&G (L1) FRZ</v></cell><cell r="E746" t="str"><v>WBL01WHFSPF</v></cell><cell r="F746" t="str"><v>0039</v></cell></row><row r="747"><cell r="C747" t="str"><v>GFATWBD0ZK25DC</v></cell><cell r="D747" t="str"><v>WIP-FAT WBD</v></cell><cell r="E747" t="str"><v>W- FAT WBD</v></cell><cell r="F747" t="str"><v>0936</v></cell></row><row r="748"><cell r="C748" t="str"><v>MPORWKRMXP10DC</v></cell><cell r="D748" t="str"><v>MAR WHOLE BIRD KRR-MEX 10BDS C</v></cell><cell r="E748" t="str"><v>KRRMEXC</v></cell><cell r="F748" t="str"><v>3074</v></cell></row><row r="749"><cell r="C749" t="str"><v>RMPORWKRMXP10DC</v></cell><cell r="D749" t="str"><v>BATCH-MAR WHOLE BIRD KRR-MEX 10BDS C</v></cell><cell r="E749" t="str"><v>B-KRRMEXC</v></cell><cell r="F749" t="str"><v>3574</v></cell></row><row r="750"><cell r="C750" t="str"><v>MPORWKRMXP10DF</v></cell><cell r="D750" t="str"><v>MAR WHOLE BIRD KRR-MEX 10BDS</v></cell><cell r="E750" t="str"><v>KRRMEX</v></cell><cell r="F750" t="str"><v>3075</v></cell></row><row r="751"><cell r="C751" t="str"><v>RMPORWKRMXP10DF</v></cell><cell r="D751" t="str"><v>BATCH-MAR WHOLE BIRD KRR-MEX 10BDS</v></cell><cell r="E751" t="str"><v>B-KRRMEX</v></cell><cell r="F751" t="str"><v>3575</v></cell></row><row r="752"><cell r="C752" t="str"><v>CKE0F000ZK12DC</v></cell><cell r="D752" t="str"><v>FP-KEEL</v></cell><cell r="E752" t="str"><v>FP-KEEL</v></cell><cell r="F752" t="str"><v>1022</v></cell></row><row r="753"><cell r="C753" t="str"><v>GHD0F0000K05DC</v></cell><cell r="D753" t="str"><v>CHICKEN HEAD</v></cell><cell r="E753" t="str"><v>CHICHEADC</v></cell><cell r="F753" t="str"><v>0818</v></cell></row><row r="754"><cell r="C754" t="str"><v>C9PCAW000P18DF</v></cell><cell r="D754" t="str"><v>9 PC CUT X 2 BIRDS (QSR)</v></cell><cell r="E754" t="str"><v>9PCXCA&WF</v></cell><cell r="F754" t="str"><v>1075</v></cell></row><row r="755"><cell r="C755" t="str"><v>GNKSCUP0ZK06DF</v></cell><cell r="D755" t="str"><v>WIP-NECK CUP</v></cell><cell r="E755" t="str"><v>W-NECK CUP</v></cell><cell r="F755" t="str"><v>0938</v></cell></row><row r="756"><cell r="C756" t="str"><v>GNK0F0000K10DF</v></cell><cell r="D756" t="str"><v>CHICKEN NECK FRZ</v></cell><cell r="E756" t="str"><v>NECKF</v></cell><cell r="F756" t="str"><v>0939</v></cell></row><row r="757"><cell r="C757" t="str"><v>MPORC4TEXP08DC</v></cell><cell r="D757" t="str"><v>CHILL MAR ORI CHIC QTR TEXAS</v></cell><cell r="E757" t="str"><v>CMCTEX4</v></cell><cell r="F757" t="str"><v>3076</v></cell></row><row r="758"><cell r="C758" t="str"><v>RPORC4TEXP08DC</v></cell><cell r="D758" t="str"><v>BATCH-CHILL MAR. ORI CHICKEN TEXAS</v></cell><cell r="E758" t="str"><v>B-CMCTEX4</v></cell><cell r="F758" t="str"><v>3576</v></cell></row><row r="759"><cell r="C759" t="str"><v>C8PC0TEXZP08DC</v></cell><cell r="D759" t="str"><v>M-4 PC CUT X 2 BIRDS TEXAS</v></cell><cell r="E759" t="str"><v>M-4PCX2TEXC</v></cell><cell r="F759" t="str"><v>1162</v></cell></row><row r="760"><cell r="C760" t="str"><v>CDS0CU000K02DC</v></cell><cell r="D760" t="str"><v>DRUMSTICK CUBE</v></cell><cell r="E760" t="str"><v>DSCUC</v></cell><cell r="F760" t="str"><v>1030</v></cell></row><row r="761"><cell r="C761" t="str"><v>CDS0CU000K02DF</v></cell><cell r="D761" t="str"><v>DRUMSTICK CUBE FRZ</v></cell><cell r="E761" t="str"><v>DSCUF</v></cell><cell r="F761" t="str"><v>1031</v></cell></row><row r="762"><cell r="C762" t="str"><v>FGRDMDMIMK06PF</v></cell><cell r="D762" t="str"><v>MECHANICAL DEBONEDMEAT IMP 6KG</v></cell><cell r="E762" t="str"><v>MDMIMK06F</v></cell><cell r="F762" t="str"><v>7969</v></cell></row><row r="763"><cell r="C763" t="str"><v>MPORCHOWDP10DF</v></cell><cell r="D763" t="str"><v>MAR ORIGINAL CHOP WENDY'S</v></cell><cell r="E763" t="str"><v>ORICHOPWDP10F</v></cell><cell r="F763" t="str"><v>3077</v></cell></row><row r="764"><cell r="C764" t="str"><v>RMPORCHOWDP10DF</v></cell><cell r="D764" t="str"><v>BATCH-MAR ORIGINAL CHOP WENDY'S</v></cell><cell r="E764" t="str"><v>B-ORICHOPWDP10F</v></cell><cell r="F764" t="str"><v>3577</v></cell></row><row r="765"><cell r="C765" t="str"><v>CRB015190K06DC</v></cell><cell r="D765" t="str"><v>RIB (150-190G)</v></cell><cell r="E765" t="str"><v>RIB1519K06C</v></cell><cell r="F765" t="str"><v>1166</v></cell></row><row r="766"><cell r="C766" t="str"><v>CRB019240K06DC</v></cell><cell r="D766" t="str"><v>RIB (190-240G)</v></cell><cell r="E766" t="str"><v>RIB1924K06C</v></cell><cell r="F766" t="str"><v>1168</v></cell></row><row r="767"><cell r="C767" t="str"><v>FPORKATSUP06DF</v></cell><cell r="D767" t="str"><v>CHICKEN KATSU 6PC</v></cell><cell r="E767" t="str"><v>KATSUP06</v></cell><cell r="F767" t="str"><v>7863</v></cell></row><row r="768"><cell r="C768" t="str"><v>P3JWS0000K02DF</v></cell><cell r="D768" t="str"><v>3 JOINT WING JCS (<70G)</v></cell><cell r="E768" t="str"><v>3JWJCSF</v></cell><cell r="F768" t="str"><v>2013</v></cell></row><row r="769"><cell r="C769" t="str"><v>BBRSF0000K03PF</v></cell><cell r="D769" t="str"><v>S'LEES B'LESS BREAST</v></cell><cell r="E769" t="str"><v>BSLBRSAPF</v></cell><cell r="F769" t="str"><v>2225</v></cell></row><row r="770"><cell r="C770" t="str"><v>GSK0F0000K02PF</v></cell><cell r="D770" t="str"><v>CHICKEN SKIN</v></cell><cell r="E770" t="str"><v>SKINPF</v></cell><cell r="F770" t="str"><v>0940</v></cell></row><row r="771"><cell r="C771" t="str"><v>P3JWS0000K02DC</v></cell><cell r="D771" t="str"><v>3 JOINT WING JCS (<70G)</v></cell><cell r="E771" t="str"><v>3JWJCSC</v></cell><cell r="F771" t="str"><v>2012</v></cell></row><row r="772"><cell r="D772" t="str"><v>-</v></cell><cell r="E772" t="str"><v>-</v></cell><cell r="F772" t="str"><v>1203</v></cell></row><row r="773"><cell r="C773" t="str"><v>GSKTF0000K05DC</v></cell><cell r="D773" t="str"><v>CHICKEN THIGH SKIN</v></cell><cell r="E773" t="str"><v>SKINTC</v></cell><cell r="F773" t="str"><v>0926</v></cell></row><row r="774"><cell r="C774" t="str"><v>GGB0F0000K10DF</v></cell><cell r="D774" t="str"><v>CHICKEN GALLBLADDER</v></cell><cell r="E774" t="str"><v>GALLBDF</v></cell><cell r="F774" t="str"><v>0821</v></cell></row><row r="775"><cell r="C775" t="str"><v>FPORKATSUP10DF</v></cell><cell r="D775" t="str"><v>CHICKEN KATSU 10PC</v></cell><cell r="E775" t="str"><v>KATSUP10</v></cell><cell r="F775" t="str"><v>7864</v></cell></row><row r="776"><cell r="C776" t="str"><v>MPORCKRBPP10DC</v></cell><cell r="D776" t="str"><v>CHILL MAR 10PC CUT KRR-BP</v></cell><cell r="E776" t="str"><v>CMCKRRBP10</v></cell><cell r="F776" t="str"><v>3078</v></cell></row><row r="777"><cell r="C777" t="str"><v>MPORCKRBPP10DF</v></cell><cell r="D777" t="str"><v>FROZEN MAR 10PC CUT KRR-BP</v></cell><cell r="E777" t="str"><v>FMCKRRBP10</v></cell><cell r="F777" t="str"><v>3079</v></cell></row><row r="778"><cell r="C778" t="str"><v>C10PCKP0ZP10DC</v></cell><cell r="D778" t="str"><v>M-10 PC CUT X 1 BIRD KRR</v></cell><cell r="E778" t="str"><v>M-10PCX1KRC</v></cell><cell r="F778" t="str"><v>1170</v></cell></row><row r="779"><cell r="C779" t="str"><v>RPORCKRBPP10DC</v></cell><cell r="D779" t="str"><v>BATCH-MAR 10PC CUT KRR-BP C</v></cell><cell r="E779" t="str"><v>B-CMCKRRBP10</v></cell><cell r="F779" t="str"><v>3578</v></cell></row><row r="780"><cell r="C780" t="str"><v>RPORCKRBPP10DF</v></cell><cell r="D780" t="str"><v>BATCH-MAR 10PC CUT KRR-BP</v></cell><cell r="E780" t="str"><v>B-CMCKRRBP10</v></cell><cell r="F780" t="str"><v>3579</v></cell></row><row r="781"><cell r="C781" t="str"><v>SBH0F000HP05DF</v></cell><cell r="D781" t="str"><v>WHOLE BIRD BREEDER HALF CUT</v></cell><cell r="E781" t="str"><v>BBCHALFF</v></cell><cell r="F781" t="str"><v>0701</v></cell></row><row r="782"><cell r="C782" t="str"><v>SBH0F000HP05DC</v></cell><cell r="D782" t="str"><v>WHOLE BIRD BREEDER HALF CUT</v></cell><cell r="E782" t="str"><v>BBCHALFC</v></cell><cell r="F782" t="str"><v>0700</v></cell></row><row r="783"><cell r="C783" t="str"><v>SBH0F000H000DC</v></cell><cell r="D783" t="str"><v>WHOLE BIRD BREEDER CULL MANUAL</v></cell><cell r="E783" t="str"><v>WBDBBCMANUAL</v></cell><cell r="F783" t="str"><v>0702</v></cell></row><row r="784"><cell r="C784" t="str"><v>SBH0F0000P05DF</v></cell><cell r="D784" t="str"><v>WHOLE BIRD BREEDER</v></cell><cell r="E784" t="str"><v>BBCULLF</v></cell><cell r="F784" t="str"><v>0705</v></cell></row><row r="785"><cell r="C785" t="str"><v>FGRDBBC00K05DC</v></cell><cell r="D785" t="str"><v>GROUND BIRD BREEDER CULL CHILL</v></cell><cell r="E785" t="str"><v>GBBCC</v></cell><cell r="F785" t="str"><v>7970</v></cell></row><row r="786"><cell r="C786" t="str"><v>FGRBBC00K05DF</v></cell><cell r="D786" t="str"><v>GROUND BIRD BREEDER CULL FROZEN</v></cell><cell r="E786" t="str"><v>GBBCF</v></cell><cell r="F786" t="str"><v>7971</v></cell></row><row r="787"><cell r="C787" t="str"><v>RPORCH0ORP05DF</v></cell><cell r="D787" t="str"><v>BATCH-BREADED CHICKEN CHOP</v></cell><cell r="E787" t="str"><v>B-BDCHOP10</v></cell><cell r="F787" t="str"><v>8865</v></cell></row><row r="788"><cell r="D788" t="str"><v>**Do Not Use**</v></cell><cell r="E788" t="str"><v>**</v></cell><cell r="F788" t="str"><v>7865</v></cell></row><row r="789"><cell r="C789" t="str"><v>MPORDMKRSP20DF</v></cell><cell r="D789" t="str"><v>MAR BLK PEPPER DMET KRR</v></cell><cell r="E789" t="str"><v>KRRDMETHS</v></cell><cell r="F789" t="str"><v>3080</v></cell></row><row r="790"><cell r="C790" t="str"><v>RPORDMKRSP20DF</v></cell><cell r="D790" t="str"><v>BATCH-MAR BLK PEPPER DMET KRR</v></cell><cell r="E790" t="str"><v>B-KRRDMETHS</v></cell><cell r="F790" t="str"><v>3580</v></cell></row><row r="791"><cell r="C791" t="str"><v>BLGS07595P24DF</v></cell><cell r="D791" t="str"><v>S'LESS B'LESS LEG (75-95G)24P</v></cell><cell r="E791" t="str"><v>BSL7595X24F</v></cell><cell r="F791" t="str"><v>2409</v></cell></row><row r="792"><cell r="C792" t="str"><v>BLGSFBSDZK12DF</v></cell><cell r="D792" t="str"><v>FP-S'LESS B'LESS DRUMSTICK</v></cell><cell r="E792" t="str"><v>FP-BSDS</v></cell><cell r="F792" t="str"><v>2431</v></cell></row><row r="793"><cell r="C793" t="str"><v>FPORCH0ORP05DF</v></cell><cell r="D793" t="str"><v>BREADED CHICKEN CHOP</v></cell><cell r="E793" t="str"><v>BDCHOP10</v></cell><cell r="F793" t="str"><v>7866</v></cell></row><row r="794"><cell r="C794" t="str"><v>PMJWF0000K01DC</v></cell><cell r="D794" t="str"><v>MID JOINT WING 1KG</v></cell><cell r="E794" t="str"><v>MIDJW1KGC</v></cell><cell r="F794" t="str"><v>2038</v></cell></row><row r="795"><cell r="C795" t="str"><v>PMJWF0000K01DF</v></cell><cell r="D795" t="str"><v>MID JOINT WING 1KG</v></cell><cell r="E795" t="str"><v>MIDJW1KGF</v></cell><cell r="F795" t="str"><v>2039</v></cell></row><row r="796"><cell r="C796" t="str"><v>FFOMNUGHY800HF</v></cell><cell r="D796" t="str"><v>DELIHOUS HONEY CHICKEN NUGGET</v></cell><cell r="E796" t="str"><v>NUGDHHY800G</v></cell><cell r="F796" t="str"><v>7524</v></cell></row><row r="797"><cell r="C797" t="str"><v>ADDPROCESSCOSTQ1</v></cell><cell r="D797" t="str"><v>ADDITIONALPROCESSINGCOST(TCQ1)</v></cell><cell r="E797" t="str"><v>ADDPROCESSCOSTQ</v></cell><cell r="F797" t="str"><v>0796</v></cell></row><row r="798"><cell r="C798" t="str"><v>ADDPROCESSCOSTT1</v></cell><cell r="D798" t="str"><v>ADDITIONALPROCESSINGCOST(TCT1)</v></cell><cell r="E798" t="str"><v>ADDPROCESSCOSTT</v></cell><cell r="F798" t="str"><v>0795</v></cell></row><row r="799"><cell r="C799" t="str"><v>RFOMNUGHY800HF</v></cell><cell r="D799" t="str"><v>BATCH-DELIHOUS HONEY CHICKEN NUGGET</v></cell><cell r="E799" t="str"><v>B-NUGDHHY800G</v></cell><cell r="F799" t="str"><v>8524</v></cell></row><row r="800"><cell r="C800" t="str"><v>UFOMNUGHY800HF</v></cell><cell r="D800" t="str"><v>WIP-DELIHOUS HONEY CHICKEN NUGGET</v></cell><cell r="E800" t="str"><v>WIP-NUGDHHY800G</v></cell><cell r="F800" t="str"><v>9524</v></cell></row><row r="801"><cell r="C801" t="str"><v>FSGESFRHRP12DF</v></cell><cell r="D801" t="str"><v>AD JUMBO FRANK (ORIGINAL) HR</v></cell><cell r="E801" t="str"><v>SFADORJHR12</v></cell><cell r="F801" t="str"><v>7029</v></cell></row><row r="802"><cell r="C802" t="str"><v>RSGESFRHRP12DF</v></cell><cell r="D802" t="str"><v>BATCH-AD JUMBO FRANK (ORIGINAL) HR</v></cell><cell r="E802" t="str"><v>B-SFADORJHR12</v></cell><cell r="F802" t="str"><v>8029</v></cell></row><row r="803"><cell r="D803" t="str"><v>DO NOT USE</v></cell><cell r="E803" t="str"><v>DO NOT USE</v></cell><cell r="F803" t="str"><v>0942</v></cell></row><row r="804"><cell r="C804" t="str"><v>GLH0F0000K05DC</v></cell><cell r="D804" t="str"><v>LIVER 5KG</v></cell><cell r="E804" t="str"><v>LHAK05</v></cell><cell r="F804" t="str"><v>0822</v></cell></row><row r="805"><cell r="C805" t="str"><v>WBM2BPKLFP10DC</v></cell><cell r="D805" t="str"><v>WHOLE CHICKEN (M2)1351-1650GBP</v></cell><cell r="E805" t="str"><v>WBM02BPKLFC</v></cell><cell r="F805" t="str"><v>0066</v></cell></row><row r="806"><cell r="C806" t="str"><v>WBL1BPKLFP10DC</v></cell><cell r="D806" t="str"><v>WHOLE CHICKEN (L1)1651-1950GBP</v></cell><cell r="E806" t="str"><v>WBL01BPKLFC</v></cell><cell r="F806" t="str"><v>0068</v></cell></row><row r="807"><cell r="C807" t="str"><v>BLG0F0000K02PF</v></cell><cell r="D807" t="str"><v>BONELESS LEG (PURCHASE)</v></cell><cell r="E807" t="str"><v>BLLEGPF</v></cell><cell r="F807" t="str"><v>2491</v></cell></row></sheetData><sheetData sheetId="1"></sheetData><sheetData sheetId="2"></sheetData><sheetData sheetId="3"></sheetData></sheetDataSet></externalBook>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true">
    <tabColor rgb="FFFF0000"/>
    <pageSetUpPr fitToPage="false"/>
  </sheetPr>
  <dimension ref="A1:J50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A5" activeCellId="0" sqref="A5:D14"/>
    </sheetView>
  </sheetViews>
  <sheetFormatPr defaultRowHeight="15"/>
  <cols>
    <col collapsed="false" hidden="false" max="1" min="1" style="1" width="11.9028340080972"/>
    <col collapsed="false" hidden="false" max="2" min="2" style="2" width="11.0971659919028"/>
    <col collapsed="false" hidden="false" max="3" min="3" style="2" width="17.4534412955466"/>
    <col collapsed="false" hidden="false" max="4" min="4" style="3" width="28.9595141700405"/>
    <col collapsed="false" hidden="true" max="5" min="5" style="4" width="0"/>
    <col collapsed="false" hidden="true" max="7" min="6" style="5" width="0"/>
    <col collapsed="false" hidden="false" max="8" min="8" style="5" width="11.7773279352227"/>
    <col collapsed="false" hidden="false" max="9" min="9" style="5" width="10.2834008097166"/>
    <col collapsed="false" hidden="false" max="1021" min="10" style="5" width="8.39271255060729"/>
    <col collapsed="false" hidden="false" max="1025" min="1022" style="5" width="9.06072874493927"/>
  </cols>
  <sheetData>
    <row r="1" customFormat="false" ht="15" hidden="false" customHeight="false" outlineLevel="0" collapsed="false">
      <c r="A1" s="6" t="s">
        <v>0</v>
      </c>
      <c r="B1" s="7" t="s">
        <v>1</v>
      </c>
      <c r="C1" s="2" t="s">
        <v>2</v>
      </c>
      <c r="D1" s="8" t="s">
        <v>3</v>
      </c>
      <c r="E1" s="9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1" t="s">
        <v>9</v>
      </c>
    </row>
    <row r="2" customFormat="false" ht="15" hidden="false" customHeight="false" outlineLevel="0" collapsed="false">
      <c r="A2" s="1" t="s">
        <v>10</v>
      </c>
      <c r="B2" s="2" t="n">
        <v>1</v>
      </c>
      <c r="C2" s="2" t="n">
        <v>1</v>
      </c>
      <c r="D2" s="3" t="str">
        <f aca="false">E2&amp;" : "&amp;F2</f>
        <v>9 pc ACM : 3JW MC</v>
      </c>
      <c r="E2" s="4" t="s">
        <v>11</v>
      </c>
      <c r="F2" s="5" t="s">
        <v>12</v>
      </c>
      <c r="G2" s="0"/>
      <c r="H2" s="12" t="n">
        <v>0.00212289743768514</v>
      </c>
      <c r="I2" s="13" t="n">
        <v>471.054315789474</v>
      </c>
    </row>
    <row r="3" customFormat="false" ht="15" hidden="true" customHeight="false" outlineLevel="0" collapsed="false">
      <c r="A3" s="1" t="s">
        <v>10</v>
      </c>
      <c r="B3" s="2" t="n">
        <v>2</v>
      </c>
      <c r="C3" s="2" t="n">
        <v>1</v>
      </c>
      <c r="D3" s="3" t="str">
        <f aca="false">E3&amp;" : "&amp;F3&amp;"-"&amp;G3</f>
        <v>9 pc ACM : RIB-KEEL</v>
      </c>
      <c r="E3" s="4" t="s">
        <v>11</v>
      </c>
      <c r="F3" s="14" t="s">
        <v>13</v>
      </c>
      <c r="G3" s="5" t="s">
        <v>14</v>
      </c>
      <c r="H3" s="12" t="n">
        <v>0.00212289743768514</v>
      </c>
      <c r="I3" s="13" t="n">
        <v>471.054315789474</v>
      </c>
    </row>
    <row r="4" customFormat="false" ht="15" hidden="true" customHeight="false" outlineLevel="0" collapsed="false">
      <c r="A4" s="1" t="s">
        <v>10</v>
      </c>
      <c r="B4" s="2" t="n">
        <v>3</v>
      </c>
      <c r="C4" s="2" t="n">
        <v>1</v>
      </c>
      <c r="D4" s="3" t="str">
        <f aca="false">E4&amp;" : "&amp;F4&amp;"-"&amp;G4</f>
        <v>9 pc ACM : DS-THI MC</v>
      </c>
      <c r="E4" s="4" t="s">
        <v>11</v>
      </c>
      <c r="F4" s="14" t="s">
        <v>15</v>
      </c>
      <c r="G4" s="5" t="s">
        <v>16</v>
      </c>
      <c r="H4" s="12" t="n">
        <v>0.00212289743768514</v>
      </c>
      <c r="I4" s="13" t="n">
        <v>471.054315789474</v>
      </c>
    </row>
    <row r="5" customFormat="false" ht="15" hidden="false" customHeight="false" outlineLevel="0" collapsed="false">
      <c r="A5" s="1" t="s">
        <v>17</v>
      </c>
      <c r="B5" s="2" t="n">
        <v>1</v>
      </c>
      <c r="C5" s="2" t="n">
        <f aca="false">C4+1</f>
        <v>2</v>
      </c>
      <c r="D5" s="3" t="str">
        <f aca="false">E5&amp;" : "&amp;F5</f>
        <v>Texas : 3JW MC</v>
      </c>
      <c r="E5" s="4" t="s">
        <v>18</v>
      </c>
      <c r="F5" s="5" t="s">
        <v>12</v>
      </c>
      <c r="G5" s="0"/>
      <c r="H5" s="12" t="n">
        <v>0.00194412712714323</v>
      </c>
      <c r="I5" s="13" t="n">
        <v>514.369655172414</v>
      </c>
    </row>
    <row r="6" customFormat="false" ht="15" hidden="true" customHeight="false" outlineLevel="0" collapsed="false">
      <c r="A6" s="1" t="s">
        <v>17</v>
      </c>
      <c r="B6" s="2" t="n">
        <v>2</v>
      </c>
      <c r="C6" s="2" t="n">
        <v>2</v>
      </c>
      <c r="D6" s="3" t="str">
        <f aca="false">E6&amp;" : "&amp;F6</f>
        <v>Texas : WBRS</v>
      </c>
      <c r="E6" s="4" t="s">
        <v>18</v>
      </c>
      <c r="F6" s="5" t="s">
        <v>19</v>
      </c>
      <c r="G6" s="0"/>
      <c r="H6" s="12" t="n">
        <v>0.00194412712714323</v>
      </c>
      <c r="I6" s="13" t="n">
        <v>514.369655172414</v>
      </c>
    </row>
    <row r="7" customFormat="false" ht="15" hidden="true" customHeight="false" outlineLevel="0" collapsed="false">
      <c r="A7" s="1" t="s">
        <v>17</v>
      </c>
      <c r="B7" s="2" t="n">
        <v>3</v>
      </c>
      <c r="C7" s="2" t="n">
        <v>2</v>
      </c>
      <c r="D7" s="3" t="str">
        <f aca="false">E7&amp;" : "&amp;F7&amp;"-"&amp;G7</f>
        <v>Texas : DS-THI MC</v>
      </c>
      <c r="E7" s="4" t="s">
        <v>18</v>
      </c>
      <c r="F7" s="5" t="s">
        <v>15</v>
      </c>
      <c r="G7" s="5" t="s">
        <v>16</v>
      </c>
      <c r="H7" s="12" t="n">
        <v>0.00194412712714323</v>
      </c>
      <c r="I7" s="13" t="n">
        <v>514.369655172414</v>
      </c>
    </row>
    <row r="8" customFormat="false" ht="15" hidden="false" customHeight="false" outlineLevel="0" collapsed="false">
      <c r="A8" s="1" t="s">
        <v>17</v>
      </c>
      <c r="B8" s="2" t="n">
        <v>1</v>
      </c>
      <c r="C8" s="2" t="n">
        <f aca="false">C7+1</f>
        <v>3</v>
      </c>
      <c r="D8" s="3" t="str">
        <f aca="false">E8&amp;" : "&amp;F8</f>
        <v>Cube : 3JW CUBE</v>
      </c>
      <c r="E8" s="4" t="s">
        <v>20</v>
      </c>
      <c r="F8" s="5" t="s">
        <v>21</v>
      </c>
      <c r="G8" s="0"/>
      <c r="H8" s="12" t="n">
        <v>0.00478092471556524</v>
      </c>
      <c r="I8" s="13" t="n">
        <v>209.164556962025</v>
      </c>
    </row>
    <row r="9" customFormat="false" ht="15" hidden="true" customHeight="false" outlineLevel="0" collapsed="false">
      <c r="A9" s="1" t="s">
        <v>17</v>
      </c>
      <c r="B9" s="2" t="n">
        <v>2</v>
      </c>
      <c r="C9" s="2" t="n">
        <v>3</v>
      </c>
      <c r="D9" s="3" t="str">
        <f aca="false">E9&amp;" : "&amp;F9</f>
        <v>Cube : BRS CUBE</v>
      </c>
      <c r="E9" s="4" t="s">
        <v>20</v>
      </c>
      <c r="F9" s="5" t="s">
        <v>22</v>
      </c>
      <c r="G9" s="0"/>
      <c r="H9" s="12" t="n">
        <v>0.00478092471556524</v>
      </c>
      <c r="I9" s="13" t="n">
        <v>209.164556962025</v>
      </c>
    </row>
    <row r="10" customFormat="false" ht="15" hidden="true" customHeight="false" outlineLevel="0" collapsed="false">
      <c r="A10" s="1" t="s">
        <v>17</v>
      </c>
      <c r="B10" s="2" t="n">
        <v>3</v>
      </c>
      <c r="C10" s="2" t="n">
        <v>3</v>
      </c>
      <c r="D10" s="3" t="str">
        <f aca="false">E10&amp;" : "&amp;F10&amp;"-"&amp;G10</f>
        <v>Cube : DS CUBE-THI CUBE</v>
      </c>
      <c r="E10" s="4" t="s">
        <v>20</v>
      </c>
      <c r="F10" s="5" t="s">
        <v>23</v>
      </c>
      <c r="G10" s="5" t="s">
        <v>24</v>
      </c>
      <c r="H10" s="12" t="n">
        <v>0.00478092471556524</v>
      </c>
      <c r="I10" s="13" t="n">
        <v>209.164556962025</v>
      </c>
    </row>
    <row r="11" customFormat="false" ht="15" hidden="false" customHeight="false" outlineLevel="0" collapsed="false">
      <c r="A11" s="1" t="s">
        <v>17</v>
      </c>
      <c r="B11" s="2" t="n">
        <v>1</v>
      </c>
      <c r="C11" s="2" t="n">
        <v>4</v>
      </c>
      <c r="D11" s="3" t="str">
        <f aca="false">E11&amp;" : "&amp;F11</f>
        <v>10 PC : KRR</v>
      </c>
      <c r="E11" s="4" t="s">
        <v>25</v>
      </c>
      <c r="F11" s="5" t="s">
        <v>26</v>
      </c>
      <c r="G11" s="0"/>
      <c r="H11" s="12" t="n">
        <v>0.00227187269647006</v>
      </c>
      <c r="I11" s="13" t="n">
        <v>440.165508196721</v>
      </c>
    </row>
    <row r="12" customFormat="false" ht="15" hidden="true" customHeight="false" outlineLevel="0" collapsed="false">
      <c r="A12" s="1" t="s">
        <v>17</v>
      </c>
      <c r="B12" s="2" t="n">
        <v>2</v>
      </c>
      <c r="C12" s="2" t="n">
        <f aca="false">C10+1</f>
        <v>4</v>
      </c>
      <c r="D12" s="3" t="str">
        <f aca="false">E12&amp;" : "&amp;F12</f>
        <v>10 PC : KRR</v>
      </c>
      <c r="E12" s="4" t="s">
        <v>25</v>
      </c>
      <c r="F12" s="5" t="s">
        <v>26</v>
      </c>
      <c r="G12" s="0"/>
      <c r="H12" s="12" t="n">
        <v>0.00227187269647006</v>
      </c>
      <c r="I12" s="13" t="n">
        <v>440.165508196721</v>
      </c>
    </row>
    <row r="13" customFormat="false" ht="15" hidden="true" customHeight="false" outlineLevel="0" collapsed="false">
      <c r="A13" s="1" t="s">
        <v>17</v>
      </c>
      <c r="B13" s="2" t="n">
        <v>3</v>
      </c>
      <c r="C13" s="2" t="n">
        <v>4</v>
      </c>
      <c r="D13" s="3" t="str">
        <f aca="false">E13&amp;" : "&amp;F13</f>
        <v>10 PC : KRR</v>
      </c>
      <c r="E13" s="4" t="s">
        <v>25</v>
      </c>
      <c r="F13" s="5" t="s">
        <v>26</v>
      </c>
      <c r="G13" s="0"/>
      <c r="H13" s="12" t="n">
        <v>0.00227187269647006</v>
      </c>
      <c r="I13" s="13" t="n">
        <v>440.165508196721</v>
      </c>
    </row>
    <row r="14" customFormat="false" ht="15" hidden="false" customHeight="false" outlineLevel="0" collapsed="false">
      <c r="A14" s="1" t="s">
        <v>17</v>
      </c>
      <c r="B14" s="2" t="n">
        <v>1</v>
      </c>
      <c r="C14" s="2" t="n">
        <v>5</v>
      </c>
      <c r="D14" s="3" t="str">
        <f aca="false">E14&amp;" : "&amp;F14</f>
        <v>4 PC : </v>
      </c>
      <c r="E14" s="4" t="s">
        <v>27</v>
      </c>
      <c r="F14" s="0"/>
      <c r="G14" s="0"/>
      <c r="H14" s="12" t="n">
        <v>0.00173556176484434</v>
      </c>
      <c r="I14" s="13" t="n">
        <v>576.182317596567</v>
      </c>
    </row>
    <row r="15" customFormat="false" ht="15" hidden="true" customHeight="false" outlineLevel="0" collapsed="false">
      <c r="A15" s="1" t="s">
        <v>17</v>
      </c>
      <c r="B15" s="2" t="n">
        <v>2</v>
      </c>
      <c r="C15" s="2" t="n">
        <v>5</v>
      </c>
      <c r="D15" s="3" t="str">
        <f aca="false">E15&amp;" : "&amp;F15</f>
        <v>4 PC : </v>
      </c>
      <c r="E15" s="4" t="s">
        <v>27</v>
      </c>
      <c r="F15" s="0"/>
      <c r="G15" s="0"/>
      <c r="H15" s="12" t="n">
        <v>0.00173556176484434</v>
      </c>
      <c r="I15" s="13" t="n">
        <v>576.182317596567</v>
      </c>
    </row>
    <row r="16" customFormat="false" ht="15" hidden="false" customHeight="false" outlineLevel="0" collapsed="false">
      <c r="A16" s="1" t="s">
        <v>28</v>
      </c>
      <c r="B16" s="2" t="n">
        <v>1</v>
      </c>
      <c r="C16" s="2" t="n">
        <v>6</v>
      </c>
      <c r="D16" s="3" t="str">
        <f aca="false">E16&amp;" : "&amp;F16</f>
        <v>NT : 3JW JC</v>
      </c>
      <c r="E16" s="4" t="s">
        <v>28</v>
      </c>
      <c r="F16" s="5" t="s">
        <v>29</v>
      </c>
      <c r="G16" s="0"/>
      <c r="H16" s="12" t="n">
        <v>0.0221177290142807</v>
      </c>
      <c r="I16" s="13" t="n">
        <v>45.2125984251969</v>
      </c>
    </row>
    <row r="17" customFormat="false" ht="15" hidden="false" customHeight="false" outlineLevel="0" collapsed="false">
      <c r="A17" s="1" t="s">
        <v>28</v>
      </c>
      <c r="B17" s="2" t="n">
        <v>1</v>
      </c>
      <c r="C17" s="2" t="n">
        <f aca="false">C16+1</f>
        <v>7</v>
      </c>
      <c r="D17" s="3" t="str">
        <f aca="false">E17&amp;" : "&amp;F17&amp;"-"&amp;G17</f>
        <v>NT : DMT-2JW</v>
      </c>
      <c r="E17" s="4" t="s">
        <v>28</v>
      </c>
      <c r="F17" s="5" t="s">
        <v>30</v>
      </c>
      <c r="G17" s="5" t="s">
        <v>31</v>
      </c>
      <c r="H17" s="12" t="n">
        <v>0.00927609427609428</v>
      </c>
      <c r="I17" s="13" t="n">
        <v>107.803992740472</v>
      </c>
    </row>
    <row r="18" customFormat="false" ht="15" hidden="false" customHeight="false" outlineLevel="0" collapsed="false">
      <c r="A18" s="1" t="s">
        <v>28</v>
      </c>
      <c r="B18" s="2" t="n">
        <v>1</v>
      </c>
      <c r="C18" s="2" t="n">
        <f aca="false">C17+1</f>
        <v>8</v>
      </c>
      <c r="D18" s="3" t="str">
        <f aca="false">E18&amp;" : "&amp;F18&amp;"-"&amp;G18</f>
        <v>NT : DMT -MJW</v>
      </c>
      <c r="E18" s="4" t="s">
        <v>28</v>
      </c>
      <c r="F18" s="5" t="s">
        <v>32</v>
      </c>
      <c r="G18" s="5" t="s">
        <v>33</v>
      </c>
      <c r="H18" s="12" t="n">
        <v>0.0145323388311097</v>
      </c>
      <c r="I18" s="13" t="n">
        <v>68.8120481927711</v>
      </c>
    </row>
    <row r="19" customFormat="false" ht="15" hidden="true" customHeight="false" outlineLevel="0" collapsed="false">
      <c r="A19" s="1" t="s">
        <v>28</v>
      </c>
      <c r="B19" s="2" t="n">
        <v>2</v>
      </c>
      <c r="C19" s="2" t="n">
        <f aca="false">C18+1</f>
        <v>9</v>
      </c>
      <c r="D19" s="3" t="str">
        <f aca="false">E19&amp;" : "&amp;F19&amp;"-"&amp;G19</f>
        <v>NT : BL SINGLE BRS-FIL</v>
      </c>
      <c r="E19" s="4" t="str">
        <f aca="false">A19</f>
        <v>NT</v>
      </c>
      <c r="F19" s="5" t="s">
        <v>34</v>
      </c>
      <c r="G19" s="5" t="s">
        <v>35</v>
      </c>
      <c r="H19" s="12" t="n">
        <f aca="false">0.00637</f>
        <v>0.00637</v>
      </c>
      <c r="I19" s="13" t="n">
        <f aca="false">1/H19</f>
        <v>156.985871271586</v>
      </c>
    </row>
    <row r="20" customFormat="false" ht="15" hidden="true" customHeight="false" outlineLevel="0" collapsed="false">
      <c r="A20" s="1" t="s">
        <v>28</v>
      </c>
      <c r="B20" s="2" t="n">
        <v>2</v>
      </c>
      <c r="C20" s="2" t="n">
        <f aca="false">C19+1</f>
        <v>10</v>
      </c>
      <c r="D20" s="3" t="str">
        <f aca="false">E20&amp;" : "&amp;F20&amp;"-"&amp;G20</f>
        <v>NT : BSL SINGLE BRS-FIL</v>
      </c>
      <c r="E20" s="4" t="str">
        <f aca="false">A20</f>
        <v>NT</v>
      </c>
      <c r="F20" s="5" t="s">
        <v>36</v>
      </c>
      <c r="G20" s="5" t="s">
        <v>35</v>
      </c>
      <c r="H20" s="12" t="n">
        <f aca="false">0.00697196129936083</f>
        <v>0.00697196129936083</v>
      </c>
      <c r="I20" s="13" t="n">
        <f aca="false">1/H20</f>
        <v>143.4316624924</v>
      </c>
    </row>
    <row r="21" customFormat="false" ht="15" hidden="true" customHeight="false" outlineLevel="0" collapsed="false">
      <c r="A21" s="1" t="s">
        <v>28</v>
      </c>
      <c r="B21" s="2" t="n">
        <v>2</v>
      </c>
      <c r="C21" s="2" t="n">
        <f aca="false">C20+1</f>
        <v>11</v>
      </c>
      <c r="D21" s="3" t="str">
        <f aca="false">E21&amp;" : "&amp;F21&amp;"-"&amp;G21</f>
        <v>NT : BL BFLY BRS-FIL</v>
      </c>
      <c r="E21" s="4" t="str">
        <f aca="false">A21</f>
        <v>NT</v>
      </c>
      <c r="F21" s="5" t="s">
        <v>37</v>
      </c>
      <c r="G21" s="5" t="s">
        <v>35</v>
      </c>
      <c r="H21" s="12" t="n">
        <f aca="false">0.00637</f>
        <v>0.00637</v>
      </c>
      <c r="I21" s="13" t="n">
        <f aca="false">1/H21</f>
        <v>156.985871271586</v>
      </c>
    </row>
    <row r="22" customFormat="false" ht="15" hidden="true" customHeight="false" outlineLevel="0" collapsed="false">
      <c r="A22" s="1" t="s">
        <v>28</v>
      </c>
      <c r="B22" s="2" t="n">
        <v>2</v>
      </c>
      <c r="C22" s="2" t="n">
        <f aca="false">C21+1</f>
        <v>12</v>
      </c>
      <c r="D22" s="3" t="str">
        <f aca="false">E22&amp;" : "&amp;F22&amp;"-"&amp;G22</f>
        <v>NT : BSL BFLY BRS-FIL</v>
      </c>
      <c r="E22" s="4" t="str">
        <f aca="false">A22</f>
        <v>NT</v>
      </c>
      <c r="F22" s="5" t="s">
        <v>38</v>
      </c>
      <c r="G22" s="5" t="s">
        <v>35</v>
      </c>
      <c r="H22" s="12" t="n">
        <f aca="false">0.00697196129936083</f>
        <v>0.00697196129936083</v>
      </c>
      <c r="I22" s="13" t="n">
        <f aca="false">1/H22</f>
        <v>143.4316624924</v>
      </c>
    </row>
    <row r="23" customFormat="false" ht="15" hidden="true" customHeight="false" outlineLevel="0" collapsed="false">
      <c r="A23" s="1" t="s">
        <v>28</v>
      </c>
      <c r="B23" s="2" t="n">
        <v>2</v>
      </c>
      <c r="C23" s="2" t="n">
        <f aca="false">C22+1</f>
        <v>13</v>
      </c>
      <c r="D23" s="3" t="str">
        <f aca="false">E23&amp;" : "&amp;F23&amp;"-"&amp;G23</f>
        <v>NT : BSL OPEN CUT BRS-FIL</v>
      </c>
      <c r="E23" s="4" t="str">
        <f aca="false">A23</f>
        <v>NT</v>
      </c>
      <c r="F23" s="5" t="s">
        <v>39</v>
      </c>
      <c r="G23" s="5" t="s">
        <v>35</v>
      </c>
      <c r="H23" s="12" t="n">
        <f aca="false">0.00697196129936083+0.01868</f>
        <v>0.0256519612993608</v>
      </c>
      <c r="I23" s="13" t="n">
        <f aca="false">1/H23</f>
        <v>38.9833739545255</v>
      </c>
    </row>
    <row r="24" customFormat="false" ht="15" hidden="true" customHeight="false" outlineLevel="0" collapsed="false">
      <c r="A24" s="1" t="s">
        <v>28</v>
      </c>
      <c r="B24" s="2" t="n">
        <v>2</v>
      </c>
      <c r="C24" s="2" t="n">
        <f aca="false">C23+1</f>
        <v>14</v>
      </c>
      <c r="D24" s="3" t="str">
        <f aca="false">E24&amp;" : "&amp;F24&amp;"-"&amp;G24</f>
        <v>NT : BRS STRIP-FIL</v>
      </c>
      <c r="E24" s="4" t="str">
        <f aca="false">A24</f>
        <v>NT</v>
      </c>
      <c r="F24" s="5" t="s">
        <v>40</v>
      </c>
      <c r="G24" s="5" t="s">
        <v>35</v>
      </c>
      <c r="H24" s="12" t="n">
        <f aca="false">0.00697196129936083</f>
        <v>0.00697196129936083</v>
      </c>
      <c r="I24" s="13" t="n">
        <f aca="false">1/H24</f>
        <v>143.4316624924</v>
      </c>
    </row>
    <row r="25" customFormat="false" ht="15" hidden="true" customHeight="false" outlineLevel="0" collapsed="false">
      <c r="A25" s="1" t="s">
        <v>28</v>
      </c>
      <c r="B25" s="2" t="n">
        <v>2</v>
      </c>
      <c r="C25" s="2" t="n">
        <f aca="false">C24+1</f>
        <v>15</v>
      </c>
      <c r="D25" s="3" t="str">
        <f aca="false">E25&amp;" : "&amp;F25&amp;"-"&amp;G25</f>
        <v>NT : BRS CUBE-FIL</v>
      </c>
      <c r="E25" s="4" t="str">
        <f aca="false">A25</f>
        <v>NT</v>
      </c>
      <c r="F25" s="5" t="s">
        <v>22</v>
      </c>
      <c r="G25" s="5" t="s">
        <v>35</v>
      </c>
      <c r="H25" s="12" t="n">
        <f aca="false">0.00697196129936083+0.00733</f>
        <v>0.0143019612993608</v>
      </c>
      <c r="I25" s="13" t="n">
        <f aca="false">1/H25</f>
        <v>69.9204800704286</v>
      </c>
    </row>
    <row r="26" customFormat="false" ht="15" hidden="true" customHeight="false" outlineLevel="0" collapsed="false">
      <c r="A26" s="1" t="s">
        <v>28</v>
      </c>
      <c r="B26" s="2" t="n">
        <v>2</v>
      </c>
      <c r="C26" s="2" t="n">
        <f aca="false">C25+1</f>
        <v>16</v>
      </c>
      <c r="D26" s="3" t="str">
        <f aca="false">E26&amp;" : "&amp;F26&amp;"-"&amp;G26</f>
        <v>NT : BL SINGLE BRS-FIL WOT</v>
      </c>
      <c r="E26" s="4" t="str">
        <f aca="false">A26</f>
        <v>NT</v>
      </c>
      <c r="F26" s="5" t="s">
        <v>34</v>
      </c>
      <c r="G26" s="5" t="s">
        <v>41</v>
      </c>
      <c r="H26" s="12" t="n">
        <f aca="false">0.0111583597883598+0.00479</f>
        <v>0.0159483597883598</v>
      </c>
      <c r="I26" s="13" t="n">
        <f aca="false">1/H26</f>
        <v>62.7023727374064</v>
      </c>
    </row>
    <row r="27" customFormat="false" ht="15" hidden="true" customHeight="false" outlineLevel="0" collapsed="false">
      <c r="A27" s="1" t="s">
        <v>28</v>
      </c>
      <c r="B27" s="2" t="n">
        <v>2</v>
      </c>
      <c r="C27" s="2" t="n">
        <f aca="false">C26+1</f>
        <v>17</v>
      </c>
      <c r="D27" s="3" t="str">
        <f aca="false">E27&amp;" : "&amp;F27&amp;"-"&amp;G27</f>
        <v>NT : BSL SINGLE BRS-FIL WOT</v>
      </c>
      <c r="E27" s="4" t="str">
        <f aca="false">A27</f>
        <v>NT</v>
      </c>
      <c r="F27" s="5" t="s">
        <v>36</v>
      </c>
      <c r="G27" s="5" t="s">
        <v>41</v>
      </c>
      <c r="H27" s="12" t="n">
        <f aca="false">0.00697196129936083+0.00479</f>
        <v>0.0117619612993608</v>
      </c>
      <c r="I27" s="13" t="n">
        <f aca="false">1/H27</f>
        <v>85.0198342392389</v>
      </c>
    </row>
    <row r="28" customFormat="false" ht="15" hidden="true" customHeight="false" outlineLevel="0" collapsed="false">
      <c r="A28" s="1" t="s">
        <v>28</v>
      </c>
      <c r="B28" s="2" t="n">
        <v>2</v>
      </c>
      <c r="C28" s="2" t="n">
        <f aca="false">C27+1</f>
        <v>18</v>
      </c>
      <c r="D28" s="3" t="str">
        <f aca="false">E28&amp;" : "&amp;F28&amp;"-"&amp;G28</f>
        <v>NT : BL BFLY BRS-FIL WOT</v>
      </c>
      <c r="E28" s="4" t="str">
        <f aca="false">A28</f>
        <v>NT</v>
      </c>
      <c r="F28" s="5" t="s">
        <v>37</v>
      </c>
      <c r="G28" s="5" t="s">
        <v>41</v>
      </c>
      <c r="H28" s="12" t="n">
        <f aca="false">0.00637+0.00479</f>
        <v>0.01116</v>
      </c>
      <c r="I28" s="13" t="n">
        <f aca="false">1/H28</f>
        <v>89.6057347670251</v>
      </c>
    </row>
    <row r="29" customFormat="false" ht="15" hidden="true" customHeight="false" outlineLevel="0" collapsed="false">
      <c r="A29" s="1" t="s">
        <v>28</v>
      </c>
      <c r="B29" s="2" t="n">
        <v>2</v>
      </c>
      <c r="C29" s="2" t="n">
        <f aca="false">C28+1</f>
        <v>19</v>
      </c>
      <c r="D29" s="3" t="str">
        <f aca="false">E29&amp;" : "&amp;F29&amp;"-"&amp;G29</f>
        <v>NT : BSL BFLY BRS-FIL WOT</v>
      </c>
      <c r="E29" s="4" t="str">
        <f aca="false">A29</f>
        <v>NT</v>
      </c>
      <c r="F29" s="5" t="s">
        <v>38</v>
      </c>
      <c r="G29" s="5" t="s">
        <v>41</v>
      </c>
      <c r="H29" s="12" t="n">
        <f aca="false">0.00697196129936083+0.00479</f>
        <v>0.0117619612993608</v>
      </c>
      <c r="I29" s="13" t="n">
        <f aca="false">1/H29</f>
        <v>85.0198342392389</v>
      </c>
    </row>
    <row r="30" customFormat="false" ht="15" hidden="true" customHeight="false" outlineLevel="0" collapsed="false">
      <c r="A30" s="1" t="s">
        <v>28</v>
      </c>
      <c r="B30" s="2" t="n">
        <v>2</v>
      </c>
      <c r="C30" s="2" t="n">
        <f aca="false">C29+1</f>
        <v>20</v>
      </c>
      <c r="D30" s="3" t="str">
        <f aca="false">E30&amp;" : "&amp;F30&amp;"-"&amp;G30</f>
        <v>NT : BSL OPEN CUT BRS-FIL WOT</v>
      </c>
      <c r="E30" s="4" t="str">
        <f aca="false">A30</f>
        <v>NT</v>
      </c>
      <c r="F30" s="5" t="s">
        <v>39</v>
      </c>
      <c r="G30" s="5" t="s">
        <v>41</v>
      </c>
      <c r="H30" s="12" t="n">
        <f aca="false">0.00697196129936083+0.00479+0.01868</f>
        <v>0.0304419612993608</v>
      </c>
      <c r="I30" s="13" t="n">
        <f aca="false">1/H30</f>
        <v>32.8493946288867</v>
      </c>
    </row>
    <row r="31" customFormat="false" ht="15" hidden="true" customHeight="false" outlineLevel="0" collapsed="false">
      <c r="A31" s="1" t="s">
        <v>28</v>
      </c>
      <c r="B31" s="2" t="n">
        <v>2</v>
      </c>
      <c r="C31" s="2" t="n">
        <f aca="false">C30+1</f>
        <v>21</v>
      </c>
      <c r="D31" s="3" t="str">
        <f aca="false">E31&amp;" : "&amp;F31&amp;"-"&amp;G31</f>
        <v>NT : BRS STRIP-FIL WOT</v>
      </c>
      <c r="E31" s="4" t="str">
        <f aca="false">A31</f>
        <v>NT</v>
      </c>
      <c r="F31" s="5" t="s">
        <v>40</v>
      </c>
      <c r="G31" s="5" t="s">
        <v>41</v>
      </c>
      <c r="H31" s="12" t="n">
        <f aca="false">0.00697196129936083+0.00479+0.00479</f>
        <v>0.0165519612993608</v>
      </c>
      <c r="I31" s="13" t="n">
        <f aca="false">1/H31</f>
        <v>60.4158009986778</v>
      </c>
    </row>
    <row r="32" customFormat="false" ht="15" hidden="true" customHeight="false" outlineLevel="0" collapsed="false">
      <c r="A32" s="1" t="s">
        <v>28</v>
      </c>
      <c r="B32" s="2" t="n">
        <v>2</v>
      </c>
      <c r="C32" s="2" t="n">
        <f aca="false">C31+1</f>
        <v>22</v>
      </c>
      <c r="D32" s="3" t="str">
        <f aca="false">E32&amp;" : "&amp;F32&amp;"-"&amp;G32</f>
        <v>NT : BRS CUBE-FIL CUBE</v>
      </c>
      <c r="E32" s="4" t="str">
        <f aca="false">A32</f>
        <v>NT</v>
      </c>
      <c r="F32" s="5" t="s">
        <v>22</v>
      </c>
      <c r="G32" s="5" t="s">
        <v>42</v>
      </c>
      <c r="H32" s="12" t="n">
        <f aca="false">0.00697196129936083+0.01896+0.00733</f>
        <v>0.0332619612993608</v>
      </c>
      <c r="I32" s="13" t="n">
        <f aca="false">1/H32</f>
        <v>30.0643726628116</v>
      </c>
    </row>
    <row r="33" customFormat="false" ht="15" hidden="true" customHeight="false" outlineLevel="0" collapsed="false">
      <c r="A33" s="1" t="s">
        <v>28</v>
      </c>
      <c r="B33" s="2" t="n">
        <v>2</v>
      </c>
      <c r="C33" s="2" t="n">
        <f aca="false">C32+1</f>
        <v>23</v>
      </c>
      <c r="D33" s="3" t="str">
        <f aca="false">E33&amp;" : "&amp;F33</f>
        <v>NT : SWBH</v>
      </c>
      <c r="E33" s="4" t="str">
        <f aca="false">A33</f>
        <v>NT</v>
      </c>
      <c r="F33" s="5" t="s">
        <v>43</v>
      </c>
      <c r="G33" s="0"/>
      <c r="H33" s="12" t="n">
        <v>0.00194412712714323</v>
      </c>
      <c r="I33" s="13" t="n">
        <f aca="false">1/H33</f>
        <v>514.369655172414</v>
      </c>
    </row>
    <row r="34" customFormat="false" ht="15" hidden="true" customHeight="false" outlineLevel="0" collapsed="false">
      <c r="A34" s="1" t="s">
        <v>28</v>
      </c>
      <c r="B34" s="2" t="n">
        <v>2</v>
      </c>
      <c r="C34" s="2" t="n">
        <f aca="false">C33+1</f>
        <v>24</v>
      </c>
      <c r="D34" s="3" t="str">
        <f aca="false">E34&amp;" : "&amp;F34</f>
        <v>NT : WPP WOW</v>
      </c>
      <c r="E34" s="4" t="str">
        <f aca="false">A34</f>
        <v>NT</v>
      </c>
      <c r="F34" s="5" t="s">
        <v>44</v>
      </c>
      <c r="G34" s="0"/>
      <c r="H34" s="12" t="n">
        <v>0.000867780882422171</v>
      </c>
      <c r="I34" s="13" t="n">
        <f aca="false">1/H34</f>
        <v>1152.36463519313</v>
      </c>
    </row>
    <row r="35" customFormat="false" ht="15" hidden="true" customHeight="false" outlineLevel="0" collapsed="false">
      <c r="A35" s="1" t="s">
        <v>28</v>
      </c>
      <c r="B35" s="2" t="n">
        <v>3</v>
      </c>
      <c r="C35" s="2" t="n">
        <f aca="false">C34+1</f>
        <v>25</v>
      </c>
      <c r="D35" s="3" t="str">
        <f aca="false">E35&amp;" : "&amp;F35</f>
        <v>NT : QLEG</v>
      </c>
      <c r="E35" s="4" t="str">
        <f aca="false">A35</f>
        <v>NT</v>
      </c>
      <c r="F35" s="5" t="s">
        <v>45</v>
      </c>
      <c r="G35" s="0"/>
      <c r="H35" s="12" t="n">
        <v>0.0036281179138322</v>
      </c>
      <c r="I35" s="13" t="n">
        <f aca="false">1/H35</f>
        <v>275.625</v>
      </c>
    </row>
    <row r="36" customFormat="false" ht="15" hidden="true" customHeight="false" outlineLevel="0" collapsed="false">
      <c r="A36" s="1" t="s">
        <v>28</v>
      </c>
      <c r="B36" s="2" t="n">
        <v>3</v>
      </c>
      <c r="C36" s="2" t="n">
        <f aca="false">C35+1</f>
        <v>26</v>
      </c>
      <c r="D36" s="3" t="str">
        <f aca="false">E36&amp;" : "&amp;F36&amp;"-"&amp;G36</f>
        <v>NT : THIGH-DS</v>
      </c>
      <c r="E36" s="4" t="str">
        <f aca="false">A36</f>
        <v>NT</v>
      </c>
      <c r="F36" s="5" t="s">
        <v>46</v>
      </c>
      <c r="G36" s="5" t="s">
        <v>15</v>
      </c>
      <c r="H36" s="12" t="n">
        <v>0.00238095238095238</v>
      </c>
      <c r="I36" s="13" t="n">
        <f aca="false">1/H36</f>
        <v>420</v>
      </c>
    </row>
    <row r="37" customFormat="false" ht="15" hidden="true" customHeight="false" outlineLevel="0" collapsed="false">
      <c r="A37" s="1" t="s">
        <v>28</v>
      </c>
      <c r="B37" s="2" t="n">
        <v>3</v>
      </c>
      <c r="C37" s="2" t="n">
        <f aca="false">C36+1</f>
        <v>27</v>
      </c>
      <c r="D37" s="3" t="str">
        <f aca="false">E37&amp;" : "&amp;F37</f>
        <v>NT : BL LEG</v>
      </c>
      <c r="E37" s="4" t="str">
        <f aca="false">A37</f>
        <v>NT</v>
      </c>
      <c r="F37" s="5" t="s">
        <v>47</v>
      </c>
      <c r="G37" s="0"/>
      <c r="H37" s="12" t="n">
        <v>0.0119444444444444</v>
      </c>
      <c r="I37" s="13" t="n">
        <f aca="false">1/H37</f>
        <v>83.7209302325581</v>
      </c>
    </row>
    <row r="38" customFormat="false" ht="15" hidden="true" customHeight="false" outlineLevel="0" collapsed="false">
      <c r="A38" s="1" t="s">
        <v>28</v>
      </c>
      <c r="B38" s="2" t="n">
        <v>3</v>
      </c>
      <c r="C38" s="2" t="n">
        <f aca="false">C37+1</f>
        <v>28</v>
      </c>
      <c r="D38" s="3" t="str">
        <f aca="false">E38&amp;" : "&amp;F38</f>
        <v>NT : BSL LEG</v>
      </c>
      <c r="E38" s="4" t="str">
        <f aca="false">A38</f>
        <v>NT</v>
      </c>
      <c r="F38" s="5" t="s">
        <v>48</v>
      </c>
      <c r="G38" s="0"/>
      <c r="H38" s="12" t="n">
        <v>0.0150408838570296</v>
      </c>
      <c r="I38" s="13" t="n">
        <f aca="false">1/H38</f>
        <v>66.4854545454546</v>
      </c>
    </row>
    <row r="39" customFormat="false" ht="15" hidden="true" customHeight="false" outlineLevel="0" collapsed="false">
      <c r="A39" s="1" t="s">
        <v>28</v>
      </c>
      <c r="B39" s="2" t="n">
        <v>3</v>
      </c>
      <c r="C39" s="2" t="n">
        <f aca="false">C38+1</f>
        <v>29</v>
      </c>
      <c r="D39" s="3" t="str">
        <f aca="false">E39&amp;" : "&amp;F39</f>
        <v>NT : CHOP</v>
      </c>
      <c r="E39" s="4" t="str">
        <f aca="false">A39</f>
        <v>NT</v>
      </c>
      <c r="F39" s="5" t="s">
        <v>49</v>
      </c>
      <c r="G39" s="0"/>
      <c r="H39" s="12" t="n">
        <v>0.0131663835894195</v>
      </c>
      <c r="I39" s="13" t="n">
        <f aca="false">1/H39</f>
        <v>75.951</v>
      </c>
    </row>
    <row r="40" customFormat="false" ht="15" hidden="true" customHeight="false" outlineLevel="0" collapsed="false">
      <c r="A40" s="1" t="s">
        <v>28</v>
      </c>
      <c r="B40" s="2" t="n">
        <v>3</v>
      </c>
      <c r="C40" s="2" t="n">
        <f aca="false">C39+1</f>
        <v>30</v>
      </c>
      <c r="D40" s="3" t="str">
        <f aca="false">E40&amp;" : "&amp;F40&amp;"-"&amp;G40</f>
        <v>NT : BL THI-DS</v>
      </c>
      <c r="E40" s="4" t="str">
        <f aca="false">A40</f>
        <v>NT</v>
      </c>
      <c r="F40" s="5" t="s">
        <v>50</v>
      </c>
      <c r="G40" s="5" t="s">
        <v>15</v>
      </c>
      <c r="H40" s="12" t="n">
        <v>0.00783527696793003</v>
      </c>
      <c r="I40" s="13" t="n">
        <f aca="false">1/H40</f>
        <v>127.627906976744</v>
      </c>
    </row>
    <row r="41" customFormat="false" ht="15" hidden="true" customHeight="false" outlineLevel="0" collapsed="false">
      <c r="A41" s="1" t="s">
        <v>28</v>
      </c>
      <c r="B41" s="2" t="n">
        <v>3</v>
      </c>
      <c r="C41" s="2" t="n">
        <f aca="false">C40+1</f>
        <v>31</v>
      </c>
      <c r="D41" s="3" t="str">
        <f aca="false">E41&amp;" : "&amp;F41&amp;"-"&amp;G41</f>
        <v>NT : BSL THI-DS</v>
      </c>
      <c r="E41" s="4" t="str">
        <f aca="false">A41</f>
        <v>NT</v>
      </c>
      <c r="F41" s="5" t="s">
        <v>51</v>
      </c>
      <c r="G41" s="5" t="s">
        <v>15</v>
      </c>
      <c r="H41" s="12" t="n">
        <v>0.00881944444444444</v>
      </c>
      <c r="I41" s="13" t="n">
        <f aca="false">1/H41</f>
        <v>113.385826771654</v>
      </c>
    </row>
    <row r="42" customFormat="false" ht="15" hidden="true" customHeight="false" outlineLevel="0" collapsed="false">
      <c r="A42" s="1" t="s">
        <v>28</v>
      </c>
      <c r="B42" s="2" t="n">
        <v>3</v>
      </c>
      <c r="C42" s="2" t="n">
        <f aca="false">C41+1</f>
        <v>32</v>
      </c>
      <c r="D42" s="3" t="str">
        <f aca="false">E42&amp;" : "&amp;F42&amp;"-"&amp;G42</f>
        <v>NT : BSL THI-BS DS</v>
      </c>
      <c r="E42" s="4" t="str">
        <f aca="false">A42</f>
        <v>NT</v>
      </c>
      <c r="F42" s="5" t="s">
        <v>51</v>
      </c>
      <c r="G42" s="5" t="s">
        <v>52</v>
      </c>
      <c r="H42" s="12" t="n">
        <f aca="false">0.00881944444444444+0.004944</f>
        <v>0.0137634444444444</v>
      </c>
      <c r="I42" s="13" t="n">
        <f aca="false">1/H42</f>
        <v>72.6562310791065</v>
      </c>
    </row>
    <row r="43" customFormat="false" ht="15" hidden="true" customHeight="false" outlineLevel="0" collapsed="false">
      <c r="A43" s="1" t="s">
        <v>28</v>
      </c>
      <c r="B43" s="2" t="n">
        <v>3</v>
      </c>
      <c r="C43" s="2" t="n">
        <f aca="false">C42+1</f>
        <v>33</v>
      </c>
      <c r="D43" s="3" t="str">
        <f aca="false">E43&amp;" : "&amp;F43</f>
        <v>NT : BSL LEG (2 CUT)</v>
      </c>
      <c r="E43" s="4" t="str">
        <f aca="false">A43</f>
        <v>NT</v>
      </c>
      <c r="F43" s="5" t="s">
        <v>53</v>
      </c>
      <c r="H43" s="12" t="n">
        <f aca="false">0.0150408838570296+0.00833</f>
        <v>0.0233708838570296</v>
      </c>
      <c r="I43" s="13" t="n">
        <f aca="false">1/H43</f>
        <v>42.7882833237056</v>
      </c>
    </row>
    <row r="44" customFormat="false" ht="15" hidden="true" customHeight="false" outlineLevel="0" collapsed="false">
      <c r="A44" s="1" t="s">
        <v>28</v>
      </c>
      <c r="B44" s="2" t="n">
        <v>3</v>
      </c>
      <c r="C44" s="2" t="n">
        <f aca="false">C43+1</f>
        <v>34</v>
      </c>
      <c r="D44" s="3" t="str">
        <f aca="false">E44&amp;" : "&amp;F44</f>
        <v>NT : BSL LEG CUBE</v>
      </c>
      <c r="E44" s="4" t="str">
        <f aca="false">A44</f>
        <v>NT</v>
      </c>
      <c r="F44" s="5" t="s">
        <v>54</v>
      </c>
      <c r="H44" s="12" t="n">
        <f aca="false">0.0150408838570296+0.00733</f>
        <v>0.0223708838570296</v>
      </c>
      <c r="I44" s="13" t="n">
        <f aca="false">1/H44</f>
        <v>44.7009606947546</v>
      </c>
    </row>
    <row r="45" customFormat="false" ht="15" hidden="false" customHeight="false" outlineLevel="0" collapsed="false">
      <c r="A45" s="1" t="s">
        <v>55</v>
      </c>
      <c r="B45" s="2" t="n">
        <v>1</v>
      </c>
      <c r="C45" s="2" t="n">
        <v>35</v>
      </c>
      <c r="D45" s="3" t="str">
        <f aca="false">E45&amp;" : "&amp;F45</f>
        <v>WBD : </v>
      </c>
      <c r="E45" s="4" t="str">
        <f aca="false">A45</f>
        <v>WBD</v>
      </c>
      <c r="F45" s="0"/>
      <c r="H45" s="15" t="n">
        <v>0.005</v>
      </c>
      <c r="I45" s="13" t="n">
        <f aca="false">1/H45</f>
        <v>200</v>
      </c>
    </row>
    <row r="46" customFormat="false" ht="15" hidden="true" customHeight="false" outlineLevel="0" collapsed="false">
      <c r="A46" s="1" t="s">
        <v>55</v>
      </c>
      <c r="B46" s="2" t="n">
        <v>2</v>
      </c>
      <c r="C46" s="2" t="n">
        <v>35</v>
      </c>
      <c r="D46" s="3" t="str">
        <f aca="false">E46&amp;" : "&amp;F46</f>
        <v>WBD : </v>
      </c>
      <c r="E46" s="4" t="str">
        <f aca="false">A46</f>
        <v>WBD</v>
      </c>
      <c r="F46" s="0"/>
      <c r="H46" s="15" t="n">
        <v>0.005</v>
      </c>
      <c r="I46" s="13" t="n">
        <f aca="false">1/H46</f>
        <v>200</v>
      </c>
    </row>
    <row r="47" customFormat="false" ht="15" hidden="true" customHeight="false" outlineLevel="0" collapsed="false">
      <c r="A47" s="1" t="s">
        <v>55</v>
      </c>
      <c r="B47" s="2" t="n">
        <v>3</v>
      </c>
      <c r="C47" s="2" t="n">
        <v>35</v>
      </c>
      <c r="D47" s="3" t="str">
        <f aca="false">E47&amp;" : "&amp;F47</f>
        <v>WBD : </v>
      </c>
      <c r="E47" s="4" t="str">
        <f aca="false">A47</f>
        <v>WBD</v>
      </c>
      <c r="F47" s="0"/>
      <c r="H47" s="15" t="n">
        <v>0.005</v>
      </c>
      <c r="I47" s="13" t="n">
        <f aca="false">1/H47</f>
        <v>200</v>
      </c>
    </row>
    <row r="48" customFormat="false" ht="15" hidden="false" customHeight="false" outlineLevel="0" collapsed="false">
      <c r="A48" s="1" t="s">
        <v>55</v>
      </c>
      <c r="B48" s="2" t="n">
        <v>1</v>
      </c>
      <c r="C48" s="2" t="n">
        <v>36</v>
      </c>
      <c r="D48" s="3" t="str">
        <f aca="false">E48&amp;" : "&amp;F48</f>
        <v>WBD : MAR</v>
      </c>
      <c r="E48" s="4" t="str">
        <f aca="false">A48</f>
        <v>WBD</v>
      </c>
      <c r="F48" s="5" t="s">
        <v>56</v>
      </c>
      <c r="H48" s="15" t="n">
        <f aca="false">0.005*2.6</f>
        <v>0.013</v>
      </c>
      <c r="I48" s="13" t="n">
        <f aca="false">1/H48</f>
        <v>76.9230769230769</v>
      </c>
    </row>
    <row r="49" customFormat="false" ht="15" hidden="true" customHeight="false" outlineLevel="0" collapsed="false">
      <c r="A49" s="1" t="s">
        <v>55</v>
      </c>
      <c r="B49" s="2" t="n">
        <v>2</v>
      </c>
      <c r="C49" s="2" t="n">
        <v>36</v>
      </c>
      <c r="D49" s="3" t="str">
        <f aca="false">E49&amp;" : "&amp;F49</f>
        <v>WBD : MAR</v>
      </c>
      <c r="E49" s="4" t="str">
        <f aca="false">A49</f>
        <v>WBD</v>
      </c>
      <c r="F49" s="5" t="s">
        <v>56</v>
      </c>
      <c r="H49" s="15" t="n">
        <f aca="false">0.005*2.6</f>
        <v>0.013</v>
      </c>
      <c r="I49" s="13" t="n">
        <f aca="false">1/H49</f>
        <v>76.9230769230769</v>
      </c>
    </row>
    <row r="50" customFormat="false" ht="15" hidden="true" customHeight="false" outlineLevel="0" collapsed="false">
      <c r="A50" s="1" t="s">
        <v>55</v>
      </c>
      <c r="B50" s="2" t="n">
        <v>3</v>
      </c>
      <c r="C50" s="2" t="n">
        <v>36</v>
      </c>
      <c r="D50" s="3" t="str">
        <f aca="false">E50&amp;" : "&amp;F50</f>
        <v>WBD : MAR</v>
      </c>
      <c r="E50" s="4" t="str">
        <f aca="false">A50</f>
        <v>WBD</v>
      </c>
      <c r="F50" s="5" t="s">
        <v>56</v>
      </c>
      <c r="H50" s="15" t="n">
        <f aca="false">0.005*2.6</f>
        <v>0.013</v>
      </c>
      <c r="I50" s="13" t="n">
        <f aca="false">1/H50</f>
        <v>76.9230769230769</v>
      </c>
    </row>
  </sheetData>
  <autoFilter ref="A1:J50">
    <filterColumn colId="1">
      <customFilters and="true">
        <customFilter operator="equal" val="1"/>
      </customFilters>
    </filterColumn>
  </autoFilter>
  <hyperlinks>
    <hyperlink ref="J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true"/>
  </sheetPr>
  <dimension ref="A1:AL452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2" topLeftCell="E3" activePane="bottomRight" state="frozen"/>
      <selection pane="topLeft" activeCell="A1" activeCellId="0" sqref="A1"/>
      <selection pane="topRight" activeCell="E1" activeCellId="0" sqref="E1"/>
      <selection pane="bottomLeft" activeCell="A3" activeCellId="0" sqref="A3"/>
      <selection pane="bottomRight" activeCell="U20" activeCellId="1" sqref="A5:D14 U20"/>
    </sheetView>
  </sheetViews>
  <sheetFormatPr defaultRowHeight="15"/>
  <cols>
    <col collapsed="false" hidden="false" max="1" min="1" style="0" width="13.2631578947368"/>
    <col collapsed="false" hidden="false" max="2" min="2" style="0" width="19.6153846153846"/>
    <col collapsed="false" hidden="false" max="3" min="3" style="16" width="34.3724696356275"/>
    <col collapsed="false" hidden="false" max="5" min="4" style="17" width="18.9473684210526"/>
    <col collapsed="false" hidden="false" max="6" min="6" style="18" width="12.8542510121458"/>
    <col collapsed="false" hidden="false" max="7" min="7" style="18" width="13.668016194332"/>
    <col collapsed="false" hidden="false" max="8" min="8" style="18" width="14.4736842105263"/>
    <col collapsed="false" hidden="false" max="9" min="9" style="18" width="13.668016194332"/>
    <col collapsed="false" hidden="false" max="10" min="10" style="18" width="12.7165991902834"/>
    <col collapsed="false" hidden="false" max="11" min="11" style="19" width="11.9028340080972"/>
    <col collapsed="false" hidden="false" max="20" min="12" style="20" width="9.06072874493927"/>
    <col collapsed="false" hidden="false" max="21" min="21" style="20" width="8.39271255060729"/>
    <col collapsed="false" hidden="false" max="25" min="22" style="21" width="8.39271255060729"/>
    <col collapsed="false" hidden="false" max="29" min="26" style="22" width="8.39271255060729"/>
    <col collapsed="false" hidden="false" max="38" min="30" style="18" width="8.39271255060729"/>
    <col collapsed="false" hidden="false" max="1025" min="39" style="0" width="8.39271255060729"/>
  </cols>
  <sheetData>
    <row r="1" customFormat="false" ht="15" hidden="false" customHeight="false" outlineLevel="0" collapsed="false">
      <c r="C1" s="0"/>
      <c r="D1" s="0"/>
      <c r="E1" s="0"/>
      <c r="F1" s="0"/>
      <c r="G1" s="0"/>
      <c r="H1" s="0"/>
      <c r="I1" s="0"/>
      <c r="J1" s="0"/>
      <c r="K1" s="0"/>
      <c r="L1" s="23" t="n">
        <f aca="false">L2*0.75</f>
        <v>0.975</v>
      </c>
      <c r="M1" s="23" t="n">
        <f aca="false">M2*0.75</f>
        <v>1.0125</v>
      </c>
      <c r="N1" s="23" t="n">
        <f aca="false">N2*0.75</f>
        <v>1.05</v>
      </c>
      <c r="O1" s="23" t="n">
        <f aca="false">O2*0.75</f>
        <v>1.0875</v>
      </c>
      <c r="P1" s="23" t="n">
        <f aca="false">P2*0.75</f>
        <v>1.125</v>
      </c>
      <c r="Q1" s="23" t="n">
        <f aca="false">Q2*0.75</f>
        <v>1.1625</v>
      </c>
      <c r="R1" s="23" t="n">
        <f aca="false">R2*0.75</f>
        <v>1.2</v>
      </c>
      <c r="S1" s="23" t="n">
        <f aca="false">S2*0.75</f>
        <v>1.2375</v>
      </c>
      <c r="T1" s="23" t="n">
        <f aca="false">T2*0.75</f>
        <v>1.275</v>
      </c>
      <c r="U1" s="23" t="n">
        <f aca="false">U2*0.75</f>
        <v>1.3125</v>
      </c>
      <c r="V1" s="24" t="n">
        <f aca="false">V2*0.75</f>
        <v>1.35</v>
      </c>
      <c r="W1" s="24" t="n">
        <f aca="false">W2*0.75</f>
        <v>1.3875</v>
      </c>
      <c r="X1" s="24" t="n">
        <f aca="false">X2*0.75</f>
        <v>1.425</v>
      </c>
      <c r="Y1" s="24" t="n">
        <f aca="false">Y2*0.75</f>
        <v>1.4625</v>
      </c>
      <c r="Z1" s="25" t="n">
        <f aca="false">Z2*0.75</f>
        <v>1.5</v>
      </c>
      <c r="AA1" s="25" t="n">
        <f aca="false">AA2*0.75</f>
        <v>1.5375</v>
      </c>
      <c r="AB1" s="25" t="n">
        <f aca="false">AB2*0.75</f>
        <v>1.575</v>
      </c>
      <c r="AC1" s="25" t="n">
        <f aca="false">AC2*0.75</f>
        <v>1.6125</v>
      </c>
      <c r="AD1" s="26" t="n">
        <f aca="false">AD2*0.75</f>
        <v>1.65</v>
      </c>
      <c r="AE1" s="26" t="n">
        <f aca="false">AE2*0.75</f>
        <v>1.6875</v>
      </c>
      <c r="AF1" s="26" t="n">
        <f aca="false">AF2*0.75</f>
        <v>1.725</v>
      </c>
      <c r="AG1" s="26" t="n">
        <f aca="false">AG2*0.75</f>
        <v>1.7625</v>
      </c>
      <c r="AH1" s="26" t="n">
        <f aca="false">AH2*0.75</f>
        <v>1.8</v>
      </c>
      <c r="AI1" s="26" t="n">
        <f aca="false">AI2*0.75</f>
        <v>1.8375</v>
      </c>
      <c r="AJ1" s="26" t="n">
        <f aca="false">AJ2*0.75</f>
        <v>1.875</v>
      </c>
      <c r="AK1" s="26" t="n">
        <f aca="false">AK2*0.75</f>
        <v>1.9125</v>
      </c>
      <c r="AL1" s="26" t="n">
        <f aca="false">AL2*0.75</f>
        <v>1.95</v>
      </c>
    </row>
    <row r="2" customFormat="false" ht="15" hidden="false" customHeight="false" outlineLevel="0" collapsed="false">
      <c r="A2" s="27" t="s">
        <v>57</v>
      </c>
      <c r="B2" s="27" t="s">
        <v>58</v>
      </c>
      <c r="C2" s="16" t="s">
        <v>59</v>
      </c>
      <c r="D2" s="28" t="s">
        <v>60</v>
      </c>
      <c r="E2" s="28" t="s">
        <v>61</v>
      </c>
      <c r="F2" s="26" t="s">
        <v>62</v>
      </c>
      <c r="G2" s="26" t="s">
        <v>63</v>
      </c>
      <c r="H2" s="26" t="s">
        <v>64</v>
      </c>
      <c r="I2" s="26" t="s">
        <v>65</v>
      </c>
      <c r="J2" s="26" t="s">
        <v>66</v>
      </c>
      <c r="K2" s="29" t="s">
        <v>67</v>
      </c>
      <c r="L2" s="23" t="n">
        <v>1.3</v>
      </c>
      <c r="M2" s="23" t="n">
        <f aca="false">L2+0.05</f>
        <v>1.35</v>
      </c>
      <c r="N2" s="23" t="n">
        <f aca="false">M2+0.05</f>
        <v>1.4</v>
      </c>
      <c r="O2" s="23" t="n">
        <f aca="false">N2+0.05</f>
        <v>1.45</v>
      </c>
      <c r="P2" s="23" t="n">
        <f aca="false">O2+0.05</f>
        <v>1.5</v>
      </c>
      <c r="Q2" s="23" t="n">
        <f aca="false">P2+0.05</f>
        <v>1.55</v>
      </c>
      <c r="R2" s="23" t="n">
        <f aca="false">Q2+0.05</f>
        <v>1.6</v>
      </c>
      <c r="S2" s="23" t="n">
        <f aca="false">R2+0.05</f>
        <v>1.65</v>
      </c>
      <c r="T2" s="23" t="n">
        <f aca="false">S2+0.05</f>
        <v>1.7</v>
      </c>
      <c r="U2" s="23" t="n">
        <f aca="false">T2+0.05</f>
        <v>1.75</v>
      </c>
      <c r="V2" s="24" t="n">
        <f aca="false">U2+0.05</f>
        <v>1.8</v>
      </c>
      <c r="W2" s="24" t="n">
        <f aca="false">V2+0.05</f>
        <v>1.85</v>
      </c>
      <c r="X2" s="24" t="n">
        <f aca="false">W2+0.05</f>
        <v>1.9</v>
      </c>
      <c r="Y2" s="24" t="n">
        <f aca="false">X2+0.05</f>
        <v>1.95</v>
      </c>
      <c r="Z2" s="25" t="n">
        <f aca="false">Y2+0.05</f>
        <v>2</v>
      </c>
      <c r="AA2" s="25" t="n">
        <f aca="false">Z2+0.05</f>
        <v>2.05</v>
      </c>
      <c r="AB2" s="25" t="n">
        <f aca="false">AA2+0.05</f>
        <v>2.1</v>
      </c>
      <c r="AC2" s="25" t="n">
        <f aca="false">AB2+0.05</f>
        <v>2.15</v>
      </c>
      <c r="AD2" s="26" t="n">
        <f aca="false">AC2+0.05</f>
        <v>2.2</v>
      </c>
      <c r="AE2" s="26" t="n">
        <f aca="false">AD2+0.05</f>
        <v>2.25</v>
      </c>
      <c r="AF2" s="26" t="n">
        <f aca="false">AE2+0.05</f>
        <v>2.3</v>
      </c>
      <c r="AG2" s="26" t="n">
        <f aca="false">AF2+0.05</f>
        <v>2.35</v>
      </c>
      <c r="AH2" s="26" t="n">
        <f aca="false">AG2+0.05</f>
        <v>2.4</v>
      </c>
      <c r="AI2" s="26" t="n">
        <f aca="false">AH2+0.05</f>
        <v>2.45</v>
      </c>
      <c r="AJ2" s="26" t="n">
        <f aca="false">AI2+0.05</f>
        <v>2.5</v>
      </c>
      <c r="AK2" s="26" t="n">
        <f aca="false">AJ2+0.05</f>
        <v>2.55</v>
      </c>
      <c r="AL2" s="26" t="n">
        <f aca="false">AK2+0.05</f>
        <v>2.6</v>
      </c>
    </row>
    <row r="3" customFormat="false" ht="15" hidden="false" customHeight="false" outlineLevel="0" collapsed="false">
      <c r="A3" s="0" t="s">
        <v>68</v>
      </c>
      <c r="B3" s="0" t="s">
        <v>69</v>
      </c>
      <c r="C3" s="16" t="s">
        <v>70</v>
      </c>
      <c r="D3" s="17" t="n">
        <v>1</v>
      </c>
      <c r="E3" s="0"/>
      <c r="F3" s="30" t="n">
        <f aca="false">G3</f>
        <v>0.9</v>
      </c>
      <c r="G3" s="30" t="n">
        <v>0.9</v>
      </c>
      <c r="H3" s="30" t="n">
        <v>0.9</v>
      </c>
      <c r="I3" s="30" t="n">
        <v>0.9</v>
      </c>
      <c r="J3" s="30" t="n">
        <v>0.9</v>
      </c>
      <c r="K3" s="31" t="n">
        <v>1</v>
      </c>
      <c r="L3" s="32"/>
      <c r="M3" s="32"/>
      <c r="N3" s="32"/>
      <c r="O3" s="32"/>
      <c r="P3" s="32"/>
      <c r="Q3" s="32"/>
      <c r="R3" s="32" t="n">
        <f aca="false">($G3*R$1)/$K3</f>
        <v>1.08</v>
      </c>
      <c r="S3" s="32" t="n">
        <f aca="false">($G3*S$1)/$K3</f>
        <v>1.11375</v>
      </c>
      <c r="T3" s="32" t="n">
        <f aca="false">($G3*T$1)/$K3</f>
        <v>1.1475</v>
      </c>
      <c r="U3" s="32" t="n">
        <f aca="false">($G3*U$1)/$K3</f>
        <v>1.18125</v>
      </c>
      <c r="V3" s="33" t="n">
        <f aca="false">($H3*V$1)/$K3</f>
        <v>1.215</v>
      </c>
      <c r="W3" s="33" t="n">
        <f aca="false">($H3*W$1)/$K3</f>
        <v>1.24875</v>
      </c>
      <c r="X3" s="33"/>
      <c r="Y3" s="33"/>
      <c r="Z3" s="34"/>
      <c r="AA3" s="34"/>
      <c r="AB3" s="34"/>
      <c r="AC3" s="34"/>
      <c r="AD3" s="35"/>
      <c r="AE3" s="35"/>
      <c r="AF3" s="35"/>
      <c r="AG3" s="35"/>
      <c r="AH3" s="35"/>
      <c r="AI3" s="35"/>
      <c r="AJ3" s="35"/>
      <c r="AK3" s="35"/>
      <c r="AL3" s="35"/>
    </row>
    <row r="4" customFormat="false" ht="15" hidden="false" customHeight="false" outlineLevel="0" collapsed="false">
      <c r="A4" s="0" t="s">
        <v>68</v>
      </c>
      <c r="B4" s="0" t="s">
        <v>71</v>
      </c>
      <c r="C4" s="16" t="s">
        <v>72</v>
      </c>
      <c r="D4" s="17" t="n">
        <v>1</v>
      </c>
      <c r="E4" s="0"/>
      <c r="F4" s="30" t="n">
        <f aca="false">G4</f>
        <v>0.9</v>
      </c>
      <c r="G4" s="30" t="n">
        <v>0.9</v>
      </c>
      <c r="H4" s="30" t="n">
        <v>0.9</v>
      </c>
      <c r="I4" s="30" t="n">
        <v>0.9</v>
      </c>
      <c r="J4" s="30" t="n">
        <v>0.9</v>
      </c>
      <c r="K4" s="31" t="n">
        <v>1</v>
      </c>
      <c r="L4" s="32"/>
      <c r="M4" s="32"/>
      <c r="N4" s="32"/>
      <c r="O4" s="32"/>
      <c r="P4" s="32"/>
      <c r="Q4" s="32"/>
      <c r="R4" s="32"/>
      <c r="S4" s="32" t="n">
        <f aca="false">($G4*S$1)/$K4</f>
        <v>1.11375</v>
      </c>
      <c r="T4" s="32" t="n">
        <f aca="false">($G4*T$1)/$K4</f>
        <v>1.1475</v>
      </c>
      <c r="U4" s="32" t="n">
        <f aca="false">($G4*U$1)/$K4</f>
        <v>1.18125</v>
      </c>
      <c r="V4" s="33" t="n">
        <f aca="false">($H4*V$1)/$K4</f>
        <v>1.215</v>
      </c>
      <c r="W4" s="33" t="n">
        <f aca="false">($H4*W$1)/$K4</f>
        <v>1.24875</v>
      </c>
      <c r="X4" s="33"/>
      <c r="Y4" s="33"/>
      <c r="Z4" s="34"/>
      <c r="AA4" s="34"/>
      <c r="AB4" s="34"/>
      <c r="AC4" s="34"/>
      <c r="AD4" s="35"/>
      <c r="AE4" s="35"/>
      <c r="AF4" s="35"/>
      <c r="AG4" s="35"/>
      <c r="AH4" s="35"/>
      <c r="AI4" s="35"/>
      <c r="AJ4" s="35"/>
      <c r="AK4" s="35"/>
      <c r="AL4" s="35"/>
    </row>
    <row r="5" customFormat="false" ht="15" hidden="false" customHeight="false" outlineLevel="0" collapsed="false">
      <c r="A5" s="0" t="s">
        <v>68</v>
      </c>
      <c r="B5" s="0" t="s">
        <v>73</v>
      </c>
      <c r="C5" s="16" t="s">
        <v>74</v>
      </c>
      <c r="D5" s="17" t="n">
        <v>1</v>
      </c>
      <c r="E5" s="0"/>
      <c r="F5" s="30" t="n">
        <f aca="false">G5</f>
        <v>0.9</v>
      </c>
      <c r="G5" s="30" t="n">
        <v>0.9</v>
      </c>
      <c r="H5" s="30" t="n">
        <v>0.9</v>
      </c>
      <c r="I5" s="30" t="n">
        <v>0.9</v>
      </c>
      <c r="J5" s="30" t="n">
        <v>0.9</v>
      </c>
      <c r="K5" s="31" t="n">
        <v>1</v>
      </c>
      <c r="L5" s="32"/>
      <c r="M5" s="32"/>
      <c r="N5" s="32"/>
      <c r="O5" s="32" t="n">
        <f aca="false">($G5*O$1)/$K5</f>
        <v>0.97875</v>
      </c>
      <c r="P5" s="32" t="n">
        <f aca="false">($G5*P$1)/$K5</f>
        <v>1.0125</v>
      </c>
      <c r="Q5" s="32" t="n">
        <f aca="false">($G5*Q$1)/$K5</f>
        <v>1.04625</v>
      </c>
      <c r="R5" s="32" t="n">
        <f aca="false">($G5*R$1)/$K5</f>
        <v>1.08</v>
      </c>
      <c r="S5" s="32" t="n">
        <f aca="false">($G5*S$1)/$K5</f>
        <v>1.11375</v>
      </c>
      <c r="T5" s="32" t="n">
        <f aca="false">($G5*T$1)/$K5</f>
        <v>1.1475</v>
      </c>
      <c r="U5" s="32" t="n">
        <f aca="false">($G5*U$1)/$K5</f>
        <v>1.18125</v>
      </c>
      <c r="V5" s="33" t="n">
        <f aca="false">($H5*V$1)/$K5</f>
        <v>1.215</v>
      </c>
      <c r="W5" s="33" t="n">
        <f aca="false">($H5*W$1)/$K5</f>
        <v>1.24875</v>
      </c>
      <c r="X5" s="33"/>
      <c r="Y5" s="33"/>
      <c r="Z5" s="34"/>
      <c r="AA5" s="34"/>
      <c r="AB5" s="34"/>
      <c r="AC5" s="34"/>
      <c r="AD5" s="35"/>
      <c r="AE5" s="35"/>
      <c r="AF5" s="35"/>
      <c r="AG5" s="35"/>
      <c r="AH5" s="35"/>
      <c r="AI5" s="35"/>
      <c r="AJ5" s="35"/>
      <c r="AK5" s="35"/>
      <c r="AL5" s="35"/>
    </row>
    <row r="6" customFormat="false" ht="15" hidden="false" customHeight="false" outlineLevel="0" collapsed="false">
      <c r="A6" s="0" t="s">
        <v>68</v>
      </c>
      <c r="B6" s="0" t="s">
        <v>75</v>
      </c>
      <c r="C6" s="16" t="s">
        <v>74</v>
      </c>
      <c r="D6" s="17" t="n">
        <v>1</v>
      </c>
      <c r="E6" s="0"/>
      <c r="F6" s="30" t="n">
        <f aca="false">G6</f>
        <v>0.9</v>
      </c>
      <c r="G6" s="30" t="n">
        <v>0.9</v>
      </c>
      <c r="H6" s="30" t="n">
        <v>0.9</v>
      </c>
      <c r="I6" s="30" t="n">
        <v>0.9</v>
      </c>
      <c r="J6" s="30" t="n">
        <v>0.9</v>
      </c>
      <c r="K6" s="31" t="n">
        <v>1</v>
      </c>
      <c r="L6" s="32"/>
      <c r="M6" s="32"/>
      <c r="N6" s="32"/>
      <c r="O6" s="32" t="n">
        <f aca="false">($G6*O$1)/$K6</f>
        <v>0.97875</v>
      </c>
      <c r="P6" s="32" t="n">
        <f aca="false">($G6*P$1)/$K6</f>
        <v>1.0125</v>
      </c>
      <c r="Q6" s="32" t="n">
        <f aca="false">($G6*Q$1)/$K6</f>
        <v>1.04625</v>
      </c>
      <c r="R6" s="32" t="n">
        <f aca="false">($G6*R$1)/$K6</f>
        <v>1.08</v>
      </c>
      <c r="S6" s="32" t="n">
        <f aca="false">($G6*S$1)/$K6</f>
        <v>1.11375</v>
      </c>
      <c r="T6" s="32" t="n">
        <f aca="false">($G6*T$1)/$K6</f>
        <v>1.1475</v>
      </c>
      <c r="U6" s="32" t="n">
        <f aca="false">($G6*U$1)/$K6</f>
        <v>1.18125</v>
      </c>
      <c r="V6" s="33" t="n">
        <f aca="false">($H6*V$1)/$K6</f>
        <v>1.215</v>
      </c>
      <c r="W6" s="33" t="n">
        <f aca="false">($H6*W$1)/$K6</f>
        <v>1.24875</v>
      </c>
      <c r="X6" s="33"/>
      <c r="Y6" s="33"/>
      <c r="Z6" s="34"/>
      <c r="AA6" s="34"/>
      <c r="AB6" s="34"/>
      <c r="AC6" s="34"/>
      <c r="AD6" s="35"/>
      <c r="AE6" s="35"/>
      <c r="AF6" s="35"/>
      <c r="AG6" s="35"/>
      <c r="AH6" s="35"/>
      <c r="AI6" s="35"/>
      <c r="AJ6" s="35"/>
      <c r="AK6" s="35"/>
      <c r="AL6" s="35"/>
    </row>
    <row r="7" customFormat="false" ht="15" hidden="false" customHeight="false" outlineLevel="0" collapsed="false">
      <c r="A7" s="0" t="s">
        <v>68</v>
      </c>
      <c r="B7" s="0" t="s">
        <v>76</v>
      </c>
      <c r="C7" s="16" t="s">
        <v>77</v>
      </c>
      <c r="D7" s="17" t="n">
        <v>1</v>
      </c>
      <c r="E7" s="0"/>
      <c r="F7" s="30" t="n">
        <f aca="false">G7</f>
        <v>0.9</v>
      </c>
      <c r="G7" s="30" t="n">
        <v>0.9</v>
      </c>
      <c r="H7" s="30" t="n">
        <v>0.9</v>
      </c>
      <c r="I7" s="30" t="n">
        <v>0.9</v>
      </c>
      <c r="J7" s="30" t="n">
        <v>0.9</v>
      </c>
      <c r="K7" s="31" t="n">
        <v>1</v>
      </c>
      <c r="L7" s="32"/>
      <c r="M7" s="32"/>
      <c r="N7" s="32"/>
      <c r="O7" s="32"/>
      <c r="P7" s="32"/>
      <c r="Q7" s="32"/>
      <c r="R7" s="32"/>
      <c r="S7" s="32"/>
      <c r="T7" s="32"/>
      <c r="U7" s="32"/>
      <c r="V7" s="33" t="n">
        <f aca="false">($H7*V$1)/$K7</f>
        <v>1.215</v>
      </c>
      <c r="W7" s="33" t="n">
        <f aca="false">($H7*W$1)/$K7</f>
        <v>1.24875</v>
      </c>
      <c r="X7" s="33" t="n">
        <f aca="false">($H7*X$1)/$K7</f>
        <v>1.2825</v>
      </c>
      <c r="Y7" s="33" t="n">
        <f aca="false">($H7*Y$1)/$K7</f>
        <v>1.31625</v>
      </c>
      <c r="Z7" s="34" t="n">
        <f aca="false">($I7*Z$1)/$K7</f>
        <v>1.35</v>
      </c>
      <c r="AA7" s="34" t="n">
        <f aca="false">($I7*AA$1)/$K7</f>
        <v>1.38375</v>
      </c>
      <c r="AB7" s="34" t="n">
        <f aca="false">($I7*AB$1)/$K7</f>
        <v>1.4175</v>
      </c>
      <c r="AC7" s="34" t="n">
        <f aca="false">($I7*AC$1)/$K7</f>
        <v>1.45125</v>
      </c>
      <c r="AD7" s="35"/>
      <c r="AE7" s="35"/>
      <c r="AF7" s="35"/>
      <c r="AG7" s="35"/>
      <c r="AH7" s="35"/>
      <c r="AI7" s="35"/>
      <c r="AJ7" s="35"/>
      <c r="AK7" s="35"/>
      <c r="AL7" s="35"/>
    </row>
    <row r="8" customFormat="false" ht="15" hidden="false" customHeight="false" outlineLevel="0" collapsed="false">
      <c r="A8" s="0" t="s">
        <v>68</v>
      </c>
      <c r="B8" s="0" t="s">
        <v>78</v>
      </c>
      <c r="C8" s="16" t="s">
        <v>77</v>
      </c>
      <c r="D8" s="17" t="n">
        <v>1</v>
      </c>
      <c r="E8" s="0"/>
      <c r="F8" s="30" t="n">
        <f aca="false">G8</f>
        <v>0.9</v>
      </c>
      <c r="G8" s="30" t="n">
        <v>0.9</v>
      </c>
      <c r="H8" s="30" t="n">
        <v>0.9</v>
      </c>
      <c r="I8" s="30" t="n">
        <v>0.9</v>
      </c>
      <c r="J8" s="30" t="n">
        <v>0.9</v>
      </c>
      <c r="K8" s="31" t="n">
        <v>1</v>
      </c>
      <c r="L8" s="32"/>
      <c r="M8" s="32"/>
      <c r="N8" s="32"/>
      <c r="O8" s="32"/>
      <c r="P8" s="32"/>
      <c r="Q8" s="32"/>
      <c r="R8" s="32"/>
      <c r="S8" s="32"/>
      <c r="T8" s="32"/>
      <c r="U8" s="32"/>
      <c r="V8" s="33" t="n">
        <f aca="false">($H8*V$1)/$K8</f>
        <v>1.215</v>
      </c>
      <c r="W8" s="33" t="n">
        <f aca="false">($H8*W$1)/$K8</f>
        <v>1.24875</v>
      </c>
      <c r="X8" s="33" t="n">
        <f aca="false">($H8*X$1)/$K8</f>
        <v>1.2825</v>
      </c>
      <c r="Y8" s="33" t="n">
        <f aca="false">($H8*Y$1)/$K8</f>
        <v>1.31625</v>
      </c>
      <c r="Z8" s="34" t="n">
        <f aca="false">($I8*Z$1)/$K8</f>
        <v>1.35</v>
      </c>
      <c r="AA8" s="34" t="n">
        <f aca="false">($I8*AA$1)/$K8</f>
        <v>1.38375</v>
      </c>
      <c r="AB8" s="34" t="n">
        <f aca="false">($I8*AB$1)/$K8</f>
        <v>1.4175</v>
      </c>
      <c r="AC8" s="34" t="n">
        <f aca="false">($I8*AC$1)/$K8</f>
        <v>1.45125</v>
      </c>
      <c r="AD8" s="35"/>
      <c r="AE8" s="35"/>
      <c r="AF8" s="35"/>
      <c r="AG8" s="35"/>
      <c r="AH8" s="35"/>
      <c r="AI8" s="35"/>
      <c r="AJ8" s="35"/>
      <c r="AK8" s="35"/>
      <c r="AL8" s="35"/>
    </row>
    <row r="9" customFormat="false" ht="15" hidden="false" customHeight="false" outlineLevel="0" collapsed="false">
      <c r="A9" s="0" t="s">
        <v>68</v>
      </c>
      <c r="B9" s="0" t="s">
        <v>79</v>
      </c>
      <c r="C9" s="16" t="s">
        <v>80</v>
      </c>
      <c r="D9" s="17" t="n">
        <v>1</v>
      </c>
      <c r="E9" s="0"/>
      <c r="F9" s="30" t="n">
        <f aca="false">G9</f>
        <v>0.9</v>
      </c>
      <c r="G9" s="30" t="n">
        <v>0.9</v>
      </c>
      <c r="H9" s="30" t="n">
        <v>0.9</v>
      </c>
      <c r="I9" s="30" t="n">
        <v>0.9</v>
      </c>
      <c r="J9" s="30" t="n">
        <v>0.9</v>
      </c>
      <c r="K9" s="31" t="n">
        <v>1</v>
      </c>
      <c r="L9" s="32"/>
      <c r="M9" s="32"/>
      <c r="N9" s="32"/>
      <c r="O9" s="32"/>
      <c r="P9" s="32"/>
      <c r="Q9" s="32"/>
      <c r="R9" s="32" t="n">
        <f aca="false">($G9*R$1)/$K9</f>
        <v>1.08</v>
      </c>
      <c r="S9" s="32" t="n">
        <f aca="false">($G9*S$1)/$K9</f>
        <v>1.11375</v>
      </c>
      <c r="T9" s="32" t="n">
        <f aca="false">($G9*T$1)/$K9</f>
        <v>1.1475</v>
      </c>
      <c r="U9" s="32" t="n">
        <f aca="false">($G9*U$1)/$K9</f>
        <v>1.18125</v>
      </c>
      <c r="V9" s="33" t="n">
        <f aca="false">($H9*V$1)/$K9</f>
        <v>1.215</v>
      </c>
      <c r="W9" s="33" t="n">
        <f aca="false">($H9*W$1)/$K9</f>
        <v>1.24875</v>
      </c>
      <c r="X9" s="33"/>
      <c r="Y9" s="33"/>
      <c r="Z9" s="34"/>
      <c r="AA9" s="34"/>
      <c r="AB9" s="34"/>
      <c r="AC9" s="34"/>
      <c r="AD9" s="35"/>
      <c r="AE9" s="35"/>
      <c r="AF9" s="35"/>
      <c r="AG9" s="35"/>
      <c r="AH9" s="35"/>
      <c r="AI9" s="35"/>
      <c r="AJ9" s="35"/>
      <c r="AK9" s="35"/>
      <c r="AL9" s="35"/>
    </row>
    <row r="10" customFormat="false" ht="15" hidden="false" customHeight="false" outlineLevel="0" collapsed="false">
      <c r="A10" s="0" t="s">
        <v>68</v>
      </c>
      <c r="B10" s="0" t="s">
        <v>81</v>
      </c>
      <c r="C10" s="16" t="s">
        <v>80</v>
      </c>
      <c r="D10" s="17" t="n">
        <v>1</v>
      </c>
      <c r="E10" s="0"/>
      <c r="F10" s="30" t="n">
        <f aca="false">G10</f>
        <v>0.9</v>
      </c>
      <c r="G10" s="30" t="n">
        <v>0.9</v>
      </c>
      <c r="H10" s="30" t="n">
        <v>0.9</v>
      </c>
      <c r="I10" s="30" t="n">
        <v>0.9</v>
      </c>
      <c r="J10" s="30" t="n">
        <v>0.9</v>
      </c>
      <c r="K10" s="31" t="n">
        <v>1</v>
      </c>
      <c r="L10" s="32"/>
      <c r="M10" s="32"/>
      <c r="N10" s="32"/>
      <c r="O10" s="32"/>
      <c r="P10" s="32"/>
      <c r="Q10" s="32"/>
      <c r="R10" s="32" t="n">
        <f aca="false">($G10*R$1)/$K10</f>
        <v>1.08</v>
      </c>
      <c r="S10" s="32" t="n">
        <f aca="false">($G10*S$1)/$K10</f>
        <v>1.11375</v>
      </c>
      <c r="T10" s="32" t="n">
        <f aca="false">($G10*T$1)/$K10</f>
        <v>1.1475</v>
      </c>
      <c r="U10" s="32" t="n">
        <f aca="false">($G10*U$1)/$K10</f>
        <v>1.18125</v>
      </c>
      <c r="V10" s="33" t="n">
        <f aca="false">($H10*V$1)/$K10</f>
        <v>1.215</v>
      </c>
      <c r="W10" s="33" t="n">
        <f aca="false">($H10*W$1)/$K10</f>
        <v>1.24875</v>
      </c>
      <c r="X10" s="33"/>
      <c r="Y10" s="33"/>
      <c r="Z10" s="34"/>
      <c r="AA10" s="34"/>
      <c r="AB10" s="34"/>
      <c r="AC10" s="34"/>
      <c r="AD10" s="35"/>
      <c r="AE10" s="35"/>
      <c r="AF10" s="35"/>
      <c r="AG10" s="35"/>
      <c r="AH10" s="35"/>
      <c r="AI10" s="35"/>
      <c r="AJ10" s="35"/>
      <c r="AK10" s="35"/>
      <c r="AL10" s="35"/>
    </row>
    <row r="11" customFormat="false" ht="15" hidden="false" customHeight="false" outlineLevel="0" collapsed="false">
      <c r="A11" s="0" t="s">
        <v>68</v>
      </c>
      <c r="B11" s="0" t="s">
        <v>82</v>
      </c>
      <c r="C11" s="16" t="s">
        <v>80</v>
      </c>
      <c r="D11" s="17" t="n">
        <v>1</v>
      </c>
      <c r="E11" s="0"/>
      <c r="F11" s="30" t="n">
        <f aca="false">G11</f>
        <v>0.9</v>
      </c>
      <c r="G11" s="30" t="n">
        <v>0.9</v>
      </c>
      <c r="H11" s="30" t="n">
        <v>0.9</v>
      </c>
      <c r="I11" s="30" t="n">
        <v>0.9</v>
      </c>
      <c r="J11" s="30" t="n">
        <v>0.9</v>
      </c>
      <c r="K11" s="31" t="n">
        <v>1</v>
      </c>
      <c r="L11" s="32"/>
      <c r="M11" s="32"/>
      <c r="N11" s="32"/>
      <c r="O11" s="32"/>
      <c r="P11" s="32"/>
      <c r="Q11" s="32"/>
      <c r="R11" s="32" t="n">
        <f aca="false">($G11*R$1)/$K11</f>
        <v>1.08</v>
      </c>
      <c r="S11" s="32" t="n">
        <f aca="false">($G11*S$1)/$K11</f>
        <v>1.11375</v>
      </c>
      <c r="T11" s="32" t="n">
        <f aca="false">($G11*T$1)/$K11</f>
        <v>1.1475</v>
      </c>
      <c r="U11" s="32" t="n">
        <f aca="false">($G11*U$1)/$K11</f>
        <v>1.18125</v>
      </c>
      <c r="V11" s="33" t="n">
        <f aca="false">($H11*V$1)/$K11</f>
        <v>1.215</v>
      </c>
      <c r="W11" s="33" t="n">
        <f aca="false">($H11*W$1)/$K11</f>
        <v>1.24875</v>
      </c>
      <c r="X11" s="33"/>
      <c r="Y11" s="33"/>
      <c r="Z11" s="34"/>
      <c r="AA11" s="34"/>
      <c r="AB11" s="34"/>
      <c r="AC11" s="34"/>
      <c r="AD11" s="35"/>
      <c r="AE11" s="35"/>
      <c r="AF11" s="35"/>
      <c r="AG11" s="35"/>
      <c r="AH11" s="35"/>
      <c r="AI11" s="35"/>
      <c r="AJ11" s="35"/>
      <c r="AK11" s="35"/>
      <c r="AL11" s="35"/>
    </row>
    <row r="12" customFormat="false" ht="15" hidden="false" customHeight="false" outlineLevel="0" collapsed="false">
      <c r="A12" s="0" t="s">
        <v>68</v>
      </c>
      <c r="B12" s="0" t="s">
        <v>83</v>
      </c>
      <c r="C12" s="16" t="s">
        <v>80</v>
      </c>
      <c r="D12" s="17" t="n">
        <v>1</v>
      </c>
      <c r="E12" s="0"/>
      <c r="F12" s="30" t="n">
        <f aca="false">G12</f>
        <v>0.9</v>
      </c>
      <c r="G12" s="30" t="n">
        <v>0.9</v>
      </c>
      <c r="H12" s="30" t="n">
        <v>0.9</v>
      </c>
      <c r="I12" s="30" t="n">
        <v>0.9</v>
      </c>
      <c r="J12" s="30" t="n">
        <v>0.9</v>
      </c>
      <c r="K12" s="31" t="n">
        <v>1</v>
      </c>
      <c r="L12" s="32"/>
      <c r="M12" s="32"/>
      <c r="N12" s="32"/>
      <c r="O12" s="32"/>
      <c r="P12" s="32"/>
      <c r="Q12" s="32"/>
      <c r="R12" s="32" t="n">
        <f aca="false">($G12*R$1)/$K12</f>
        <v>1.08</v>
      </c>
      <c r="S12" s="32" t="n">
        <f aca="false">($G12*S$1)/$K12</f>
        <v>1.11375</v>
      </c>
      <c r="T12" s="32" t="n">
        <f aca="false">($G12*T$1)/$K12</f>
        <v>1.1475</v>
      </c>
      <c r="U12" s="32" t="n">
        <f aca="false">($G12*U$1)/$K12</f>
        <v>1.18125</v>
      </c>
      <c r="V12" s="33" t="n">
        <f aca="false">($H12*V$1)/$K12</f>
        <v>1.215</v>
      </c>
      <c r="W12" s="33" t="n">
        <f aca="false">($H12*W$1)/$K12</f>
        <v>1.24875</v>
      </c>
      <c r="X12" s="33"/>
      <c r="Y12" s="33"/>
      <c r="Z12" s="34"/>
      <c r="AA12" s="34"/>
      <c r="AB12" s="34"/>
      <c r="AC12" s="34"/>
      <c r="AD12" s="35"/>
      <c r="AE12" s="35"/>
      <c r="AF12" s="35"/>
      <c r="AG12" s="35"/>
      <c r="AH12" s="35"/>
      <c r="AI12" s="35"/>
      <c r="AJ12" s="35"/>
      <c r="AK12" s="35"/>
      <c r="AL12" s="35"/>
    </row>
    <row r="13" customFormat="false" ht="15" hidden="false" customHeight="false" outlineLevel="0" collapsed="false">
      <c r="A13" s="0" t="s">
        <v>68</v>
      </c>
      <c r="B13" s="0" t="s">
        <v>84</v>
      </c>
      <c r="C13" s="16" t="s">
        <v>85</v>
      </c>
      <c r="D13" s="17" t="n">
        <v>1</v>
      </c>
      <c r="E13" s="0"/>
      <c r="F13" s="30" t="n">
        <f aca="false">G13</f>
        <v>0.9</v>
      </c>
      <c r="G13" s="30" t="n">
        <v>0.9</v>
      </c>
      <c r="H13" s="30" t="n">
        <v>0.9</v>
      </c>
      <c r="I13" s="30" t="n">
        <v>0.9</v>
      </c>
      <c r="J13" s="30" t="n">
        <v>0.9</v>
      </c>
      <c r="K13" s="31" t="n">
        <v>1</v>
      </c>
      <c r="L13" s="32"/>
      <c r="M13" s="32"/>
      <c r="N13" s="32"/>
      <c r="O13" s="32"/>
      <c r="P13" s="32"/>
      <c r="Q13" s="32"/>
      <c r="R13" s="32" t="n">
        <f aca="false">($G13*R$1)/$K13</f>
        <v>1.08</v>
      </c>
      <c r="S13" s="32" t="n">
        <f aca="false">($G13*S$1)/$K13</f>
        <v>1.11375</v>
      </c>
      <c r="T13" s="32" t="n">
        <f aca="false">($G13*T$1)/$K13</f>
        <v>1.1475</v>
      </c>
      <c r="U13" s="32" t="n">
        <f aca="false">($G13*U$1)/$K13</f>
        <v>1.18125</v>
      </c>
      <c r="V13" s="33" t="n">
        <f aca="false">($H13*V$1)/$K13</f>
        <v>1.215</v>
      </c>
      <c r="W13" s="33" t="n">
        <f aca="false">($H13*W$1)/$K13</f>
        <v>1.24875</v>
      </c>
      <c r="X13" s="33"/>
      <c r="Y13" s="33"/>
      <c r="Z13" s="34"/>
      <c r="AA13" s="34"/>
      <c r="AB13" s="34"/>
      <c r="AC13" s="34"/>
      <c r="AD13" s="35"/>
      <c r="AE13" s="35"/>
      <c r="AF13" s="35"/>
      <c r="AG13" s="35"/>
      <c r="AH13" s="35"/>
      <c r="AI13" s="35"/>
      <c r="AJ13" s="35"/>
      <c r="AK13" s="35"/>
      <c r="AL13" s="35"/>
    </row>
    <row r="14" customFormat="false" ht="15" hidden="false" customHeight="false" outlineLevel="0" collapsed="false">
      <c r="A14" s="0" t="s">
        <v>68</v>
      </c>
      <c r="B14" s="0" t="s">
        <v>86</v>
      </c>
      <c r="C14" s="16" t="s">
        <v>87</v>
      </c>
      <c r="D14" s="17" t="n">
        <v>1</v>
      </c>
      <c r="E14" s="0"/>
      <c r="F14" s="30" t="n">
        <f aca="false">G14</f>
        <v>0.9</v>
      </c>
      <c r="G14" s="30" t="n">
        <v>0.9</v>
      </c>
      <c r="H14" s="30" t="n">
        <v>0.9</v>
      </c>
      <c r="I14" s="30" t="n">
        <v>0.9</v>
      </c>
      <c r="J14" s="30" t="n">
        <v>0.9</v>
      </c>
      <c r="K14" s="31" t="n">
        <v>1</v>
      </c>
      <c r="L14" s="32"/>
      <c r="M14" s="32"/>
      <c r="N14" s="32"/>
      <c r="O14" s="32"/>
      <c r="P14" s="32"/>
      <c r="Q14" s="32"/>
      <c r="R14" s="32" t="n">
        <f aca="false">($G14*R$1)/$K14</f>
        <v>1.08</v>
      </c>
      <c r="S14" s="32" t="n">
        <f aca="false">($G14*S$1)/$K14</f>
        <v>1.11375</v>
      </c>
      <c r="T14" s="32" t="n">
        <f aca="false">($G14*T$1)/$K14</f>
        <v>1.1475</v>
      </c>
      <c r="U14" s="32" t="n">
        <f aca="false">($G14*U$1)/$K14</f>
        <v>1.18125</v>
      </c>
      <c r="V14" s="33" t="n">
        <f aca="false">($H14*V$1)/$K14</f>
        <v>1.215</v>
      </c>
      <c r="W14" s="33" t="n">
        <f aca="false">($H14*W$1)/$K14</f>
        <v>1.24875</v>
      </c>
      <c r="X14" s="33"/>
      <c r="Y14" s="33"/>
      <c r="Z14" s="34"/>
      <c r="AA14" s="34"/>
      <c r="AB14" s="34"/>
      <c r="AC14" s="34"/>
      <c r="AD14" s="35"/>
      <c r="AE14" s="35"/>
      <c r="AF14" s="35"/>
      <c r="AG14" s="35"/>
      <c r="AH14" s="35"/>
      <c r="AI14" s="35"/>
      <c r="AJ14" s="35"/>
      <c r="AK14" s="35"/>
      <c r="AL14" s="35"/>
    </row>
    <row r="15" customFormat="false" ht="15" hidden="false" customHeight="false" outlineLevel="0" collapsed="false">
      <c r="A15" s="0" t="s">
        <v>68</v>
      </c>
      <c r="B15" s="0" t="s">
        <v>88</v>
      </c>
      <c r="C15" s="16" t="s">
        <v>89</v>
      </c>
      <c r="D15" s="17" t="n">
        <v>1</v>
      </c>
      <c r="E15" s="0"/>
      <c r="F15" s="30" t="n">
        <f aca="false">G15</f>
        <v>0.9</v>
      </c>
      <c r="G15" s="30" t="n">
        <v>0.9</v>
      </c>
      <c r="H15" s="30" t="n">
        <v>0.9</v>
      </c>
      <c r="I15" s="30" t="n">
        <v>0.9</v>
      </c>
      <c r="J15" s="30" t="n">
        <v>0.9</v>
      </c>
      <c r="K15" s="31" t="n">
        <v>1</v>
      </c>
      <c r="L15" s="32"/>
      <c r="M15" s="32"/>
      <c r="N15" s="32"/>
      <c r="O15" s="32"/>
      <c r="P15" s="32"/>
      <c r="Q15" s="32"/>
      <c r="R15" s="32" t="n">
        <f aca="false">($G15*R$1)/$K15</f>
        <v>1.08</v>
      </c>
      <c r="S15" s="32" t="n">
        <f aca="false">($G15*S$1)/$K15</f>
        <v>1.11375</v>
      </c>
      <c r="T15" s="32" t="n">
        <f aca="false">($G15*T$1)/$K15</f>
        <v>1.1475</v>
      </c>
      <c r="U15" s="32" t="n">
        <f aca="false">($G15*U$1)/$K15</f>
        <v>1.18125</v>
      </c>
      <c r="V15" s="33" t="n">
        <f aca="false">($H15*V$1)/$K15</f>
        <v>1.215</v>
      </c>
      <c r="W15" s="33" t="n">
        <f aca="false">($H15*W$1)/$K15</f>
        <v>1.24875</v>
      </c>
      <c r="X15" s="33"/>
      <c r="Y15" s="33"/>
      <c r="Z15" s="34"/>
      <c r="AA15" s="34"/>
      <c r="AB15" s="34"/>
      <c r="AC15" s="34"/>
      <c r="AD15" s="35"/>
      <c r="AE15" s="35"/>
      <c r="AF15" s="35"/>
      <c r="AG15" s="35"/>
      <c r="AH15" s="35"/>
      <c r="AI15" s="35"/>
      <c r="AJ15" s="35"/>
      <c r="AK15" s="35"/>
      <c r="AL15" s="35"/>
    </row>
    <row r="16" customFormat="false" ht="15" hidden="false" customHeight="false" outlineLevel="0" collapsed="false">
      <c r="A16" s="0" t="s">
        <v>68</v>
      </c>
      <c r="B16" s="0" t="s">
        <v>90</v>
      </c>
      <c r="C16" s="16" t="s">
        <v>91</v>
      </c>
      <c r="D16" s="17" t="n">
        <v>1</v>
      </c>
      <c r="E16" s="0"/>
      <c r="F16" s="30" t="n">
        <f aca="false">G16</f>
        <v>0.9</v>
      </c>
      <c r="G16" s="30" t="n">
        <v>0.9</v>
      </c>
      <c r="H16" s="30" t="n">
        <v>0.9</v>
      </c>
      <c r="I16" s="30" t="n">
        <v>0.9</v>
      </c>
      <c r="J16" s="30" t="n">
        <v>0.9</v>
      </c>
      <c r="K16" s="31" t="n">
        <v>1</v>
      </c>
      <c r="L16" s="32"/>
      <c r="M16" s="32"/>
      <c r="N16" s="32"/>
      <c r="O16" s="32"/>
      <c r="P16" s="32"/>
      <c r="Q16" s="32"/>
      <c r="R16" s="32"/>
      <c r="S16" s="32"/>
      <c r="T16" s="32"/>
      <c r="U16" s="32" t="n">
        <f aca="false">($G16*U$1)/$K16</f>
        <v>1.18125</v>
      </c>
      <c r="V16" s="33" t="n">
        <f aca="false">($H16*V$1)/$K16</f>
        <v>1.215</v>
      </c>
      <c r="W16" s="33" t="n">
        <f aca="false">($H16*W$1)/$K16</f>
        <v>1.24875</v>
      </c>
      <c r="X16" s="33" t="n">
        <f aca="false">($H16*X$1)/$K16</f>
        <v>1.2825</v>
      </c>
      <c r="Y16" s="33"/>
      <c r="Z16" s="34"/>
      <c r="AA16" s="34"/>
      <c r="AB16" s="34"/>
      <c r="AC16" s="34"/>
      <c r="AD16" s="35"/>
      <c r="AE16" s="35"/>
      <c r="AF16" s="35"/>
      <c r="AG16" s="35"/>
      <c r="AH16" s="35"/>
      <c r="AI16" s="35"/>
      <c r="AJ16" s="35"/>
      <c r="AK16" s="35"/>
      <c r="AL16" s="35"/>
    </row>
    <row r="17" customFormat="false" ht="15" hidden="false" customHeight="false" outlineLevel="0" collapsed="false">
      <c r="A17" s="0" t="s">
        <v>68</v>
      </c>
      <c r="B17" s="0" t="s">
        <v>92</v>
      </c>
      <c r="C17" s="16" t="s">
        <v>93</v>
      </c>
      <c r="D17" s="17" t="n">
        <v>2</v>
      </c>
      <c r="E17" s="0"/>
      <c r="F17" s="30" t="n">
        <f aca="false">G17</f>
        <v>0.9</v>
      </c>
      <c r="G17" s="30" t="n">
        <v>0.9</v>
      </c>
      <c r="H17" s="30" t="n">
        <v>0.9</v>
      </c>
      <c r="I17" s="30" t="n">
        <v>0.9</v>
      </c>
      <c r="J17" s="30" t="n">
        <v>0.9</v>
      </c>
      <c r="K17" s="31" t="n">
        <v>1</v>
      </c>
      <c r="L17" s="32"/>
      <c r="M17" s="32"/>
      <c r="N17" s="32"/>
      <c r="O17" s="32"/>
      <c r="P17" s="32"/>
      <c r="Q17" s="32"/>
      <c r="R17" s="32"/>
      <c r="S17" s="32"/>
      <c r="T17" s="32"/>
      <c r="U17" s="32" t="n">
        <f aca="false">($G17*U$1)/$K17</f>
        <v>1.18125</v>
      </c>
      <c r="V17" s="33" t="n">
        <f aca="false">($H17*V$1)/$K17</f>
        <v>1.215</v>
      </c>
      <c r="W17" s="33" t="n">
        <f aca="false">($H17*W$1)/$K17</f>
        <v>1.24875</v>
      </c>
      <c r="X17" s="33" t="n">
        <f aca="false">($H17*X$1)/$K17</f>
        <v>1.2825</v>
      </c>
      <c r="Y17" s="0"/>
      <c r="Z17" s="0"/>
      <c r="AA17" s="0"/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0"/>
    </row>
    <row r="18" s="36" customFormat="true" ht="15" hidden="false" customHeight="false" outlineLevel="0" collapsed="false">
      <c r="A18" s="36" t="s">
        <v>68</v>
      </c>
      <c r="B18" s="36" t="s">
        <v>94</v>
      </c>
      <c r="C18" s="36" t="s">
        <v>95</v>
      </c>
      <c r="D18" s="2" t="n">
        <v>5</v>
      </c>
      <c r="E18" s="2"/>
      <c r="F18" s="30" t="n">
        <f aca="false">G18</f>
        <v>0.9</v>
      </c>
      <c r="G18" s="37" t="n">
        <v>0.9</v>
      </c>
      <c r="H18" s="37" t="n">
        <v>0.9</v>
      </c>
      <c r="I18" s="37" t="n">
        <v>0.9</v>
      </c>
      <c r="J18" s="37" t="n">
        <v>0.9</v>
      </c>
      <c r="K18" s="31" t="n">
        <v>1</v>
      </c>
      <c r="L18" s="38"/>
      <c r="M18" s="38"/>
      <c r="N18" s="38"/>
      <c r="O18" s="38"/>
      <c r="P18" s="38"/>
      <c r="Q18" s="38"/>
      <c r="R18" s="38"/>
      <c r="S18" s="38"/>
      <c r="T18" s="38"/>
      <c r="U18" s="38" t="n">
        <f aca="false">($G18*U$1)/$K18</f>
        <v>1.18125</v>
      </c>
      <c r="V18" s="39" t="n">
        <f aca="false">($H18*V$1)/$K18</f>
        <v>1.215</v>
      </c>
      <c r="W18" s="39" t="n">
        <f aca="false">($H18*W$1)/$K18</f>
        <v>1.24875</v>
      </c>
      <c r="X18" s="39" t="n">
        <f aca="false">($H18*X$1)/$K18</f>
        <v>1.2825</v>
      </c>
      <c r="Y18" s="40"/>
      <c r="Z18" s="41"/>
      <c r="AA18" s="41"/>
      <c r="AB18" s="41"/>
      <c r="AC18" s="41"/>
      <c r="AD18" s="42"/>
      <c r="AE18" s="42"/>
      <c r="AF18" s="42"/>
      <c r="AG18" s="42"/>
      <c r="AH18" s="42"/>
      <c r="AI18" s="42"/>
      <c r="AJ18" s="42"/>
      <c r="AK18" s="42"/>
      <c r="AL18" s="42"/>
    </row>
    <row r="19" customFormat="false" ht="15" hidden="false" customHeight="false" outlineLevel="0" collapsed="false">
      <c r="A19" s="0" t="s">
        <v>68</v>
      </c>
      <c r="B19" s="0" t="s">
        <v>96</v>
      </c>
      <c r="C19" s="16" t="s">
        <v>97</v>
      </c>
      <c r="D19" s="17" t="n">
        <v>4</v>
      </c>
      <c r="E19" s="0"/>
      <c r="F19" s="30" t="n">
        <f aca="false">G19</f>
        <v>0.9</v>
      </c>
      <c r="G19" s="37" t="n">
        <v>0.9</v>
      </c>
      <c r="H19" s="37" t="n">
        <v>0.9</v>
      </c>
      <c r="I19" s="37" t="n">
        <v>0.9</v>
      </c>
      <c r="J19" s="37" t="n">
        <v>0.9</v>
      </c>
      <c r="K19" s="31" t="n">
        <v>1</v>
      </c>
      <c r="L19" s="43"/>
      <c r="M19" s="43"/>
      <c r="N19" s="43"/>
      <c r="O19" s="43"/>
      <c r="P19" s="43"/>
      <c r="Q19" s="43"/>
      <c r="R19" s="43"/>
      <c r="S19" s="43"/>
      <c r="T19" s="43"/>
      <c r="U19" s="38"/>
      <c r="V19" s="39"/>
      <c r="W19" s="39" t="n">
        <f aca="false">($H19*W$1)/$K19</f>
        <v>1.24875</v>
      </c>
      <c r="X19" s="39" t="n">
        <f aca="false">($H19*X$1)/$K19</f>
        <v>1.2825</v>
      </c>
      <c r="Y19" s="39" t="n">
        <f aca="false">($H19*Y$1)/$K19</f>
        <v>1.31625</v>
      </c>
      <c r="Z19" s="34" t="n">
        <f aca="false">($I19*Z$1)/$K19</f>
        <v>1.35</v>
      </c>
      <c r="AA19" s="0"/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0"/>
    </row>
    <row r="20" customFormat="false" ht="15" hidden="false" customHeight="false" outlineLevel="0" collapsed="false">
      <c r="A20" s="0" t="s">
        <v>68</v>
      </c>
      <c r="B20" s="0" t="s">
        <v>98</v>
      </c>
      <c r="C20" s="16" t="s">
        <v>99</v>
      </c>
      <c r="D20" s="17" t="n">
        <v>5</v>
      </c>
      <c r="E20" s="0"/>
      <c r="F20" s="30" t="n">
        <f aca="false">G20</f>
        <v>0.9</v>
      </c>
      <c r="G20" s="37" t="n">
        <v>0.9</v>
      </c>
      <c r="H20" s="37" t="n">
        <v>0.9</v>
      </c>
      <c r="I20" s="37" t="n">
        <v>0.9</v>
      </c>
      <c r="J20" s="37" t="n">
        <v>0.9</v>
      </c>
      <c r="K20" s="31" t="n">
        <v>1</v>
      </c>
      <c r="L20" s="38"/>
      <c r="M20" s="38"/>
      <c r="N20" s="38"/>
      <c r="O20" s="38"/>
      <c r="P20" s="38"/>
      <c r="Q20" s="38"/>
      <c r="R20" s="38" t="n">
        <f aca="false">($G20*R$1)/$K20</f>
        <v>1.08</v>
      </c>
      <c r="S20" s="38" t="n">
        <f aca="false">($G20*S$1)/$K20</f>
        <v>1.11375</v>
      </c>
      <c r="T20" s="38"/>
      <c r="U20" s="38"/>
      <c r="V20" s="0"/>
      <c r="W20" s="0"/>
      <c r="X20" s="0"/>
      <c r="Y20" s="0"/>
      <c r="Z20" s="0"/>
      <c r="AA20" s="0"/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0"/>
    </row>
    <row r="21" customFormat="false" ht="15" hidden="false" customHeight="false" outlineLevel="0" collapsed="false">
      <c r="A21" s="0" t="s">
        <v>100</v>
      </c>
      <c r="B21" s="0" t="s">
        <v>101</v>
      </c>
      <c r="C21" s="16" t="s">
        <v>102</v>
      </c>
      <c r="D21" s="17" t="n">
        <v>3</v>
      </c>
      <c r="E21" s="0"/>
      <c r="F21" s="30" t="n">
        <f aca="false">G21</f>
        <v>0.9</v>
      </c>
      <c r="G21" s="37" t="n">
        <v>0.9</v>
      </c>
      <c r="H21" s="37" t="n">
        <v>0.9</v>
      </c>
      <c r="I21" s="37" t="n">
        <v>0.9</v>
      </c>
      <c r="J21" s="37" t="n">
        <v>0.9</v>
      </c>
      <c r="K21" s="31" t="n">
        <v>1</v>
      </c>
      <c r="L21" s="32"/>
      <c r="M21" s="32"/>
      <c r="N21" s="32" t="n">
        <f aca="false">($G21*N$1)/$K21</f>
        <v>0.945</v>
      </c>
      <c r="O21" s="32" t="n">
        <f aca="false">($G21*O$1)/$K21</f>
        <v>0.97875</v>
      </c>
      <c r="P21" s="32" t="n">
        <f aca="false">($G21*P$1)/$K21</f>
        <v>1.0125</v>
      </c>
      <c r="Q21" s="32" t="n">
        <f aca="false">($G21*Q$1)/$K21</f>
        <v>1.04625</v>
      </c>
      <c r="R21" s="32" t="n">
        <f aca="false">($G21*R$1)/$K21</f>
        <v>1.08</v>
      </c>
      <c r="S21" s="32" t="n">
        <f aca="false">($G21*S$1)/$K21</f>
        <v>1.11375</v>
      </c>
      <c r="T21" s="32" t="n">
        <f aca="false">($G21*T$1)/$K21</f>
        <v>1.1475</v>
      </c>
      <c r="U21" s="32" t="n">
        <f aca="false">($G21*U$1)/$K21</f>
        <v>1.18125</v>
      </c>
      <c r="V21" s="33" t="n">
        <f aca="false">($H21*V$1)/$K21</f>
        <v>1.215</v>
      </c>
      <c r="W21" s="33" t="n">
        <f aca="false">($H21*W$1)/$K21</f>
        <v>1.24875</v>
      </c>
      <c r="X21" s="33" t="n">
        <f aca="false">($H21*X$1)/$K21</f>
        <v>1.2825</v>
      </c>
      <c r="Y21" s="33" t="n">
        <f aca="false">($H21*Y$1)/$K21</f>
        <v>1.31625</v>
      </c>
      <c r="Z21" s="34" t="n">
        <f aca="false">($I21*Z$1)/$K21</f>
        <v>1.35</v>
      </c>
      <c r="AA21" s="34" t="n">
        <f aca="false">($I21*AA$1)/$K21</f>
        <v>1.38375</v>
      </c>
      <c r="AB21" s="34" t="n">
        <f aca="false">($I21*AB$1)/$K21</f>
        <v>1.4175</v>
      </c>
      <c r="AC21" s="34" t="n">
        <f aca="false">($I21*AC$1)/$K21</f>
        <v>1.45125</v>
      </c>
      <c r="AD21" s="0"/>
      <c r="AE21" s="0"/>
      <c r="AF21" s="0"/>
      <c r="AG21" s="0"/>
      <c r="AH21" s="0"/>
      <c r="AI21" s="0"/>
      <c r="AJ21" s="0"/>
      <c r="AK21" s="0"/>
      <c r="AL21" s="0"/>
    </row>
    <row r="22" customFormat="false" ht="15" hidden="false" customHeight="false" outlineLevel="0" collapsed="false">
      <c r="A22" s="0" t="s">
        <v>100</v>
      </c>
      <c r="B22" s="0" t="s">
        <v>103</v>
      </c>
      <c r="C22" s="16" t="s">
        <v>102</v>
      </c>
      <c r="D22" s="17" t="n">
        <v>3</v>
      </c>
      <c r="E22" s="0"/>
      <c r="F22" s="30" t="n">
        <f aca="false">G22</f>
        <v>0.9</v>
      </c>
      <c r="G22" s="37" t="n">
        <v>0.9</v>
      </c>
      <c r="H22" s="37" t="n">
        <v>0.9</v>
      </c>
      <c r="I22" s="37" t="n">
        <v>0.9</v>
      </c>
      <c r="J22" s="37" t="n">
        <v>0.9</v>
      </c>
      <c r="K22" s="31" t="n">
        <v>1</v>
      </c>
      <c r="L22" s="32"/>
      <c r="M22" s="32"/>
      <c r="N22" s="32" t="n">
        <f aca="false">($G22*N$1)/$K22</f>
        <v>0.945</v>
      </c>
      <c r="O22" s="32" t="n">
        <f aca="false">($G22*O$1)/$K22</f>
        <v>0.97875</v>
      </c>
      <c r="P22" s="32" t="n">
        <f aca="false">($G22*P$1)/$K22</f>
        <v>1.0125</v>
      </c>
      <c r="Q22" s="32" t="n">
        <f aca="false">($G22*Q$1)/$K22</f>
        <v>1.04625</v>
      </c>
      <c r="R22" s="32" t="n">
        <f aca="false">($G22*R$1)/$K22</f>
        <v>1.08</v>
      </c>
      <c r="S22" s="32" t="n">
        <f aca="false">($G22*S$1)/$K22</f>
        <v>1.11375</v>
      </c>
      <c r="T22" s="32" t="n">
        <f aca="false">($G22*T$1)/$K22</f>
        <v>1.1475</v>
      </c>
      <c r="U22" s="32" t="n">
        <f aca="false">($G22*U$1)/$K22</f>
        <v>1.18125</v>
      </c>
      <c r="V22" s="33" t="n">
        <f aca="false">($H22*V$1)/$K22</f>
        <v>1.215</v>
      </c>
      <c r="W22" s="33" t="n">
        <f aca="false">($H22*W$1)/$K22</f>
        <v>1.24875</v>
      </c>
      <c r="X22" s="33" t="n">
        <f aca="false">($H22*X$1)/$K22</f>
        <v>1.2825</v>
      </c>
      <c r="Y22" s="33" t="n">
        <f aca="false">($H22*Y$1)/$K22</f>
        <v>1.31625</v>
      </c>
      <c r="Z22" s="34" t="n">
        <f aca="false">($I22*Z$1)/$K22</f>
        <v>1.35</v>
      </c>
      <c r="AA22" s="34" t="n">
        <f aca="false">($I22*AA$1)/$K22</f>
        <v>1.38375</v>
      </c>
      <c r="AB22" s="34" t="n">
        <f aca="false">($I22*AB$1)/$K22</f>
        <v>1.4175</v>
      </c>
      <c r="AC22" s="34" t="n">
        <f aca="false">($I22*AC$1)/$K22</f>
        <v>1.45125</v>
      </c>
      <c r="AD22" s="0"/>
      <c r="AE22" s="0"/>
      <c r="AF22" s="0"/>
      <c r="AG22" s="0"/>
      <c r="AH22" s="0"/>
      <c r="AI22" s="0"/>
      <c r="AJ22" s="0"/>
      <c r="AK22" s="0"/>
      <c r="AL22" s="0"/>
    </row>
    <row r="23" customFormat="false" ht="15" hidden="false" customHeight="false" outlineLevel="0" collapsed="false">
      <c r="A23" s="0" t="s">
        <v>100</v>
      </c>
      <c r="B23" s="0" t="s">
        <v>104</v>
      </c>
      <c r="C23" s="16" t="s">
        <v>102</v>
      </c>
      <c r="D23" s="17" t="n">
        <v>3</v>
      </c>
      <c r="E23" s="0"/>
      <c r="F23" s="30" t="n">
        <f aca="false">G23</f>
        <v>0.9</v>
      </c>
      <c r="G23" s="37" t="n">
        <v>0.9</v>
      </c>
      <c r="H23" s="37" t="n">
        <v>0.9</v>
      </c>
      <c r="I23" s="37" t="n">
        <v>0.9</v>
      </c>
      <c r="J23" s="37" t="n">
        <v>0.9</v>
      </c>
      <c r="K23" s="31" t="n">
        <v>1</v>
      </c>
      <c r="L23" s="32"/>
      <c r="M23" s="32"/>
      <c r="N23" s="32" t="n">
        <f aca="false">($G23*N$1)/$K23</f>
        <v>0.945</v>
      </c>
      <c r="O23" s="32" t="n">
        <f aca="false">($G23*O$1)/$K23</f>
        <v>0.97875</v>
      </c>
      <c r="P23" s="32" t="n">
        <f aca="false">($G23*P$1)/$K23</f>
        <v>1.0125</v>
      </c>
      <c r="Q23" s="32" t="n">
        <f aca="false">($G23*Q$1)/$K23</f>
        <v>1.04625</v>
      </c>
      <c r="R23" s="32" t="n">
        <f aca="false">($G23*R$1)/$K23</f>
        <v>1.08</v>
      </c>
      <c r="S23" s="32" t="n">
        <f aca="false">($G23*S$1)/$K23</f>
        <v>1.11375</v>
      </c>
      <c r="T23" s="32" t="n">
        <f aca="false">($G23*T$1)/$K23</f>
        <v>1.1475</v>
      </c>
      <c r="U23" s="32" t="n">
        <f aca="false">($G23*U$1)/$K23</f>
        <v>1.18125</v>
      </c>
      <c r="V23" s="33" t="n">
        <f aca="false">($H23*V$1)/$K23</f>
        <v>1.215</v>
      </c>
      <c r="W23" s="33" t="n">
        <f aca="false">($H23*W$1)/$K23</f>
        <v>1.24875</v>
      </c>
      <c r="X23" s="33" t="n">
        <f aca="false">($H23*X$1)/$K23</f>
        <v>1.2825</v>
      </c>
      <c r="Y23" s="33" t="n">
        <f aca="false">($H23*Y$1)/$K23</f>
        <v>1.31625</v>
      </c>
      <c r="Z23" s="34" t="n">
        <f aca="false">($I23*Z$1)/$K23</f>
        <v>1.35</v>
      </c>
      <c r="AA23" s="34" t="n">
        <f aca="false">($I23*AA$1)/$K23</f>
        <v>1.38375</v>
      </c>
      <c r="AB23" s="34" t="n">
        <f aca="false">($I23*AB$1)/$K23</f>
        <v>1.4175</v>
      </c>
      <c r="AC23" s="34" t="n">
        <f aca="false">($I23*AC$1)/$K23</f>
        <v>1.45125</v>
      </c>
      <c r="AD23" s="0"/>
      <c r="AE23" s="0"/>
      <c r="AF23" s="0"/>
      <c r="AG23" s="0"/>
      <c r="AH23" s="0"/>
      <c r="AI23" s="0"/>
      <c r="AJ23" s="0"/>
      <c r="AK23" s="0"/>
      <c r="AL23" s="0"/>
    </row>
    <row r="24" customFormat="false" ht="15" hidden="false" customHeight="false" outlineLevel="0" collapsed="false">
      <c r="A24" s="0" t="s">
        <v>100</v>
      </c>
      <c r="B24" s="0" t="s">
        <v>105</v>
      </c>
      <c r="C24" s="16" t="s">
        <v>106</v>
      </c>
      <c r="D24" s="17" t="n">
        <v>3</v>
      </c>
      <c r="E24" s="0"/>
      <c r="F24" s="30" t="n">
        <f aca="false">G24</f>
        <v>0.9</v>
      </c>
      <c r="G24" s="37" t="n">
        <v>0.9</v>
      </c>
      <c r="H24" s="37" t="n">
        <v>0.9</v>
      </c>
      <c r="I24" s="37" t="n">
        <v>0.9</v>
      </c>
      <c r="J24" s="37" t="n">
        <v>0.9</v>
      </c>
      <c r="K24" s="31" t="n">
        <v>1</v>
      </c>
      <c r="L24" s="32"/>
      <c r="M24" s="32"/>
      <c r="N24" s="32" t="n">
        <f aca="false">($G24*N$1)/$K24</f>
        <v>0.945</v>
      </c>
      <c r="O24" s="32" t="n">
        <f aca="false">($G24*O$1)/$K24</f>
        <v>0.97875</v>
      </c>
      <c r="P24" s="32" t="n">
        <f aca="false">($G24*P$1)/$K24</f>
        <v>1.0125</v>
      </c>
      <c r="Q24" s="32" t="n">
        <f aca="false">($G24*Q$1)/$K24</f>
        <v>1.04625</v>
      </c>
      <c r="R24" s="32" t="n">
        <f aca="false">($G24*R$1)/$K24</f>
        <v>1.08</v>
      </c>
      <c r="S24" s="32" t="n">
        <f aca="false">($G24*S$1)/$K24</f>
        <v>1.11375</v>
      </c>
      <c r="T24" s="32" t="n">
        <f aca="false">($G24*T$1)/$K24</f>
        <v>1.1475</v>
      </c>
      <c r="U24" s="32" t="n">
        <f aca="false">($G24*U$1)/$K24</f>
        <v>1.18125</v>
      </c>
      <c r="V24" s="33" t="n">
        <f aca="false">($H24*V$1)/$K24</f>
        <v>1.215</v>
      </c>
      <c r="W24" s="33" t="n">
        <f aca="false">($H24*W$1)/$K24</f>
        <v>1.24875</v>
      </c>
      <c r="X24" s="33" t="n">
        <f aca="false">($H24*X$1)/$K24</f>
        <v>1.2825</v>
      </c>
      <c r="Y24" s="33" t="n">
        <f aca="false">($H24*Y$1)/$K24</f>
        <v>1.31625</v>
      </c>
      <c r="Z24" s="34" t="n">
        <f aca="false">($I24*Z$1)/$K24</f>
        <v>1.35</v>
      </c>
      <c r="AA24" s="34" t="n">
        <f aca="false">($I24*AA$1)/$K24</f>
        <v>1.38375</v>
      </c>
      <c r="AB24" s="34" t="n">
        <f aca="false">($I24*AB$1)/$K24</f>
        <v>1.4175</v>
      </c>
      <c r="AC24" s="34" t="n">
        <f aca="false">($I24*AC$1)/$K24</f>
        <v>1.45125</v>
      </c>
      <c r="AD24" s="0"/>
      <c r="AE24" s="0"/>
      <c r="AF24" s="0"/>
      <c r="AG24" s="0"/>
      <c r="AH24" s="0"/>
      <c r="AI24" s="0"/>
      <c r="AJ24" s="0"/>
      <c r="AK24" s="0"/>
      <c r="AL24" s="0"/>
    </row>
    <row r="25" customFormat="false" ht="15" hidden="false" customHeight="false" outlineLevel="0" collapsed="false">
      <c r="A25" s="0" t="s">
        <v>100</v>
      </c>
      <c r="B25" s="0" t="s">
        <v>107</v>
      </c>
      <c r="C25" s="16" t="s">
        <v>102</v>
      </c>
      <c r="D25" s="17" t="n">
        <v>3</v>
      </c>
      <c r="E25" s="0"/>
      <c r="F25" s="30" t="n">
        <f aca="false">G25</f>
        <v>0.9</v>
      </c>
      <c r="G25" s="37" t="n">
        <v>0.9</v>
      </c>
      <c r="H25" s="37" t="n">
        <v>0.9</v>
      </c>
      <c r="I25" s="37" t="n">
        <v>0.9</v>
      </c>
      <c r="J25" s="37" t="n">
        <v>0.9</v>
      </c>
      <c r="K25" s="31" t="n">
        <v>1</v>
      </c>
      <c r="L25" s="32"/>
      <c r="M25" s="32"/>
      <c r="N25" s="32" t="n">
        <f aca="false">($G25*N$1)/$K25</f>
        <v>0.945</v>
      </c>
      <c r="O25" s="32" t="n">
        <f aca="false">($G25*O$1)/$K25</f>
        <v>0.97875</v>
      </c>
      <c r="P25" s="32" t="n">
        <f aca="false">($G25*P$1)/$K25</f>
        <v>1.0125</v>
      </c>
      <c r="Q25" s="32" t="n">
        <f aca="false">($G25*Q$1)/$K25</f>
        <v>1.04625</v>
      </c>
      <c r="R25" s="32" t="n">
        <f aca="false">($G25*R$1)/$K25</f>
        <v>1.08</v>
      </c>
      <c r="S25" s="32" t="n">
        <f aca="false">($G25*S$1)/$K25</f>
        <v>1.11375</v>
      </c>
      <c r="T25" s="32" t="n">
        <f aca="false">($G25*T$1)/$K25</f>
        <v>1.1475</v>
      </c>
      <c r="U25" s="32" t="n">
        <f aca="false">($G25*U$1)/$K25</f>
        <v>1.18125</v>
      </c>
      <c r="V25" s="33" t="n">
        <f aca="false">($H25*V$1)/$K25</f>
        <v>1.215</v>
      </c>
      <c r="W25" s="33" t="n">
        <f aca="false">($H25*W$1)/$K25</f>
        <v>1.24875</v>
      </c>
      <c r="X25" s="33" t="n">
        <f aca="false">($H25*X$1)/$K25</f>
        <v>1.2825</v>
      </c>
      <c r="Y25" s="33" t="n">
        <f aca="false">($H25*Y$1)/$K25</f>
        <v>1.31625</v>
      </c>
      <c r="Z25" s="34" t="n">
        <f aca="false">($I25*Z$1)/$K25</f>
        <v>1.35</v>
      </c>
      <c r="AA25" s="34" t="n">
        <f aca="false">($I25*AA$1)/$K25</f>
        <v>1.38375</v>
      </c>
      <c r="AB25" s="34" t="n">
        <f aca="false">($I25*AB$1)/$K25</f>
        <v>1.4175</v>
      </c>
      <c r="AC25" s="34" t="n">
        <f aca="false">($I25*AC$1)/$K25</f>
        <v>1.45125</v>
      </c>
      <c r="AD25" s="0"/>
      <c r="AE25" s="0"/>
      <c r="AF25" s="0"/>
      <c r="AG25" s="0"/>
      <c r="AH25" s="0"/>
      <c r="AI25" s="0"/>
      <c r="AJ25" s="0"/>
      <c r="AK25" s="0"/>
      <c r="AL25" s="0"/>
    </row>
    <row r="26" customFormat="false" ht="15" hidden="false" customHeight="false" outlineLevel="0" collapsed="false">
      <c r="A26" s="0" t="s">
        <v>100</v>
      </c>
      <c r="B26" s="0" t="s">
        <v>108</v>
      </c>
      <c r="C26" s="16" t="s">
        <v>102</v>
      </c>
      <c r="D26" s="17" t="n">
        <v>3</v>
      </c>
      <c r="E26" s="0"/>
      <c r="F26" s="30" t="n">
        <f aca="false">G26</f>
        <v>0.9</v>
      </c>
      <c r="G26" s="37" t="n">
        <v>0.9</v>
      </c>
      <c r="H26" s="37" t="n">
        <v>0.9</v>
      </c>
      <c r="I26" s="37" t="n">
        <v>0.9</v>
      </c>
      <c r="J26" s="37" t="n">
        <v>0.9</v>
      </c>
      <c r="K26" s="31" t="n">
        <v>1</v>
      </c>
      <c r="L26" s="32"/>
      <c r="M26" s="32"/>
      <c r="N26" s="32" t="n">
        <f aca="false">($G26*N$1)/$K26</f>
        <v>0.945</v>
      </c>
      <c r="O26" s="32" t="n">
        <f aca="false">($G26*O$1)/$K26</f>
        <v>0.97875</v>
      </c>
      <c r="P26" s="32" t="n">
        <f aca="false">($G26*P$1)/$K26</f>
        <v>1.0125</v>
      </c>
      <c r="Q26" s="32" t="n">
        <f aca="false">($G26*Q$1)/$K26</f>
        <v>1.04625</v>
      </c>
      <c r="R26" s="32" t="n">
        <f aca="false">($G26*R$1)/$K26</f>
        <v>1.08</v>
      </c>
      <c r="S26" s="32" t="n">
        <f aca="false">($G26*S$1)/$K26</f>
        <v>1.11375</v>
      </c>
      <c r="T26" s="32" t="n">
        <f aca="false">($G26*T$1)/$K26</f>
        <v>1.1475</v>
      </c>
      <c r="U26" s="32" t="n">
        <f aca="false">($G26*U$1)/$K26</f>
        <v>1.18125</v>
      </c>
      <c r="V26" s="33" t="n">
        <f aca="false">($H26*V$1)/$K26</f>
        <v>1.215</v>
      </c>
      <c r="W26" s="33" t="n">
        <f aca="false">($H26*W$1)/$K26</f>
        <v>1.24875</v>
      </c>
      <c r="X26" s="33" t="n">
        <f aca="false">($H26*X$1)/$K26</f>
        <v>1.2825</v>
      </c>
      <c r="Y26" s="33" t="n">
        <f aca="false">($H26*Y$1)/$K26</f>
        <v>1.31625</v>
      </c>
      <c r="Z26" s="34" t="n">
        <f aca="false">($I26*Z$1)/$K26</f>
        <v>1.35</v>
      </c>
      <c r="AA26" s="34" t="n">
        <f aca="false">($I26*AA$1)/$K26</f>
        <v>1.38375</v>
      </c>
      <c r="AB26" s="34" t="n">
        <f aca="false">($I26*AB$1)/$K26</f>
        <v>1.4175</v>
      </c>
      <c r="AC26" s="34" t="n">
        <f aca="false">($I26*AC$1)/$K26</f>
        <v>1.45125</v>
      </c>
      <c r="AD26" s="0"/>
      <c r="AE26" s="0"/>
      <c r="AF26" s="0"/>
      <c r="AG26" s="0"/>
      <c r="AH26" s="0"/>
      <c r="AI26" s="0"/>
      <c r="AJ26" s="0"/>
      <c r="AK26" s="0"/>
      <c r="AL26" s="0"/>
    </row>
    <row r="27" customFormat="false" ht="15" hidden="false" customHeight="false" outlineLevel="0" collapsed="false">
      <c r="A27" s="0" t="s">
        <v>100</v>
      </c>
      <c r="B27" s="0" t="s">
        <v>109</v>
      </c>
      <c r="C27" s="16" t="s">
        <v>110</v>
      </c>
      <c r="D27" s="17" t="n">
        <v>3</v>
      </c>
      <c r="E27" s="0"/>
      <c r="F27" s="30" t="n">
        <f aca="false">G27</f>
        <v>0.13</v>
      </c>
      <c r="G27" s="37" t="n">
        <v>0.13</v>
      </c>
      <c r="H27" s="37" t="n">
        <v>0.13</v>
      </c>
      <c r="I27" s="37" t="n">
        <v>0.13</v>
      </c>
      <c r="J27" s="37" t="n">
        <v>0.13</v>
      </c>
      <c r="K27" s="31" t="n">
        <v>1</v>
      </c>
      <c r="L27" s="32"/>
      <c r="M27" s="32"/>
      <c r="N27" s="32" t="n">
        <f aca="false">($G27*N$1)/$K27</f>
        <v>0.1365</v>
      </c>
      <c r="O27" s="32" t="n">
        <f aca="false">($G27*O$1)/$K27</f>
        <v>0.141375</v>
      </c>
      <c r="P27" s="32" t="n">
        <f aca="false">($G27*P$1)/$K27</f>
        <v>0.14625</v>
      </c>
      <c r="Q27" s="32" t="n">
        <f aca="false">($G27*Q$1)/$K27</f>
        <v>0.151125</v>
      </c>
      <c r="R27" s="32" t="n">
        <f aca="false">($G27*R$1)/$K27</f>
        <v>0.156</v>
      </c>
      <c r="S27" s="32" t="n">
        <f aca="false">($G27*S$1)/$K27</f>
        <v>0.160875</v>
      </c>
      <c r="T27" s="32" t="n">
        <f aca="false">($G27*T$1)/$K27</f>
        <v>0.16575</v>
      </c>
      <c r="U27" s="32" t="n">
        <f aca="false">($G27*U$1)/$K27</f>
        <v>0.170625</v>
      </c>
      <c r="V27" s="33" t="n">
        <f aca="false">($H27*V$1)/$K27</f>
        <v>0.1755</v>
      </c>
      <c r="W27" s="33" t="n">
        <f aca="false">($H27*W$1)/$K27</f>
        <v>0.180375</v>
      </c>
      <c r="X27" s="33" t="n">
        <f aca="false">($H27*X$1)/$K27</f>
        <v>0.18525</v>
      </c>
      <c r="Y27" s="33" t="n">
        <f aca="false">($H27*Y$1)/$K27</f>
        <v>0.190125</v>
      </c>
      <c r="Z27" s="34" t="n">
        <f aca="false">($I27*Z$1)/$K27</f>
        <v>0.195</v>
      </c>
      <c r="AA27" s="34" t="n">
        <f aca="false">($I27*AA$1)/$K27</f>
        <v>0.199875</v>
      </c>
      <c r="AB27" s="34" t="n">
        <f aca="false">($I27*AB$1)/$K27</f>
        <v>0.20475</v>
      </c>
      <c r="AC27" s="34" t="n">
        <f aca="false">($I27*AC$1)/$K27</f>
        <v>0.209625</v>
      </c>
      <c r="AD27" s="0"/>
      <c r="AE27" s="0"/>
      <c r="AF27" s="0"/>
      <c r="AG27" s="0"/>
      <c r="AH27" s="0"/>
      <c r="AI27" s="0"/>
      <c r="AJ27" s="0"/>
      <c r="AK27" s="0"/>
      <c r="AL27" s="0"/>
    </row>
    <row r="28" customFormat="false" ht="15" hidden="false" customHeight="false" outlineLevel="0" collapsed="false">
      <c r="A28" s="0" t="s">
        <v>100</v>
      </c>
      <c r="B28" s="0" t="s">
        <v>111</v>
      </c>
      <c r="C28" s="16" t="s">
        <v>112</v>
      </c>
      <c r="D28" s="17" t="n">
        <v>3</v>
      </c>
      <c r="E28" s="0"/>
      <c r="F28" s="30" t="n">
        <f aca="false">G28</f>
        <v>0.13</v>
      </c>
      <c r="G28" s="37" t="n">
        <v>0.13</v>
      </c>
      <c r="H28" s="37" t="n">
        <v>0.13</v>
      </c>
      <c r="I28" s="37" t="n">
        <v>0.13</v>
      </c>
      <c r="J28" s="37" t="n">
        <v>0.13</v>
      </c>
      <c r="K28" s="31" t="n">
        <v>1</v>
      </c>
      <c r="L28" s="32"/>
      <c r="M28" s="32"/>
      <c r="N28" s="32" t="n">
        <f aca="false">($G28*N$1)/$K28</f>
        <v>0.1365</v>
      </c>
      <c r="O28" s="32" t="n">
        <f aca="false">($G28*O$1)/$K28</f>
        <v>0.141375</v>
      </c>
      <c r="P28" s="32" t="n">
        <f aca="false">($G28*P$1)/$K28</f>
        <v>0.14625</v>
      </c>
      <c r="Q28" s="32" t="n">
        <f aca="false">($G28*Q$1)/$K28</f>
        <v>0.151125</v>
      </c>
      <c r="R28" s="32" t="n">
        <f aca="false">($G28*R$1)/$K28</f>
        <v>0.156</v>
      </c>
      <c r="S28" s="32" t="n">
        <f aca="false">($G28*S$1)/$K28</f>
        <v>0.160875</v>
      </c>
      <c r="T28" s="32" t="n">
        <f aca="false">($G28*T$1)/$K28</f>
        <v>0.16575</v>
      </c>
      <c r="U28" s="32" t="n">
        <f aca="false">($G28*U$1)/$K28</f>
        <v>0.170625</v>
      </c>
      <c r="V28" s="33" t="n">
        <f aca="false">($H28*V$1)/$K28</f>
        <v>0.1755</v>
      </c>
      <c r="W28" s="33" t="n">
        <f aca="false">($H28*W$1)/$K28</f>
        <v>0.180375</v>
      </c>
      <c r="X28" s="33" t="n">
        <f aca="false">($H28*X$1)/$K28</f>
        <v>0.18525</v>
      </c>
      <c r="Y28" s="33" t="n">
        <f aca="false">($H28*Y$1)/$K28</f>
        <v>0.190125</v>
      </c>
      <c r="Z28" s="34" t="n">
        <f aca="false">($I28*Z$1)/$K28</f>
        <v>0.195</v>
      </c>
      <c r="AA28" s="34" t="n">
        <f aca="false">($I28*AA$1)/$K28</f>
        <v>0.199875</v>
      </c>
      <c r="AB28" s="34" t="n">
        <f aca="false">($I28*AB$1)/$K28</f>
        <v>0.20475</v>
      </c>
      <c r="AC28" s="34" t="n">
        <f aca="false">($I28*AC$1)/$K28</f>
        <v>0.209625</v>
      </c>
      <c r="AD28" s="0"/>
      <c r="AE28" s="0"/>
      <c r="AF28" s="0"/>
      <c r="AG28" s="0"/>
      <c r="AH28" s="0"/>
      <c r="AI28" s="0"/>
      <c r="AJ28" s="0"/>
      <c r="AK28" s="0"/>
      <c r="AL28" s="0"/>
    </row>
    <row r="29" customFormat="false" ht="15" hidden="false" customHeight="false" outlineLevel="0" collapsed="false">
      <c r="A29" s="0" t="s">
        <v>12</v>
      </c>
      <c r="B29" s="0" t="s">
        <v>113</v>
      </c>
      <c r="C29" s="16" t="s">
        <v>114</v>
      </c>
      <c r="D29" s="17" t="n">
        <v>1</v>
      </c>
      <c r="E29" s="0"/>
      <c r="F29" s="30" t="n">
        <f aca="false">G29</f>
        <v>0.1529214653185</v>
      </c>
      <c r="G29" s="44" t="n">
        <v>0.1529214653185</v>
      </c>
      <c r="H29" s="44" t="n">
        <v>0.1529214653185</v>
      </c>
      <c r="I29" s="44" t="n">
        <f aca="false">+(H29+J29)/2</f>
        <v>0.15646073265925</v>
      </c>
      <c r="J29" s="44" t="n">
        <v>0.16</v>
      </c>
      <c r="K29" s="31" t="n">
        <v>1</v>
      </c>
      <c r="L29" s="32"/>
      <c r="M29" s="32"/>
      <c r="N29" s="32" t="n">
        <f aca="false">($G29*N$1)/$K29</f>
        <v>0.160567538584425</v>
      </c>
      <c r="O29" s="32" t="n">
        <f aca="false">($G29*O$1)/$K29</f>
        <v>0.166302093533869</v>
      </c>
      <c r="P29" s="32" t="n">
        <f aca="false">($G29*P$1)/$K29</f>
        <v>0.172036648483312</v>
      </c>
      <c r="Q29" s="32" t="n">
        <f aca="false">($G29*Q$1)/$K29</f>
        <v>0.177771203432756</v>
      </c>
      <c r="R29" s="32" t="n">
        <f aca="false">($G29*R$1)/$K29</f>
        <v>0.1835057583822</v>
      </c>
      <c r="S29" s="32" t="n">
        <f aca="false">($G29*S$1)/$K29</f>
        <v>0.189240313331644</v>
      </c>
      <c r="T29" s="32" t="n">
        <f aca="false">($G29*T$1)/$K29</f>
        <v>0.194974868281087</v>
      </c>
      <c r="U29" s="32" t="n">
        <f aca="false">($G29*U$1)/$K29</f>
        <v>0.200709423230531</v>
      </c>
      <c r="V29" s="33"/>
      <c r="W29" s="33"/>
      <c r="X29" s="33"/>
      <c r="Y29" s="33"/>
      <c r="Z29" s="0"/>
      <c r="AA29" s="0"/>
      <c r="AB29" s="0"/>
      <c r="AC29" s="0"/>
      <c r="AD29" s="0"/>
      <c r="AE29" s="0"/>
      <c r="AF29" s="0"/>
      <c r="AG29" s="0"/>
      <c r="AH29" s="0"/>
      <c r="AI29" s="0"/>
      <c r="AJ29" s="0"/>
      <c r="AK29" s="0"/>
      <c r="AL29" s="0"/>
    </row>
    <row r="30" customFormat="false" ht="15" hidden="false" customHeight="false" outlineLevel="0" collapsed="false">
      <c r="A30" s="0" t="s">
        <v>12</v>
      </c>
      <c r="B30" s="0" t="s">
        <v>115</v>
      </c>
      <c r="C30" s="16" t="s">
        <v>114</v>
      </c>
      <c r="D30" s="17" t="n">
        <v>1</v>
      </c>
      <c r="E30" s="0"/>
      <c r="F30" s="30" t="n">
        <f aca="false">G30</f>
        <v>0.1529214653185</v>
      </c>
      <c r="G30" s="44" t="n">
        <v>0.1529214653185</v>
      </c>
      <c r="H30" s="44" t="n">
        <v>0.1529214653185</v>
      </c>
      <c r="I30" s="44" t="n">
        <f aca="false">+(H30+J30)/2</f>
        <v>0.15646073265925</v>
      </c>
      <c r="J30" s="44" t="n">
        <v>0.16</v>
      </c>
      <c r="K30" s="31" t="n">
        <v>1</v>
      </c>
      <c r="L30" s="32"/>
      <c r="M30" s="32"/>
      <c r="N30" s="32" t="n">
        <f aca="false">($G30*N$1)/$K30</f>
        <v>0.160567538584425</v>
      </c>
      <c r="O30" s="32" t="n">
        <f aca="false">($G30*O$1)/$K30</f>
        <v>0.166302093533869</v>
      </c>
      <c r="P30" s="32" t="n">
        <f aca="false">($G30*P$1)/$K30</f>
        <v>0.172036648483312</v>
      </c>
      <c r="Q30" s="32" t="n">
        <f aca="false">($G30*Q$1)/$K30</f>
        <v>0.177771203432756</v>
      </c>
      <c r="R30" s="32" t="n">
        <f aca="false">($G30*R$1)/$K30</f>
        <v>0.1835057583822</v>
      </c>
      <c r="S30" s="32" t="n">
        <f aca="false">($G30*S$1)/$K30</f>
        <v>0.189240313331644</v>
      </c>
      <c r="T30" s="32" t="n">
        <f aca="false">($G30*T$1)/$K30</f>
        <v>0.194974868281087</v>
      </c>
      <c r="U30" s="32" t="n">
        <f aca="false">($G30*U$1)/$K30</f>
        <v>0.200709423230531</v>
      </c>
      <c r="V30" s="33"/>
      <c r="W30" s="33"/>
      <c r="X30" s="33"/>
      <c r="Y30" s="33"/>
      <c r="Z30" s="0"/>
      <c r="AA30" s="0"/>
      <c r="AB30" s="0"/>
      <c r="AC30" s="0"/>
      <c r="AD30" s="0"/>
      <c r="AE30" s="0"/>
      <c r="AF30" s="0"/>
      <c r="AG30" s="0"/>
      <c r="AH30" s="0"/>
      <c r="AI30" s="0"/>
      <c r="AJ30" s="0"/>
      <c r="AK30" s="0"/>
      <c r="AL30" s="0"/>
    </row>
    <row r="31" customFormat="false" ht="15" hidden="false" customHeight="false" outlineLevel="0" collapsed="false">
      <c r="A31" s="0" t="s">
        <v>12</v>
      </c>
      <c r="B31" s="0" t="s">
        <v>116</v>
      </c>
      <c r="C31" s="16" t="s">
        <v>117</v>
      </c>
      <c r="D31" s="17" t="n">
        <v>1</v>
      </c>
      <c r="E31" s="0"/>
      <c r="F31" s="30" t="n">
        <f aca="false">G31</f>
        <v>0.1529214653185</v>
      </c>
      <c r="G31" s="44" t="n">
        <v>0.1529214653185</v>
      </c>
      <c r="H31" s="44" t="n">
        <v>0.1529214653185</v>
      </c>
      <c r="I31" s="44" t="n">
        <f aca="false">+(H31+J31)/2</f>
        <v>0.15646073265925</v>
      </c>
      <c r="J31" s="44" t="n">
        <v>0.16</v>
      </c>
      <c r="K31" s="31" t="n">
        <v>1</v>
      </c>
      <c r="L31" s="32"/>
      <c r="M31" s="32"/>
      <c r="N31" s="32" t="n">
        <f aca="false">($G31*N$1)/$K31</f>
        <v>0.160567538584425</v>
      </c>
      <c r="O31" s="32" t="n">
        <f aca="false">($G31*O$1)/$K31</f>
        <v>0.166302093533869</v>
      </c>
      <c r="P31" s="32" t="n">
        <f aca="false">($G31*P$1)/$K31</f>
        <v>0.172036648483312</v>
      </c>
      <c r="Q31" s="32" t="n">
        <f aca="false">($G31*Q$1)/$K31</f>
        <v>0.177771203432756</v>
      </c>
      <c r="R31" s="32" t="n">
        <f aca="false">($G31*R$1)/$K31</f>
        <v>0.1835057583822</v>
      </c>
      <c r="S31" s="32" t="n">
        <f aca="false">($G31*S$1)/$K31</f>
        <v>0.189240313331644</v>
      </c>
      <c r="T31" s="32" t="n">
        <f aca="false">($G31*T$1)/$K31</f>
        <v>0.194974868281087</v>
      </c>
      <c r="U31" s="32" t="n">
        <f aca="false">($G31*U$1)/$K31</f>
        <v>0.200709423230531</v>
      </c>
      <c r="V31" s="33" t="n">
        <f aca="false">($H31*V$1)/$K31</f>
        <v>0.206443978179975</v>
      </c>
      <c r="W31" s="33" t="n">
        <f aca="false">($H31*W$1)/$K31</f>
        <v>0.212178533129419</v>
      </c>
      <c r="X31" s="33" t="n">
        <f aca="false">($H31*X$1)/$K31</f>
        <v>0.217913088078862</v>
      </c>
      <c r="Y31" s="33" t="n">
        <f aca="false">($H31*Y$1)/$K31</f>
        <v>0.223647643028306</v>
      </c>
      <c r="Z31" s="0"/>
      <c r="AA31" s="0"/>
      <c r="AB31" s="0"/>
      <c r="AC31" s="0"/>
      <c r="AD31" s="0"/>
      <c r="AE31" s="0"/>
      <c r="AF31" s="0"/>
      <c r="AG31" s="0"/>
      <c r="AH31" s="0"/>
      <c r="AI31" s="0"/>
      <c r="AJ31" s="0"/>
      <c r="AK31" s="0"/>
      <c r="AL31" s="0"/>
    </row>
    <row r="32" customFormat="false" ht="15" hidden="false" customHeight="false" outlineLevel="0" collapsed="false">
      <c r="A32" s="0" t="s">
        <v>12</v>
      </c>
      <c r="B32" s="0" t="s">
        <v>118</v>
      </c>
      <c r="C32" s="16" t="s">
        <v>119</v>
      </c>
      <c r="D32" s="17" t="n">
        <v>1</v>
      </c>
      <c r="E32" s="0"/>
      <c r="F32" s="30" t="n">
        <f aca="false">G32</f>
        <v>0.1529214653185</v>
      </c>
      <c r="G32" s="44" t="n">
        <v>0.1529214653185</v>
      </c>
      <c r="H32" s="44" t="n">
        <v>0.1529214653185</v>
      </c>
      <c r="I32" s="44" t="n">
        <f aca="false">+(H32+J32)/2</f>
        <v>0.15646073265925</v>
      </c>
      <c r="J32" s="44" t="n">
        <v>0.16</v>
      </c>
      <c r="K32" s="31" t="n">
        <v>1</v>
      </c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3" t="n">
        <f aca="false">($H32*V$1)/$K32</f>
        <v>0.206443978179975</v>
      </c>
      <c r="W32" s="33" t="n">
        <f aca="false">($H32*W$1)/$K32</f>
        <v>0.212178533129419</v>
      </c>
      <c r="X32" s="33" t="n">
        <f aca="false">($H32*X$1)/$K32</f>
        <v>0.217913088078862</v>
      </c>
      <c r="Y32" s="33" t="n">
        <f aca="false">($H32*Y$1)/$K32</f>
        <v>0.223647643028306</v>
      </c>
      <c r="Z32" s="34" t="n">
        <f aca="false">($I32*Z$1)/$K32</f>
        <v>0.234691098988875</v>
      </c>
      <c r="AA32" s="34" t="n">
        <f aca="false">($I32*AA$1)/$K32</f>
        <v>0.240558376463597</v>
      </c>
      <c r="AB32" s="34" t="n">
        <f aca="false">($I32*AB$1)/$K32</f>
        <v>0.246425653938319</v>
      </c>
      <c r="AC32" s="34"/>
      <c r="AD32" s="35"/>
      <c r="AE32" s="35"/>
      <c r="AF32" s="0"/>
      <c r="AG32" s="0"/>
      <c r="AH32" s="0"/>
      <c r="AI32" s="0"/>
      <c r="AJ32" s="0"/>
      <c r="AK32" s="0"/>
      <c r="AL32" s="0"/>
    </row>
    <row r="33" customFormat="false" ht="15" hidden="false" customHeight="false" outlineLevel="0" collapsed="false">
      <c r="A33" s="0" t="s">
        <v>12</v>
      </c>
      <c r="B33" s="0" t="s">
        <v>120</v>
      </c>
      <c r="C33" s="16" t="s">
        <v>121</v>
      </c>
      <c r="D33" s="17" t="n">
        <v>1</v>
      </c>
      <c r="E33" s="0"/>
      <c r="F33" s="30" t="n">
        <f aca="false">G33</f>
        <v>0.1529214653185</v>
      </c>
      <c r="G33" s="44" t="n">
        <v>0.1529214653185</v>
      </c>
      <c r="H33" s="44" t="n">
        <v>0.1529214653185</v>
      </c>
      <c r="I33" s="44" t="n">
        <f aca="false">+(H33+J33)/2</f>
        <v>0.15646073265925</v>
      </c>
      <c r="J33" s="44" t="n">
        <v>0.16</v>
      </c>
      <c r="K33" s="31" t="n">
        <v>1</v>
      </c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3" t="n">
        <f aca="false">($H33*V$1)/$K33</f>
        <v>0.206443978179975</v>
      </c>
      <c r="W33" s="33" t="n">
        <f aca="false">($H33*W$1)/$K33</f>
        <v>0.212178533129419</v>
      </c>
      <c r="X33" s="33" t="n">
        <f aca="false">($H33*X$1)/$K33</f>
        <v>0.217913088078862</v>
      </c>
      <c r="Y33" s="33" t="n">
        <f aca="false">($H33*Y$1)/$K33</f>
        <v>0.223647643028306</v>
      </c>
      <c r="Z33" s="34" t="n">
        <f aca="false">($I33*Z$1)/$K33</f>
        <v>0.234691098988875</v>
      </c>
      <c r="AA33" s="34" t="n">
        <f aca="false">($I33*AA$1)/$K33</f>
        <v>0.240558376463597</v>
      </c>
      <c r="AB33" s="34" t="n">
        <f aca="false">($I33*AB$1)/$K33</f>
        <v>0.246425653938319</v>
      </c>
      <c r="AC33" s="34" t="n">
        <f aca="false">($I33*AC$1)/$K33</f>
        <v>0.252292931413041</v>
      </c>
      <c r="AD33" s="35" t="n">
        <f aca="false">($I33*AD$1)/$K33</f>
        <v>0.258160208887762</v>
      </c>
      <c r="AE33" s="35"/>
      <c r="AF33" s="0"/>
      <c r="AG33" s="0"/>
      <c r="AH33" s="0"/>
      <c r="AI33" s="0"/>
      <c r="AJ33" s="0"/>
      <c r="AK33" s="0"/>
      <c r="AL33" s="0"/>
    </row>
    <row r="34" customFormat="false" ht="15" hidden="false" customHeight="false" outlineLevel="0" collapsed="false">
      <c r="A34" s="0" t="s">
        <v>12</v>
      </c>
      <c r="B34" s="0" t="s">
        <v>122</v>
      </c>
      <c r="C34" s="16" t="s">
        <v>121</v>
      </c>
      <c r="D34" s="17" t="n">
        <v>1</v>
      </c>
      <c r="E34" s="0"/>
      <c r="F34" s="30" t="n">
        <f aca="false">G34</f>
        <v>0.1529214653185</v>
      </c>
      <c r="G34" s="44" t="n">
        <v>0.1529214653185</v>
      </c>
      <c r="H34" s="44" t="n">
        <v>0.1529214653185</v>
      </c>
      <c r="I34" s="44" t="n">
        <f aca="false">+(H34+J34)/2</f>
        <v>0.15646073265925</v>
      </c>
      <c r="J34" s="44" t="n">
        <v>0.16</v>
      </c>
      <c r="K34" s="31" t="n">
        <v>1</v>
      </c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3" t="n">
        <f aca="false">($H34*V$1)/$K34</f>
        <v>0.206443978179975</v>
      </c>
      <c r="W34" s="33" t="n">
        <f aca="false">($H34*W$1)/$K34</f>
        <v>0.212178533129419</v>
      </c>
      <c r="X34" s="33" t="n">
        <f aca="false">($H34*X$1)/$K34</f>
        <v>0.217913088078862</v>
      </c>
      <c r="Y34" s="33" t="n">
        <f aca="false">($H34*Y$1)/$K34</f>
        <v>0.223647643028306</v>
      </c>
      <c r="Z34" s="34" t="n">
        <f aca="false">($I34*Z$1)/$K34</f>
        <v>0.234691098988875</v>
      </c>
      <c r="AA34" s="34" t="n">
        <f aca="false">($I34*AA$1)/$K34</f>
        <v>0.240558376463597</v>
      </c>
      <c r="AB34" s="34" t="n">
        <f aca="false">($I34*AB$1)/$K34</f>
        <v>0.246425653938319</v>
      </c>
      <c r="AC34" s="34" t="n">
        <f aca="false">($I34*AC$1)/$K34</f>
        <v>0.252292931413041</v>
      </c>
      <c r="AD34" s="35" t="n">
        <f aca="false">($I34*AD$1)/$K34</f>
        <v>0.258160208887762</v>
      </c>
      <c r="AE34" s="35"/>
      <c r="AF34" s="0"/>
      <c r="AG34" s="0"/>
      <c r="AH34" s="0"/>
      <c r="AI34" s="0"/>
      <c r="AJ34" s="0"/>
      <c r="AK34" s="0"/>
      <c r="AL34" s="0"/>
    </row>
    <row r="35" customFormat="false" ht="15" hidden="false" customHeight="false" outlineLevel="0" collapsed="false">
      <c r="A35" s="0" t="s">
        <v>12</v>
      </c>
      <c r="B35" s="0" t="s">
        <v>123</v>
      </c>
      <c r="C35" s="16" t="s">
        <v>124</v>
      </c>
      <c r="D35" s="17" t="n">
        <v>1</v>
      </c>
      <c r="E35" s="0"/>
      <c r="F35" s="30" t="n">
        <f aca="false">G35</f>
        <v>0.1529214653185</v>
      </c>
      <c r="G35" s="44" t="n">
        <v>0.1529214653185</v>
      </c>
      <c r="H35" s="44" t="n">
        <v>0.1529214653185</v>
      </c>
      <c r="I35" s="44" t="n">
        <f aca="false">+(H35+J35)/2</f>
        <v>0.15646073265925</v>
      </c>
      <c r="J35" s="44" t="n">
        <v>0.16</v>
      </c>
      <c r="K35" s="31" t="n">
        <v>1</v>
      </c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3" t="n">
        <f aca="false">($H35*V$1)/$K35</f>
        <v>0.206443978179975</v>
      </c>
      <c r="W35" s="33" t="n">
        <f aca="false">($H35*W$1)/$K35</f>
        <v>0.212178533129419</v>
      </c>
      <c r="X35" s="33" t="n">
        <f aca="false">($H35*X$1)/$K35</f>
        <v>0.217913088078862</v>
      </c>
      <c r="Y35" s="33" t="n">
        <f aca="false">($H35*Y$1)/$K35</f>
        <v>0.223647643028306</v>
      </c>
      <c r="Z35" s="34" t="n">
        <f aca="false">($I35*Z$1)/$K35</f>
        <v>0.234691098988875</v>
      </c>
      <c r="AA35" s="34" t="n">
        <f aca="false">($I35*AA$1)/$K35</f>
        <v>0.240558376463597</v>
      </c>
      <c r="AB35" s="34" t="n">
        <f aca="false">($I35*AB$1)/$K35</f>
        <v>0.246425653938319</v>
      </c>
      <c r="AC35" s="34" t="n">
        <f aca="false">($I35*AC$1)/$K35</f>
        <v>0.252292931413041</v>
      </c>
      <c r="AD35" s="35" t="n">
        <f aca="false">($I35*AD$1)/$K35</f>
        <v>0.258160208887762</v>
      </c>
      <c r="AE35" s="35"/>
      <c r="AF35" s="0"/>
      <c r="AG35" s="0"/>
      <c r="AH35" s="0"/>
      <c r="AI35" s="0"/>
      <c r="AJ35" s="0"/>
      <c r="AK35" s="0"/>
      <c r="AL35" s="0"/>
    </row>
    <row r="36" customFormat="false" ht="15" hidden="false" customHeight="false" outlineLevel="0" collapsed="false">
      <c r="A36" s="0" t="s">
        <v>12</v>
      </c>
      <c r="B36" s="0" t="s">
        <v>125</v>
      </c>
      <c r="C36" s="16" t="s">
        <v>124</v>
      </c>
      <c r="D36" s="17" t="n">
        <v>1</v>
      </c>
      <c r="E36" s="0"/>
      <c r="F36" s="30" t="n">
        <f aca="false">G36</f>
        <v>0.1529214653185</v>
      </c>
      <c r="G36" s="44" t="n">
        <v>0.1529214653185</v>
      </c>
      <c r="H36" s="44" t="n">
        <v>0.1529214653185</v>
      </c>
      <c r="I36" s="44" t="n">
        <f aca="false">+(H36+J36)/2</f>
        <v>0.15646073265925</v>
      </c>
      <c r="J36" s="44" t="n">
        <v>0.16</v>
      </c>
      <c r="K36" s="31" t="n">
        <v>1</v>
      </c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3" t="n">
        <f aca="false">($H36*V$1)/$K36</f>
        <v>0.206443978179975</v>
      </c>
      <c r="W36" s="33" t="n">
        <f aca="false">($H36*W$1)/$K36</f>
        <v>0.212178533129419</v>
      </c>
      <c r="X36" s="33" t="n">
        <f aca="false">($H36*X$1)/$K36</f>
        <v>0.217913088078862</v>
      </c>
      <c r="Y36" s="33" t="n">
        <f aca="false">($H36*Y$1)/$K36</f>
        <v>0.223647643028306</v>
      </c>
      <c r="Z36" s="34" t="n">
        <f aca="false">($I36*Z$1)/$K36</f>
        <v>0.234691098988875</v>
      </c>
      <c r="AA36" s="34" t="n">
        <f aca="false">($I36*AA$1)/$K36</f>
        <v>0.240558376463597</v>
      </c>
      <c r="AB36" s="34" t="n">
        <f aca="false">($I36*AB$1)/$K36</f>
        <v>0.246425653938319</v>
      </c>
      <c r="AC36" s="34" t="n">
        <f aca="false">($I36*AC$1)/$K36</f>
        <v>0.252292931413041</v>
      </c>
      <c r="AD36" s="35" t="n">
        <f aca="false">($I36*AD$1)/$K36</f>
        <v>0.258160208887762</v>
      </c>
      <c r="AE36" s="35"/>
      <c r="AF36" s="0"/>
      <c r="AG36" s="0"/>
      <c r="AH36" s="0"/>
      <c r="AI36" s="0"/>
      <c r="AJ36" s="0"/>
      <c r="AK36" s="0"/>
      <c r="AL36" s="0"/>
    </row>
    <row r="37" customFormat="false" ht="15" hidden="false" customHeight="false" outlineLevel="0" collapsed="false">
      <c r="A37" s="0" t="s">
        <v>12</v>
      </c>
      <c r="B37" s="0" t="s">
        <v>126</v>
      </c>
      <c r="C37" s="16" t="s">
        <v>127</v>
      </c>
      <c r="D37" s="17" t="n">
        <v>1</v>
      </c>
      <c r="E37" s="0"/>
      <c r="F37" s="30" t="n">
        <f aca="false">G37</f>
        <v>0.1529214653185</v>
      </c>
      <c r="G37" s="44" t="n">
        <v>0.1529214653185</v>
      </c>
      <c r="H37" s="44" t="n">
        <v>0.1529214653185</v>
      </c>
      <c r="I37" s="44" t="n">
        <f aca="false">+(H37+J37)/2</f>
        <v>0.15646073265925</v>
      </c>
      <c r="J37" s="44" t="n">
        <v>0.16</v>
      </c>
      <c r="K37" s="31" t="n">
        <v>1</v>
      </c>
      <c r="L37" s="32"/>
      <c r="M37" s="32"/>
      <c r="N37" s="32"/>
      <c r="O37" s="32"/>
      <c r="P37" s="32"/>
      <c r="Q37" s="32"/>
      <c r="R37" s="32" t="n">
        <f aca="false">($G37*R$1)/$K37</f>
        <v>0.1835057583822</v>
      </c>
      <c r="S37" s="32" t="n">
        <f aca="false">($G37*S$1)/$K37</f>
        <v>0.189240313331644</v>
      </c>
      <c r="T37" s="32" t="n">
        <f aca="false">($G37*T$1)/$K37</f>
        <v>0.194974868281087</v>
      </c>
      <c r="U37" s="32" t="n">
        <f aca="false">($G37*U$1)/$K37</f>
        <v>0.200709423230531</v>
      </c>
      <c r="V37" s="33" t="n">
        <f aca="false">($H37*V$1)/$K37</f>
        <v>0.206443978179975</v>
      </c>
      <c r="W37" s="33" t="n">
        <f aca="false">($H37*W$1)/$K37</f>
        <v>0.212178533129419</v>
      </c>
      <c r="X37" s="33" t="n">
        <f aca="false">($H37*X$1)/$K37</f>
        <v>0.217913088078862</v>
      </c>
      <c r="Y37" s="33" t="n">
        <f aca="false">($H37*Y$1)/$K37</f>
        <v>0.223647643028306</v>
      </c>
      <c r="Z37" s="34" t="n">
        <f aca="false">($I37*Z$1)/$K37</f>
        <v>0.234691098988875</v>
      </c>
      <c r="AA37" s="34" t="n">
        <f aca="false">($I37*AA$1)/$K37</f>
        <v>0.240558376463597</v>
      </c>
      <c r="AB37" s="34" t="n">
        <f aca="false">($I37*AB$1)/$K37</f>
        <v>0.246425653938319</v>
      </c>
      <c r="AC37" s="34" t="n">
        <f aca="false">($I37*AC$1)/$K37</f>
        <v>0.252292931413041</v>
      </c>
      <c r="AD37" s="35" t="n">
        <f aca="false">($I37*AD$1)/$K37</f>
        <v>0.258160208887762</v>
      </c>
      <c r="AE37" s="35"/>
      <c r="AF37" s="0"/>
      <c r="AG37" s="0"/>
      <c r="AH37" s="0"/>
      <c r="AI37" s="0"/>
      <c r="AJ37" s="0"/>
      <c r="AK37" s="0"/>
      <c r="AL37" s="0"/>
    </row>
    <row r="38" customFormat="false" ht="15" hidden="false" customHeight="false" outlineLevel="0" collapsed="false">
      <c r="A38" s="0" t="s">
        <v>12</v>
      </c>
      <c r="B38" s="0" t="s">
        <v>128</v>
      </c>
      <c r="C38" s="16" t="s">
        <v>129</v>
      </c>
      <c r="D38" s="17" t="n">
        <v>1</v>
      </c>
      <c r="E38" s="0"/>
      <c r="F38" s="30" t="n">
        <f aca="false">G38</f>
        <v>0.1529214653185</v>
      </c>
      <c r="G38" s="44" t="n">
        <v>0.1529214653185</v>
      </c>
      <c r="H38" s="44" t="n">
        <v>0.1529214653185</v>
      </c>
      <c r="I38" s="44" t="n">
        <f aca="false">+(H38+J38)/2</f>
        <v>0.15646073265925</v>
      </c>
      <c r="J38" s="44" t="n">
        <v>0.16</v>
      </c>
      <c r="K38" s="31" t="n">
        <v>1</v>
      </c>
      <c r="L38" s="32"/>
      <c r="M38" s="32"/>
      <c r="N38" s="32" t="n">
        <f aca="false">($G38*N$1)/$K38</f>
        <v>0.160567538584425</v>
      </c>
      <c r="O38" s="32" t="n">
        <f aca="false">($G38*O$1)/$K38</f>
        <v>0.166302093533869</v>
      </c>
      <c r="P38" s="32" t="n">
        <f aca="false">($G38*P$1)/$K38</f>
        <v>0.172036648483312</v>
      </c>
      <c r="Q38" s="32" t="n">
        <f aca="false">($G38*Q$1)/$K38</f>
        <v>0.177771203432756</v>
      </c>
      <c r="R38" s="32" t="n">
        <f aca="false">($G38*R$1)/$K38</f>
        <v>0.1835057583822</v>
      </c>
      <c r="S38" s="32" t="n">
        <f aca="false">($G38*S$1)/$K38</f>
        <v>0.189240313331644</v>
      </c>
      <c r="T38" s="32" t="n">
        <f aca="false">($G38*T$1)/$K38</f>
        <v>0.194974868281087</v>
      </c>
      <c r="U38" s="32" t="n">
        <f aca="false">($G38*U$1)/$K38</f>
        <v>0.200709423230531</v>
      </c>
      <c r="V38" s="33"/>
      <c r="W38" s="33"/>
      <c r="X38" s="33"/>
      <c r="Y38" s="33"/>
      <c r="Z38" s="34"/>
      <c r="AA38" s="34"/>
      <c r="AB38" s="34"/>
      <c r="AC38" s="34"/>
      <c r="AD38" s="35"/>
      <c r="AE38" s="35"/>
      <c r="AF38" s="0"/>
      <c r="AG38" s="0"/>
      <c r="AH38" s="0"/>
      <c r="AI38" s="0"/>
      <c r="AJ38" s="0"/>
      <c r="AK38" s="0"/>
      <c r="AL38" s="0"/>
    </row>
    <row r="39" customFormat="false" ht="15" hidden="false" customHeight="false" outlineLevel="0" collapsed="false">
      <c r="A39" s="0" t="s">
        <v>12</v>
      </c>
      <c r="B39" s="0" t="s">
        <v>130</v>
      </c>
      <c r="C39" s="16" t="s">
        <v>131</v>
      </c>
      <c r="D39" s="17" t="n">
        <v>1</v>
      </c>
      <c r="E39" s="0"/>
      <c r="F39" s="30" t="n">
        <f aca="false">G39</f>
        <v>0.1529214653185</v>
      </c>
      <c r="G39" s="44" t="n">
        <v>0.1529214653185</v>
      </c>
      <c r="H39" s="44" t="n">
        <v>0.1529214653185</v>
      </c>
      <c r="I39" s="44" t="n">
        <f aca="false">+(H39+J39)/2</f>
        <v>0.15646073265925</v>
      </c>
      <c r="J39" s="44" t="n">
        <v>0.16</v>
      </c>
      <c r="K39" s="31" t="n">
        <v>1</v>
      </c>
      <c r="L39" s="32"/>
      <c r="M39" s="32"/>
      <c r="N39" s="32"/>
      <c r="O39" s="32"/>
      <c r="P39" s="32"/>
      <c r="Q39" s="32"/>
      <c r="R39" s="32" t="n">
        <f aca="false">($G39*R$1)/$K39</f>
        <v>0.1835057583822</v>
      </c>
      <c r="S39" s="32" t="n">
        <f aca="false">($G39*S$1)/$K39</f>
        <v>0.189240313331644</v>
      </c>
      <c r="T39" s="32" t="n">
        <f aca="false">($G39*T$1)/$K39</f>
        <v>0.194974868281087</v>
      </c>
      <c r="U39" s="32" t="n">
        <f aca="false">($G39*U$1)/$K39</f>
        <v>0.200709423230531</v>
      </c>
      <c r="V39" s="33" t="n">
        <f aca="false">($H39*V$1)/$K39</f>
        <v>0.206443978179975</v>
      </c>
      <c r="W39" s="33" t="n">
        <f aca="false">($H39*W$1)/$K39</f>
        <v>0.212178533129419</v>
      </c>
      <c r="X39" s="33" t="n">
        <f aca="false">($H39*X$1)/$K39</f>
        <v>0.217913088078862</v>
      </c>
      <c r="Y39" s="33" t="n">
        <f aca="false">($H39*Y$1)/$K39</f>
        <v>0.223647643028306</v>
      </c>
      <c r="Z39" s="34" t="n">
        <f aca="false">($I39*Z$1)/$K39</f>
        <v>0.234691098988875</v>
      </c>
      <c r="AA39" s="34" t="n">
        <f aca="false">($I39*AA$1)/$K39</f>
        <v>0.240558376463597</v>
      </c>
      <c r="AB39" s="34" t="n">
        <f aca="false">($I39*AB$1)/$K39</f>
        <v>0.246425653938319</v>
      </c>
      <c r="AC39" s="34" t="n">
        <f aca="false">($I39*AC$1)/$K39</f>
        <v>0.252292931413041</v>
      </c>
      <c r="AD39" s="35" t="n">
        <f aca="false">($I39*AD$1)/$K39</f>
        <v>0.258160208887762</v>
      </c>
      <c r="AE39" s="35"/>
      <c r="AF39" s="0"/>
      <c r="AG39" s="0"/>
      <c r="AH39" s="0"/>
      <c r="AI39" s="0"/>
      <c r="AJ39" s="0"/>
      <c r="AK39" s="0"/>
      <c r="AL39" s="0"/>
    </row>
    <row r="40" customFormat="false" ht="15" hidden="false" customHeight="false" outlineLevel="0" collapsed="false">
      <c r="A40" s="0" t="s">
        <v>12</v>
      </c>
      <c r="B40" s="0" t="s">
        <v>132</v>
      </c>
      <c r="C40" s="16" t="s">
        <v>133</v>
      </c>
      <c r="D40" s="17" t="n">
        <v>1</v>
      </c>
      <c r="E40" s="0"/>
      <c r="F40" s="30" t="n">
        <f aca="false">G40</f>
        <v>0.1529214653185</v>
      </c>
      <c r="G40" s="44" t="n">
        <v>0.1529214653185</v>
      </c>
      <c r="H40" s="44" t="n">
        <v>0.1529214653185</v>
      </c>
      <c r="I40" s="44" t="n">
        <f aca="false">+(H40+J40)/2</f>
        <v>0.15646073265925</v>
      </c>
      <c r="J40" s="44" t="n">
        <v>0.16</v>
      </c>
      <c r="K40" s="31" t="n">
        <v>1</v>
      </c>
      <c r="L40" s="32"/>
      <c r="M40" s="32"/>
      <c r="N40" s="32"/>
      <c r="O40" s="32"/>
      <c r="P40" s="32"/>
      <c r="Q40" s="32"/>
      <c r="R40" s="32" t="n">
        <f aca="false">($G40*R$1)/$K40</f>
        <v>0.1835057583822</v>
      </c>
      <c r="S40" s="32" t="n">
        <f aca="false">($G40*S$1)/$K40</f>
        <v>0.189240313331644</v>
      </c>
      <c r="T40" s="32" t="n">
        <f aca="false">($G40*T$1)/$K40</f>
        <v>0.194974868281087</v>
      </c>
      <c r="U40" s="32" t="n">
        <f aca="false">($G40*U$1)/$K40</f>
        <v>0.200709423230531</v>
      </c>
      <c r="V40" s="33" t="n">
        <f aca="false">($H40*V$1)/$K40</f>
        <v>0.206443978179975</v>
      </c>
      <c r="W40" s="33" t="n">
        <f aca="false">($H40*W$1)/$K40</f>
        <v>0.212178533129419</v>
      </c>
      <c r="X40" s="33" t="n">
        <f aca="false">($H40*X$1)/$K40</f>
        <v>0.217913088078862</v>
      </c>
      <c r="Y40" s="33" t="n">
        <f aca="false">($H40*Y$1)/$K40</f>
        <v>0.223647643028306</v>
      </c>
      <c r="Z40" s="34" t="n">
        <f aca="false">($I40*Z$1)/$K40</f>
        <v>0.234691098988875</v>
      </c>
      <c r="AA40" s="34" t="n">
        <f aca="false">($I40*AA$1)/$K40</f>
        <v>0.240558376463597</v>
      </c>
      <c r="AB40" s="34" t="n">
        <f aca="false">($I40*AB$1)/$K40</f>
        <v>0.246425653938319</v>
      </c>
      <c r="AC40" s="34" t="n">
        <f aca="false">($I40*AC$1)/$K40</f>
        <v>0.252292931413041</v>
      </c>
      <c r="AD40" s="35" t="n">
        <f aca="false">($I40*AD$1)/$K40</f>
        <v>0.258160208887762</v>
      </c>
      <c r="AE40" s="35"/>
      <c r="AF40" s="0"/>
      <c r="AG40" s="0"/>
      <c r="AH40" s="0"/>
      <c r="AI40" s="0"/>
      <c r="AJ40" s="0"/>
      <c r="AK40" s="0"/>
      <c r="AL40" s="0"/>
    </row>
    <row r="41" customFormat="false" ht="15" hidden="false" customHeight="false" outlineLevel="0" collapsed="false">
      <c r="A41" s="0" t="s">
        <v>12</v>
      </c>
      <c r="B41" s="0" t="s">
        <v>113</v>
      </c>
      <c r="C41" s="16" t="s">
        <v>114</v>
      </c>
      <c r="D41" s="45" t="n">
        <v>2</v>
      </c>
      <c r="E41" s="45"/>
      <c r="F41" s="30" t="n">
        <f aca="false">G41</f>
        <v>0.1529214653185</v>
      </c>
      <c r="G41" s="44" t="n">
        <v>0.1529214653185</v>
      </c>
      <c r="H41" s="44" t="n">
        <v>0.1529214653185</v>
      </c>
      <c r="I41" s="44" t="n">
        <f aca="false">+(H41+J41)/2</f>
        <v>0.15646073265925</v>
      </c>
      <c r="J41" s="44" t="n">
        <v>0.16</v>
      </c>
      <c r="K41" s="31" t="n">
        <v>1</v>
      </c>
      <c r="L41" s="32"/>
      <c r="M41" s="32"/>
      <c r="N41" s="32" t="n">
        <f aca="false">($G41*N$1)/$K41</f>
        <v>0.160567538584425</v>
      </c>
      <c r="O41" s="32" t="n">
        <f aca="false">($G41*O$1)/$K41</f>
        <v>0.166302093533869</v>
      </c>
      <c r="P41" s="32" t="n">
        <f aca="false">($G41*P$1)/$K41</f>
        <v>0.172036648483312</v>
      </c>
      <c r="Q41" s="32" t="n">
        <f aca="false">($G41*Q$1)/$K41</f>
        <v>0.177771203432756</v>
      </c>
      <c r="R41" s="32" t="n">
        <f aca="false">($G41*R$1)/$K41</f>
        <v>0.1835057583822</v>
      </c>
      <c r="S41" s="32" t="n">
        <f aca="false">($G41*S$1)/$K41</f>
        <v>0.189240313331644</v>
      </c>
      <c r="T41" s="32" t="n">
        <f aca="false">($G41*T$1)/$K41</f>
        <v>0.194974868281087</v>
      </c>
      <c r="U41" s="32" t="n">
        <f aca="false">($G41*U$1)/$K41</f>
        <v>0.200709423230531</v>
      </c>
      <c r="V41" s="33" t="n">
        <f aca="false">($H41*V$1)/$K41</f>
        <v>0.206443978179975</v>
      </c>
      <c r="W41" s="33" t="n">
        <f aca="false">($H41*W$1)/$K41</f>
        <v>0.212178533129419</v>
      </c>
      <c r="X41" s="33" t="n">
        <f aca="false">($H41*X$1)/$K41</f>
        <v>0.217913088078862</v>
      </c>
      <c r="Y41" s="33" t="n">
        <f aca="false">($H41*Y$1)/$K41</f>
        <v>0.223647643028306</v>
      </c>
      <c r="Z41" s="0"/>
      <c r="AA41" s="0"/>
      <c r="AB41" s="0"/>
      <c r="AC41" s="0"/>
      <c r="AD41" s="0"/>
      <c r="AE41" s="0"/>
      <c r="AF41" s="0"/>
      <c r="AG41" s="0"/>
      <c r="AH41" s="0"/>
      <c r="AI41" s="0"/>
      <c r="AJ41" s="0"/>
      <c r="AK41" s="0"/>
      <c r="AL41" s="0"/>
    </row>
    <row r="42" customFormat="false" ht="15" hidden="false" customHeight="false" outlineLevel="0" collapsed="false">
      <c r="A42" s="0" t="s">
        <v>12</v>
      </c>
      <c r="B42" s="0" t="s">
        <v>115</v>
      </c>
      <c r="C42" s="16" t="s">
        <v>114</v>
      </c>
      <c r="D42" s="45" t="n">
        <v>2</v>
      </c>
      <c r="E42" s="45"/>
      <c r="F42" s="30" t="n">
        <f aca="false">G42</f>
        <v>0.1529214653185</v>
      </c>
      <c r="G42" s="44" t="n">
        <v>0.1529214653185</v>
      </c>
      <c r="H42" s="44" t="n">
        <v>0.1529214653185</v>
      </c>
      <c r="I42" s="44" t="n">
        <f aca="false">+(H42+J42)/2</f>
        <v>0.15646073265925</v>
      </c>
      <c r="J42" s="44" t="n">
        <v>0.16</v>
      </c>
      <c r="K42" s="31" t="n">
        <v>1</v>
      </c>
      <c r="L42" s="32"/>
      <c r="M42" s="32"/>
      <c r="N42" s="32" t="n">
        <f aca="false">($G42*N$1)/$K42</f>
        <v>0.160567538584425</v>
      </c>
      <c r="O42" s="32" t="n">
        <f aca="false">($G42*O$1)/$K42</f>
        <v>0.166302093533869</v>
      </c>
      <c r="P42" s="32" t="n">
        <f aca="false">($G42*P$1)/$K42</f>
        <v>0.172036648483312</v>
      </c>
      <c r="Q42" s="32" t="n">
        <f aca="false">($G42*Q$1)/$K42</f>
        <v>0.177771203432756</v>
      </c>
      <c r="R42" s="32" t="n">
        <f aca="false">($G42*R$1)/$K42</f>
        <v>0.1835057583822</v>
      </c>
      <c r="S42" s="32" t="n">
        <f aca="false">($G42*S$1)/$K42</f>
        <v>0.189240313331644</v>
      </c>
      <c r="T42" s="32" t="n">
        <f aca="false">($G42*T$1)/$K42</f>
        <v>0.194974868281087</v>
      </c>
      <c r="U42" s="32" t="n">
        <f aca="false">($G42*U$1)/$K42</f>
        <v>0.200709423230531</v>
      </c>
      <c r="V42" s="33" t="n">
        <f aca="false">($H42*V$1)/$K42</f>
        <v>0.206443978179975</v>
      </c>
      <c r="W42" s="33" t="n">
        <f aca="false">($H42*W$1)/$K42</f>
        <v>0.212178533129419</v>
      </c>
      <c r="X42" s="33" t="n">
        <f aca="false">($H42*X$1)/$K42</f>
        <v>0.217913088078862</v>
      </c>
      <c r="Y42" s="33" t="n">
        <f aca="false">($H42*Y$1)/$K42</f>
        <v>0.223647643028306</v>
      </c>
      <c r="Z42" s="0"/>
      <c r="AA42" s="0"/>
      <c r="AB42" s="0"/>
      <c r="AC42" s="0"/>
      <c r="AD42" s="0"/>
      <c r="AE42" s="0"/>
      <c r="AF42" s="0"/>
      <c r="AG42" s="0"/>
      <c r="AH42" s="0"/>
      <c r="AI42" s="0"/>
      <c r="AJ42" s="0"/>
      <c r="AK42" s="0"/>
      <c r="AL42" s="0"/>
    </row>
    <row r="43" customFormat="false" ht="15" hidden="false" customHeight="false" outlineLevel="0" collapsed="false">
      <c r="A43" s="0" t="s">
        <v>12</v>
      </c>
      <c r="B43" s="0" t="s">
        <v>116</v>
      </c>
      <c r="C43" s="16" t="s">
        <v>117</v>
      </c>
      <c r="D43" s="45" t="n">
        <v>2</v>
      </c>
      <c r="E43" s="45"/>
      <c r="F43" s="30" t="n">
        <f aca="false">G43</f>
        <v>0.1529214653185</v>
      </c>
      <c r="G43" s="44" t="n">
        <v>0.1529214653185</v>
      </c>
      <c r="H43" s="44" t="n">
        <v>0.1529214653185</v>
      </c>
      <c r="I43" s="44" t="n">
        <f aca="false">+(H43+J43)/2</f>
        <v>0.15646073265925</v>
      </c>
      <c r="J43" s="44" t="n">
        <v>0.16</v>
      </c>
      <c r="K43" s="31" t="n">
        <v>1</v>
      </c>
      <c r="L43" s="32"/>
      <c r="M43" s="32"/>
      <c r="N43" s="32" t="n">
        <f aca="false">($G43*N$1)/$K43</f>
        <v>0.160567538584425</v>
      </c>
      <c r="O43" s="32" t="n">
        <f aca="false">($G43*O$1)/$K43</f>
        <v>0.166302093533869</v>
      </c>
      <c r="P43" s="32" t="n">
        <f aca="false">($G43*P$1)/$K43</f>
        <v>0.172036648483312</v>
      </c>
      <c r="Q43" s="32" t="n">
        <f aca="false">($G43*Q$1)/$K43</f>
        <v>0.177771203432756</v>
      </c>
      <c r="R43" s="32" t="n">
        <f aca="false">($G43*R$1)/$K43</f>
        <v>0.1835057583822</v>
      </c>
      <c r="S43" s="32" t="n">
        <f aca="false">($G43*S$1)/$K43</f>
        <v>0.189240313331644</v>
      </c>
      <c r="T43" s="32" t="n">
        <f aca="false">($G43*T$1)/$K43</f>
        <v>0.194974868281087</v>
      </c>
      <c r="U43" s="32" t="n">
        <f aca="false">($G43*U$1)/$K43</f>
        <v>0.200709423230531</v>
      </c>
      <c r="V43" s="33" t="n">
        <f aca="false">($H43*V$1)/$K43</f>
        <v>0.206443978179975</v>
      </c>
      <c r="W43" s="33" t="n">
        <f aca="false">($H43*W$1)/$K43</f>
        <v>0.212178533129419</v>
      </c>
      <c r="X43" s="33" t="n">
        <f aca="false">($H43*X$1)/$K43</f>
        <v>0.217913088078862</v>
      </c>
      <c r="Y43" s="33" t="n">
        <f aca="false">($H43*Y$1)/$K43</f>
        <v>0.223647643028306</v>
      </c>
      <c r="Z43" s="0"/>
      <c r="AA43" s="0"/>
      <c r="AB43" s="0"/>
      <c r="AC43" s="0"/>
      <c r="AD43" s="0"/>
      <c r="AE43" s="0"/>
      <c r="AF43" s="0"/>
      <c r="AG43" s="0"/>
      <c r="AH43" s="0"/>
      <c r="AI43" s="0"/>
      <c r="AJ43" s="0"/>
      <c r="AK43" s="0"/>
      <c r="AL43" s="0"/>
    </row>
    <row r="44" customFormat="false" ht="15" hidden="false" customHeight="false" outlineLevel="0" collapsed="false">
      <c r="A44" s="0" t="s">
        <v>12</v>
      </c>
      <c r="B44" s="0" t="s">
        <v>118</v>
      </c>
      <c r="C44" s="16" t="s">
        <v>119</v>
      </c>
      <c r="D44" s="45" t="n">
        <v>2</v>
      </c>
      <c r="E44" s="45"/>
      <c r="F44" s="30" t="n">
        <f aca="false">G44</f>
        <v>0.1529214653185</v>
      </c>
      <c r="G44" s="44" t="n">
        <v>0.1529214653185</v>
      </c>
      <c r="H44" s="44" t="n">
        <v>0.1529214653185</v>
      </c>
      <c r="I44" s="44" t="n">
        <f aca="false">+(H44+J44)/2</f>
        <v>0.15646073265925</v>
      </c>
      <c r="J44" s="44" t="n">
        <v>0.16</v>
      </c>
      <c r="K44" s="31" t="n">
        <v>1</v>
      </c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3" t="n">
        <f aca="false">($H44*V$1)/$K44</f>
        <v>0.206443978179975</v>
      </c>
      <c r="W44" s="33" t="n">
        <f aca="false">($H44*W$1)/$K44</f>
        <v>0.212178533129419</v>
      </c>
      <c r="X44" s="33" t="n">
        <f aca="false">($H44*X$1)/$K44</f>
        <v>0.217913088078862</v>
      </c>
      <c r="Y44" s="33" t="n">
        <f aca="false">($H44*Y$1)/$K44</f>
        <v>0.223647643028306</v>
      </c>
      <c r="Z44" s="34" t="n">
        <f aca="false">($I44*Z$1)/$K44</f>
        <v>0.234691098988875</v>
      </c>
      <c r="AA44" s="34" t="n">
        <f aca="false">($I44*AA$1)/$K44</f>
        <v>0.240558376463597</v>
      </c>
      <c r="AB44" s="34" t="n">
        <f aca="false">($I44*AB$1)/$K44</f>
        <v>0.246425653938319</v>
      </c>
      <c r="AC44" s="34" t="n">
        <f aca="false">($I44*AC$1)/$K44</f>
        <v>0.252292931413041</v>
      </c>
      <c r="AD44" s="35" t="n">
        <f aca="false">($I44*AD$1)/$K44</f>
        <v>0.258160208887762</v>
      </c>
      <c r="AE44" s="35"/>
      <c r="AF44" s="0"/>
      <c r="AG44" s="0"/>
      <c r="AH44" s="0"/>
      <c r="AI44" s="0"/>
      <c r="AJ44" s="0"/>
      <c r="AK44" s="0"/>
      <c r="AL44" s="0"/>
    </row>
    <row r="45" s="46" customFormat="true" ht="15" hidden="false" customHeight="false" outlineLevel="0" collapsed="false">
      <c r="A45" s="46" t="s">
        <v>12</v>
      </c>
      <c r="B45" s="46" t="s">
        <v>120</v>
      </c>
      <c r="C45" s="16" t="s">
        <v>121</v>
      </c>
      <c r="D45" s="45" t="n">
        <v>2</v>
      </c>
      <c r="E45" s="45"/>
      <c r="F45" s="30" t="n">
        <f aca="false">G45</f>
        <v>0.1529214653185</v>
      </c>
      <c r="G45" s="44" t="n">
        <v>0.1529214653185</v>
      </c>
      <c r="H45" s="44" t="n">
        <v>0.1529214653185</v>
      </c>
      <c r="I45" s="44" t="n">
        <f aca="false">+(H45+J45)/2</f>
        <v>0.15646073265925</v>
      </c>
      <c r="J45" s="44" t="n">
        <v>0.16</v>
      </c>
      <c r="K45" s="31" t="n">
        <v>1</v>
      </c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3" t="n">
        <f aca="false">($H45*V$1)/$K45</f>
        <v>0.206443978179975</v>
      </c>
      <c r="W45" s="33" t="n">
        <f aca="false">($H45*W$1)/$K45</f>
        <v>0.212178533129419</v>
      </c>
      <c r="X45" s="33" t="n">
        <f aca="false">($H45*X$1)/$K45</f>
        <v>0.217913088078862</v>
      </c>
      <c r="Y45" s="33" t="n">
        <f aca="false">($H45*Y$1)/$K45</f>
        <v>0.223647643028306</v>
      </c>
      <c r="Z45" s="34" t="n">
        <f aca="false">($I45*Z$1)/$K45</f>
        <v>0.234691098988875</v>
      </c>
      <c r="AA45" s="34" t="n">
        <f aca="false">($I45*AA$1)/$K45</f>
        <v>0.240558376463597</v>
      </c>
      <c r="AB45" s="34" t="n">
        <f aca="false">($I45*AB$1)/$K45</f>
        <v>0.246425653938319</v>
      </c>
      <c r="AC45" s="34" t="n">
        <f aca="false">($I45*AC$1)/$K45</f>
        <v>0.252292931413041</v>
      </c>
      <c r="AD45" s="35" t="n">
        <f aca="false">($I45*AD$1)/$K45</f>
        <v>0.258160208887762</v>
      </c>
      <c r="AE45" s="35"/>
      <c r="AF45" s="18"/>
      <c r="AG45" s="18"/>
      <c r="AH45" s="18"/>
      <c r="AI45" s="18"/>
      <c r="AJ45" s="18"/>
      <c r="AK45" s="18"/>
      <c r="AL45" s="18"/>
    </row>
    <row r="46" s="46" customFormat="true" ht="15" hidden="false" customHeight="false" outlineLevel="0" collapsed="false">
      <c r="A46" s="46" t="s">
        <v>12</v>
      </c>
      <c r="B46" s="46" t="s">
        <v>122</v>
      </c>
      <c r="C46" s="16" t="s">
        <v>121</v>
      </c>
      <c r="D46" s="45" t="n">
        <v>2</v>
      </c>
      <c r="E46" s="45"/>
      <c r="F46" s="30" t="n">
        <f aca="false">G46</f>
        <v>0.1529214653185</v>
      </c>
      <c r="G46" s="44" t="n">
        <v>0.1529214653185</v>
      </c>
      <c r="H46" s="44" t="n">
        <v>0.1529214653185</v>
      </c>
      <c r="I46" s="44" t="n">
        <f aca="false">+(H46+J46)/2</f>
        <v>0.15646073265925</v>
      </c>
      <c r="J46" s="44" t="n">
        <v>0.16</v>
      </c>
      <c r="K46" s="31" t="n">
        <v>1</v>
      </c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3" t="n">
        <f aca="false">($H46*V$1)/$K46</f>
        <v>0.206443978179975</v>
      </c>
      <c r="W46" s="33" t="n">
        <f aca="false">($H46*W$1)/$K46</f>
        <v>0.212178533129419</v>
      </c>
      <c r="X46" s="33" t="n">
        <f aca="false">($H46*X$1)/$K46</f>
        <v>0.217913088078862</v>
      </c>
      <c r="Y46" s="33" t="n">
        <f aca="false">($H46*Y$1)/$K46</f>
        <v>0.223647643028306</v>
      </c>
      <c r="Z46" s="34" t="n">
        <f aca="false">($I46*Z$1)/$K46</f>
        <v>0.234691098988875</v>
      </c>
      <c r="AA46" s="34" t="n">
        <f aca="false">($I46*AA$1)/$K46</f>
        <v>0.240558376463597</v>
      </c>
      <c r="AB46" s="34" t="n">
        <f aca="false">($I46*AB$1)/$K46</f>
        <v>0.246425653938319</v>
      </c>
      <c r="AC46" s="34" t="n">
        <f aca="false">($I46*AC$1)/$K46</f>
        <v>0.252292931413041</v>
      </c>
      <c r="AD46" s="35" t="n">
        <f aca="false">($I46*AD$1)/$K46</f>
        <v>0.258160208887762</v>
      </c>
      <c r="AE46" s="35"/>
      <c r="AF46" s="18"/>
      <c r="AG46" s="18"/>
      <c r="AH46" s="18"/>
      <c r="AI46" s="18"/>
      <c r="AJ46" s="18"/>
      <c r="AK46" s="18"/>
      <c r="AL46" s="18"/>
    </row>
    <row r="47" s="46" customFormat="true" ht="15" hidden="false" customHeight="false" outlineLevel="0" collapsed="false">
      <c r="A47" s="46" t="s">
        <v>12</v>
      </c>
      <c r="B47" s="46" t="s">
        <v>123</v>
      </c>
      <c r="C47" s="16" t="s">
        <v>124</v>
      </c>
      <c r="D47" s="45" t="n">
        <v>2</v>
      </c>
      <c r="E47" s="45"/>
      <c r="F47" s="30" t="n">
        <f aca="false">G47</f>
        <v>0.1529214653185</v>
      </c>
      <c r="G47" s="44" t="n">
        <v>0.1529214653185</v>
      </c>
      <c r="H47" s="44" t="n">
        <v>0.1529214653185</v>
      </c>
      <c r="I47" s="44" t="n">
        <f aca="false">+(H47+J47)/2</f>
        <v>0.15646073265925</v>
      </c>
      <c r="J47" s="44" t="n">
        <v>0.16</v>
      </c>
      <c r="K47" s="31" t="n">
        <v>1</v>
      </c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3" t="n">
        <f aca="false">($H47*V$1)/$K47</f>
        <v>0.206443978179975</v>
      </c>
      <c r="W47" s="33" t="n">
        <f aca="false">($H47*W$1)/$K47</f>
        <v>0.212178533129419</v>
      </c>
      <c r="X47" s="33" t="n">
        <f aca="false">($H47*X$1)/$K47</f>
        <v>0.217913088078862</v>
      </c>
      <c r="Y47" s="33" t="n">
        <f aca="false">($H47*Y$1)/$K47</f>
        <v>0.223647643028306</v>
      </c>
      <c r="Z47" s="34" t="n">
        <f aca="false">($I47*Z$1)/$K47</f>
        <v>0.234691098988875</v>
      </c>
      <c r="AA47" s="34" t="n">
        <f aca="false">($I47*AA$1)/$K47</f>
        <v>0.240558376463597</v>
      </c>
      <c r="AB47" s="34" t="n">
        <f aca="false">($I47*AB$1)/$K47</f>
        <v>0.246425653938319</v>
      </c>
      <c r="AC47" s="34" t="n">
        <f aca="false">($I47*AC$1)/$K47</f>
        <v>0.252292931413041</v>
      </c>
      <c r="AD47" s="35" t="n">
        <f aca="false">($I47*AD$1)/$K47</f>
        <v>0.258160208887762</v>
      </c>
      <c r="AE47" s="35"/>
      <c r="AF47" s="18"/>
      <c r="AG47" s="18"/>
      <c r="AH47" s="18"/>
      <c r="AI47" s="18"/>
      <c r="AJ47" s="18"/>
      <c r="AK47" s="18"/>
      <c r="AL47" s="18"/>
    </row>
    <row r="48" s="46" customFormat="true" ht="15" hidden="false" customHeight="false" outlineLevel="0" collapsed="false">
      <c r="A48" s="46" t="s">
        <v>12</v>
      </c>
      <c r="B48" s="46" t="s">
        <v>125</v>
      </c>
      <c r="C48" s="16" t="s">
        <v>124</v>
      </c>
      <c r="D48" s="45" t="n">
        <v>2</v>
      </c>
      <c r="E48" s="45"/>
      <c r="F48" s="30" t="n">
        <f aca="false">G48</f>
        <v>0.1529214653185</v>
      </c>
      <c r="G48" s="44" t="n">
        <v>0.1529214653185</v>
      </c>
      <c r="H48" s="44" t="n">
        <v>0.1529214653185</v>
      </c>
      <c r="I48" s="44" t="n">
        <f aca="false">+(H48+J48)/2</f>
        <v>0.15646073265925</v>
      </c>
      <c r="J48" s="44" t="n">
        <v>0.16</v>
      </c>
      <c r="K48" s="31" t="n">
        <v>1</v>
      </c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3" t="n">
        <f aca="false">($H48*V$1)/$K48</f>
        <v>0.206443978179975</v>
      </c>
      <c r="W48" s="33" t="n">
        <f aca="false">($H48*W$1)/$K48</f>
        <v>0.212178533129419</v>
      </c>
      <c r="X48" s="33" t="n">
        <f aca="false">($H48*X$1)/$K48</f>
        <v>0.217913088078862</v>
      </c>
      <c r="Y48" s="33" t="n">
        <f aca="false">($H48*Y$1)/$K48</f>
        <v>0.223647643028306</v>
      </c>
      <c r="Z48" s="34" t="n">
        <f aca="false">($I48*Z$1)/$K48</f>
        <v>0.234691098988875</v>
      </c>
      <c r="AA48" s="34" t="n">
        <f aca="false">($I48*AA$1)/$K48</f>
        <v>0.240558376463597</v>
      </c>
      <c r="AB48" s="34" t="n">
        <f aca="false">($I48*AB$1)/$K48</f>
        <v>0.246425653938319</v>
      </c>
      <c r="AC48" s="34" t="n">
        <f aca="false">($I48*AC$1)/$K48</f>
        <v>0.252292931413041</v>
      </c>
      <c r="AD48" s="35" t="n">
        <f aca="false">($I48*AD$1)/$K48</f>
        <v>0.258160208887762</v>
      </c>
      <c r="AE48" s="35"/>
      <c r="AF48" s="18"/>
      <c r="AG48" s="18"/>
      <c r="AH48" s="18"/>
      <c r="AI48" s="18"/>
      <c r="AJ48" s="18"/>
      <c r="AK48" s="18"/>
      <c r="AL48" s="18"/>
    </row>
    <row r="49" s="46" customFormat="true" ht="15" hidden="false" customHeight="false" outlineLevel="0" collapsed="false">
      <c r="A49" s="46" t="s">
        <v>12</v>
      </c>
      <c r="B49" s="46" t="s">
        <v>126</v>
      </c>
      <c r="C49" s="16" t="s">
        <v>127</v>
      </c>
      <c r="D49" s="45" t="n">
        <v>2</v>
      </c>
      <c r="E49" s="45"/>
      <c r="F49" s="30" t="n">
        <f aca="false">G49</f>
        <v>0.1529214653185</v>
      </c>
      <c r="G49" s="44" t="n">
        <v>0.1529214653185</v>
      </c>
      <c r="H49" s="44" t="n">
        <v>0.1529214653185</v>
      </c>
      <c r="I49" s="44" t="n">
        <f aca="false">+(H49+J49)/2</f>
        <v>0.15646073265925</v>
      </c>
      <c r="J49" s="44" t="n">
        <v>0.16</v>
      </c>
      <c r="K49" s="31" t="n">
        <v>1</v>
      </c>
      <c r="L49" s="32"/>
      <c r="M49" s="32"/>
      <c r="N49" s="32"/>
      <c r="O49" s="32"/>
      <c r="P49" s="32"/>
      <c r="Q49" s="32"/>
      <c r="R49" s="32" t="n">
        <f aca="false">($G49*R$1)/$K49</f>
        <v>0.1835057583822</v>
      </c>
      <c r="S49" s="32" t="n">
        <f aca="false">($G49*S$1)/$K49</f>
        <v>0.189240313331644</v>
      </c>
      <c r="T49" s="32" t="n">
        <f aca="false">($G49*T$1)/$K49</f>
        <v>0.194974868281087</v>
      </c>
      <c r="U49" s="32" t="n">
        <f aca="false">($G49*U$1)/$K49</f>
        <v>0.200709423230531</v>
      </c>
      <c r="V49" s="33" t="n">
        <f aca="false">($H49*V$1)/$K49</f>
        <v>0.206443978179975</v>
      </c>
      <c r="W49" s="33" t="n">
        <f aca="false">($H49*W$1)/$K49</f>
        <v>0.212178533129419</v>
      </c>
      <c r="X49" s="33" t="n">
        <f aca="false">($H49*X$1)/$K49</f>
        <v>0.217913088078862</v>
      </c>
      <c r="Y49" s="33" t="n">
        <f aca="false">($H49*Y$1)/$K49</f>
        <v>0.223647643028306</v>
      </c>
      <c r="Z49" s="34" t="n">
        <f aca="false">($I49*Z$1)/$K49</f>
        <v>0.234691098988875</v>
      </c>
      <c r="AA49" s="34" t="n">
        <f aca="false">($I49*AA$1)/$K49</f>
        <v>0.240558376463597</v>
      </c>
      <c r="AB49" s="34" t="n">
        <f aca="false">($I49*AB$1)/$K49</f>
        <v>0.246425653938319</v>
      </c>
      <c r="AC49" s="34" t="n">
        <f aca="false">($I49*AC$1)/$K49</f>
        <v>0.252292931413041</v>
      </c>
      <c r="AD49" s="35" t="n">
        <f aca="false">($I49*AD$1)/$K49</f>
        <v>0.258160208887762</v>
      </c>
      <c r="AE49" s="35"/>
      <c r="AF49" s="18"/>
      <c r="AG49" s="18"/>
      <c r="AH49" s="18"/>
      <c r="AI49" s="18"/>
      <c r="AJ49" s="18"/>
      <c r="AK49" s="18"/>
      <c r="AL49" s="18"/>
    </row>
    <row r="50" s="46" customFormat="true" ht="15" hidden="false" customHeight="false" outlineLevel="0" collapsed="false">
      <c r="A50" s="46" t="s">
        <v>12</v>
      </c>
      <c r="B50" s="46" t="s">
        <v>128</v>
      </c>
      <c r="C50" s="16" t="s">
        <v>129</v>
      </c>
      <c r="D50" s="45" t="n">
        <v>2</v>
      </c>
      <c r="E50" s="45"/>
      <c r="F50" s="30" t="n">
        <f aca="false">G50</f>
        <v>0.1529214653185</v>
      </c>
      <c r="G50" s="44" t="n">
        <v>0.1529214653185</v>
      </c>
      <c r="H50" s="44" t="n">
        <v>0.1529214653185</v>
      </c>
      <c r="I50" s="44" t="n">
        <f aca="false">+(H50+J50)/2</f>
        <v>0.15646073265925</v>
      </c>
      <c r="J50" s="44" t="n">
        <v>0.16</v>
      </c>
      <c r="K50" s="31" t="n">
        <v>1</v>
      </c>
      <c r="L50" s="32"/>
      <c r="M50" s="32"/>
      <c r="N50" s="32"/>
      <c r="O50" s="32"/>
      <c r="P50" s="32"/>
      <c r="Q50" s="32"/>
      <c r="R50" s="32" t="n">
        <f aca="false">($G50*R$1)/$K50</f>
        <v>0.1835057583822</v>
      </c>
      <c r="S50" s="32" t="n">
        <f aca="false">($G50*S$1)/$K50</f>
        <v>0.189240313331644</v>
      </c>
      <c r="T50" s="32" t="n">
        <f aca="false">($G50*T$1)/$K50</f>
        <v>0.194974868281087</v>
      </c>
      <c r="U50" s="32" t="n">
        <f aca="false">($G50*U$1)/$K50</f>
        <v>0.200709423230531</v>
      </c>
      <c r="V50" s="33"/>
      <c r="W50" s="33"/>
      <c r="X50" s="33"/>
      <c r="Y50" s="33"/>
      <c r="Z50" s="34"/>
      <c r="AA50" s="34"/>
      <c r="AB50" s="34"/>
      <c r="AC50" s="34"/>
      <c r="AD50" s="35"/>
      <c r="AE50" s="35"/>
      <c r="AF50" s="18"/>
      <c r="AG50" s="18"/>
      <c r="AH50" s="18"/>
      <c r="AI50" s="18"/>
      <c r="AJ50" s="18"/>
      <c r="AK50" s="18"/>
      <c r="AL50" s="18"/>
    </row>
    <row r="51" s="46" customFormat="true" ht="15" hidden="false" customHeight="false" outlineLevel="0" collapsed="false">
      <c r="A51" s="46" t="s">
        <v>12</v>
      </c>
      <c r="B51" s="46" t="s">
        <v>130</v>
      </c>
      <c r="C51" s="16" t="s">
        <v>131</v>
      </c>
      <c r="D51" s="45" t="n">
        <v>2</v>
      </c>
      <c r="E51" s="45"/>
      <c r="F51" s="30" t="n">
        <f aca="false">G51</f>
        <v>0.1529214653185</v>
      </c>
      <c r="G51" s="44" t="n">
        <v>0.1529214653185</v>
      </c>
      <c r="H51" s="44" t="n">
        <v>0.1529214653185</v>
      </c>
      <c r="I51" s="44" t="n">
        <f aca="false">+(H51+J51)/2</f>
        <v>0.15646073265925</v>
      </c>
      <c r="J51" s="44" t="n">
        <v>0.16</v>
      </c>
      <c r="K51" s="31" t="n">
        <v>1</v>
      </c>
      <c r="L51" s="32"/>
      <c r="M51" s="32"/>
      <c r="N51" s="32"/>
      <c r="O51" s="32"/>
      <c r="P51" s="32"/>
      <c r="Q51" s="32"/>
      <c r="R51" s="32" t="n">
        <f aca="false">($G51*R$1)/$K51</f>
        <v>0.1835057583822</v>
      </c>
      <c r="S51" s="32" t="n">
        <f aca="false">($G51*S$1)/$K51</f>
        <v>0.189240313331644</v>
      </c>
      <c r="T51" s="32" t="n">
        <f aca="false">($G51*T$1)/$K51</f>
        <v>0.194974868281087</v>
      </c>
      <c r="U51" s="32" t="n">
        <f aca="false">($G51*U$1)/$K51</f>
        <v>0.200709423230531</v>
      </c>
      <c r="V51" s="33" t="n">
        <f aca="false">($H51*V$1)/$K51</f>
        <v>0.206443978179975</v>
      </c>
      <c r="W51" s="33" t="n">
        <f aca="false">($H51*W$1)/$K51</f>
        <v>0.212178533129419</v>
      </c>
      <c r="X51" s="33" t="n">
        <f aca="false">($H51*X$1)/$K51</f>
        <v>0.217913088078862</v>
      </c>
      <c r="Y51" s="33" t="n">
        <f aca="false">($H51*Y$1)/$K51</f>
        <v>0.223647643028306</v>
      </c>
      <c r="Z51" s="34" t="n">
        <f aca="false">($I51*Z$1)/$K51</f>
        <v>0.234691098988875</v>
      </c>
      <c r="AA51" s="34" t="n">
        <f aca="false">($I51*AA$1)/$K51</f>
        <v>0.240558376463597</v>
      </c>
      <c r="AB51" s="34" t="n">
        <f aca="false">($I51*AB$1)/$K51</f>
        <v>0.246425653938319</v>
      </c>
      <c r="AC51" s="34" t="n">
        <f aca="false">($I51*AC$1)/$K51</f>
        <v>0.252292931413041</v>
      </c>
      <c r="AD51" s="35" t="n">
        <f aca="false">($I51*AD$1)/$K51</f>
        <v>0.258160208887762</v>
      </c>
      <c r="AE51" s="35"/>
      <c r="AF51" s="18"/>
      <c r="AG51" s="18"/>
      <c r="AH51" s="18"/>
      <c r="AI51" s="18"/>
      <c r="AJ51" s="18"/>
      <c r="AK51" s="18"/>
      <c r="AL51" s="18"/>
    </row>
    <row r="52" s="46" customFormat="true" ht="15" hidden="false" customHeight="false" outlineLevel="0" collapsed="false">
      <c r="A52" s="46" t="s">
        <v>12</v>
      </c>
      <c r="B52" s="46" t="s">
        <v>132</v>
      </c>
      <c r="C52" s="16" t="s">
        <v>133</v>
      </c>
      <c r="D52" s="45" t="n">
        <v>2</v>
      </c>
      <c r="E52" s="45"/>
      <c r="F52" s="30" t="n">
        <f aca="false">G52</f>
        <v>0.1529214653185</v>
      </c>
      <c r="G52" s="44" t="n">
        <v>0.1529214653185</v>
      </c>
      <c r="H52" s="44" t="n">
        <v>0.1529214653185</v>
      </c>
      <c r="I52" s="44" t="n">
        <f aca="false">+(H52+J52)/2</f>
        <v>0.15646073265925</v>
      </c>
      <c r="J52" s="44" t="n">
        <v>0.16</v>
      </c>
      <c r="K52" s="31" t="n">
        <v>1</v>
      </c>
      <c r="L52" s="32"/>
      <c r="M52" s="32"/>
      <c r="N52" s="32"/>
      <c r="O52" s="32"/>
      <c r="P52" s="32"/>
      <c r="Q52" s="32"/>
      <c r="R52" s="32" t="n">
        <f aca="false">($G52*R$1)/$K52</f>
        <v>0.1835057583822</v>
      </c>
      <c r="S52" s="32" t="n">
        <f aca="false">($G52*S$1)/$K52</f>
        <v>0.189240313331644</v>
      </c>
      <c r="T52" s="32" t="n">
        <f aca="false">($G52*T$1)/$K52</f>
        <v>0.194974868281087</v>
      </c>
      <c r="U52" s="32" t="n">
        <f aca="false">($G52*U$1)/$K52</f>
        <v>0.200709423230531</v>
      </c>
      <c r="V52" s="33" t="n">
        <f aca="false">($H52*V$1)/$K52</f>
        <v>0.206443978179975</v>
      </c>
      <c r="W52" s="33" t="n">
        <f aca="false">($H52*W$1)/$K52</f>
        <v>0.212178533129419</v>
      </c>
      <c r="X52" s="33" t="n">
        <f aca="false">($H52*X$1)/$K52</f>
        <v>0.217913088078862</v>
      </c>
      <c r="Y52" s="33" t="n">
        <f aca="false">($H52*Y$1)/$K52</f>
        <v>0.223647643028306</v>
      </c>
      <c r="Z52" s="34" t="n">
        <f aca="false">($I52*Z$1)/$K52</f>
        <v>0.234691098988875</v>
      </c>
      <c r="AA52" s="34" t="n">
        <f aca="false">($I52*AA$1)/$K52</f>
        <v>0.240558376463597</v>
      </c>
      <c r="AB52" s="34" t="n">
        <f aca="false">($I52*AB$1)/$K52</f>
        <v>0.246425653938319</v>
      </c>
      <c r="AC52" s="34" t="n">
        <f aca="false">($I52*AC$1)/$K52</f>
        <v>0.252292931413041</v>
      </c>
      <c r="AD52" s="35" t="n">
        <f aca="false">($I52*AD$1)/$K52</f>
        <v>0.258160208887762</v>
      </c>
      <c r="AE52" s="35"/>
      <c r="AF52" s="18"/>
      <c r="AG52" s="18"/>
      <c r="AH52" s="18"/>
      <c r="AI52" s="18"/>
      <c r="AJ52" s="18"/>
      <c r="AK52" s="18"/>
      <c r="AL52" s="18"/>
    </row>
    <row r="53" customFormat="false" ht="15" hidden="false" customHeight="false" outlineLevel="0" collapsed="false">
      <c r="A53" s="46" t="s">
        <v>12</v>
      </c>
      <c r="B53" s="46" t="s">
        <v>113</v>
      </c>
      <c r="C53" s="16" t="s">
        <v>114</v>
      </c>
      <c r="D53" s="45" t="n">
        <v>4</v>
      </c>
      <c r="E53" s="45"/>
      <c r="F53" s="30" t="n">
        <f aca="false">G53</f>
        <v>0.1529214653185</v>
      </c>
      <c r="G53" s="44" t="n">
        <v>0.1529214653185</v>
      </c>
      <c r="H53" s="44" t="n">
        <v>0.1529214653185</v>
      </c>
      <c r="I53" s="44" t="n">
        <f aca="false">+(H53+J53)/2</f>
        <v>0.15646073265925</v>
      </c>
      <c r="J53" s="44" t="n">
        <v>0.16</v>
      </c>
      <c r="K53" s="31" t="n">
        <v>1</v>
      </c>
      <c r="L53" s="32"/>
      <c r="M53" s="32"/>
      <c r="N53" s="32" t="n">
        <f aca="false">($G53*N$1)/$K53</f>
        <v>0.160567538584425</v>
      </c>
      <c r="O53" s="32" t="n">
        <f aca="false">($G53*O$1)/$K53</f>
        <v>0.166302093533869</v>
      </c>
      <c r="P53" s="32" t="n">
        <f aca="false">($G53*P$1)/$K53</f>
        <v>0.172036648483312</v>
      </c>
      <c r="Q53" s="32" t="n">
        <f aca="false">($G53*Q$1)/$K53</f>
        <v>0.177771203432756</v>
      </c>
      <c r="R53" s="32" t="n">
        <f aca="false">($G53*R$1)/$K53</f>
        <v>0.1835057583822</v>
      </c>
      <c r="S53" s="32" t="n">
        <f aca="false">($G53*S$1)/$K53</f>
        <v>0.189240313331644</v>
      </c>
      <c r="T53" s="32" t="n">
        <f aca="false">($G53*T$1)/$K53</f>
        <v>0.194974868281087</v>
      </c>
      <c r="U53" s="32" t="n">
        <f aca="false">($G53*U$1)/$K53</f>
        <v>0.200709423230531</v>
      </c>
      <c r="V53" s="33" t="n">
        <f aca="false">($H53*V$1)/$K53</f>
        <v>0.206443978179975</v>
      </c>
      <c r="W53" s="33" t="n">
        <f aca="false">($H53*W$1)/$K53</f>
        <v>0.212178533129419</v>
      </c>
      <c r="X53" s="33" t="n">
        <f aca="false">($H53*X$1)/$K53</f>
        <v>0.217913088078862</v>
      </c>
      <c r="Y53" s="33" t="n">
        <f aca="false">($H53*Y$1)/$K53</f>
        <v>0.223647643028306</v>
      </c>
    </row>
    <row r="54" customFormat="false" ht="15" hidden="false" customHeight="false" outlineLevel="0" collapsed="false">
      <c r="A54" s="46" t="s">
        <v>12</v>
      </c>
      <c r="B54" s="46" t="s">
        <v>115</v>
      </c>
      <c r="C54" s="16" t="s">
        <v>114</v>
      </c>
      <c r="D54" s="45" t="n">
        <v>4</v>
      </c>
      <c r="E54" s="45"/>
      <c r="F54" s="30" t="n">
        <f aca="false">G54</f>
        <v>0.1529214653185</v>
      </c>
      <c r="G54" s="44" t="n">
        <v>0.1529214653185</v>
      </c>
      <c r="H54" s="44" t="n">
        <v>0.1529214653185</v>
      </c>
      <c r="I54" s="44" t="n">
        <f aca="false">+(H54+J54)/2</f>
        <v>0.15646073265925</v>
      </c>
      <c r="J54" s="44" t="n">
        <v>0.16</v>
      </c>
      <c r="K54" s="31" t="n">
        <v>1</v>
      </c>
      <c r="L54" s="32"/>
      <c r="M54" s="32"/>
      <c r="N54" s="32" t="n">
        <f aca="false">($G54*N$1)/$K54</f>
        <v>0.160567538584425</v>
      </c>
      <c r="O54" s="32" t="n">
        <f aca="false">($G54*O$1)/$K54</f>
        <v>0.166302093533869</v>
      </c>
      <c r="P54" s="32" t="n">
        <f aca="false">($G54*P$1)/$K54</f>
        <v>0.172036648483312</v>
      </c>
      <c r="Q54" s="32" t="n">
        <f aca="false">($G54*Q$1)/$K54</f>
        <v>0.177771203432756</v>
      </c>
      <c r="R54" s="32" t="n">
        <f aca="false">($G54*R$1)/$K54</f>
        <v>0.1835057583822</v>
      </c>
      <c r="S54" s="32" t="n">
        <f aca="false">($G54*S$1)/$K54</f>
        <v>0.189240313331644</v>
      </c>
      <c r="T54" s="32" t="n">
        <f aca="false">($G54*T$1)/$K54</f>
        <v>0.194974868281087</v>
      </c>
      <c r="U54" s="32" t="n">
        <f aca="false">($G54*U$1)/$K54</f>
        <v>0.200709423230531</v>
      </c>
      <c r="V54" s="33" t="n">
        <f aca="false">($H54*V$1)/$K54</f>
        <v>0.206443978179975</v>
      </c>
      <c r="W54" s="33" t="n">
        <f aca="false">($H54*W$1)/$K54</f>
        <v>0.212178533129419</v>
      </c>
      <c r="X54" s="33" t="n">
        <f aca="false">($H54*X$1)/$K54</f>
        <v>0.217913088078862</v>
      </c>
      <c r="Y54" s="33" t="n">
        <f aca="false">($H54*Y$1)/$K54</f>
        <v>0.223647643028306</v>
      </c>
    </row>
    <row r="55" customFormat="false" ht="15" hidden="false" customHeight="false" outlineLevel="0" collapsed="false">
      <c r="A55" s="46" t="s">
        <v>12</v>
      </c>
      <c r="B55" s="46" t="s">
        <v>116</v>
      </c>
      <c r="C55" s="16" t="s">
        <v>117</v>
      </c>
      <c r="D55" s="45" t="n">
        <v>4</v>
      </c>
      <c r="E55" s="45"/>
      <c r="F55" s="30" t="n">
        <f aca="false">G55</f>
        <v>0.1529214653185</v>
      </c>
      <c r="G55" s="44" t="n">
        <v>0.1529214653185</v>
      </c>
      <c r="H55" s="44" t="n">
        <v>0.1529214653185</v>
      </c>
      <c r="I55" s="44" t="n">
        <f aca="false">+(H55+J55)/2</f>
        <v>0.15646073265925</v>
      </c>
      <c r="J55" s="44" t="n">
        <v>0.16</v>
      </c>
      <c r="K55" s="31" t="n">
        <v>1</v>
      </c>
      <c r="L55" s="32"/>
      <c r="M55" s="32"/>
      <c r="N55" s="32" t="n">
        <f aca="false">($G55*N$1)/$K55</f>
        <v>0.160567538584425</v>
      </c>
      <c r="O55" s="32" t="n">
        <f aca="false">($G55*O$1)/$K55</f>
        <v>0.166302093533869</v>
      </c>
      <c r="P55" s="32" t="n">
        <f aca="false">($G55*P$1)/$K55</f>
        <v>0.172036648483312</v>
      </c>
      <c r="Q55" s="32" t="n">
        <f aca="false">($G55*Q$1)/$K55</f>
        <v>0.177771203432756</v>
      </c>
      <c r="R55" s="32" t="n">
        <f aca="false">($G55*R$1)/$K55</f>
        <v>0.1835057583822</v>
      </c>
      <c r="S55" s="32" t="n">
        <f aca="false">($G55*S$1)/$K55</f>
        <v>0.189240313331644</v>
      </c>
      <c r="T55" s="32" t="n">
        <f aca="false">($G55*T$1)/$K55</f>
        <v>0.194974868281087</v>
      </c>
      <c r="U55" s="32" t="n">
        <f aca="false">($G55*U$1)/$K55</f>
        <v>0.200709423230531</v>
      </c>
      <c r="V55" s="33" t="n">
        <f aca="false">($H55*V$1)/$K55</f>
        <v>0.206443978179975</v>
      </c>
      <c r="W55" s="33" t="n">
        <f aca="false">($H55*W$1)/$K55</f>
        <v>0.212178533129419</v>
      </c>
      <c r="X55" s="33" t="n">
        <f aca="false">($H55*X$1)/$K55</f>
        <v>0.217913088078862</v>
      </c>
      <c r="Y55" s="33" t="n">
        <f aca="false">($H55*Y$1)/$K55</f>
        <v>0.223647643028306</v>
      </c>
    </row>
    <row r="56" customFormat="false" ht="15" hidden="false" customHeight="false" outlineLevel="0" collapsed="false">
      <c r="A56" s="46" t="s">
        <v>12</v>
      </c>
      <c r="B56" s="46" t="s">
        <v>118</v>
      </c>
      <c r="C56" s="16" t="s">
        <v>119</v>
      </c>
      <c r="D56" s="45" t="n">
        <v>4</v>
      </c>
      <c r="E56" s="45"/>
      <c r="F56" s="30" t="n">
        <f aca="false">G56</f>
        <v>0.1529214653185</v>
      </c>
      <c r="G56" s="44" t="n">
        <v>0.1529214653185</v>
      </c>
      <c r="H56" s="44" t="n">
        <v>0.1529214653185</v>
      </c>
      <c r="I56" s="44" t="n">
        <f aca="false">+(H56+J56)/2</f>
        <v>0.15646073265925</v>
      </c>
      <c r="J56" s="44" t="n">
        <v>0.16</v>
      </c>
      <c r="K56" s="31" t="n">
        <v>1</v>
      </c>
      <c r="L56" s="32"/>
      <c r="M56" s="32"/>
      <c r="N56" s="32"/>
      <c r="O56" s="32"/>
      <c r="P56" s="32"/>
      <c r="Q56" s="32"/>
      <c r="R56" s="32"/>
      <c r="S56" s="32" t="n">
        <f aca="false">($G56*S$1)/$K56</f>
        <v>0.189240313331644</v>
      </c>
      <c r="T56" s="32" t="n">
        <f aca="false">($G56*T$1)/$K56</f>
        <v>0.194974868281087</v>
      </c>
      <c r="U56" s="32" t="n">
        <f aca="false">($G56*U$1)/$K56</f>
        <v>0.200709423230531</v>
      </c>
      <c r="V56" s="33" t="n">
        <f aca="false">($H56*V$1)/$K56</f>
        <v>0.206443978179975</v>
      </c>
      <c r="W56" s="33" t="n">
        <f aca="false">($H56*W$1)/$K56</f>
        <v>0.212178533129419</v>
      </c>
      <c r="X56" s="33" t="n">
        <f aca="false">($H56*X$1)/$K56</f>
        <v>0.217913088078862</v>
      </c>
      <c r="Y56" s="33" t="n">
        <f aca="false">($H56*Y$1)/$K56</f>
        <v>0.223647643028306</v>
      </c>
      <c r="Z56" s="34" t="n">
        <f aca="false">($I56*Z$1)/$K56</f>
        <v>0.234691098988875</v>
      </c>
      <c r="AA56" s="34" t="n">
        <f aca="false">($I56*AA$1)/$K56</f>
        <v>0.240558376463597</v>
      </c>
      <c r="AB56" s="34" t="n">
        <f aca="false">($I56*AB$1)/$K56</f>
        <v>0.246425653938319</v>
      </c>
      <c r="AC56" s="34" t="n">
        <f aca="false">($I56*AC$1)/$K56</f>
        <v>0.252292931413041</v>
      </c>
      <c r="AD56" s="35" t="n">
        <f aca="false">($I56*AD$1)/$K56</f>
        <v>0.258160208887762</v>
      </c>
      <c r="AE56" s="35"/>
    </row>
    <row r="57" customFormat="false" ht="15" hidden="false" customHeight="false" outlineLevel="0" collapsed="false">
      <c r="A57" s="46" t="s">
        <v>12</v>
      </c>
      <c r="B57" s="46" t="s">
        <v>120</v>
      </c>
      <c r="C57" s="16" t="s">
        <v>121</v>
      </c>
      <c r="D57" s="45" t="n">
        <v>4</v>
      </c>
      <c r="E57" s="45"/>
      <c r="F57" s="30" t="n">
        <f aca="false">G57</f>
        <v>0.1529214653185</v>
      </c>
      <c r="G57" s="44" t="n">
        <v>0.1529214653185</v>
      </c>
      <c r="H57" s="44" t="n">
        <v>0.1529214653185</v>
      </c>
      <c r="I57" s="44" t="n">
        <f aca="false">+(H57+J57)/2</f>
        <v>0.15646073265925</v>
      </c>
      <c r="J57" s="44" t="n">
        <v>0.16</v>
      </c>
      <c r="K57" s="31" t="n">
        <v>1</v>
      </c>
      <c r="L57" s="32"/>
      <c r="M57" s="32"/>
      <c r="N57" s="32"/>
      <c r="O57" s="32"/>
      <c r="P57" s="32"/>
      <c r="Q57" s="32"/>
      <c r="R57" s="32"/>
      <c r="S57" s="32" t="n">
        <f aca="false">($G57*S$1)/$K57</f>
        <v>0.189240313331644</v>
      </c>
      <c r="T57" s="32" t="n">
        <f aca="false">($G57*T$1)/$K57</f>
        <v>0.194974868281087</v>
      </c>
      <c r="U57" s="32" t="n">
        <f aca="false">($G57*U$1)/$K57</f>
        <v>0.200709423230531</v>
      </c>
      <c r="V57" s="33" t="n">
        <f aca="false">($H57*V$1)/$K57</f>
        <v>0.206443978179975</v>
      </c>
      <c r="W57" s="33" t="n">
        <f aca="false">($H57*W$1)/$K57</f>
        <v>0.212178533129419</v>
      </c>
      <c r="X57" s="33" t="n">
        <f aca="false">($H57*X$1)/$K57</f>
        <v>0.217913088078862</v>
      </c>
      <c r="Y57" s="33" t="n">
        <f aca="false">($H57*Y$1)/$K57</f>
        <v>0.223647643028306</v>
      </c>
      <c r="Z57" s="34" t="n">
        <f aca="false">($I57*Z$1)/$K57</f>
        <v>0.234691098988875</v>
      </c>
      <c r="AA57" s="34" t="n">
        <f aca="false">($I57*AA$1)/$K57</f>
        <v>0.240558376463597</v>
      </c>
      <c r="AB57" s="34" t="n">
        <f aca="false">($I57*AB$1)/$K57</f>
        <v>0.246425653938319</v>
      </c>
      <c r="AC57" s="34" t="n">
        <f aca="false">($I57*AC$1)/$K57</f>
        <v>0.252292931413041</v>
      </c>
      <c r="AD57" s="35" t="n">
        <f aca="false">($I57*AD$1)/$K57</f>
        <v>0.258160208887762</v>
      </c>
      <c r="AE57" s="35"/>
    </row>
    <row r="58" customFormat="false" ht="15" hidden="false" customHeight="false" outlineLevel="0" collapsed="false">
      <c r="A58" s="46" t="s">
        <v>12</v>
      </c>
      <c r="B58" s="46" t="s">
        <v>122</v>
      </c>
      <c r="C58" s="16" t="s">
        <v>121</v>
      </c>
      <c r="D58" s="45" t="n">
        <v>4</v>
      </c>
      <c r="E58" s="45"/>
      <c r="F58" s="30" t="n">
        <f aca="false">G58</f>
        <v>0.1529214653185</v>
      </c>
      <c r="G58" s="44" t="n">
        <v>0.1529214653185</v>
      </c>
      <c r="H58" s="44" t="n">
        <v>0.1529214653185</v>
      </c>
      <c r="I58" s="44" t="n">
        <f aca="false">+(H58+J58)/2</f>
        <v>0.15646073265925</v>
      </c>
      <c r="J58" s="44" t="n">
        <v>0.16</v>
      </c>
      <c r="K58" s="31" t="n">
        <v>1</v>
      </c>
      <c r="L58" s="32"/>
      <c r="M58" s="32"/>
      <c r="N58" s="32"/>
      <c r="O58" s="32"/>
      <c r="P58" s="32"/>
      <c r="Q58" s="32"/>
      <c r="R58" s="32"/>
      <c r="S58" s="32" t="n">
        <f aca="false">($G58*S$1)/$K58</f>
        <v>0.189240313331644</v>
      </c>
      <c r="T58" s="32" t="n">
        <f aca="false">($G58*T$1)/$K58</f>
        <v>0.194974868281087</v>
      </c>
      <c r="U58" s="32" t="n">
        <f aca="false">($G58*U$1)/$K58</f>
        <v>0.200709423230531</v>
      </c>
      <c r="V58" s="33" t="n">
        <f aca="false">($H58*V$1)/$K58</f>
        <v>0.206443978179975</v>
      </c>
      <c r="W58" s="33" t="n">
        <f aca="false">($H58*W$1)/$K58</f>
        <v>0.212178533129419</v>
      </c>
      <c r="X58" s="33" t="n">
        <f aca="false">($H58*X$1)/$K58</f>
        <v>0.217913088078862</v>
      </c>
      <c r="Y58" s="33" t="n">
        <f aca="false">($H58*Y$1)/$K58</f>
        <v>0.223647643028306</v>
      </c>
      <c r="Z58" s="34" t="n">
        <f aca="false">($I58*Z$1)/$K58</f>
        <v>0.234691098988875</v>
      </c>
      <c r="AA58" s="34" t="n">
        <f aca="false">($I58*AA$1)/$K58</f>
        <v>0.240558376463597</v>
      </c>
      <c r="AB58" s="34" t="n">
        <f aca="false">($I58*AB$1)/$K58</f>
        <v>0.246425653938319</v>
      </c>
      <c r="AC58" s="34" t="n">
        <f aca="false">($I58*AC$1)/$K58</f>
        <v>0.252292931413041</v>
      </c>
      <c r="AD58" s="35" t="n">
        <f aca="false">($I58*AD$1)/$K58</f>
        <v>0.258160208887762</v>
      </c>
      <c r="AE58" s="35"/>
    </row>
    <row r="59" customFormat="false" ht="15" hidden="false" customHeight="false" outlineLevel="0" collapsed="false">
      <c r="A59" s="46" t="s">
        <v>12</v>
      </c>
      <c r="B59" s="46" t="s">
        <v>123</v>
      </c>
      <c r="C59" s="16" t="s">
        <v>124</v>
      </c>
      <c r="D59" s="45" t="n">
        <v>4</v>
      </c>
      <c r="E59" s="45"/>
      <c r="F59" s="30" t="n">
        <f aca="false">G59</f>
        <v>0.1529214653185</v>
      </c>
      <c r="G59" s="44" t="n">
        <v>0.1529214653185</v>
      </c>
      <c r="H59" s="44" t="n">
        <v>0.1529214653185</v>
      </c>
      <c r="I59" s="44" t="n">
        <f aca="false">+(H59+J59)/2</f>
        <v>0.15646073265925</v>
      </c>
      <c r="J59" s="44" t="n">
        <v>0.16</v>
      </c>
      <c r="K59" s="31" t="n">
        <v>1</v>
      </c>
      <c r="L59" s="32"/>
      <c r="M59" s="32"/>
      <c r="N59" s="32"/>
      <c r="O59" s="32"/>
      <c r="P59" s="32"/>
      <c r="Q59" s="32"/>
      <c r="R59" s="32"/>
      <c r="S59" s="32" t="n">
        <f aca="false">($G59*S$1)/$K59</f>
        <v>0.189240313331644</v>
      </c>
      <c r="T59" s="32" t="n">
        <f aca="false">($G59*T$1)/$K59</f>
        <v>0.194974868281087</v>
      </c>
      <c r="U59" s="32" t="n">
        <f aca="false">($G59*U$1)/$K59</f>
        <v>0.200709423230531</v>
      </c>
      <c r="V59" s="33" t="n">
        <f aca="false">($H59*V$1)/$K59</f>
        <v>0.206443978179975</v>
      </c>
      <c r="W59" s="33" t="n">
        <f aca="false">($H59*W$1)/$K59</f>
        <v>0.212178533129419</v>
      </c>
      <c r="X59" s="33" t="n">
        <f aca="false">($H59*X$1)/$K59</f>
        <v>0.217913088078862</v>
      </c>
      <c r="Y59" s="33" t="n">
        <f aca="false">($H59*Y$1)/$K59</f>
        <v>0.223647643028306</v>
      </c>
      <c r="Z59" s="34" t="n">
        <f aca="false">($I59*Z$1)/$K59</f>
        <v>0.234691098988875</v>
      </c>
      <c r="AA59" s="34" t="n">
        <f aca="false">($I59*AA$1)/$K59</f>
        <v>0.240558376463597</v>
      </c>
      <c r="AB59" s="34" t="n">
        <f aca="false">($I59*AB$1)/$K59</f>
        <v>0.246425653938319</v>
      </c>
      <c r="AC59" s="34" t="n">
        <f aca="false">($I59*AC$1)/$K59</f>
        <v>0.252292931413041</v>
      </c>
      <c r="AD59" s="35" t="n">
        <f aca="false">($I59*AD$1)/$K59</f>
        <v>0.258160208887762</v>
      </c>
      <c r="AE59" s="35"/>
    </row>
    <row r="60" customFormat="false" ht="15" hidden="false" customHeight="false" outlineLevel="0" collapsed="false">
      <c r="A60" s="46" t="s">
        <v>12</v>
      </c>
      <c r="B60" s="46" t="s">
        <v>125</v>
      </c>
      <c r="C60" s="16" t="s">
        <v>124</v>
      </c>
      <c r="D60" s="45" t="n">
        <v>4</v>
      </c>
      <c r="E60" s="45"/>
      <c r="F60" s="30" t="n">
        <f aca="false">G60</f>
        <v>0.1529214653185</v>
      </c>
      <c r="G60" s="44" t="n">
        <v>0.1529214653185</v>
      </c>
      <c r="H60" s="44" t="n">
        <v>0.1529214653185</v>
      </c>
      <c r="I60" s="44" t="n">
        <f aca="false">+(H60+J60)/2</f>
        <v>0.15646073265925</v>
      </c>
      <c r="J60" s="44" t="n">
        <v>0.16</v>
      </c>
      <c r="K60" s="31" t="n">
        <v>1</v>
      </c>
      <c r="L60" s="32"/>
      <c r="M60" s="32"/>
      <c r="N60" s="32"/>
      <c r="O60" s="32"/>
      <c r="P60" s="32"/>
      <c r="Q60" s="32"/>
      <c r="R60" s="32"/>
      <c r="S60" s="32" t="n">
        <f aca="false">($G60*S$1)/$K60</f>
        <v>0.189240313331644</v>
      </c>
      <c r="T60" s="32" t="n">
        <f aca="false">($G60*T$1)/$K60</f>
        <v>0.194974868281087</v>
      </c>
      <c r="U60" s="32" t="n">
        <f aca="false">($G60*U$1)/$K60</f>
        <v>0.200709423230531</v>
      </c>
      <c r="V60" s="33" t="n">
        <f aca="false">($H60*V$1)/$K60</f>
        <v>0.206443978179975</v>
      </c>
      <c r="W60" s="33" t="n">
        <f aca="false">($H60*W$1)/$K60</f>
        <v>0.212178533129419</v>
      </c>
      <c r="X60" s="33" t="n">
        <f aca="false">($H60*X$1)/$K60</f>
        <v>0.217913088078862</v>
      </c>
      <c r="Y60" s="33" t="n">
        <f aca="false">($H60*Y$1)/$K60</f>
        <v>0.223647643028306</v>
      </c>
      <c r="Z60" s="34" t="n">
        <f aca="false">($I60*Z$1)/$K60</f>
        <v>0.234691098988875</v>
      </c>
      <c r="AA60" s="34" t="n">
        <f aca="false">($I60*AA$1)/$K60</f>
        <v>0.240558376463597</v>
      </c>
      <c r="AB60" s="34" t="n">
        <f aca="false">($I60*AB$1)/$K60</f>
        <v>0.246425653938319</v>
      </c>
      <c r="AC60" s="34" t="n">
        <f aca="false">($I60*AC$1)/$K60</f>
        <v>0.252292931413041</v>
      </c>
      <c r="AD60" s="35" t="n">
        <f aca="false">($I60*AD$1)/$K60</f>
        <v>0.258160208887762</v>
      </c>
      <c r="AE60" s="35"/>
    </row>
    <row r="61" customFormat="false" ht="15" hidden="false" customHeight="false" outlineLevel="0" collapsed="false">
      <c r="A61" s="46" t="s">
        <v>12</v>
      </c>
      <c r="B61" s="46" t="s">
        <v>126</v>
      </c>
      <c r="C61" s="16" t="s">
        <v>127</v>
      </c>
      <c r="D61" s="45" t="n">
        <v>4</v>
      </c>
      <c r="E61" s="45"/>
      <c r="F61" s="30" t="n">
        <f aca="false">G61</f>
        <v>0.1529214653185</v>
      </c>
      <c r="G61" s="44" t="n">
        <v>0.1529214653185</v>
      </c>
      <c r="H61" s="44" t="n">
        <v>0.1529214653185</v>
      </c>
      <c r="I61" s="44" t="n">
        <f aca="false">+(H61+J61)/2</f>
        <v>0.15646073265925</v>
      </c>
      <c r="J61" s="44" t="n">
        <v>0.16</v>
      </c>
      <c r="K61" s="31" t="n">
        <v>1</v>
      </c>
      <c r="L61" s="32"/>
      <c r="M61" s="32"/>
      <c r="N61" s="32"/>
      <c r="O61" s="32"/>
      <c r="P61" s="32"/>
      <c r="Q61" s="32"/>
      <c r="R61" s="32" t="n">
        <f aca="false">($G61*R$1)/$K61</f>
        <v>0.1835057583822</v>
      </c>
      <c r="S61" s="32" t="n">
        <f aca="false">($G61*S$1)/$K61</f>
        <v>0.189240313331644</v>
      </c>
      <c r="T61" s="32" t="n">
        <f aca="false">($G61*T$1)/$K61</f>
        <v>0.194974868281087</v>
      </c>
      <c r="U61" s="32" t="n">
        <f aca="false">($G61*U$1)/$K61</f>
        <v>0.200709423230531</v>
      </c>
      <c r="V61" s="33" t="n">
        <f aca="false">($H61*V$1)/$K61</f>
        <v>0.206443978179975</v>
      </c>
      <c r="W61" s="33" t="n">
        <f aca="false">($H61*W$1)/$K61</f>
        <v>0.212178533129419</v>
      </c>
      <c r="X61" s="33" t="n">
        <f aca="false">($H61*X$1)/$K61</f>
        <v>0.217913088078862</v>
      </c>
      <c r="Y61" s="33" t="n">
        <f aca="false">($H61*Y$1)/$K61</f>
        <v>0.223647643028306</v>
      </c>
      <c r="Z61" s="34" t="n">
        <f aca="false">($I61*Z$1)/$K61</f>
        <v>0.234691098988875</v>
      </c>
      <c r="AA61" s="34" t="n">
        <f aca="false">($I61*AA$1)/$K61</f>
        <v>0.240558376463597</v>
      </c>
      <c r="AB61" s="34" t="n">
        <f aca="false">($I61*AB$1)/$K61</f>
        <v>0.246425653938319</v>
      </c>
      <c r="AC61" s="34" t="n">
        <f aca="false">($I61*AC$1)/$K61</f>
        <v>0.252292931413041</v>
      </c>
      <c r="AD61" s="35" t="n">
        <f aca="false">($I61*AD$1)/$K61</f>
        <v>0.258160208887762</v>
      </c>
      <c r="AE61" s="35"/>
    </row>
    <row r="62" customFormat="false" ht="15" hidden="false" customHeight="false" outlineLevel="0" collapsed="false">
      <c r="A62" s="46" t="s">
        <v>12</v>
      </c>
      <c r="B62" s="46" t="s">
        <v>128</v>
      </c>
      <c r="C62" s="16" t="s">
        <v>129</v>
      </c>
      <c r="D62" s="45" t="n">
        <v>4</v>
      </c>
      <c r="E62" s="45"/>
      <c r="F62" s="30" t="n">
        <f aca="false">G62</f>
        <v>0.1529214653185</v>
      </c>
      <c r="G62" s="44" t="n">
        <v>0.1529214653185</v>
      </c>
      <c r="H62" s="44" t="n">
        <v>0.1529214653185</v>
      </c>
      <c r="I62" s="44" t="n">
        <f aca="false">+(H62+J62)/2</f>
        <v>0.15646073265925</v>
      </c>
      <c r="J62" s="44" t="n">
        <v>0.16</v>
      </c>
      <c r="K62" s="31" t="n">
        <v>1</v>
      </c>
      <c r="L62" s="32"/>
      <c r="M62" s="32"/>
      <c r="N62" s="32"/>
      <c r="O62" s="32"/>
      <c r="P62" s="32"/>
      <c r="Q62" s="32"/>
      <c r="R62" s="32" t="n">
        <f aca="false">($G62*R$1)/$K62</f>
        <v>0.1835057583822</v>
      </c>
      <c r="S62" s="32" t="n">
        <f aca="false">($G62*S$1)/$K62</f>
        <v>0.189240313331644</v>
      </c>
      <c r="T62" s="32" t="n">
        <f aca="false">($G62*T$1)/$K62</f>
        <v>0.194974868281087</v>
      </c>
      <c r="U62" s="32" t="n">
        <f aca="false">($G62*U$1)/$K62</f>
        <v>0.200709423230531</v>
      </c>
      <c r="V62" s="33"/>
      <c r="W62" s="33"/>
      <c r="X62" s="33"/>
      <c r="Y62" s="33"/>
      <c r="Z62" s="34"/>
      <c r="AA62" s="34"/>
      <c r="AB62" s="34"/>
      <c r="AC62" s="34"/>
      <c r="AD62" s="35"/>
      <c r="AE62" s="35"/>
    </row>
    <row r="63" customFormat="false" ht="15" hidden="false" customHeight="false" outlineLevel="0" collapsed="false">
      <c r="A63" s="46" t="s">
        <v>12</v>
      </c>
      <c r="B63" s="46" t="s">
        <v>130</v>
      </c>
      <c r="C63" s="16" t="s">
        <v>131</v>
      </c>
      <c r="D63" s="45" t="n">
        <v>4</v>
      </c>
      <c r="E63" s="45"/>
      <c r="F63" s="30" t="n">
        <f aca="false">G63</f>
        <v>0.1529214653185</v>
      </c>
      <c r="G63" s="44" t="n">
        <v>0.1529214653185</v>
      </c>
      <c r="H63" s="44" t="n">
        <v>0.1529214653185</v>
      </c>
      <c r="I63" s="44" t="n">
        <f aca="false">+(H63+J63)/2</f>
        <v>0.15646073265925</v>
      </c>
      <c r="J63" s="44" t="n">
        <v>0.16</v>
      </c>
      <c r="K63" s="31" t="n">
        <v>1</v>
      </c>
      <c r="L63" s="32"/>
      <c r="M63" s="32"/>
      <c r="N63" s="32"/>
      <c r="O63" s="32"/>
      <c r="P63" s="32"/>
      <c r="Q63" s="32"/>
      <c r="R63" s="32" t="n">
        <f aca="false">($G63*R$1)/$K63</f>
        <v>0.1835057583822</v>
      </c>
      <c r="S63" s="32" t="n">
        <f aca="false">($G63*S$1)/$K63</f>
        <v>0.189240313331644</v>
      </c>
      <c r="T63" s="32" t="n">
        <f aca="false">($G63*T$1)/$K63</f>
        <v>0.194974868281087</v>
      </c>
      <c r="U63" s="32" t="n">
        <f aca="false">($G63*U$1)/$K63</f>
        <v>0.200709423230531</v>
      </c>
      <c r="V63" s="33" t="n">
        <f aca="false">($H63*V$1)/$K63</f>
        <v>0.206443978179975</v>
      </c>
      <c r="W63" s="33" t="n">
        <f aca="false">($H63*W$1)/$K63</f>
        <v>0.212178533129419</v>
      </c>
      <c r="X63" s="33" t="n">
        <f aca="false">($H63*X$1)/$K63</f>
        <v>0.217913088078862</v>
      </c>
      <c r="Y63" s="33" t="n">
        <f aca="false">($H63*Y$1)/$K63</f>
        <v>0.223647643028306</v>
      </c>
      <c r="Z63" s="34" t="n">
        <f aca="false">($I63*Z$1)/$K63</f>
        <v>0.234691098988875</v>
      </c>
      <c r="AA63" s="34" t="n">
        <f aca="false">($I63*AA$1)/$K63</f>
        <v>0.240558376463597</v>
      </c>
      <c r="AB63" s="34" t="n">
        <f aca="false">($I63*AB$1)/$K63</f>
        <v>0.246425653938319</v>
      </c>
      <c r="AC63" s="34" t="n">
        <f aca="false">($I63*AC$1)/$K63</f>
        <v>0.252292931413041</v>
      </c>
      <c r="AD63" s="35" t="n">
        <f aca="false">($I63*AD$1)/$K63</f>
        <v>0.258160208887762</v>
      </c>
      <c r="AE63" s="35"/>
    </row>
    <row r="64" customFormat="false" ht="15" hidden="false" customHeight="false" outlineLevel="0" collapsed="false">
      <c r="A64" s="46" t="s">
        <v>12</v>
      </c>
      <c r="B64" s="46" t="s">
        <v>132</v>
      </c>
      <c r="C64" s="16" t="s">
        <v>133</v>
      </c>
      <c r="D64" s="45" t="n">
        <v>4</v>
      </c>
      <c r="E64" s="45"/>
      <c r="F64" s="30" t="n">
        <f aca="false">G64</f>
        <v>0.1529214653185</v>
      </c>
      <c r="G64" s="44" t="n">
        <v>0.1529214653185</v>
      </c>
      <c r="H64" s="44" t="n">
        <v>0.1529214653185</v>
      </c>
      <c r="I64" s="44" t="n">
        <f aca="false">+(H64+J64)/2</f>
        <v>0.15646073265925</v>
      </c>
      <c r="J64" s="44" t="n">
        <v>0.16</v>
      </c>
      <c r="K64" s="31" t="n">
        <v>1</v>
      </c>
      <c r="L64" s="32"/>
      <c r="M64" s="32"/>
      <c r="N64" s="32"/>
      <c r="O64" s="32"/>
      <c r="P64" s="32"/>
      <c r="Q64" s="32"/>
      <c r="R64" s="32" t="n">
        <f aca="false">($G64*R$1)/$K64</f>
        <v>0.1835057583822</v>
      </c>
      <c r="S64" s="32" t="n">
        <f aca="false">($G64*S$1)/$K64</f>
        <v>0.189240313331644</v>
      </c>
      <c r="T64" s="32" t="n">
        <f aca="false">($G64*T$1)/$K64</f>
        <v>0.194974868281087</v>
      </c>
      <c r="U64" s="32" t="n">
        <f aca="false">($G64*U$1)/$K64</f>
        <v>0.200709423230531</v>
      </c>
      <c r="V64" s="33" t="n">
        <f aca="false">($H64*V$1)/$K64</f>
        <v>0.206443978179975</v>
      </c>
      <c r="W64" s="33" t="n">
        <f aca="false">($H64*W$1)/$K64</f>
        <v>0.212178533129419</v>
      </c>
      <c r="X64" s="33" t="n">
        <f aca="false">($H64*X$1)/$K64</f>
        <v>0.217913088078862</v>
      </c>
      <c r="Y64" s="33" t="n">
        <f aca="false">($H64*Y$1)/$K64</f>
        <v>0.223647643028306</v>
      </c>
      <c r="Z64" s="34" t="n">
        <f aca="false">($I64*Z$1)/$K64</f>
        <v>0.234691098988875</v>
      </c>
      <c r="AA64" s="34" t="n">
        <f aca="false">($I64*AA$1)/$K64</f>
        <v>0.240558376463597</v>
      </c>
      <c r="AB64" s="34" t="n">
        <f aca="false">($I64*AB$1)/$K64</f>
        <v>0.246425653938319</v>
      </c>
      <c r="AC64" s="34" t="n">
        <f aca="false">($I64*AC$1)/$K64</f>
        <v>0.252292931413041</v>
      </c>
      <c r="AD64" s="35" t="n">
        <f aca="false">($I64*AD$1)/$K64</f>
        <v>0.258160208887762</v>
      </c>
      <c r="AE64" s="35"/>
    </row>
    <row r="65" customFormat="false" ht="15" hidden="false" customHeight="false" outlineLevel="0" collapsed="false">
      <c r="A65" s="46" t="s">
        <v>45</v>
      </c>
      <c r="B65" s="46" t="s">
        <v>134</v>
      </c>
      <c r="C65" s="16" t="s">
        <v>135</v>
      </c>
      <c r="D65" s="45" t="n">
        <v>25</v>
      </c>
      <c r="E65" s="45"/>
      <c r="F65" s="30" t="n">
        <f aca="false">G65</f>
        <v>0.364</v>
      </c>
      <c r="G65" s="44" t="n">
        <v>0.364</v>
      </c>
      <c r="H65" s="44" t="n">
        <v>0.364</v>
      </c>
      <c r="I65" s="44" t="n">
        <f aca="false">+(H65+J65)/2</f>
        <v>0.387</v>
      </c>
      <c r="J65" s="44" t="n">
        <v>0.41</v>
      </c>
      <c r="K65" s="31" t="n">
        <v>1</v>
      </c>
      <c r="L65" s="32"/>
      <c r="M65" s="32"/>
      <c r="N65" s="32"/>
      <c r="O65" s="32"/>
      <c r="P65" s="32"/>
      <c r="Q65" s="32"/>
      <c r="R65" s="32" t="n">
        <f aca="false">($G65*R$1)/$K65</f>
        <v>0.4368</v>
      </c>
      <c r="S65" s="32" t="n">
        <f aca="false">($G65*S$1)/$K65</f>
        <v>0.45045</v>
      </c>
      <c r="T65" s="32" t="n">
        <f aca="false">($G65*T$1)/$K65</f>
        <v>0.4641</v>
      </c>
      <c r="U65" s="32" t="n">
        <f aca="false">($G65*U$1)/$K65</f>
        <v>0.47775</v>
      </c>
      <c r="V65" s="33" t="n">
        <f aca="false">($H65*V$1)/$K65</f>
        <v>0.4914</v>
      </c>
      <c r="W65" s="33" t="n">
        <f aca="false">($H65*W$1)/$K65</f>
        <v>0.50505</v>
      </c>
      <c r="X65" s="33" t="n">
        <f aca="false">($H65*X$1)/$K65</f>
        <v>0.5187</v>
      </c>
      <c r="Y65" s="33" t="n">
        <f aca="false">($H65*Y$1)/$K65</f>
        <v>0.53235</v>
      </c>
      <c r="Z65" s="34" t="n">
        <f aca="false">($I65*Z$1)/$K65</f>
        <v>0.5805</v>
      </c>
      <c r="AA65" s="34" t="n">
        <f aca="false">($I65*AA$1)/$K65</f>
        <v>0.5950125</v>
      </c>
      <c r="AB65" s="34" t="n">
        <f aca="false">($I65*AB$1)/$K65</f>
        <v>0.609525</v>
      </c>
      <c r="AC65" s="34" t="n">
        <f aca="false">($I65*AC$1)/$K65</f>
        <v>0.6240375</v>
      </c>
      <c r="AD65" s="35" t="n">
        <f aca="false">($I65*AD$1)/$K65</f>
        <v>0.63855</v>
      </c>
      <c r="AE65" s="35" t="n">
        <f aca="false">($I65*AE$1)/$K65</f>
        <v>0.6530625</v>
      </c>
    </row>
    <row r="66" customFormat="false" ht="15" hidden="false" customHeight="false" outlineLevel="0" collapsed="false">
      <c r="A66" s="46" t="s">
        <v>45</v>
      </c>
      <c r="B66" s="46" t="s">
        <v>136</v>
      </c>
      <c r="C66" s="16" t="s">
        <v>137</v>
      </c>
      <c r="D66" s="45" t="n">
        <v>25</v>
      </c>
      <c r="E66" s="45"/>
      <c r="F66" s="30" t="n">
        <f aca="false">G66</f>
        <v>0.364</v>
      </c>
      <c r="G66" s="44" t="n">
        <v>0.364</v>
      </c>
      <c r="H66" s="44" t="n">
        <v>0.364</v>
      </c>
      <c r="I66" s="44" t="n">
        <f aca="false">+(H66+J66)/2</f>
        <v>0.387</v>
      </c>
      <c r="J66" s="44" t="n">
        <v>0.41</v>
      </c>
      <c r="K66" s="31" t="n">
        <v>1</v>
      </c>
      <c r="L66" s="32"/>
      <c r="M66" s="32"/>
      <c r="N66" s="32"/>
      <c r="O66" s="32"/>
      <c r="P66" s="32"/>
      <c r="Q66" s="32"/>
      <c r="R66" s="32"/>
      <c r="S66" s="32" t="n">
        <f aca="false">($G66*S$1)/$K66</f>
        <v>0.45045</v>
      </c>
      <c r="T66" s="32" t="n">
        <f aca="false">($G66*T$1)/$K66</f>
        <v>0.4641</v>
      </c>
      <c r="U66" s="32" t="n">
        <f aca="false">($G66*U$1)/$K66</f>
        <v>0.47775</v>
      </c>
      <c r="V66" s="33" t="n">
        <f aca="false">($H66*V$1)/$K66</f>
        <v>0.4914</v>
      </c>
      <c r="W66" s="33" t="n">
        <f aca="false">($H66*W$1)/$K66</f>
        <v>0.50505</v>
      </c>
      <c r="X66" s="33" t="n">
        <f aca="false">($H66*X$1)/$K66</f>
        <v>0.5187</v>
      </c>
      <c r="Y66" s="33" t="n">
        <f aca="false">($H66*Y$1)/$K66</f>
        <v>0.53235</v>
      </c>
      <c r="Z66" s="34"/>
      <c r="AA66" s="34"/>
      <c r="AB66" s="34"/>
      <c r="AC66" s="34"/>
      <c r="AD66" s="35"/>
      <c r="AE66" s="35"/>
    </row>
    <row r="67" customFormat="false" ht="15" hidden="false" customHeight="false" outlineLevel="0" collapsed="false">
      <c r="A67" s="46" t="s">
        <v>45</v>
      </c>
      <c r="B67" s="46" t="s">
        <v>138</v>
      </c>
      <c r="C67" s="16" t="s">
        <v>137</v>
      </c>
      <c r="D67" s="45" t="n">
        <v>25</v>
      </c>
      <c r="E67" s="45"/>
      <c r="F67" s="30" t="n">
        <f aca="false">G67</f>
        <v>0.364</v>
      </c>
      <c r="G67" s="44" t="n">
        <v>0.364</v>
      </c>
      <c r="H67" s="44" t="n">
        <v>0.364</v>
      </c>
      <c r="I67" s="44" t="n">
        <f aca="false">+(H67+J67)/2</f>
        <v>0.387</v>
      </c>
      <c r="J67" s="44" t="n">
        <v>0.41</v>
      </c>
      <c r="K67" s="31" t="n">
        <v>1</v>
      </c>
      <c r="L67" s="32"/>
      <c r="M67" s="32"/>
      <c r="N67" s="32"/>
      <c r="O67" s="32"/>
      <c r="P67" s="32"/>
      <c r="Q67" s="32"/>
      <c r="R67" s="32"/>
      <c r="S67" s="32" t="n">
        <f aca="false">($G67*S$1)/$K67</f>
        <v>0.45045</v>
      </c>
      <c r="T67" s="32" t="n">
        <f aca="false">($G67*T$1)/$K67</f>
        <v>0.4641</v>
      </c>
      <c r="U67" s="32" t="n">
        <f aca="false">($G67*U$1)/$K67</f>
        <v>0.47775</v>
      </c>
      <c r="V67" s="33" t="n">
        <f aca="false">($H67*V$1)/$K67</f>
        <v>0.4914</v>
      </c>
      <c r="W67" s="33" t="n">
        <f aca="false">($H67*W$1)/$K67</f>
        <v>0.50505</v>
      </c>
      <c r="X67" s="33" t="n">
        <f aca="false">($H67*X$1)/$K67</f>
        <v>0.5187</v>
      </c>
      <c r="Y67" s="33" t="n">
        <f aca="false">($H67*Y$1)/$K67</f>
        <v>0.53235</v>
      </c>
      <c r="Z67" s="34"/>
      <c r="AA67" s="34"/>
      <c r="AB67" s="34"/>
      <c r="AC67" s="34"/>
      <c r="AD67" s="35"/>
      <c r="AE67" s="35"/>
    </row>
    <row r="68" customFormat="false" ht="15" hidden="false" customHeight="false" outlineLevel="0" collapsed="false">
      <c r="A68" s="46" t="s">
        <v>45</v>
      </c>
      <c r="B68" s="46" t="s">
        <v>139</v>
      </c>
      <c r="C68" s="16" t="s">
        <v>140</v>
      </c>
      <c r="D68" s="45" t="n">
        <v>25</v>
      </c>
      <c r="E68" s="45"/>
      <c r="F68" s="30" t="n">
        <f aca="false">G68</f>
        <v>0.364</v>
      </c>
      <c r="G68" s="44" t="n">
        <v>0.364</v>
      </c>
      <c r="H68" s="44" t="n">
        <v>0.364</v>
      </c>
      <c r="I68" s="44" t="n">
        <f aca="false">+(H68+J68)/2</f>
        <v>0.387</v>
      </c>
      <c r="J68" s="44" t="n">
        <v>0.41</v>
      </c>
      <c r="K68" s="31" t="n">
        <v>1</v>
      </c>
      <c r="L68" s="32"/>
      <c r="M68" s="32"/>
      <c r="N68" s="32"/>
      <c r="O68" s="32"/>
      <c r="P68" s="32"/>
      <c r="Q68" s="32"/>
      <c r="R68" s="32"/>
      <c r="S68" s="32" t="n">
        <f aca="false">($G68*S$1)/$K68</f>
        <v>0.45045</v>
      </c>
      <c r="T68" s="32" t="n">
        <f aca="false">($G68*T$1)/$K68</f>
        <v>0.4641</v>
      </c>
      <c r="U68" s="32" t="n">
        <f aca="false">($G68*U$1)/$K68</f>
        <v>0.47775</v>
      </c>
      <c r="V68" s="33" t="n">
        <f aca="false">($H68*V$1)/$K68</f>
        <v>0.4914</v>
      </c>
      <c r="W68" s="33" t="n">
        <f aca="false">($H68*W$1)/$K68</f>
        <v>0.50505</v>
      </c>
      <c r="X68" s="33" t="n">
        <f aca="false">($H68*X$1)/$K68</f>
        <v>0.5187</v>
      </c>
      <c r="Y68" s="33" t="n">
        <f aca="false">($H68*Y$1)/$K68</f>
        <v>0.53235</v>
      </c>
      <c r="Z68" s="34"/>
      <c r="AA68" s="34"/>
      <c r="AB68" s="34"/>
      <c r="AC68" s="34"/>
      <c r="AD68" s="35"/>
      <c r="AE68" s="35"/>
    </row>
    <row r="69" customFormat="false" ht="15" hidden="false" customHeight="false" outlineLevel="0" collapsed="false">
      <c r="A69" s="46" t="s">
        <v>45</v>
      </c>
      <c r="B69" s="46" t="s">
        <v>141</v>
      </c>
      <c r="C69" s="16" t="s">
        <v>142</v>
      </c>
      <c r="D69" s="45" t="n">
        <v>25</v>
      </c>
      <c r="E69" s="45"/>
      <c r="F69" s="30" t="n">
        <f aca="false">G69</f>
        <v>0.364</v>
      </c>
      <c r="G69" s="44" t="n">
        <v>0.364</v>
      </c>
      <c r="H69" s="44" t="n">
        <v>0.364</v>
      </c>
      <c r="I69" s="44" t="n">
        <f aca="false">+(H69+J69)/2</f>
        <v>0.387</v>
      </c>
      <c r="J69" s="44" t="n">
        <v>0.41</v>
      </c>
      <c r="K69" s="31" t="n">
        <v>1</v>
      </c>
      <c r="L69" s="32"/>
      <c r="M69" s="32"/>
      <c r="N69" s="32"/>
      <c r="O69" s="32"/>
      <c r="P69" s="32"/>
      <c r="Q69" s="32"/>
      <c r="R69" s="32"/>
      <c r="S69" s="32" t="n">
        <f aca="false">($G69*S$1)/$K69</f>
        <v>0.45045</v>
      </c>
      <c r="T69" s="32" t="n">
        <f aca="false">($G69*T$1)/$K69</f>
        <v>0.4641</v>
      </c>
      <c r="U69" s="32" t="n">
        <f aca="false">($G69*U$1)/$K69</f>
        <v>0.47775</v>
      </c>
      <c r="V69" s="33" t="n">
        <f aca="false">($H69*V$1)/$K69</f>
        <v>0.4914</v>
      </c>
      <c r="W69" s="33" t="n">
        <f aca="false">($H69*W$1)/$K69</f>
        <v>0.50505</v>
      </c>
      <c r="X69" s="33" t="n">
        <f aca="false">($H69*X$1)/$K69</f>
        <v>0.5187</v>
      </c>
      <c r="Y69" s="33" t="n">
        <f aca="false">($H69*Y$1)/$K69</f>
        <v>0.53235</v>
      </c>
      <c r="Z69" s="34"/>
      <c r="AA69" s="34"/>
      <c r="AB69" s="34"/>
      <c r="AC69" s="34"/>
      <c r="AD69" s="35"/>
      <c r="AE69" s="35"/>
    </row>
    <row r="70" customFormat="false" ht="15" hidden="false" customHeight="false" outlineLevel="0" collapsed="false">
      <c r="A70" s="46" t="s">
        <v>45</v>
      </c>
      <c r="B70" s="46" t="s">
        <v>143</v>
      </c>
      <c r="C70" s="16" t="s">
        <v>144</v>
      </c>
      <c r="D70" s="45" t="n">
        <v>25</v>
      </c>
      <c r="E70" s="45"/>
      <c r="F70" s="30" t="n">
        <f aca="false">G70</f>
        <v>0.364</v>
      </c>
      <c r="G70" s="44" t="n">
        <v>0.364</v>
      </c>
      <c r="H70" s="44" t="n">
        <v>0.364</v>
      </c>
      <c r="I70" s="44" t="n">
        <f aca="false">+(H70+J70)/2</f>
        <v>0.387</v>
      </c>
      <c r="J70" s="44" t="n">
        <v>0.41</v>
      </c>
      <c r="K70" s="31" t="n">
        <v>1</v>
      </c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3"/>
      <c r="W70" s="33"/>
      <c r="X70" s="33" t="n">
        <f aca="false">($H70*X$1)/$K70</f>
        <v>0.5187</v>
      </c>
      <c r="Y70" s="33" t="n">
        <f aca="false">($H70*Y$1)/$K70</f>
        <v>0.53235</v>
      </c>
      <c r="Z70" s="34" t="n">
        <f aca="false">($I70*Z$1)/$K70</f>
        <v>0.5805</v>
      </c>
      <c r="AA70" s="34" t="n">
        <f aca="false">($I70*AA$1)/$K70</f>
        <v>0.5950125</v>
      </c>
      <c r="AB70" s="34" t="n">
        <f aca="false">($I70*AB$1)/$K70</f>
        <v>0.609525</v>
      </c>
      <c r="AC70" s="34" t="n">
        <f aca="false">($I70*AC$1)/$K70</f>
        <v>0.6240375</v>
      </c>
      <c r="AD70" s="35" t="n">
        <f aca="false">($I70*AD$1)/$K70</f>
        <v>0.63855</v>
      </c>
      <c r="AE70" s="35" t="n">
        <f aca="false">($I70*AE$1)/$K70</f>
        <v>0.6530625</v>
      </c>
    </row>
    <row r="71" customFormat="false" ht="15" hidden="false" customHeight="false" outlineLevel="0" collapsed="false">
      <c r="A71" s="46" t="s">
        <v>45</v>
      </c>
      <c r="B71" s="46" t="s">
        <v>145</v>
      </c>
      <c r="C71" s="16" t="s">
        <v>144</v>
      </c>
      <c r="D71" s="45" t="n">
        <v>25</v>
      </c>
      <c r="E71" s="45"/>
      <c r="F71" s="30" t="n">
        <f aca="false">G71</f>
        <v>0.364</v>
      </c>
      <c r="G71" s="44" t="n">
        <v>0.364</v>
      </c>
      <c r="H71" s="44" t="n">
        <v>0.364</v>
      </c>
      <c r="I71" s="44" t="n">
        <f aca="false">+(H71+J71)/2</f>
        <v>0.387</v>
      </c>
      <c r="J71" s="44" t="n">
        <v>0.41</v>
      </c>
      <c r="K71" s="31" t="n">
        <v>1</v>
      </c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3"/>
      <c r="W71" s="33"/>
      <c r="X71" s="33" t="n">
        <f aca="false">($H71*X$1)/$K71</f>
        <v>0.5187</v>
      </c>
      <c r="Y71" s="33" t="n">
        <f aca="false">($H71*Y$1)/$K71</f>
        <v>0.53235</v>
      </c>
      <c r="Z71" s="34" t="n">
        <f aca="false">($I71*Z$1)/$K71</f>
        <v>0.5805</v>
      </c>
      <c r="AA71" s="34" t="n">
        <f aca="false">($I71*AA$1)/$K71</f>
        <v>0.5950125</v>
      </c>
      <c r="AB71" s="34" t="n">
        <f aca="false">($I71*AB$1)/$K71</f>
        <v>0.609525</v>
      </c>
      <c r="AC71" s="34" t="n">
        <f aca="false">($I71*AC$1)/$K71</f>
        <v>0.6240375</v>
      </c>
      <c r="AD71" s="35" t="n">
        <f aca="false">($I71*AD$1)/$K71</f>
        <v>0.63855</v>
      </c>
      <c r="AE71" s="35" t="n">
        <f aca="false">($I71*AE$1)/$K71</f>
        <v>0.6530625</v>
      </c>
    </row>
    <row r="72" customFormat="false" ht="15" hidden="false" customHeight="false" outlineLevel="0" collapsed="false">
      <c r="A72" s="46" t="s">
        <v>45</v>
      </c>
      <c r="B72" s="46" t="s">
        <v>146</v>
      </c>
      <c r="C72" s="16" t="s">
        <v>147</v>
      </c>
      <c r="D72" s="45" t="n">
        <v>25</v>
      </c>
      <c r="E72" s="45"/>
      <c r="F72" s="30" t="n">
        <f aca="false">G72</f>
        <v>0.364</v>
      </c>
      <c r="G72" s="44" t="n">
        <v>0.364</v>
      </c>
      <c r="H72" s="44" t="n">
        <v>0.364</v>
      </c>
      <c r="I72" s="44" t="n">
        <f aca="false">+(H72+J72)/2</f>
        <v>0.387</v>
      </c>
      <c r="J72" s="44" t="n">
        <v>0.41</v>
      </c>
      <c r="K72" s="31" t="n">
        <v>1</v>
      </c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3"/>
      <c r="W72" s="33"/>
      <c r="X72" s="33"/>
      <c r="Y72" s="33"/>
      <c r="Z72" s="34"/>
      <c r="AA72" s="34" t="n">
        <f aca="false">($I72*AA$1)/$K72</f>
        <v>0.5950125</v>
      </c>
      <c r="AB72" s="34" t="n">
        <f aca="false">($I72*AB$1)/$K72</f>
        <v>0.609525</v>
      </c>
      <c r="AC72" s="34" t="n">
        <f aca="false">($I72*AC$1)/$K72</f>
        <v>0.6240375</v>
      </c>
      <c r="AD72" s="35" t="n">
        <f aca="false">($I72*AD$1)/$K72</f>
        <v>0.63855</v>
      </c>
      <c r="AE72" s="35" t="n">
        <f aca="false">($I72*AE$1)/$K72</f>
        <v>0.6530625</v>
      </c>
    </row>
    <row r="73" customFormat="false" ht="15" hidden="false" customHeight="false" outlineLevel="0" collapsed="false">
      <c r="A73" s="46" t="s">
        <v>45</v>
      </c>
      <c r="B73" s="46" t="s">
        <v>148</v>
      </c>
      <c r="C73" s="16" t="s">
        <v>149</v>
      </c>
      <c r="D73" s="45" t="n">
        <v>25</v>
      </c>
      <c r="E73" s="45"/>
      <c r="F73" s="30" t="n">
        <f aca="false">G73</f>
        <v>0.364</v>
      </c>
      <c r="G73" s="44" t="n">
        <v>0.364</v>
      </c>
      <c r="H73" s="44" t="n">
        <v>0.364</v>
      </c>
      <c r="I73" s="44" t="n">
        <f aca="false">+(H73+J73)/2</f>
        <v>0.387</v>
      </c>
      <c r="J73" s="44" t="n">
        <v>0.41</v>
      </c>
      <c r="K73" s="31" t="n">
        <v>1</v>
      </c>
      <c r="L73" s="32"/>
      <c r="M73" s="32"/>
      <c r="N73" s="32"/>
      <c r="O73" s="32"/>
      <c r="P73" s="32"/>
      <c r="Q73" s="32"/>
      <c r="R73" s="32"/>
      <c r="S73" s="32" t="n">
        <f aca="false">($G73*S$1)/$K73</f>
        <v>0.45045</v>
      </c>
      <c r="T73" s="32" t="n">
        <f aca="false">($G73*T$1)/$K73</f>
        <v>0.4641</v>
      </c>
      <c r="U73" s="32" t="n">
        <f aca="false">($G73*U$1)/$K73</f>
        <v>0.47775</v>
      </c>
      <c r="V73" s="33" t="n">
        <f aca="false">($H73*V$1)/$K73</f>
        <v>0.4914</v>
      </c>
      <c r="W73" s="33" t="n">
        <f aca="false">($H73*W$1)/$K73</f>
        <v>0.50505</v>
      </c>
      <c r="X73" s="33" t="n">
        <f aca="false">($H73*X$1)/$K73</f>
        <v>0.5187</v>
      </c>
      <c r="Y73" s="33" t="n">
        <f aca="false">($H73*Y$1)/$K73</f>
        <v>0.53235</v>
      </c>
      <c r="Z73" s="34"/>
      <c r="AA73" s="34"/>
      <c r="AB73" s="34"/>
      <c r="AC73" s="34"/>
      <c r="AD73" s="35"/>
      <c r="AE73" s="35"/>
    </row>
    <row r="74" customFormat="false" ht="15" hidden="false" customHeight="false" outlineLevel="0" collapsed="false">
      <c r="A74" s="46" t="s">
        <v>45</v>
      </c>
      <c r="B74" s="46" t="s">
        <v>150</v>
      </c>
      <c r="C74" s="16" t="s">
        <v>151</v>
      </c>
      <c r="D74" s="45" t="n">
        <v>25</v>
      </c>
      <c r="E74" s="45"/>
      <c r="F74" s="30" t="n">
        <f aca="false">G74</f>
        <v>0.364</v>
      </c>
      <c r="G74" s="44" t="n">
        <v>0.364</v>
      </c>
      <c r="H74" s="44" t="n">
        <v>0.364</v>
      </c>
      <c r="I74" s="44" t="n">
        <f aca="false">+(H74+J74)/2</f>
        <v>0.387</v>
      </c>
      <c r="J74" s="44" t="n">
        <v>0.41</v>
      </c>
      <c r="K74" s="31" t="n">
        <v>1</v>
      </c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3"/>
      <c r="W74" s="33" t="n">
        <f aca="false">($H74*W$1)/$K74</f>
        <v>0.50505</v>
      </c>
      <c r="X74" s="33" t="n">
        <f aca="false">($H74*X$1)/$K74</f>
        <v>0.5187</v>
      </c>
      <c r="Y74" s="33" t="n">
        <f aca="false">($H74*Y$1)/$K74</f>
        <v>0.53235</v>
      </c>
      <c r="Z74" s="34"/>
      <c r="AA74" s="34"/>
      <c r="AB74" s="34"/>
      <c r="AC74" s="34"/>
      <c r="AD74" s="35"/>
      <c r="AE74" s="35"/>
    </row>
    <row r="75" customFormat="false" ht="15" hidden="false" customHeight="false" outlineLevel="0" collapsed="false">
      <c r="A75" s="46" t="s">
        <v>45</v>
      </c>
      <c r="B75" s="46" t="s">
        <v>152</v>
      </c>
      <c r="C75" s="16" t="s">
        <v>153</v>
      </c>
      <c r="D75" s="45" t="n">
        <v>25</v>
      </c>
      <c r="E75" s="45"/>
      <c r="F75" s="30" t="n">
        <f aca="false">G75</f>
        <v>0.364</v>
      </c>
      <c r="G75" s="44" t="n">
        <v>0.364</v>
      </c>
      <c r="H75" s="44" t="n">
        <v>0.364</v>
      </c>
      <c r="I75" s="44" t="n">
        <f aca="false">+(H75+J75)/2</f>
        <v>0.387</v>
      </c>
      <c r="J75" s="44" t="n">
        <v>0.41</v>
      </c>
      <c r="K75" s="31" t="n">
        <v>1</v>
      </c>
      <c r="L75" s="32"/>
      <c r="M75" s="32"/>
      <c r="N75" s="32"/>
      <c r="O75" s="32"/>
      <c r="P75" s="32"/>
      <c r="Q75" s="32"/>
      <c r="R75" s="32"/>
      <c r="S75" s="32" t="n">
        <f aca="false">($G75*S$1)/$K75</f>
        <v>0.45045</v>
      </c>
      <c r="T75" s="32" t="n">
        <f aca="false">($G75*T$1)/$K75</f>
        <v>0.4641</v>
      </c>
      <c r="U75" s="32" t="n">
        <f aca="false">($G75*U$1)/$K75</f>
        <v>0.47775</v>
      </c>
      <c r="V75" s="33" t="n">
        <f aca="false">($H75*V$1)/$K75</f>
        <v>0.4914</v>
      </c>
      <c r="W75" s="33" t="n">
        <f aca="false">($H75*W$1)/$K75</f>
        <v>0.50505</v>
      </c>
      <c r="X75" s="33" t="n">
        <f aca="false">($H75*X$1)/$K75</f>
        <v>0.5187</v>
      </c>
      <c r="Y75" s="33" t="n">
        <f aca="false">($H75*Y$1)/$K75</f>
        <v>0.53235</v>
      </c>
      <c r="Z75" s="34"/>
      <c r="AA75" s="34"/>
      <c r="AB75" s="34"/>
      <c r="AC75" s="34"/>
      <c r="AD75" s="35"/>
      <c r="AE75" s="35"/>
    </row>
    <row r="76" customFormat="false" ht="15" hidden="false" customHeight="false" outlineLevel="0" collapsed="false">
      <c r="A76" s="46" t="s">
        <v>45</v>
      </c>
      <c r="B76" s="46" t="s">
        <v>154</v>
      </c>
      <c r="C76" s="16" t="s">
        <v>155</v>
      </c>
      <c r="D76" s="45" t="n">
        <v>25</v>
      </c>
      <c r="E76" s="45"/>
      <c r="F76" s="30" t="n">
        <f aca="false">G76</f>
        <v>0.364</v>
      </c>
      <c r="G76" s="44" t="n">
        <v>0.364</v>
      </c>
      <c r="H76" s="44" t="n">
        <v>0.364</v>
      </c>
      <c r="I76" s="44" t="n">
        <f aca="false">+(H76+J76)/2</f>
        <v>0.387</v>
      </c>
      <c r="J76" s="44" t="n">
        <v>0.41</v>
      </c>
      <c r="K76" s="31" t="n">
        <v>1</v>
      </c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3"/>
      <c r="W76" s="33"/>
      <c r="X76" s="33" t="n">
        <f aca="false">($H76*X$1)/$K76</f>
        <v>0.5187</v>
      </c>
      <c r="Y76" s="33" t="n">
        <f aca="false">($H76*Y$1)/$K76</f>
        <v>0.53235</v>
      </c>
      <c r="Z76" s="34" t="n">
        <f aca="false">($I76*Z$1)/$K76</f>
        <v>0.5805</v>
      </c>
      <c r="AA76" s="34" t="n">
        <f aca="false">($I76*AA$1)/$K76</f>
        <v>0.5950125</v>
      </c>
      <c r="AB76" s="34" t="n">
        <f aca="false">($I76*AB$1)/$K76</f>
        <v>0.609525</v>
      </c>
      <c r="AC76" s="34" t="n">
        <f aca="false">($I76*AC$1)/$K76</f>
        <v>0.6240375</v>
      </c>
      <c r="AD76" s="35" t="n">
        <f aca="false">($I76*AD$1)/$K76</f>
        <v>0.63855</v>
      </c>
      <c r="AE76" s="35" t="n">
        <f aca="false">($I76*AE$1)/$K76</f>
        <v>0.6530625</v>
      </c>
    </row>
    <row r="77" customFormat="false" ht="15" hidden="false" customHeight="false" outlineLevel="0" collapsed="false">
      <c r="A77" s="14" t="s">
        <v>13</v>
      </c>
      <c r="B77" s="46" t="s">
        <v>156</v>
      </c>
      <c r="C77" s="16" t="s">
        <v>157</v>
      </c>
      <c r="D77" s="45" t="n">
        <v>1</v>
      </c>
      <c r="E77" s="45"/>
      <c r="F77" s="30" t="n">
        <f aca="false">G77</f>
        <v>0.277594728171334</v>
      </c>
      <c r="G77" s="44" t="n">
        <v>0.277594728171334</v>
      </c>
      <c r="H77" s="44" t="n">
        <v>0.277594728171334</v>
      </c>
      <c r="I77" s="44" t="n">
        <f aca="false">+(H77+J77)/2</f>
        <v>0.283797364085667</v>
      </c>
      <c r="J77" s="44" t="n">
        <v>0.29</v>
      </c>
      <c r="K77" s="31" t="n">
        <v>1</v>
      </c>
      <c r="L77" s="32"/>
      <c r="M77" s="32"/>
      <c r="N77" s="32"/>
      <c r="O77" s="32" t="n">
        <f aca="false">($G77*O$1)/$K77</f>
        <v>0.301884266886326</v>
      </c>
      <c r="P77" s="32" t="n">
        <f aca="false">($G77*P$1)/$K77</f>
        <v>0.312294069192751</v>
      </c>
      <c r="Q77" s="32" t="n">
        <f aca="false">($G77*Q$1)/$K77</f>
        <v>0.322703871499176</v>
      </c>
      <c r="R77" s="32" t="n">
        <f aca="false">($G77*R$1)/$K77</f>
        <v>0.333113673805601</v>
      </c>
      <c r="S77" s="32" t="n">
        <f aca="false">($G77*S$1)/$K77</f>
        <v>0.343523476112026</v>
      </c>
      <c r="T77" s="32" t="n">
        <f aca="false">($G77*T$1)/$K77</f>
        <v>0.353933278418451</v>
      </c>
      <c r="U77" s="32" t="n">
        <f aca="false">($G77*U$1)/$K77</f>
        <v>0.364343080724876</v>
      </c>
      <c r="V77" s="33" t="n">
        <f aca="false">($H77*V$1)/$K77</f>
        <v>0.374752883031302</v>
      </c>
      <c r="W77" s="33" t="n">
        <f aca="false">($H77*W$1)/$K77</f>
        <v>0.385162685337727</v>
      </c>
      <c r="X77" s="33" t="n">
        <f aca="false">($H77*X$1)/$K77</f>
        <v>0.395572487644152</v>
      </c>
      <c r="Y77" s="33" t="n">
        <f aca="false">($H77*Y$1)/$K77</f>
        <v>0.405982289950577</v>
      </c>
      <c r="Z77" s="34" t="n">
        <f aca="false">($I77*Z$1)/$K77</f>
        <v>0.425696046128501</v>
      </c>
      <c r="AA77" s="34" t="n">
        <f aca="false">($I77*AA$1)/$K77</f>
        <v>0.436338447281713</v>
      </c>
      <c r="AB77" s="34" t="n">
        <f aca="false">($I77*AB$1)/$K77</f>
        <v>0.446980848434926</v>
      </c>
      <c r="AC77" s="34" t="n">
        <f aca="false">($I77*AC$1)/$K77</f>
        <v>0.457623249588138</v>
      </c>
      <c r="AD77" s="35" t="n">
        <f aca="false">($I77*AD$1)/$K77</f>
        <v>0.468265650741351</v>
      </c>
      <c r="AE77" s="35" t="n">
        <f aca="false">($I77*AE$1)/$K77</f>
        <v>0.478908051894563</v>
      </c>
    </row>
    <row r="78" customFormat="false" ht="15" hidden="false" customHeight="false" outlineLevel="0" collapsed="false">
      <c r="A78" s="14" t="s">
        <v>13</v>
      </c>
      <c r="B78" s="46" t="s">
        <v>158</v>
      </c>
      <c r="C78" s="16" t="s">
        <v>159</v>
      </c>
      <c r="D78" s="45" t="n">
        <v>1</v>
      </c>
      <c r="E78" s="45"/>
      <c r="F78" s="30" t="n">
        <f aca="false">G78</f>
        <v>0.277594728171334</v>
      </c>
      <c r="G78" s="44" t="n">
        <v>0.277594728171334</v>
      </c>
      <c r="H78" s="44" t="n">
        <v>0.277594728171334</v>
      </c>
      <c r="I78" s="44" t="n">
        <f aca="false">+(H78+J78)/2</f>
        <v>0.283797364085667</v>
      </c>
      <c r="J78" s="44" t="n">
        <v>0.29</v>
      </c>
      <c r="K78" s="31" t="n">
        <v>1</v>
      </c>
      <c r="L78" s="32"/>
      <c r="M78" s="32"/>
      <c r="N78" s="32"/>
      <c r="O78" s="32" t="n">
        <f aca="false">($G78*O$1)/$K78</f>
        <v>0.301884266886326</v>
      </c>
      <c r="P78" s="32" t="n">
        <f aca="false">($G78*P$1)/$K78</f>
        <v>0.312294069192751</v>
      </c>
      <c r="Q78" s="32" t="n">
        <f aca="false">($G78*Q$1)/$K78</f>
        <v>0.322703871499176</v>
      </c>
      <c r="R78" s="32" t="n">
        <f aca="false">($G78*R$1)/$K78</f>
        <v>0.333113673805601</v>
      </c>
      <c r="S78" s="32" t="n">
        <f aca="false">($G78*S$1)/$K78</f>
        <v>0.343523476112026</v>
      </c>
      <c r="T78" s="32" t="n">
        <f aca="false">($G78*T$1)/$K78</f>
        <v>0.353933278418451</v>
      </c>
      <c r="U78" s="32" t="n">
        <f aca="false">($G78*U$1)/$K78</f>
        <v>0.364343080724876</v>
      </c>
      <c r="V78" s="33" t="n">
        <f aca="false">($H78*V$1)/$K78</f>
        <v>0.374752883031302</v>
      </c>
      <c r="W78" s="33"/>
      <c r="X78" s="33"/>
      <c r="Y78" s="33"/>
      <c r="Z78" s="34"/>
      <c r="AA78" s="34"/>
      <c r="AB78" s="34"/>
      <c r="AC78" s="34"/>
      <c r="AD78" s="35"/>
      <c r="AE78" s="35"/>
    </row>
    <row r="79" customFormat="false" ht="15" hidden="false" customHeight="false" outlineLevel="0" collapsed="false">
      <c r="A79" s="14" t="s">
        <v>13</v>
      </c>
      <c r="B79" s="46" t="s">
        <v>160</v>
      </c>
      <c r="C79" s="16" t="s">
        <v>159</v>
      </c>
      <c r="D79" s="45" t="n">
        <v>1</v>
      </c>
      <c r="E79" s="45"/>
      <c r="F79" s="30" t="n">
        <f aca="false">G79</f>
        <v>0.277594728171334</v>
      </c>
      <c r="G79" s="44" t="n">
        <v>0.277594728171334</v>
      </c>
      <c r="H79" s="44" t="n">
        <v>0.277594728171334</v>
      </c>
      <c r="I79" s="44" t="n">
        <f aca="false">+(H79+J79)/2</f>
        <v>0.283797364085667</v>
      </c>
      <c r="J79" s="44" t="n">
        <v>0.29</v>
      </c>
      <c r="K79" s="31" t="n">
        <v>1</v>
      </c>
      <c r="L79" s="32"/>
      <c r="M79" s="32"/>
      <c r="N79" s="32"/>
      <c r="O79" s="32" t="n">
        <f aca="false">($G79*O$1)/$K79</f>
        <v>0.301884266886326</v>
      </c>
      <c r="P79" s="32" t="n">
        <f aca="false">($G79*P$1)/$K79</f>
        <v>0.312294069192751</v>
      </c>
      <c r="Q79" s="32" t="n">
        <f aca="false">($G79*Q$1)/$K79</f>
        <v>0.322703871499176</v>
      </c>
      <c r="R79" s="32" t="n">
        <f aca="false">($G79*R$1)/$K79</f>
        <v>0.333113673805601</v>
      </c>
      <c r="S79" s="32" t="n">
        <f aca="false">($G79*S$1)/$K79</f>
        <v>0.343523476112026</v>
      </c>
      <c r="T79" s="32" t="n">
        <f aca="false">($G79*T$1)/$K79</f>
        <v>0.353933278418451</v>
      </c>
      <c r="U79" s="32" t="n">
        <f aca="false">($G79*U$1)/$K79</f>
        <v>0.364343080724876</v>
      </c>
      <c r="V79" s="33" t="n">
        <f aca="false">($H79*V$1)/$K79</f>
        <v>0.374752883031302</v>
      </c>
      <c r="W79" s="33"/>
      <c r="X79" s="33"/>
      <c r="Y79" s="33"/>
      <c r="Z79" s="34"/>
      <c r="AA79" s="34"/>
      <c r="AB79" s="34"/>
      <c r="AC79" s="34"/>
      <c r="AD79" s="35"/>
      <c r="AE79" s="35"/>
    </row>
    <row r="80" customFormat="false" ht="15" hidden="false" customHeight="false" outlineLevel="0" collapsed="false">
      <c r="A80" s="14" t="s">
        <v>13</v>
      </c>
      <c r="B80" s="46" t="s">
        <v>161</v>
      </c>
      <c r="C80" s="16" t="s">
        <v>162</v>
      </c>
      <c r="D80" s="45" t="n">
        <v>1</v>
      </c>
      <c r="E80" s="45"/>
      <c r="F80" s="30" t="n">
        <f aca="false">G80</f>
        <v>0.277594728171334</v>
      </c>
      <c r="G80" s="44" t="n">
        <v>0.277594728171334</v>
      </c>
      <c r="H80" s="44" t="n">
        <v>0.277594728171334</v>
      </c>
      <c r="I80" s="44" t="n">
        <f aca="false">+(H80+J80)/2</f>
        <v>0.283797364085667</v>
      </c>
      <c r="J80" s="44" t="n">
        <v>0.29</v>
      </c>
      <c r="K80" s="31" t="n">
        <v>1</v>
      </c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3"/>
      <c r="W80" s="33" t="n">
        <f aca="false">($H80*W$1)/$K80</f>
        <v>0.385162685337727</v>
      </c>
      <c r="X80" s="33" t="n">
        <f aca="false">($H80*X$1)/$K80</f>
        <v>0.395572487644152</v>
      </c>
      <c r="Y80" s="33" t="n">
        <f aca="false">($H80*Y$1)/$K80</f>
        <v>0.405982289950577</v>
      </c>
      <c r="Z80" s="34" t="n">
        <f aca="false">($I80*Z$1)/$K80</f>
        <v>0.425696046128501</v>
      </c>
      <c r="AA80" s="34" t="n">
        <f aca="false">($I80*AA$1)/$K80</f>
        <v>0.436338447281713</v>
      </c>
      <c r="AB80" s="34" t="n">
        <f aca="false">($I80*AB$1)/$K80</f>
        <v>0.446980848434926</v>
      </c>
      <c r="AC80" s="34" t="n">
        <f aca="false">($I80*AC$1)/$K80</f>
        <v>0.457623249588138</v>
      </c>
      <c r="AD80" s="35" t="n">
        <f aca="false">($I80*AD$1)/$K80</f>
        <v>0.468265650741351</v>
      </c>
      <c r="AE80" s="35" t="n">
        <f aca="false">($I80*AE$1)/$K80</f>
        <v>0.478908051894563</v>
      </c>
    </row>
    <row r="81" customFormat="false" ht="15" hidden="false" customHeight="false" outlineLevel="0" collapsed="false">
      <c r="A81" s="14" t="s">
        <v>13</v>
      </c>
      <c r="B81" s="46" t="s">
        <v>163</v>
      </c>
      <c r="C81" s="16" t="s">
        <v>162</v>
      </c>
      <c r="D81" s="45" t="n">
        <v>1</v>
      </c>
      <c r="E81" s="45"/>
      <c r="F81" s="30" t="n">
        <f aca="false">G81</f>
        <v>0.277594728171334</v>
      </c>
      <c r="G81" s="44" t="n">
        <v>0.277594728171334</v>
      </c>
      <c r="H81" s="44" t="n">
        <v>0.277594728171334</v>
      </c>
      <c r="I81" s="44" t="n">
        <f aca="false">+(H81+J81)/2</f>
        <v>0.283797364085667</v>
      </c>
      <c r="J81" s="44" t="n">
        <v>0.29</v>
      </c>
      <c r="K81" s="31" t="n">
        <v>1</v>
      </c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3"/>
      <c r="W81" s="33" t="n">
        <f aca="false">($H81*W$1)/$K81</f>
        <v>0.385162685337727</v>
      </c>
      <c r="X81" s="33" t="n">
        <f aca="false">($H81*X$1)/$K81</f>
        <v>0.395572487644152</v>
      </c>
      <c r="Y81" s="33" t="n">
        <f aca="false">($H81*Y$1)/$K81</f>
        <v>0.405982289950577</v>
      </c>
      <c r="Z81" s="34" t="n">
        <f aca="false">($I81*Z$1)/$K81</f>
        <v>0.425696046128501</v>
      </c>
      <c r="AA81" s="34" t="n">
        <f aca="false">($I81*AA$1)/$K81</f>
        <v>0.436338447281713</v>
      </c>
      <c r="AB81" s="34" t="n">
        <f aca="false">($I81*AB$1)/$K81</f>
        <v>0.446980848434926</v>
      </c>
      <c r="AC81" s="34" t="n">
        <f aca="false">($I81*AC$1)/$K81</f>
        <v>0.457623249588138</v>
      </c>
      <c r="AD81" s="35" t="n">
        <f aca="false">($I81*AD$1)/$K81</f>
        <v>0.468265650741351</v>
      </c>
      <c r="AE81" s="35" t="n">
        <f aca="false">($I81*AE$1)/$K81</f>
        <v>0.478908051894563</v>
      </c>
    </row>
    <row r="82" customFormat="false" ht="15" hidden="false" customHeight="false" outlineLevel="0" collapsed="false">
      <c r="A82" s="14" t="s">
        <v>13</v>
      </c>
      <c r="B82" s="46" t="s">
        <v>164</v>
      </c>
      <c r="C82" s="16" t="s">
        <v>165</v>
      </c>
      <c r="D82" s="45" t="n">
        <v>1</v>
      </c>
      <c r="E82" s="45"/>
      <c r="F82" s="30" t="n">
        <f aca="false">G82</f>
        <v>0.277594728171334</v>
      </c>
      <c r="G82" s="44" t="n">
        <v>0.277594728171334</v>
      </c>
      <c r="H82" s="44" t="n">
        <v>0.277594728171334</v>
      </c>
      <c r="I82" s="44" t="n">
        <f aca="false">+(H82+J82)/2</f>
        <v>0.283797364085667</v>
      </c>
      <c r="J82" s="44" t="n">
        <v>0.29</v>
      </c>
      <c r="K82" s="31" t="n">
        <v>1</v>
      </c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3"/>
      <c r="W82" s="33" t="n">
        <f aca="false">($H82*W$1)/$K82</f>
        <v>0.385162685337727</v>
      </c>
      <c r="X82" s="33" t="n">
        <f aca="false">($H82*X$1)/$K82</f>
        <v>0.395572487644152</v>
      </c>
      <c r="Y82" s="33" t="n">
        <f aca="false">($H82*Y$1)/$K82</f>
        <v>0.405982289950577</v>
      </c>
      <c r="Z82" s="34" t="n">
        <f aca="false">($I82*Z$1)/$K82</f>
        <v>0.425696046128501</v>
      </c>
      <c r="AA82" s="34" t="n">
        <f aca="false">($I82*AA$1)/$K82</f>
        <v>0.436338447281713</v>
      </c>
      <c r="AB82" s="34" t="n">
        <f aca="false">($I82*AB$1)/$K82</f>
        <v>0.446980848434926</v>
      </c>
      <c r="AC82" s="34" t="n">
        <f aca="false">($I82*AC$1)/$K82</f>
        <v>0.457623249588138</v>
      </c>
      <c r="AD82" s="35" t="n">
        <f aca="false">($I82*AD$1)/$K82</f>
        <v>0.468265650741351</v>
      </c>
      <c r="AE82" s="35" t="n">
        <f aca="false">($I82*AE$1)/$K82</f>
        <v>0.478908051894563</v>
      </c>
    </row>
    <row r="83" customFormat="false" ht="15" hidden="false" customHeight="false" outlineLevel="0" collapsed="false">
      <c r="A83" s="14" t="s">
        <v>13</v>
      </c>
      <c r="B83" s="46" t="s">
        <v>166</v>
      </c>
      <c r="C83" s="16" t="s">
        <v>165</v>
      </c>
      <c r="D83" s="45" t="n">
        <v>1</v>
      </c>
      <c r="E83" s="45"/>
      <c r="F83" s="30" t="n">
        <f aca="false">G83</f>
        <v>0.277594728171334</v>
      </c>
      <c r="G83" s="44" t="n">
        <v>0.277594728171334</v>
      </c>
      <c r="H83" s="44" t="n">
        <v>0.277594728171334</v>
      </c>
      <c r="I83" s="44" t="n">
        <f aca="false">+(H83+J83)/2</f>
        <v>0.283797364085667</v>
      </c>
      <c r="J83" s="44" t="n">
        <v>0.29</v>
      </c>
      <c r="K83" s="31" t="n">
        <v>1</v>
      </c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3"/>
      <c r="W83" s="33" t="n">
        <f aca="false">($H83*W$1)/$K83</f>
        <v>0.385162685337727</v>
      </c>
      <c r="X83" s="33" t="n">
        <f aca="false">($H83*X$1)/$K83</f>
        <v>0.395572487644152</v>
      </c>
      <c r="Y83" s="33" t="n">
        <f aca="false">($H83*Y$1)/$K83</f>
        <v>0.405982289950577</v>
      </c>
      <c r="Z83" s="34" t="n">
        <f aca="false">($I83*Z$1)/$K83</f>
        <v>0.425696046128501</v>
      </c>
      <c r="AA83" s="34" t="n">
        <f aca="false">($I83*AA$1)/$K83</f>
        <v>0.436338447281713</v>
      </c>
      <c r="AB83" s="34" t="n">
        <f aca="false">($I83*AB$1)/$K83</f>
        <v>0.446980848434926</v>
      </c>
      <c r="AC83" s="34" t="n">
        <f aca="false">($I83*AC$1)/$K83</f>
        <v>0.457623249588138</v>
      </c>
      <c r="AD83" s="35" t="n">
        <f aca="false">($I83*AD$1)/$K83</f>
        <v>0.468265650741351</v>
      </c>
      <c r="AE83" s="35" t="n">
        <f aca="false">($I83*AE$1)/$K83</f>
        <v>0.478908051894563</v>
      </c>
    </row>
    <row r="84" customFormat="false" ht="15" hidden="false" customHeight="false" outlineLevel="0" collapsed="false">
      <c r="A84" s="14" t="s">
        <v>13</v>
      </c>
      <c r="B84" s="46" t="s">
        <v>167</v>
      </c>
      <c r="C84" s="16" t="s">
        <v>159</v>
      </c>
      <c r="D84" s="45" t="n">
        <v>1</v>
      </c>
      <c r="E84" s="45"/>
      <c r="F84" s="30" t="n">
        <f aca="false">G84</f>
        <v>0.277594728171334</v>
      </c>
      <c r="G84" s="44" t="n">
        <v>0.277594728171334</v>
      </c>
      <c r="H84" s="44" t="n">
        <v>0.277594728171334</v>
      </c>
      <c r="I84" s="44" t="n">
        <f aca="false">+(H84+J84)/2</f>
        <v>0.283797364085667</v>
      </c>
      <c r="J84" s="44" t="n">
        <v>0.29</v>
      </c>
      <c r="K84" s="31" t="n">
        <v>1</v>
      </c>
      <c r="L84" s="32"/>
      <c r="M84" s="32"/>
      <c r="N84" s="32"/>
      <c r="O84" s="32" t="n">
        <f aca="false">($G84*O$1)/$K84</f>
        <v>0.301884266886326</v>
      </c>
      <c r="P84" s="32" t="n">
        <f aca="false">($G84*P$1)/$K84</f>
        <v>0.312294069192751</v>
      </c>
      <c r="Q84" s="32" t="n">
        <f aca="false">($G84*Q$1)/$K84</f>
        <v>0.322703871499176</v>
      </c>
      <c r="R84" s="32" t="n">
        <f aca="false">($G84*R$1)/$K84</f>
        <v>0.333113673805601</v>
      </c>
      <c r="S84" s="32" t="n">
        <f aca="false">($G84*S$1)/$K84</f>
        <v>0.343523476112026</v>
      </c>
      <c r="T84" s="32" t="n">
        <f aca="false">($G84*T$1)/$K84</f>
        <v>0.353933278418451</v>
      </c>
      <c r="U84" s="32" t="n">
        <f aca="false">($G84*U$1)/$K84</f>
        <v>0.364343080724876</v>
      </c>
      <c r="V84" s="33" t="n">
        <f aca="false">($H84*V$1)/$K84</f>
        <v>0.374752883031302</v>
      </c>
      <c r="W84" s="33"/>
      <c r="X84" s="33"/>
      <c r="Y84" s="33"/>
      <c r="Z84" s="34"/>
      <c r="AA84" s="34"/>
      <c r="AB84" s="34"/>
      <c r="AC84" s="34"/>
      <c r="AD84" s="35"/>
      <c r="AE84" s="35"/>
    </row>
    <row r="85" customFormat="false" ht="15" hidden="false" customHeight="false" outlineLevel="0" collapsed="false">
      <c r="A85" s="14" t="s">
        <v>13</v>
      </c>
      <c r="B85" s="46" t="s">
        <v>168</v>
      </c>
      <c r="C85" s="16" t="s">
        <v>162</v>
      </c>
      <c r="D85" s="45" t="n">
        <v>1</v>
      </c>
      <c r="E85" s="45"/>
      <c r="F85" s="30" t="n">
        <f aca="false">G85</f>
        <v>0.277594728171334</v>
      </c>
      <c r="G85" s="44" t="n">
        <v>0.277594728171334</v>
      </c>
      <c r="H85" s="44" t="n">
        <v>0.277594728171334</v>
      </c>
      <c r="I85" s="44" t="n">
        <f aca="false">+(H85+J85)/2</f>
        <v>0.283797364085667</v>
      </c>
      <c r="J85" s="44" t="n">
        <v>0.29</v>
      </c>
      <c r="K85" s="31" t="n">
        <v>1</v>
      </c>
      <c r="L85" s="32"/>
      <c r="M85" s="32"/>
      <c r="N85" s="32"/>
      <c r="O85" s="32" t="n">
        <f aca="false">($G85*O$1)/$K85</f>
        <v>0.301884266886326</v>
      </c>
      <c r="P85" s="32" t="n">
        <f aca="false">($G85*P$1)/$K85</f>
        <v>0.312294069192751</v>
      </c>
      <c r="Q85" s="32" t="n">
        <f aca="false">($G85*Q$1)/$K85</f>
        <v>0.322703871499176</v>
      </c>
      <c r="R85" s="32" t="n">
        <f aca="false">($G85*R$1)/$K85</f>
        <v>0.333113673805601</v>
      </c>
      <c r="S85" s="32" t="n">
        <f aca="false">($G85*S$1)/$K85</f>
        <v>0.343523476112026</v>
      </c>
      <c r="T85" s="32" t="n">
        <f aca="false">($G85*T$1)/$K85</f>
        <v>0.353933278418451</v>
      </c>
      <c r="U85" s="32" t="n">
        <f aca="false">($G85*U$1)/$K85</f>
        <v>0.364343080724876</v>
      </c>
      <c r="V85" s="33" t="n">
        <f aca="false">($H85*V$1)/$K85</f>
        <v>0.374752883031302</v>
      </c>
      <c r="W85" s="33"/>
      <c r="X85" s="33"/>
      <c r="Y85" s="33"/>
      <c r="Z85" s="34"/>
      <c r="AA85" s="34"/>
      <c r="AB85" s="34"/>
      <c r="AC85" s="34"/>
      <c r="AD85" s="35"/>
      <c r="AE85" s="35"/>
    </row>
    <row r="86" customFormat="false" ht="15" hidden="false" customHeight="false" outlineLevel="0" collapsed="false">
      <c r="A86" s="0" t="s">
        <v>43</v>
      </c>
      <c r="B86" s="46" t="s">
        <v>169</v>
      </c>
      <c r="C86" s="16" t="s">
        <v>170</v>
      </c>
      <c r="D86" s="45" t="n">
        <v>23</v>
      </c>
      <c r="E86" s="45"/>
      <c r="F86" s="30" t="n">
        <f aca="false">G86</f>
        <v>0.41</v>
      </c>
      <c r="G86" s="44" t="n">
        <v>0.41</v>
      </c>
      <c r="H86" s="44" t="n">
        <v>0.41</v>
      </c>
      <c r="I86" s="44" t="n">
        <v>0.41</v>
      </c>
      <c r="J86" s="44" t="n">
        <v>0.41</v>
      </c>
      <c r="K86" s="31" t="n">
        <v>1</v>
      </c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3" t="n">
        <f aca="false">($H86*V$1)/$K86</f>
        <v>0.5535</v>
      </c>
      <c r="W86" s="33" t="n">
        <f aca="false">($H86*W$1)/$K86</f>
        <v>0.568875</v>
      </c>
      <c r="X86" s="33" t="n">
        <f aca="false">($H86*X$1)/$K86</f>
        <v>0.58425</v>
      </c>
      <c r="Y86" s="33" t="n">
        <f aca="false">($H86*Y$1)/$K86</f>
        <v>0.599625</v>
      </c>
      <c r="Z86" s="34" t="n">
        <f aca="false">($I86*Z$1)/$K86</f>
        <v>0.615</v>
      </c>
      <c r="AA86" s="34" t="n">
        <f aca="false">($I86*AA$1)/$K86</f>
        <v>0.630375</v>
      </c>
      <c r="AB86" s="34" t="n">
        <f aca="false">($I86*AB$1)/$K86</f>
        <v>0.64575</v>
      </c>
      <c r="AC86" s="34" t="n">
        <f aca="false">($I86*AC$1)/$K86</f>
        <v>0.661125</v>
      </c>
      <c r="AD86" s="35" t="n">
        <f aca="false">($I86*AD$1)/$K86</f>
        <v>0.6765</v>
      </c>
      <c r="AE86" s="35" t="n">
        <f aca="false">($I86*AE$1)/$K86</f>
        <v>0.691875</v>
      </c>
    </row>
    <row r="87" customFormat="false" ht="15" hidden="false" customHeight="false" outlineLevel="0" collapsed="false">
      <c r="A87" s="0" t="s">
        <v>43</v>
      </c>
      <c r="B87" s="46" t="s">
        <v>171</v>
      </c>
      <c r="C87" s="16" t="s">
        <v>170</v>
      </c>
      <c r="D87" s="45" t="n">
        <v>23</v>
      </c>
      <c r="E87" s="45"/>
      <c r="F87" s="30" t="n">
        <f aca="false">G87</f>
        <v>0.41</v>
      </c>
      <c r="G87" s="44" t="n">
        <v>0.41</v>
      </c>
      <c r="H87" s="44" t="n">
        <v>0.41</v>
      </c>
      <c r="I87" s="44" t="n">
        <v>0.41</v>
      </c>
      <c r="J87" s="44" t="n">
        <v>0.41</v>
      </c>
      <c r="K87" s="31" t="n">
        <v>1</v>
      </c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3" t="n">
        <f aca="false">($H87*V$1)/$K87</f>
        <v>0.5535</v>
      </c>
      <c r="W87" s="33" t="n">
        <f aca="false">($H87*W$1)/$K87</f>
        <v>0.568875</v>
      </c>
      <c r="X87" s="33" t="n">
        <f aca="false">($H87*X$1)/$K87</f>
        <v>0.58425</v>
      </c>
      <c r="Y87" s="33" t="n">
        <f aca="false">($H87*Y$1)/$K87</f>
        <v>0.599625</v>
      </c>
      <c r="Z87" s="34" t="n">
        <f aca="false">($I87*Z$1)/$K87</f>
        <v>0.615</v>
      </c>
      <c r="AA87" s="34" t="n">
        <f aca="false">($I87*AA$1)/$K87</f>
        <v>0.630375</v>
      </c>
      <c r="AB87" s="34" t="n">
        <f aca="false">($I87*AB$1)/$K87</f>
        <v>0.64575</v>
      </c>
      <c r="AC87" s="34" t="n">
        <f aca="false">($I87*AC$1)/$K87</f>
        <v>0.661125</v>
      </c>
      <c r="AD87" s="35" t="n">
        <f aca="false">($I87*AD$1)/$K87</f>
        <v>0.6765</v>
      </c>
      <c r="AE87" s="35" t="n">
        <f aca="false">($I87*AE$1)/$K87</f>
        <v>0.691875</v>
      </c>
    </row>
    <row r="88" customFormat="false" ht="15" hidden="false" customHeight="false" outlineLevel="0" collapsed="false">
      <c r="A88" s="0" t="s">
        <v>43</v>
      </c>
      <c r="B88" s="46" t="s">
        <v>172</v>
      </c>
      <c r="C88" s="16" t="s">
        <v>173</v>
      </c>
      <c r="D88" s="45" t="n">
        <v>23</v>
      </c>
      <c r="E88" s="45"/>
      <c r="F88" s="30" t="n">
        <f aca="false">G88</f>
        <v>0.41</v>
      </c>
      <c r="G88" s="44" t="n">
        <v>0.41</v>
      </c>
      <c r="H88" s="44" t="n">
        <v>0.41</v>
      </c>
      <c r="I88" s="44" t="n">
        <v>0.41</v>
      </c>
      <c r="J88" s="44" t="n">
        <v>0.41</v>
      </c>
      <c r="K88" s="31" t="n">
        <v>1</v>
      </c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3" t="n">
        <f aca="false">($H88*V$1)/$K88</f>
        <v>0.5535</v>
      </c>
      <c r="W88" s="33" t="n">
        <f aca="false">($H88*W$1)/$K88</f>
        <v>0.568875</v>
      </c>
      <c r="X88" s="33" t="n">
        <f aca="false">($H88*X$1)/$K88</f>
        <v>0.58425</v>
      </c>
      <c r="Y88" s="33" t="n">
        <f aca="false">($H88*Y$1)/$K88</f>
        <v>0.599625</v>
      </c>
      <c r="Z88" s="34" t="n">
        <f aca="false">($I88*Z$1)/$K88</f>
        <v>0.615</v>
      </c>
      <c r="AA88" s="34" t="n">
        <f aca="false">($I88*AA$1)/$K88</f>
        <v>0.630375</v>
      </c>
      <c r="AB88" s="34" t="n">
        <f aca="false">($I88*AB$1)/$K88</f>
        <v>0.64575</v>
      </c>
      <c r="AC88" s="34" t="n">
        <f aca="false">($I88*AC$1)/$K88</f>
        <v>0.661125</v>
      </c>
      <c r="AD88" s="35" t="n">
        <f aca="false">($I88*AD$1)/$K88</f>
        <v>0.6765</v>
      </c>
      <c r="AE88" s="35" t="n">
        <f aca="false">($I88*AE$1)/$K88</f>
        <v>0.691875</v>
      </c>
    </row>
    <row r="89" customFormat="false" ht="15" hidden="false" customHeight="false" outlineLevel="0" collapsed="false">
      <c r="A89" s="0" t="s">
        <v>43</v>
      </c>
      <c r="B89" s="46" t="s">
        <v>174</v>
      </c>
      <c r="C89" s="16" t="s">
        <v>175</v>
      </c>
      <c r="D89" s="45" t="n">
        <v>23</v>
      </c>
      <c r="E89" s="45"/>
      <c r="F89" s="30" t="n">
        <f aca="false">G89</f>
        <v>0.41</v>
      </c>
      <c r="G89" s="44" t="n">
        <v>0.41</v>
      </c>
      <c r="H89" s="44" t="n">
        <v>0.41</v>
      </c>
      <c r="I89" s="44" t="n">
        <v>0.41</v>
      </c>
      <c r="J89" s="44" t="n">
        <v>0.41</v>
      </c>
      <c r="K89" s="31" t="n">
        <v>1</v>
      </c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3" t="n">
        <f aca="false">($H89*V$1)/$K89</f>
        <v>0.5535</v>
      </c>
      <c r="W89" s="33" t="n">
        <f aca="false">($H89*W$1)/$K89</f>
        <v>0.568875</v>
      </c>
      <c r="X89" s="33" t="n">
        <f aca="false">($H89*X$1)/$K89</f>
        <v>0.58425</v>
      </c>
      <c r="Y89" s="33" t="n">
        <f aca="false">($H89*Y$1)/$K89</f>
        <v>0.599625</v>
      </c>
      <c r="Z89" s="34" t="n">
        <f aca="false">($I89*Z$1)/$K89</f>
        <v>0.615</v>
      </c>
      <c r="AA89" s="34" t="n">
        <f aca="false">($I89*AA$1)/$K89</f>
        <v>0.630375</v>
      </c>
      <c r="AB89" s="34" t="n">
        <f aca="false">($I89*AB$1)/$K89</f>
        <v>0.64575</v>
      </c>
      <c r="AC89" s="34" t="n">
        <f aca="false">($I89*AC$1)/$K89</f>
        <v>0.661125</v>
      </c>
      <c r="AD89" s="35" t="n">
        <f aca="false">($I89*AD$1)/$K89</f>
        <v>0.6765</v>
      </c>
      <c r="AE89" s="35" t="n">
        <f aca="false">($I89*AE$1)/$K89</f>
        <v>0.691875</v>
      </c>
    </row>
    <row r="90" customFormat="false" ht="15" hidden="false" customHeight="false" outlineLevel="0" collapsed="false">
      <c r="A90" s="0" t="s">
        <v>43</v>
      </c>
      <c r="B90" s="46" t="s">
        <v>176</v>
      </c>
      <c r="C90" s="16" t="s">
        <v>175</v>
      </c>
      <c r="D90" s="45" t="n">
        <v>23</v>
      </c>
      <c r="E90" s="45"/>
      <c r="F90" s="30" t="n">
        <f aca="false">G90</f>
        <v>0.41</v>
      </c>
      <c r="G90" s="44" t="n">
        <v>0.41</v>
      </c>
      <c r="H90" s="44" t="n">
        <v>0.41</v>
      </c>
      <c r="I90" s="44" t="n">
        <v>0.41</v>
      </c>
      <c r="J90" s="44" t="n">
        <v>0.41</v>
      </c>
      <c r="K90" s="31" t="n">
        <v>1</v>
      </c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3" t="n">
        <f aca="false">($H90*V$1)/$K90</f>
        <v>0.5535</v>
      </c>
      <c r="W90" s="33" t="n">
        <f aca="false">($H90*W$1)/$K90</f>
        <v>0.568875</v>
      </c>
      <c r="X90" s="33" t="n">
        <f aca="false">($H90*X$1)/$K90</f>
        <v>0.58425</v>
      </c>
      <c r="Y90" s="33" t="n">
        <f aca="false">($H90*Y$1)/$K90</f>
        <v>0.599625</v>
      </c>
      <c r="Z90" s="34" t="n">
        <f aca="false">($I90*Z$1)/$K90</f>
        <v>0.615</v>
      </c>
      <c r="AA90" s="34" t="n">
        <f aca="false">($I90*AA$1)/$K90</f>
        <v>0.630375</v>
      </c>
      <c r="AB90" s="34" t="n">
        <f aca="false">($I90*AB$1)/$K90</f>
        <v>0.64575</v>
      </c>
      <c r="AC90" s="34" t="n">
        <f aca="false">($I90*AC$1)/$K90</f>
        <v>0.661125</v>
      </c>
      <c r="AD90" s="35" t="n">
        <f aca="false">($I90*AD$1)/$K90</f>
        <v>0.6765</v>
      </c>
      <c r="AE90" s="35" t="n">
        <f aca="false">($I90*AE$1)/$K90</f>
        <v>0.691875</v>
      </c>
    </row>
    <row r="91" customFormat="false" ht="15" hidden="false" customHeight="false" outlineLevel="0" collapsed="false">
      <c r="A91" s="0" t="s">
        <v>46</v>
      </c>
      <c r="B91" s="46" t="s">
        <v>177</v>
      </c>
      <c r="C91" s="16" t="s">
        <v>178</v>
      </c>
      <c r="D91" s="45" t="n">
        <v>26</v>
      </c>
      <c r="E91" s="45"/>
      <c r="F91" s="30" t="n">
        <f aca="false">G91</f>
        <v>0.212</v>
      </c>
      <c r="G91" s="44" t="n">
        <v>0.212</v>
      </c>
      <c r="H91" s="44" t="n">
        <v>0.212</v>
      </c>
      <c r="I91" s="44" t="n">
        <f aca="false">+(H91+J91)/2</f>
        <v>0.231</v>
      </c>
      <c r="J91" s="44" t="n">
        <v>0.25</v>
      </c>
      <c r="K91" s="31" t="n">
        <v>1</v>
      </c>
      <c r="L91" s="32"/>
      <c r="M91" s="32"/>
      <c r="N91" s="32"/>
      <c r="O91" s="32"/>
      <c r="P91" s="32"/>
      <c r="Q91" s="32" t="n">
        <f aca="false">($G91*Q$1)/$K91</f>
        <v>0.24645</v>
      </c>
      <c r="R91" s="32" t="n">
        <f aca="false">($G91*R$1)/$K91</f>
        <v>0.2544</v>
      </c>
      <c r="S91" s="32" t="n">
        <f aca="false">($G91*S$1)/$K91</f>
        <v>0.26235</v>
      </c>
      <c r="T91" s="32" t="n">
        <f aca="false">($G91*T$1)/$K91</f>
        <v>0.2703</v>
      </c>
      <c r="U91" s="32" t="n">
        <f aca="false">($G91*U$1)/$K91</f>
        <v>0.27825</v>
      </c>
      <c r="V91" s="33" t="n">
        <f aca="false">($H91*V$1)/$K91</f>
        <v>0.2862</v>
      </c>
      <c r="W91" s="33" t="n">
        <f aca="false">($H91*W$1)/$K91</f>
        <v>0.29415</v>
      </c>
      <c r="X91" s="33" t="n">
        <f aca="false">($H91*X$1)/$K91</f>
        <v>0.3021</v>
      </c>
      <c r="Y91" s="33" t="n">
        <f aca="false">($H91*Y$1)/$K91</f>
        <v>0.31005</v>
      </c>
      <c r="Z91" s="34" t="n">
        <f aca="false">($I91*Z$1)/$K91</f>
        <v>0.3465</v>
      </c>
      <c r="AA91" s="34" t="n">
        <f aca="false">($I91*AA$1)/$K91</f>
        <v>0.3551625</v>
      </c>
      <c r="AB91" s="34" t="n">
        <f aca="false">($I91*AB$1)/$K91</f>
        <v>0.363825</v>
      </c>
      <c r="AC91" s="34" t="n">
        <f aca="false">($I91*AC$1)/$K91</f>
        <v>0.3724875</v>
      </c>
      <c r="AD91" s="35" t="n">
        <f aca="false">($I91*AD$1)/$K91</f>
        <v>0.38115</v>
      </c>
      <c r="AE91" s="35" t="n">
        <f aca="false">($I91*AE$1)/$K91</f>
        <v>0.3898125</v>
      </c>
    </row>
    <row r="92" customFormat="false" ht="15" hidden="false" customHeight="false" outlineLevel="0" collapsed="false">
      <c r="A92" s="0" t="s">
        <v>46</v>
      </c>
      <c r="B92" s="46" t="s">
        <v>179</v>
      </c>
      <c r="C92" s="16" t="s">
        <v>180</v>
      </c>
      <c r="D92" s="45" t="n">
        <v>26</v>
      </c>
      <c r="E92" s="45"/>
      <c r="F92" s="30" t="n">
        <f aca="false">G92</f>
        <v>0.212</v>
      </c>
      <c r="G92" s="44" t="n">
        <v>0.212</v>
      </c>
      <c r="H92" s="44" t="n">
        <v>0.212</v>
      </c>
      <c r="I92" s="44" t="n">
        <f aca="false">+(H92+J92)/2</f>
        <v>0.231</v>
      </c>
      <c r="J92" s="44" t="n">
        <v>0.25</v>
      </c>
      <c r="K92" s="31" t="n">
        <v>1</v>
      </c>
      <c r="L92" s="32"/>
      <c r="M92" s="32"/>
      <c r="N92" s="32"/>
      <c r="O92" s="32"/>
      <c r="P92" s="32"/>
      <c r="Q92" s="32" t="n">
        <f aca="false">($G92*Q$1)/$K92</f>
        <v>0.24645</v>
      </c>
      <c r="R92" s="32" t="n">
        <f aca="false">($G92*R$1)/$K92</f>
        <v>0.2544</v>
      </c>
      <c r="S92" s="32" t="n">
        <f aca="false">($G92*S$1)/$K92</f>
        <v>0.26235</v>
      </c>
      <c r="T92" s="32" t="n">
        <f aca="false">($G92*T$1)/$K92</f>
        <v>0.2703</v>
      </c>
      <c r="U92" s="32" t="n">
        <f aca="false">($G92*U$1)/$K92</f>
        <v>0.27825</v>
      </c>
      <c r="V92" s="33" t="n">
        <f aca="false">($H92*V$1)/$K92</f>
        <v>0.2862</v>
      </c>
      <c r="W92" s="33" t="n">
        <f aca="false">($H92*W$1)/$K92</f>
        <v>0.29415</v>
      </c>
      <c r="X92" s="33" t="n">
        <f aca="false">($H92*X$1)/$K92</f>
        <v>0.3021</v>
      </c>
      <c r="Y92" s="33" t="n">
        <f aca="false">($H92*Y$1)/$K92</f>
        <v>0.31005</v>
      </c>
      <c r="Z92" s="34"/>
      <c r="AA92" s="34"/>
      <c r="AB92" s="34"/>
      <c r="AC92" s="34"/>
      <c r="AD92" s="35"/>
      <c r="AE92" s="35"/>
    </row>
    <row r="93" customFormat="false" ht="15" hidden="false" customHeight="false" outlineLevel="0" collapsed="false">
      <c r="A93" s="0" t="s">
        <v>46</v>
      </c>
      <c r="B93" s="46" t="s">
        <v>181</v>
      </c>
      <c r="C93" s="16" t="s">
        <v>180</v>
      </c>
      <c r="D93" s="45" t="n">
        <v>26</v>
      </c>
      <c r="E93" s="45"/>
      <c r="F93" s="30" t="n">
        <f aca="false">G93</f>
        <v>0.212</v>
      </c>
      <c r="G93" s="44" t="n">
        <v>0.212</v>
      </c>
      <c r="H93" s="44" t="n">
        <v>0.212</v>
      </c>
      <c r="I93" s="44" t="n">
        <f aca="false">+(H93+J93)/2</f>
        <v>0.231</v>
      </c>
      <c r="J93" s="44" t="n">
        <v>0.25</v>
      </c>
      <c r="K93" s="31" t="n">
        <v>1</v>
      </c>
      <c r="L93" s="32"/>
      <c r="M93" s="32"/>
      <c r="N93" s="32"/>
      <c r="O93" s="32"/>
      <c r="P93" s="32"/>
      <c r="Q93" s="32" t="n">
        <f aca="false">($G93*Q$1)/$K93</f>
        <v>0.24645</v>
      </c>
      <c r="R93" s="32" t="n">
        <f aca="false">($G93*R$1)/$K93</f>
        <v>0.2544</v>
      </c>
      <c r="S93" s="32" t="n">
        <f aca="false">($G93*S$1)/$K93</f>
        <v>0.26235</v>
      </c>
      <c r="T93" s="32" t="n">
        <f aca="false">($G93*T$1)/$K93</f>
        <v>0.2703</v>
      </c>
      <c r="U93" s="32" t="n">
        <f aca="false">($G93*U$1)/$K93</f>
        <v>0.27825</v>
      </c>
      <c r="V93" s="33" t="n">
        <f aca="false">($H93*V$1)/$K93</f>
        <v>0.2862</v>
      </c>
      <c r="W93" s="33" t="n">
        <f aca="false">($H93*W$1)/$K93</f>
        <v>0.29415</v>
      </c>
      <c r="X93" s="33" t="n">
        <f aca="false">($H93*X$1)/$K93</f>
        <v>0.3021</v>
      </c>
      <c r="Y93" s="33" t="n">
        <f aca="false">($H93*Y$1)/$K93</f>
        <v>0.31005</v>
      </c>
      <c r="Z93" s="34"/>
      <c r="AA93" s="34"/>
      <c r="AB93" s="34"/>
      <c r="AC93" s="34"/>
      <c r="AD93" s="35"/>
      <c r="AE93" s="35"/>
    </row>
    <row r="94" customFormat="false" ht="15" hidden="false" customHeight="false" outlineLevel="0" collapsed="false">
      <c r="A94" s="0" t="s">
        <v>46</v>
      </c>
      <c r="B94" s="46" t="s">
        <v>182</v>
      </c>
      <c r="C94" s="16" t="s">
        <v>183</v>
      </c>
      <c r="D94" s="45" t="n">
        <v>26</v>
      </c>
      <c r="E94" s="45"/>
      <c r="F94" s="30" t="n">
        <f aca="false">G94</f>
        <v>0.212</v>
      </c>
      <c r="G94" s="44" t="n">
        <v>0.212</v>
      </c>
      <c r="H94" s="44" t="n">
        <v>0.212</v>
      </c>
      <c r="I94" s="44" t="n">
        <f aca="false">+(H94+J94)/2</f>
        <v>0.231</v>
      </c>
      <c r="J94" s="44" t="n">
        <v>0.25</v>
      </c>
      <c r="K94" s="31" t="n">
        <v>1</v>
      </c>
      <c r="L94" s="32"/>
      <c r="M94" s="32"/>
      <c r="N94" s="32"/>
      <c r="O94" s="32"/>
      <c r="P94" s="32"/>
      <c r="Q94" s="32" t="n">
        <f aca="false">($G94*Q$1)/$K94</f>
        <v>0.24645</v>
      </c>
      <c r="R94" s="32" t="n">
        <f aca="false">($G94*R$1)/$K94</f>
        <v>0.2544</v>
      </c>
      <c r="S94" s="32" t="n">
        <f aca="false">($G94*S$1)/$K94</f>
        <v>0.26235</v>
      </c>
      <c r="T94" s="32" t="n">
        <f aca="false">($G94*T$1)/$K94</f>
        <v>0.2703</v>
      </c>
      <c r="U94" s="32" t="n">
        <f aca="false">($G94*U$1)/$K94</f>
        <v>0.27825</v>
      </c>
      <c r="V94" s="33" t="n">
        <f aca="false">($H94*V$1)/$K94</f>
        <v>0.2862</v>
      </c>
      <c r="W94" s="33" t="n">
        <f aca="false">($H94*W$1)/$K94</f>
        <v>0.29415</v>
      </c>
      <c r="X94" s="33" t="n">
        <f aca="false">($H94*X$1)/$K94</f>
        <v>0.3021</v>
      </c>
      <c r="Y94" s="33" t="n">
        <f aca="false">($H94*Y$1)/$K94</f>
        <v>0.31005</v>
      </c>
      <c r="Z94" s="34"/>
      <c r="AA94" s="34"/>
      <c r="AB94" s="34"/>
      <c r="AC94" s="34"/>
      <c r="AD94" s="35"/>
      <c r="AE94" s="35"/>
    </row>
    <row r="95" customFormat="false" ht="15" hidden="false" customHeight="false" outlineLevel="0" collapsed="false">
      <c r="A95" s="0" t="s">
        <v>46</v>
      </c>
      <c r="B95" s="46" t="s">
        <v>184</v>
      </c>
      <c r="C95" s="16" t="s">
        <v>185</v>
      </c>
      <c r="D95" s="45" t="n">
        <v>26</v>
      </c>
      <c r="E95" s="45"/>
      <c r="F95" s="30" t="n">
        <f aca="false">G95</f>
        <v>0.212</v>
      </c>
      <c r="G95" s="44" t="n">
        <v>0.212</v>
      </c>
      <c r="H95" s="44" t="n">
        <v>0.212</v>
      </c>
      <c r="I95" s="44" t="n">
        <f aca="false">+(H95+J95)/2</f>
        <v>0.231</v>
      </c>
      <c r="J95" s="44" t="n">
        <v>0.25</v>
      </c>
      <c r="K95" s="31" t="n">
        <v>1</v>
      </c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3"/>
      <c r="W95" s="33"/>
      <c r="X95" s="33" t="n">
        <f aca="false">($H95*X$1)/$K95</f>
        <v>0.3021</v>
      </c>
      <c r="Y95" s="33" t="n">
        <f aca="false">($H95*Y$1)/$K95</f>
        <v>0.31005</v>
      </c>
      <c r="Z95" s="34" t="n">
        <f aca="false">($I95*Z$1)/$K95</f>
        <v>0.3465</v>
      </c>
      <c r="AA95" s="34" t="n">
        <f aca="false">($I95*AA$1)/$K95</f>
        <v>0.3551625</v>
      </c>
      <c r="AB95" s="34" t="n">
        <f aca="false">($I95*AB$1)/$K95</f>
        <v>0.363825</v>
      </c>
      <c r="AC95" s="34" t="n">
        <f aca="false">($I95*AC$1)/$K95</f>
        <v>0.3724875</v>
      </c>
      <c r="AD95" s="35" t="n">
        <f aca="false">($I95*AD$1)/$K95</f>
        <v>0.38115</v>
      </c>
      <c r="AE95" s="35" t="n">
        <f aca="false">($I95*AE$1)/$K95</f>
        <v>0.3898125</v>
      </c>
    </row>
    <row r="96" customFormat="false" ht="15" hidden="false" customHeight="false" outlineLevel="0" collapsed="false">
      <c r="A96" s="0" t="s">
        <v>46</v>
      </c>
      <c r="B96" s="46" t="s">
        <v>186</v>
      </c>
      <c r="C96" s="16" t="s">
        <v>187</v>
      </c>
      <c r="D96" s="45" t="n">
        <v>26</v>
      </c>
      <c r="E96" s="45"/>
      <c r="F96" s="30" t="n">
        <f aca="false">G96</f>
        <v>0.212</v>
      </c>
      <c r="G96" s="44" t="n">
        <v>0.212</v>
      </c>
      <c r="H96" s="44" t="n">
        <v>0.212</v>
      </c>
      <c r="I96" s="44" t="n">
        <f aca="false">+(H96+J96)/2</f>
        <v>0.231</v>
      </c>
      <c r="J96" s="44" t="n">
        <v>0.25</v>
      </c>
      <c r="K96" s="31" t="n">
        <v>1</v>
      </c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3"/>
      <c r="W96" s="33"/>
      <c r="X96" s="33"/>
      <c r="Y96" s="33"/>
      <c r="Z96" s="34" t="n">
        <f aca="false">($I96*Z$1)/$K96</f>
        <v>0.3465</v>
      </c>
      <c r="AA96" s="34" t="n">
        <f aca="false">($I96*AA$1)/$K96</f>
        <v>0.3551625</v>
      </c>
      <c r="AB96" s="34" t="n">
        <f aca="false">($I96*AB$1)/$K96</f>
        <v>0.363825</v>
      </c>
      <c r="AC96" s="34" t="n">
        <f aca="false">($I96*AC$1)/$K96</f>
        <v>0.3724875</v>
      </c>
      <c r="AD96" s="35" t="n">
        <f aca="false">($I96*AD$1)/$K96</f>
        <v>0.38115</v>
      </c>
      <c r="AE96" s="35" t="n">
        <f aca="false">($I96*AE$1)/$K96</f>
        <v>0.3898125</v>
      </c>
    </row>
    <row r="97" customFormat="false" ht="15" hidden="false" customHeight="false" outlineLevel="0" collapsed="false">
      <c r="A97" s="0" t="s">
        <v>46</v>
      </c>
      <c r="B97" s="46" t="s">
        <v>188</v>
      </c>
      <c r="C97" s="16" t="s">
        <v>189</v>
      </c>
      <c r="D97" s="45" t="n">
        <v>26</v>
      </c>
      <c r="E97" s="45"/>
      <c r="F97" s="30" t="n">
        <f aca="false">G97</f>
        <v>0.212</v>
      </c>
      <c r="G97" s="44" t="n">
        <v>0.212</v>
      </c>
      <c r="H97" s="44" t="n">
        <v>0.212</v>
      </c>
      <c r="I97" s="44" t="n">
        <f aca="false">+(H97+J97)/2</f>
        <v>0.231</v>
      </c>
      <c r="J97" s="44" t="n">
        <v>0.25</v>
      </c>
      <c r="K97" s="31" t="n">
        <v>1</v>
      </c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3"/>
      <c r="W97" s="33"/>
      <c r="X97" s="33"/>
      <c r="Y97" s="33"/>
      <c r="Z97" s="34" t="n">
        <f aca="false">($I97*Z$1)/$K97</f>
        <v>0.3465</v>
      </c>
      <c r="AA97" s="34" t="n">
        <f aca="false">($I97*AA$1)/$K97</f>
        <v>0.3551625</v>
      </c>
      <c r="AB97" s="34" t="n">
        <f aca="false">($I97*AB$1)/$K97</f>
        <v>0.363825</v>
      </c>
      <c r="AC97" s="34" t="n">
        <f aca="false">($I97*AC$1)/$K97</f>
        <v>0.3724875</v>
      </c>
      <c r="AD97" s="35" t="n">
        <f aca="false">($I97*AD$1)/$K97</f>
        <v>0.38115</v>
      </c>
      <c r="AE97" s="35" t="n">
        <f aca="false">($I97*AE$1)/$K97</f>
        <v>0.3898125</v>
      </c>
    </row>
    <row r="98" customFormat="false" ht="15" hidden="false" customHeight="false" outlineLevel="0" collapsed="false">
      <c r="A98" s="0" t="s">
        <v>46</v>
      </c>
      <c r="B98" s="46" t="s">
        <v>190</v>
      </c>
      <c r="C98" s="16" t="s">
        <v>189</v>
      </c>
      <c r="D98" s="45" t="n">
        <v>26</v>
      </c>
      <c r="E98" s="45"/>
      <c r="F98" s="30" t="n">
        <f aca="false">G98</f>
        <v>0.212</v>
      </c>
      <c r="G98" s="44" t="n">
        <v>0.212</v>
      </c>
      <c r="H98" s="44" t="n">
        <v>0.212</v>
      </c>
      <c r="I98" s="44" t="n">
        <f aca="false">+(H98+J98)/2</f>
        <v>0.231</v>
      </c>
      <c r="J98" s="44" t="n">
        <v>0.25</v>
      </c>
      <c r="K98" s="31" t="n">
        <v>1</v>
      </c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3"/>
      <c r="W98" s="33"/>
      <c r="X98" s="33"/>
      <c r="Y98" s="33"/>
      <c r="Z98" s="34" t="n">
        <f aca="false">($I98*Z$1)/$K98</f>
        <v>0.3465</v>
      </c>
      <c r="AA98" s="34" t="n">
        <f aca="false">($I98*AA$1)/$K98</f>
        <v>0.3551625</v>
      </c>
      <c r="AB98" s="34" t="n">
        <f aca="false">($I98*AB$1)/$K98</f>
        <v>0.363825</v>
      </c>
      <c r="AC98" s="34" t="n">
        <f aca="false">($I98*AC$1)/$K98</f>
        <v>0.3724875</v>
      </c>
      <c r="AD98" s="35" t="n">
        <f aca="false">($I98*AD$1)/$K98</f>
        <v>0.38115</v>
      </c>
      <c r="AE98" s="35" t="n">
        <f aca="false">($I98*AE$1)/$K98</f>
        <v>0.3898125</v>
      </c>
    </row>
    <row r="99" customFormat="false" ht="15" hidden="false" customHeight="false" outlineLevel="0" collapsed="false">
      <c r="A99" s="0" t="s">
        <v>46</v>
      </c>
      <c r="B99" s="46" t="s">
        <v>191</v>
      </c>
      <c r="C99" s="16" t="s">
        <v>192</v>
      </c>
      <c r="D99" s="45" t="n">
        <v>26</v>
      </c>
      <c r="E99" s="45"/>
      <c r="F99" s="30" t="n">
        <f aca="false">G99</f>
        <v>0.212</v>
      </c>
      <c r="G99" s="44" t="n">
        <v>0.212</v>
      </c>
      <c r="H99" s="44" t="n">
        <v>0.212</v>
      </c>
      <c r="I99" s="44" t="n">
        <f aca="false">+(H99+J99)/2</f>
        <v>0.231</v>
      </c>
      <c r="J99" s="44" t="n">
        <v>0.25</v>
      </c>
      <c r="K99" s="31" t="n">
        <v>1</v>
      </c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3"/>
      <c r="W99" s="33"/>
      <c r="X99" s="33"/>
      <c r="Y99" s="33"/>
      <c r="Z99" s="34" t="n">
        <f aca="false">($I99*Z$1)/$K99</f>
        <v>0.3465</v>
      </c>
      <c r="AA99" s="34" t="n">
        <f aca="false">($I99*AA$1)/$K99</f>
        <v>0.3551625</v>
      </c>
      <c r="AB99" s="34" t="n">
        <f aca="false">($I99*AB$1)/$K99</f>
        <v>0.363825</v>
      </c>
      <c r="AC99" s="34" t="n">
        <f aca="false">($I99*AC$1)/$K99</f>
        <v>0.3724875</v>
      </c>
      <c r="AD99" s="35" t="n">
        <f aca="false">($I99*AD$1)/$K99</f>
        <v>0.38115</v>
      </c>
      <c r="AE99" s="35" t="n">
        <f aca="false">($I99*AE$1)/$K99</f>
        <v>0.3898125</v>
      </c>
    </row>
    <row r="100" customFormat="false" ht="15" hidden="false" customHeight="false" outlineLevel="0" collapsed="false">
      <c r="A100" s="0" t="s">
        <v>46</v>
      </c>
      <c r="B100" s="46" t="s">
        <v>193</v>
      </c>
      <c r="C100" s="16" t="s">
        <v>194</v>
      </c>
      <c r="D100" s="45" t="n">
        <v>26</v>
      </c>
      <c r="E100" s="45"/>
      <c r="F100" s="30" t="n">
        <f aca="false">G100</f>
        <v>0.212</v>
      </c>
      <c r="G100" s="44" t="n">
        <v>0.212</v>
      </c>
      <c r="H100" s="44" t="n">
        <v>0.212</v>
      </c>
      <c r="I100" s="44" t="n">
        <f aca="false">+(H100+J100)/2</f>
        <v>0.231</v>
      </c>
      <c r="J100" s="44" t="n">
        <v>0.25</v>
      </c>
      <c r="K100" s="31" t="n">
        <v>1</v>
      </c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3"/>
      <c r="W100" s="33"/>
      <c r="X100" s="33"/>
      <c r="Y100" s="33"/>
      <c r="Z100" s="34" t="n">
        <f aca="false">($I100*Z$1)/$K100</f>
        <v>0.3465</v>
      </c>
      <c r="AA100" s="34" t="n">
        <f aca="false">($I100*AA$1)/$K100</f>
        <v>0.3551625</v>
      </c>
      <c r="AB100" s="34" t="n">
        <f aca="false">($I100*AB$1)/$K100</f>
        <v>0.363825</v>
      </c>
      <c r="AC100" s="34" t="n">
        <f aca="false">($I100*AC$1)/$K100</f>
        <v>0.3724875</v>
      </c>
      <c r="AD100" s="35" t="n">
        <f aca="false">($I100*AD$1)/$K100</f>
        <v>0.38115</v>
      </c>
      <c r="AE100" s="35" t="n">
        <f aca="false">($I100*AE$1)/$K100</f>
        <v>0.3898125</v>
      </c>
    </row>
    <row r="101" customFormat="false" ht="15" hidden="false" customHeight="false" outlineLevel="0" collapsed="false">
      <c r="A101" s="0" t="s">
        <v>46</v>
      </c>
      <c r="B101" s="46" t="s">
        <v>195</v>
      </c>
      <c r="C101" s="16" t="s">
        <v>194</v>
      </c>
      <c r="D101" s="45" t="n">
        <v>26</v>
      </c>
      <c r="E101" s="45"/>
      <c r="F101" s="30" t="n">
        <f aca="false">G101</f>
        <v>0.212</v>
      </c>
      <c r="G101" s="44" t="n">
        <v>0.212</v>
      </c>
      <c r="H101" s="44" t="n">
        <v>0.212</v>
      </c>
      <c r="I101" s="44" t="n">
        <f aca="false">+(H101+J101)/2</f>
        <v>0.231</v>
      </c>
      <c r="J101" s="44" t="n">
        <v>0.25</v>
      </c>
      <c r="K101" s="31" t="n">
        <v>1</v>
      </c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3"/>
      <c r="W101" s="33"/>
      <c r="X101" s="33"/>
      <c r="Y101" s="33"/>
      <c r="Z101" s="34" t="n">
        <f aca="false">($I101*Z$1)/$K101</f>
        <v>0.3465</v>
      </c>
      <c r="AA101" s="34" t="n">
        <f aca="false">($I101*AA$1)/$K101</f>
        <v>0.3551625</v>
      </c>
      <c r="AB101" s="34" t="n">
        <f aca="false">($I101*AB$1)/$K101</f>
        <v>0.363825</v>
      </c>
      <c r="AC101" s="34" t="n">
        <f aca="false">($I101*AC$1)/$K101</f>
        <v>0.3724875</v>
      </c>
      <c r="AD101" s="35" t="n">
        <f aca="false">($I101*AD$1)/$K101</f>
        <v>0.38115</v>
      </c>
      <c r="AE101" s="35" t="n">
        <f aca="false">($I101*AE$1)/$K101</f>
        <v>0.3898125</v>
      </c>
    </row>
    <row r="102" customFormat="false" ht="15" hidden="false" customHeight="false" outlineLevel="0" collapsed="false">
      <c r="A102" s="0" t="s">
        <v>46</v>
      </c>
      <c r="B102" s="46" t="s">
        <v>196</v>
      </c>
      <c r="C102" s="16" t="s">
        <v>197</v>
      </c>
      <c r="D102" s="45" t="n">
        <v>26</v>
      </c>
      <c r="E102" s="45"/>
      <c r="F102" s="30" t="n">
        <f aca="false">G102</f>
        <v>0.212</v>
      </c>
      <c r="G102" s="44" t="n">
        <v>0.212</v>
      </c>
      <c r="H102" s="44" t="n">
        <v>0.212</v>
      </c>
      <c r="I102" s="44" t="n">
        <f aca="false">+(H102+J102)/2</f>
        <v>0.231</v>
      </c>
      <c r="J102" s="44" t="n">
        <v>0.25</v>
      </c>
      <c r="K102" s="31" t="n">
        <v>1</v>
      </c>
      <c r="L102" s="32"/>
      <c r="M102" s="32"/>
      <c r="N102" s="32"/>
      <c r="O102" s="32"/>
      <c r="P102" s="32"/>
      <c r="Q102" s="32"/>
      <c r="R102" s="32"/>
      <c r="S102" s="32" t="n">
        <f aca="false">($G102*S$1)/$K102</f>
        <v>0.26235</v>
      </c>
      <c r="T102" s="32" t="n">
        <f aca="false">($G102*T$1)/$K102</f>
        <v>0.2703</v>
      </c>
      <c r="U102" s="32" t="n">
        <f aca="false">($G102*U$1)/$K102</f>
        <v>0.27825</v>
      </c>
      <c r="V102" s="33" t="n">
        <f aca="false">($H102*V$1)/$K102</f>
        <v>0.2862</v>
      </c>
      <c r="W102" s="33" t="n">
        <f aca="false">($H102*W$1)/$K102</f>
        <v>0.29415</v>
      </c>
      <c r="X102" s="33" t="n">
        <f aca="false">($H102*X$1)/$K102</f>
        <v>0.3021</v>
      </c>
      <c r="Y102" s="33" t="n">
        <f aca="false">($H102*Y$1)/$K102</f>
        <v>0.31005</v>
      </c>
      <c r="Z102" s="34"/>
      <c r="AA102" s="34"/>
      <c r="AB102" s="34"/>
      <c r="AC102" s="34"/>
      <c r="AD102" s="35"/>
      <c r="AE102" s="35"/>
    </row>
    <row r="103" customFormat="false" ht="15" hidden="false" customHeight="false" outlineLevel="0" collapsed="false">
      <c r="A103" s="0" t="s">
        <v>46</v>
      </c>
      <c r="B103" s="46" t="s">
        <v>198</v>
      </c>
      <c r="C103" s="16" t="s">
        <v>199</v>
      </c>
      <c r="D103" s="45" t="n">
        <v>26</v>
      </c>
      <c r="E103" s="45"/>
      <c r="F103" s="30" t="n">
        <f aca="false">G103</f>
        <v>0.212</v>
      </c>
      <c r="G103" s="44" t="n">
        <v>0.212</v>
      </c>
      <c r="H103" s="44" t="n">
        <v>0.212</v>
      </c>
      <c r="I103" s="44" t="n">
        <f aca="false">+(H103+J103)/2</f>
        <v>0.231</v>
      </c>
      <c r="J103" s="44" t="n">
        <v>0.25</v>
      </c>
      <c r="K103" s="31" t="n">
        <v>1</v>
      </c>
      <c r="L103" s="32"/>
      <c r="M103" s="32"/>
      <c r="N103" s="32"/>
      <c r="O103" s="32"/>
      <c r="P103" s="32"/>
      <c r="Q103" s="32"/>
      <c r="R103" s="32"/>
      <c r="S103" s="32" t="n">
        <f aca="false">($G103*S$1)/$K103</f>
        <v>0.26235</v>
      </c>
      <c r="T103" s="32" t="n">
        <f aca="false">($G103*T$1)/$K103</f>
        <v>0.2703</v>
      </c>
      <c r="U103" s="32" t="n">
        <f aca="false">($G103*U$1)/$K103</f>
        <v>0.27825</v>
      </c>
      <c r="V103" s="33" t="n">
        <f aca="false">($H103*V$1)/$K103</f>
        <v>0.2862</v>
      </c>
      <c r="W103" s="33" t="n">
        <f aca="false">($H103*W$1)/$K103</f>
        <v>0.29415</v>
      </c>
      <c r="X103" s="33" t="n">
        <f aca="false">($H103*X$1)/$K103</f>
        <v>0.3021</v>
      </c>
      <c r="Y103" s="33" t="n">
        <f aca="false">($H103*Y$1)/$K103</f>
        <v>0.31005</v>
      </c>
      <c r="Z103" s="34"/>
      <c r="AA103" s="34"/>
      <c r="AB103" s="34"/>
      <c r="AC103" s="34"/>
      <c r="AD103" s="35"/>
      <c r="AE103" s="35"/>
    </row>
    <row r="104" customFormat="false" ht="15" hidden="false" customHeight="false" outlineLevel="0" collapsed="false">
      <c r="A104" s="0" t="s">
        <v>15</v>
      </c>
      <c r="B104" s="46" t="s">
        <v>200</v>
      </c>
      <c r="C104" s="16" t="s">
        <v>201</v>
      </c>
      <c r="D104" s="45" t="n">
        <v>26</v>
      </c>
      <c r="E104" s="45"/>
      <c r="F104" s="30" t="n">
        <f aca="false">G104</f>
        <v>0.148112988969661</v>
      </c>
      <c r="G104" s="44" t="n">
        <v>0.148112988969661</v>
      </c>
      <c r="H104" s="44" t="n">
        <v>0.148112988969661</v>
      </c>
      <c r="I104" s="44" t="n">
        <f aca="false">+(H104+J104)/2</f>
        <v>0.154056494484831</v>
      </c>
      <c r="J104" s="44" t="n">
        <v>0.16</v>
      </c>
      <c r="K104" s="31" t="n">
        <v>1</v>
      </c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3" t="n">
        <f aca="false">($H104*V$1)/$K104</f>
        <v>0.199952535109043</v>
      </c>
      <c r="W104" s="33" t="n">
        <f aca="false">($H104*W$1)/$K104</f>
        <v>0.205506772195405</v>
      </c>
      <c r="X104" s="33" t="n">
        <f aca="false">($H104*X$1)/$K104</f>
        <v>0.211061009281767</v>
      </c>
      <c r="Y104" s="33" t="n">
        <f aca="false">($H104*Y$1)/$K104</f>
        <v>0.216615246368129</v>
      </c>
      <c r="Z104" s="34" t="n">
        <f aca="false">($I104*Z$1)/$K104</f>
        <v>0.231084741727246</v>
      </c>
      <c r="AA104" s="34" t="n">
        <f aca="false">($I104*AA$1)/$K104</f>
        <v>0.236861860270427</v>
      </c>
      <c r="AB104" s="34" t="n">
        <f aca="false">($I104*AB$1)/$K104</f>
        <v>0.242638978813608</v>
      </c>
      <c r="AC104" s="34" t="n">
        <f aca="false">($I104*AC$1)/$K104</f>
        <v>0.248416097356789</v>
      </c>
      <c r="AD104" s="35" t="n">
        <f aca="false">($I104*AD$1)/$K104</f>
        <v>0.25419321589997</v>
      </c>
      <c r="AE104" s="35" t="n">
        <f aca="false">($I104*AE$1)/$K104</f>
        <v>0.259970334443152</v>
      </c>
    </row>
    <row r="105" customFormat="false" ht="15" hidden="false" customHeight="false" outlineLevel="0" collapsed="false">
      <c r="A105" s="0" t="s">
        <v>15</v>
      </c>
      <c r="B105" s="46" t="s">
        <v>202</v>
      </c>
      <c r="C105" s="16" t="s">
        <v>201</v>
      </c>
      <c r="D105" s="45" t="n">
        <v>26</v>
      </c>
      <c r="E105" s="45"/>
      <c r="F105" s="30" t="n">
        <f aca="false">G105</f>
        <v>0.148112988969661</v>
      </c>
      <c r="G105" s="44" t="n">
        <v>0.148112988969661</v>
      </c>
      <c r="H105" s="44" t="n">
        <v>0.148112988969661</v>
      </c>
      <c r="I105" s="44" t="n">
        <f aca="false">+(H105+J105)/2</f>
        <v>0.154056494484831</v>
      </c>
      <c r="J105" s="44" t="n">
        <v>0.16</v>
      </c>
      <c r="K105" s="31" t="n">
        <v>1</v>
      </c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3" t="n">
        <f aca="false">($H105*V$1)/$K105</f>
        <v>0.199952535109043</v>
      </c>
      <c r="W105" s="33" t="n">
        <f aca="false">($H105*W$1)/$K105</f>
        <v>0.205506772195405</v>
      </c>
      <c r="X105" s="33" t="n">
        <f aca="false">($H105*X$1)/$K105</f>
        <v>0.211061009281767</v>
      </c>
      <c r="Y105" s="33" t="n">
        <f aca="false">($H105*Y$1)/$K105</f>
        <v>0.216615246368129</v>
      </c>
      <c r="Z105" s="34" t="n">
        <f aca="false">($I105*Z$1)/$K105</f>
        <v>0.231084741727246</v>
      </c>
      <c r="AA105" s="34" t="n">
        <f aca="false">($I105*AA$1)/$K105</f>
        <v>0.236861860270427</v>
      </c>
      <c r="AB105" s="34" t="n">
        <f aca="false">($I105*AB$1)/$K105</f>
        <v>0.242638978813608</v>
      </c>
      <c r="AC105" s="34" t="n">
        <f aca="false">($I105*AC$1)/$K105</f>
        <v>0.248416097356789</v>
      </c>
      <c r="AD105" s="35" t="n">
        <f aca="false">($I105*AD$1)/$K105</f>
        <v>0.25419321589997</v>
      </c>
      <c r="AE105" s="35" t="n">
        <f aca="false">($I105*AE$1)/$K105</f>
        <v>0.259970334443151</v>
      </c>
    </row>
    <row r="106" customFormat="false" ht="15" hidden="false" customHeight="false" outlineLevel="0" collapsed="false">
      <c r="A106" s="0" t="s">
        <v>15</v>
      </c>
      <c r="B106" s="46" t="s">
        <v>203</v>
      </c>
      <c r="C106" s="16" t="s">
        <v>204</v>
      </c>
      <c r="D106" s="45" t="n">
        <v>26</v>
      </c>
      <c r="E106" s="45"/>
      <c r="F106" s="30" t="n">
        <f aca="false">G106</f>
        <v>0.148112988969661</v>
      </c>
      <c r="G106" s="44" t="n">
        <v>0.148112988969661</v>
      </c>
      <c r="H106" s="44" t="n">
        <v>0.148112988969661</v>
      </c>
      <c r="I106" s="44" t="n">
        <f aca="false">+(H106+J106)/2</f>
        <v>0.154056494484831</v>
      </c>
      <c r="J106" s="44" t="n">
        <v>0.16</v>
      </c>
      <c r="K106" s="31" t="n">
        <v>1</v>
      </c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3" t="n">
        <f aca="false">($H106*V$1)/$K106</f>
        <v>0.199952535109043</v>
      </c>
      <c r="W106" s="33" t="n">
        <f aca="false">($H106*W$1)/$K106</f>
        <v>0.205506772195405</v>
      </c>
      <c r="X106" s="33" t="n">
        <f aca="false">($H106*X$1)/$K106</f>
        <v>0.211061009281767</v>
      </c>
      <c r="Y106" s="33" t="n">
        <f aca="false">($H106*Y$1)/$K106</f>
        <v>0.216615246368129</v>
      </c>
      <c r="Z106" s="34" t="n">
        <f aca="false">($I106*Z$1)/$K106</f>
        <v>0.231084741727246</v>
      </c>
      <c r="AA106" s="34" t="n">
        <f aca="false">($I106*AA$1)/$K106</f>
        <v>0.236861860270427</v>
      </c>
      <c r="AB106" s="34" t="n">
        <f aca="false">($I106*AB$1)/$K106</f>
        <v>0.242638978813608</v>
      </c>
      <c r="AC106" s="34" t="n">
        <f aca="false">($I106*AC$1)/$K106</f>
        <v>0.248416097356789</v>
      </c>
      <c r="AD106" s="35" t="n">
        <f aca="false">($I106*AD$1)/$K106</f>
        <v>0.25419321589997</v>
      </c>
      <c r="AE106" s="35" t="n">
        <f aca="false">($I106*AE$1)/$K106</f>
        <v>0.259970334443151</v>
      </c>
    </row>
    <row r="107" customFormat="false" ht="15" hidden="false" customHeight="false" outlineLevel="0" collapsed="false">
      <c r="A107" s="0" t="s">
        <v>15</v>
      </c>
      <c r="B107" s="46" t="s">
        <v>205</v>
      </c>
      <c r="C107" s="16" t="s">
        <v>206</v>
      </c>
      <c r="D107" s="45" t="n">
        <v>26</v>
      </c>
      <c r="E107" s="45"/>
      <c r="F107" s="30" t="n">
        <f aca="false">G107</f>
        <v>0.148112988969661</v>
      </c>
      <c r="G107" s="44" t="n">
        <v>0.148112988969661</v>
      </c>
      <c r="H107" s="44" t="n">
        <v>0.148112988969661</v>
      </c>
      <c r="I107" s="44" t="n">
        <f aca="false">+(H107+J107)/2</f>
        <v>0.154056494484831</v>
      </c>
      <c r="J107" s="44" t="n">
        <v>0.16</v>
      </c>
      <c r="K107" s="31" t="n">
        <v>1</v>
      </c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3" t="n">
        <f aca="false">($H107*V$1)/$K107</f>
        <v>0.199952535109043</v>
      </c>
      <c r="W107" s="33" t="n">
        <f aca="false">($H107*W$1)/$K107</f>
        <v>0.205506772195405</v>
      </c>
      <c r="X107" s="33" t="n">
        <f aca="false">($H107*X$1)/$K107</f>
        <v>0.211061009281767</v>
      </c>
      <c r="Y107" s="33" t="n">
        <f aca="false">($H107*Y$1)/$K107</f>
        <v>0.216615246368129</v>
      </c>
      <c r="Z107" s="34" t="n">
        <f aca="false">($I107*Z$1)/$K107</f>
        <v>0.231084741727246</v>
      </c>
      <c r="AA107" s="34" t="n">
        <f aca="false">($I107*AA$1)/$K107</f>
        <v>0.236861860270427</v>
      </c>
      <c r="AB107" s="34" t="n">
        <f aca="false">($I107*AB$1)/$K107</f>
        <v>0.242638978813608</v>
      </c>
      <c r="AC107" s="34" t="n">
        <f aca="false">($I107*AC$1)/$K107</f>
        <v>0.248416097356789</v>
      </c>
      <c r="AD107" s="35" t="n">
        <f aca="false">($I107*AD$1)/$K107</f>
        <v>0.25419321589997</v>
      </c>
      <c r="AE107" s="35" t="n">
        <f aca="false">($I107*AE$1)/$K107</f>
        <v>0.259970334443151</v>
      </c>
    </row>
    <row r="108" customFormat="false" ht="15" hidden="false" customHeight="false" outlineLevel="0" collapsed="false">
      <c r="A108" s="0" t="s">
        <v>15</v>
      </c>
      <c r="B108" s="46" t="s">
        <v>207</v>
      </c>
      <c r="C108" s="16" t="s">
        <v>208</v>
      </c>
      <c r="D108" s="45" t="n">
        <v>26</v>
      </c>
      <c r="E108" s="45"/>
      <c r="F108" s="30" t="n">
        <f aca="false">G108</f>
        <v>0.148112988969661</v>
      </c>
      <c r="G108" s="44" t="n">
        <v>0.148112988969661</v>
      </c>
      <c r="H108" s="44" t="n">
        <v>0.148112988969661</v>
      </c>
      <c r="I108" s="44" t="n">
        <f aca="false">+(H108+J108)/2</f>
        <v>0.154056494484831</v>
      </c>
      <c r="J108" s="44" t="n">
        <v>0.16</v>
      </c>
      <c r="K108" s="31" t="n">
        <v>1</v>
      </c>
      <c r="L108" s="32"/>
      <c r="M108" s="32"/>
      <c r="N108" s="32"/>
      <c r="O108" s="32"/>
      <c r="P108" s="32"/>
      <c r="Q108" s="32"/>
      <c r="R108" s="32" t="n">
        <f aca="false">($G108*R$1)/$K108</f>
        <v>0.177735586763593</v>
      </c>
      <c r="S108" s="32" t="n">
        <f aca="false">($G108*S$1)/$K108</f>
        <v>0.183289823849956</v>
      </c>
      <c r="T108" s="32" t="n">
        <f aca="false">($G108*T$1)/$K108</f>
        <v>0.188844060936318</v>
      </c>
      <c r="U108" s="32" t="n">
        <f aca="false">($G108*U$1)/$K108</f>
        <v>0.19439829802268</v>
      </c>
      <c r="V108" s="33" t="n">
        <f aca="false">($H108*V$1)/$K108</f>
        <v>0.199952535109043</v>
      </c>
      <c r="W108" s="33" t="n">
        <f aca="false">($H108*W$1)/$K108</f>
        <v>0.205506772195405</v>
      </c>
      <c r="X108" s="33" t="n">
        <f aca="false">($H108*X$1)/$K108</f>
        <v>0.211061009281767</v>
      </c>
      <c r="Y108" s="33" t="n">
        <f aca="false">($H108*Y$1)/$K108</f>
        <v>0.216615246368129</v>
      </c>
      <c r="Z108" s="34"/>
      <c r="AA108" s="34"/>
      <c r="AB108" s="34"/>
      <c r="AC108" s="34"/>
      <c r="AD108" s="35"/>
      <c r="AE108" s="35"/>
    </row>
    <row r="109" customFormat="false" ht="15" hidden="false" customHeight="false" outlineLevel="0" collapsed="false">
      <c r="A109" s="0" t="s">
        <v>15</v>
      </c>
      <c r="B109" s="46" t="s">
        <v>209</v>
      </c>
      <c r="C109" s="16" t="s">
        <v>210</v>
      </c>
      <c r="D109" s="45" t="n">
        <v>26</v>
      </c>
      <c r="E109" s="45"/>
      <c r="F109" s="30" t="n">
        <f aca="false">G109</f>
        <v>0.148112988969661</v>
      </c>
      <c r="G109" s="44" t="n">
        <v>0.148112988969661</v>
      </c>
      <c r="H109" s="44" t="n">
        <v>0.148112988969661</v>
      </c>
      <c r="I109" s="44" t="n">
        <f aca="false">+(H109+J109)/2</f>
        <v>0.154056494484831</v>
      </c>
      <c r="J109" s="44" t="n">
        <v>0.16</v>
      </c>
      <c r="K109" s="31" t="n">
        <v>1</v>
      </c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3" t="n">
        <f aca="false">($H109*V$1)/$K109</f>
        <v>0.199952535109043</v>
      </c>
      <c r="W109" s="33" t="n">
        <f aca="false">($H109*W$1)/$K109</f>
        <v>0.205506772195405</v>
      </c>
      <c r="X109" s="33" t="n">
        <f aca="false">($H109*X$1)/$K109</f>
        <v>0.211061009281767</v>
      </c>
      <c r="Y109" s="33" t="n">
        <f aca="false">($H109*Y$1)/$K109</f>
        <v>0.216615246368129</v>
      </c>
      <c r="Z109" s="34" t="n">
        <f aca="false">($I109*Z$1)/$K109</f>
        <v>0.231084741727246</v>
      </c>
      <c r="AA109" s="34" t="n">
        <f aca="false">($I109*AA$1)/$K109</f>
        <v>0.236861860270427</v>
      </c>
      <c r="AB109" s="34" t="n">
        <f aca="false">($I109*AB$1)/$K109</f>
        <v>0.242638978813608</v>
      </c>
      <c r="AC109" s="34" t="n">
        <f aca="false">($I109*AC$1)/$K109</f>
        <v>0.248416097356789</v>
      </c>
      <c r="AD109" s="35" t="n">
        <f aca="false">($I109*AD$1)/$K109</f>
        <v>0.25419321589997</v>
      </c>
      <c r="AE109" s="35" t="n">
        <f aca="false">($I109*AE$1)/$K109</f>
        <v>0.259970334443151</v>
      </c>
    </row>
    <row r="110" customFormat="false" ht="15" hidden="false" customHeight="false" outlineLevel="0" collapsed="false">
      <c r="A110" s="0" t="s">
        <v>15</v>
      </c>
      <c r="B110" s="46" t="s">
        <v>211</v>
      </c>
      <c r="C110" s="16" t="s">
        <v>210</v>
      </c>
      <c r="D110" s="45" t="n">
        <v>26</v>
      </c>
      <c r="E110" s="45"/>
      <c r="F110" s="30" t="n">
        <f aca="false">G110</f>
        <v>0.148112988969661</v>
      </c>
      <c r="G110" s="44" t="n">
        <v>0.148112988969661</v>
      </c>
      <c r="H110" s="44" t="n">
        <v>0.148112988969661</v>
      </c>
      <c r="I110" s="44" t="n">
        <f aca="false">+(H110+J110)/2</f>
        <v>0.154056494484831</v>
      </c>
      <c r="J110" s="44" t="n">
        <v>0.16</v>
      </c>
      <c r="K110" s="31" t="n">
        <v>1</v>
      </c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3" t="n">
        <f aca="false">($H110*V$1)/$K110</f>
        <v>0.199952535109043</v>
      </c>
      <c r="W110" s="33" t="n">
        <f aca="false">($H110*W$1)/$K110</f>
        <v>0.205506772195405</v>
      </c>
      <c r="X110" s="33" t="n">
        <f aca="false">($H110*X$1)/$K110</f>
        <v>0.211061009281767</v>
      </c>
      <c r="Y110" s="33" t="n">
        <f aca="false">($H110*Y$1)/$K110</f>
        <v>0.216615246368129</v>
      </c>
      <c r="Z110" s="34" t="n">
        <f aca="false">($I110*Z$1)/$K110</f>
        <v>0.231084741727246</v>
      </c>
      <c r="AA110" s="34" t="n">
        <f aca="false">($I110*AA$1)/$K110</f>
        <v>0.236861860270427</v>
      </c>
      <c r="AB110" s="34" t="n">
        <f aca="false">($I110*AB$1)/$K110</f>
        <v>0.242638978813608</v>
      </c>
      <c r="AC110" s="34" t="n">
        <f aca="false">($I110*AC$1)/$K110</f>
        <v>0.248416097356789</v>
      </c>
      <c r="AD110" s="35" t="n">
        <f aca="false">($I110*AD$1)/$K110</f>
        <v>0.25419321589997</v>
      </c>
      <c r="AE110" s="35" t="n">
        <f aca="false">($I110*AE$1)/$K110</f>
        <v>0.259970334443151</v>
      </c>
    </row>
    <row r="111" customFormat="false" ht="15" hidden="false" customHeight="false" outlineLevel="0" collapsed="false">
      <c r="A111" s="0" t="s">
        <v>15</v>
      </c>
      <c r="B111" s="46" t="s">
        <v>212</v>
      </c>
      <c r="C111" s="16" t="s">
        <v>213</v>
      </c>
      <c r="D111" s="45" t="n">
        <v>26</v>
      </c>
      <c r="E111" s="45"/>
      <c r="F111" s="30" t="n">
        <f aca="false">G111</f>
        <v>0.148112988969661</v>
      </c>
      <c r="G111" s="44" t="n">
        <v>0.148112988969661</v>
      </c>
      <c r="H111" s="44" t="n">
        <v>0.148112988969661</v>
      </c>
      <c r="I111" s="44" t="n">
        <f aca="false">+(H111+J111)/2</f>
        <v>0.154056494484831</v>
      </c>
      <c r="J111" s="44" t="n">
        <v>0.16</v>
      </c>
      <c r="K111" s="31" t="n">
        <v>1</v>
      </c>
      <c r="L111" s="32"/>
      <c r="M111" s="32"/>
      <c r="N111" s="32"/>
      <c r="O111" s="32"/>
      <c r="P111" s="32"/>
      <c r="Q111" s="32"/>
      <c r="R111" s="32" t="n">
        <f aca="false">($G111*R$1)/$K111</f>
        <v>0.177735586763593</v>
      </c>
      <c r="S111" s="32" t="n">
        <f aca="false">($G111*S$1)/$K111</f>
        <v>0.183289823849956</v>
      </c>
      <c r="T111" s="32" t="n">
        <f aca="false">($G111*T$1)/$K111</f>
        <v>0.188844060936318</v>
      </c>
      <c r="U111" s="32" t="n">
        <f aca="false">($G111*U$1)/$K111</f>
        <v>0.19439829802268</v>
      </c>
      <c r="V111" s="33" t="n">
        <f aca="false">($H111*V$1)/$K111</f>
        <v>0.199952535109043</v>
      </c>
      <c r="W111" s="33" t="n">
        <f aca="false">($H111*W$1)/$K111</f>
        <v>0.205506772195405</v>
      </c>
      <c r="X111" s="33" t="n">
        <f aca="false">($H111*X$1)/$K111</f>
        <v>0.211061009281767</v>
      </c>
      <c r="Y111" s="33" t="n">
        <f aca="false">($H111*Y$1)/$K111</f>
        <v>0.216615246368129</v>
      </c>
      <c r="Z111" s="34"/>
      <c r="AA111" s="34"/>
      <c r="AB111" s="34"/>
      <c r="AC111" s="34"/>
      <c r="AD111" s="35"/>
      <c r="AE111" s="35"/>
    </row>
    <row r="112" customFormat="false" ht="15" hidden="false" customHeight="false" outlineLevel="0" collapsed="false">
      <c r="A112" s="0" t="s">
        <v>15</v>
      </c>
      <c r="B112" s="46" t="s">
        <v>214</v>
      </c>
      <c r="C112" s="16" t="s">
        <v>213</v>
      </c>
      <c r="D112" s="45" t="n">
        <v>26</v>
      </c>
      <c r="E112" s="45"/>
      <c r="F112" s="30" t="n">
        <f aca="false">G112</f>
        <v>0.148112988969661</v>
      </c>
      <c r="G112" s="44" t="n">
        <v>0.148112988969661</v>
      </c>
      <c r="H112" s="44" t="n">
        <v>0.148112988969661</v>
      </c>
      <c r="I112" s="44" t="n">
        <f aca="false">+(H112+J112)/2</f>
        <v>0.154056494484831</v>
      </c>
      <c r="J112" s="44" t="n">
        <v>0.16</v>
      </c>
      <c r="K112" s="31" t="n">
        <v>1</v>
      </c>
      <c r="L112" s="32"/>
      <c r="M112" s="32"/>
      <c r="N112" s="32"/>
      <c r="O112" s="32"/>
      <c r="P112" s="32"/>
      <c r="Q112" s="32"/>
      <c r="R112" s="32" t="n">
        <f aca="false">($G112*R$1)/$K112</f>
        <v>0.177735586763593</v>
      </c>
      <c r="S112" s="32" t="n">
        <f aca="false">($G112*S$1)/$K112</f>
        <v>0.183289823849956</v>
      </c>
      <c r="T112" s="32" t="n">
        <f aca="false">($G112*T$1)/$K112</f>
        <v>0.188844060936318</v>
      </c>
      <c r="U112" s="32" t="n">
        <f aca="false">($G112*U$1)/$K112</f>
        <v>0.19439829802268</v>
      </c>
      <c r="V112" s="33" t="n">
        <f aca="false">($H112*V$1)/$K112</f>
        <v>0.199952535109043</v>
      </c>
      <c r="W112" s="33" t="n">
        <f aca="false">($H112*W$1)/$K112</f>
        <v>0.205506772195405</v>
      </c>
      <c r="X112" s="33" t="n">
        <f aca="false">($H112*X$1)/$K112</f>
        <v>0.211061009281767</v>
      </c>
      <c r="Y112" s="33" t="n">
        <f aca="false">($H112*Y$1)/$K112</f>
        <v>0.216615246368129</v>
      </c>
      <c r="Z112" s="34"/>
      <c r="AA112" s="34"/>
      <c r="AB112" s="34"/>
      <c r="AC112" s="34"/>
      <c r="AD112" s="35"/>
      <c r="AE112" s="35"/>
    </row>
    <row r="113" customFormat="false" ht="15" hidden="false" customHeight="false" outlineLevel="0" collapsed="false">
      <c r="A113" s="0" t="s">
        <v>15</v>
      </c>
      <c r="B113" s="46" t="s">
        <v>215</v>
      </c>
      <c r="C113" s="16" t="s">
        <v>216</v>
      </c>
      <c r="D113" s="45" t="n">
        <v>26</v>
      </c>
      <c r="E113" s="45"/>
      <c r="F113" s="30" t="n">
        <f aca="false">G113</f>
        <v>0.148112988969661</v>
      </c>
      <c r="G113" s="44" t="n">
        <v>0.148112988969661</v>
      </c>
      <c r="H113" s="44" t="n">
        <v>0.148112988969661</v>
      </c>
      <c r="I113" s="44" t="n">
        <f aca="false">+(H113+J113)/2</f>
        <v>0.154056494484831</v>
      </c>
      <c r="J113" s="44" t="n">
        <v>0.16</v>
      </c>
      <c r="K113" s="31" t="n">
        <v>1</v>
      </c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3" t="n">
        <f aca="false">($H113*V$1)/$K113</f>
        <v>0.199952535109043</v>
      </c>
      <c r="W113" s="33" t="n">
        <f aca="false">($H113*W$1)/$K113</f>
        <v>0.205506772195405</v>
      </c>
      <c r="X113" s="33" t="n">
        <f aca="false">($H113*X$1)/$K113</f>
        <v>0.211061009281767</v>
      </c>
      <c r="Y113" s="33" t="n">
        <f aca="false">($H113*Y$1)/$K113</f>
        <v>0.216615246368129</v>
      </c>
      <c r="Z113" s="34" t="n">
        <f aca="false">($I113*Z$1)/$K113</f>
        <v>0.231084741727246</v>
      </c>
      <c r="AA113" s="34" t="n">
        <f aca="false">($I113*AA$1)/$K113</f>
        <v>0.236861860270427</v>
      </c>
      <c r="AB113" s="34" t="n">
        <f aca="false">($I113*AB$1)/$K113</f>
        <v>0.242638978813608</v>
      </c>
      <c r="AC113" s="34" t="n">
        <f aca="false">($I113*AC$1)/$K113</f>
        <v>0.248416097356789</v>
      </c>
      <c r="AD113" s="35" t="n">
        <f aca="false">($I113*AD$1)/$K113</f>
        <v>0.25419321589997</v>
      </c>
      <c r="AE113" s="35" t="n">
        <f aca="false">($I113*AE$1)/$K113</f>
        <v>0.259970334443151</v>
      </c>
    </row>
    <row r="114" customFormat="false" ht="15" hidden="false" customHeight="false" outlineLevel="0" collapsed="false">
      <c r="A114" s="0" t="s">
        <v>15</v>
      </c>
      <c r="B114" s="46" t="s">
        <v>217</v>
      </c>
      <c r="C114" s="16" t="s">
        <v>218</v>
      </c>
      <c r="D114" s="45" t="n">
        <v>26</v>
      </c>
      <c r="E114" s="45"/>
      <c r="F114" s="30" t="n">
        <f aca="false">G114</f>
        <v>0.148112988969661</v>
      </c>
      <c r="G114" s="44" t="n">
        <v>0.148112988969661</v>
      </c>
      <c r="H114" s="44" t="n">
        <v>0.148112988969661</v>
      </c>
      <c r="I114" s="44" t="n">
        <f aca="false">+(H114+J114)/2</f>
        <v>0.154056494484831</v>
      </c>
      <c r="J114" s="44" t="n">
        <v>0.16</v>
      </c>
      <c r="K114" s="31" t="n">
        <v>1</v>
      </c>
      <c r="L114" s="32"/>
      <c r="M114" s="32"/>
      <c r="N114" s="32"/>
      <c r="O114" s="32"/>
      <c r="P114" s="32"/>
      <c r="Q114" s="32"/>
      <c r="R114" s="32" t="n">
        <f aca="false">($G114*R$1)/$K114</f>
        <v>0.177735586763593</v>
      </c>
      <c r="S114" s="32" t="n">
        <f aca="false">($G114*S$1)/$K114</f>
        <v>0.183289823849956</v>
      </c>
      <c r="T114" s="32" t="n">
        <f aca="false">($G114*T$1)/$K114</f>
        <v>0.188844060936318</v>
      </c>
      <c r="U114" s="32" t="n">
        <f aca="false">($G114*U$1)/$K114</f>
        <v>0.19439829802268</v>
      </c>
      <c r="V114" s="33" t="n">
        <f aca="false">($H114*V$1)/$K114</f>
        <v>0.199952535109043</v>
      </c>
      <c r="W114" s="33" t="n">
        <f aca="false">($H114*W$1)/$K114</f>
        <v>0.205506772195405</v>
      </c>
      <c r="X114" s="33" t="n">
        <f aca="false">($H114*X$1)/$K114</f>
        <v>0.211061009281767</v>
      </c>
      <c r="Y114" s="33" t="n">
        <f aca="false">($H114*Y$1)/$K114</f>
        <v>0.216615246368129</v>
      </c>
      <c r="Z114" s="34" t="n">
        <f aca="false">($I114*Z$1)/$K114</f>
        <v>0.231084741727246</v>
      </c>
      <c r="AA114" s="34" t="n">
        <f aca="false">($I114*AA$1)/$K114</f>
        <v>0.236861860270427</v>
      </c>
      <c r="AB114" s="34" t="n">
        <f aca="false">($I114*AB$1)/$K114</f>
        <v>0.242638978813608</v>
      </c>
      <c r="AC114" s="34" t="n">
        <f aca="false">($I114*AC$1)/$K114</f>
        <v>0.248416097356789</v>
      </c>
      <c r="AD114" s="35" t="n">
        <f aca="false">($I114*AD$1)/$K114</f>
        <v>0.25419321589997</v>
      </c>
      <c r="AE114" s="35" t="n">
        <f aca="false">($I114*AE$1)/$K114</f>
        <v>0.259970334443151</v>
      </c>
    </row>
    <row r="115" customFormat="false" ht="15" hidden="false" customHeight="false" outlineLevel="0" collapsed="false">
      <c r="A115" s="0" t="s">
        <v>15</v>
      </c>
      <c r="B115" s="46" t="s">
        <v>219</v>
      </c>
      <c r="C115" s="16" t="s">
        <v>220</v>
      </c>
      <c r="D115" s="45" t="n">
        <v>26</v>
      </c>
      <c r="E115" s="45"/>
      <c r="F115" s="30" t="n">
        <f aca="false">G115</f>
        <v>0.148112988969661</v>
      </c>
      <c r="G115" s="44" t="n">
        <v>0.148112988969661</v>
      </c>
      <c r="H115" s="44" t="n">
        <v>0.148112988969661</v>
      </c>
      <c r="I115" s="44" t="n">
        <f aca="false">+(H115+J115)/2</f>
        <v>0.154056494484831</v>
      </c>
      <c r="J115" s="44" t="n">
        <v>0.16</v>
      </c>
      <c r="K115" s="31" t="n">
        <v>1</v>
      </c>
      <c r="L115" s="32"/>
      <c r="M115" s="32" t="n">
        <f aca="false">($G115*M$1)/$K115</f>
        <v>0.149964401331782</v>
      </c>
      <c r="N115" s="32" t="n">
        <f aca="false">($G115*N$1)/$K115</f>
        <v>0.155518638418144</v>
      </c>
      <c r="O115" s="32" t="n">
        <f aca="false">($G115*O$1)/$K115</f>
        <v>0.161072875504506</v>
      </c>
      <c r="P115" s="32" t="n">
        <f aca="false">($G115*P$1)/$K115</f>
        <v>0.166627112590869</v>
      </c>
      <c r="Q115" s="32" t="n">
        <f aca="false">($G115*Q$1)/$K115</f>
        <v>0.172181349677231</v>
      </c>
      <c r="R115" s="32" t="n">
        <f aca="false">($G115*R$1)/$K115</f>
        <v>0.177735586763593</v>
      </c>
      <c r="S115" s="32" t="n">
        <f aca="false">($G115*S$1)/$K115</f>
        <v>0.183289823849956</v>
      </c>
      <c r="T115" s="32"/>
      <c r="U115" s="32"/>
      <c r="V115" s="33"/>
      <c r="W115" s="33"/>
      <c r="X115" s="33"/>
      <c r="Y115" s="33"/>
      <c r="Z115" s="34"/>
      <c r="AA115" s="34"/>
      <c r="AB115" s="34"/>
      <c r="AC115" s="34"/>
      <c r="AD115" s="35"/>
      <c r="AE115" s="35"/>
    </row>
    <row r="116" customFormat="false" ht="15" hidden="false" customHeight="false" outlineLevel="0" collapsed="false">
      <c r="A116" s="0" t="s">
        <v>15</v>
      </c>
      <c r="B116" s="46" t="s">
        <v>221</v>
      </c>
      <c r="C116" s="16" t="s">
        <v>220</v>
      </c>
      <c r="D116" s="45" t="n">
        <v>26</v>
      </c>
      <c r="E116" s="45"/>
      <c r="F116" s="30" t="n">
        <f aca="false">G116</f>
        <v>0.148112988969661</v>
      </c>
      <c r="G116" s="44" t="n">
        <v>0.148112988969661</v>
      </c>
      <c r="H116" s="44" t="n">
        <v>0.148112988969661</v>
      </c>
      <c r="I116" s="44" t="n">
        <f aca="false">+(H116+J116)/2</f>
        <v>0.154056494484831</v>
      </c>
      <c r="J116" s="44" t="n">
        <v>0.16</v>
      </c>
      <c r="K116" s="31" t="n">
        <v>1</v>
      </c>
      <c r="L116" s="32"/>
      <c r="M116" s="32" t="n">
        <f aca="false">($G116*M$1)/$K116</f>
        <v>0.149964401331782</v>
      </c>
      <c r="N116" s="32" t="n">
        <f aca="false">($G116*N$1)/$K116</f>
        <v>0.155518638418144</v>
      </c>
      <c r="O116" s="32" t="n">
        <f aca="false">($G116*O$1)/$K116</f>
        <v>0.161072875504506</v>
      </c>
      <c r="P116" s="32" t="n">
        <f aca="false">($G116*P$1)/$K116</f>
        <v>0.166627112590869</v>
      </c>
      <c r="Q116" s="32" t="n">
        <f aca="false">($G116*Q$1)/$K116</f>
        <v>0.172181349677231</v>
      </c>
      <c r="R116" s="32" t="n">
        <f aca="false">($G116*R$1)/$K116</f>
        <v>0.177735586763593</v>
      </c>
      <c r="S116" s="32" t="n">
        <f aca="false">($G116*S$1)/$K116</f>
        <v>0.183289823849956</v>
      </c>
      <c r="T116" s="32"/>
      <c r="U116" s="32"/>
      <c r="V116" s="33"/>
      <c r="W116" s="33"/>
      <c r="X116" s="33"/>
      <c r="Y116" s="33"/>
      <c r="Z116" s="34"/>
      <c r="AA116" s="34"/>
      <c r="AB116" s="34"/>
      <c r="AC116" s="34"/>
      <c r="AD116" s="35"/>
      <c r="AE116" s="35"/>
    </row>
    <row r="117" customFormat="false" ht="15" hidden="false" customHeight="false" outlineLevel="0" collapsed="false">
      <c r="A117" s="0" t="s">
        <v>15</v>
      </c>
      <c r="B117" s="46" t="s">
        <v>222</v>
      </c>
      <c r="C117" s="16" t="s">
        <v>223</v>
      </c>
      <c r="D117" s="45" t="n">
        <v>26</v>
      </c>
      <c r="E117" s="45"/>
      <c r="F117" s="30" t="n">
        <f aca="false">G117</f>
        <v>0.148112988969661</v>
      </c>
      <c r="G117" s="44" t="n">
        <v>0.148112988969661</v>
      </c>
      <c r="H117" s="44" t="n">
        <v>0.148112988969661</v>
      </c>
      <c r="I117" s="44" t="n">
        <f aca="false">+(H117+J117)/2</f>
        <v>0.154056494484831</v>
      </c>
      <c r="J117" s="44" t="n">
        <v>0.16</v>
      </c>
      <c r="K117" s="31" t="n">
        <v>1</v>
      </c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3" t="n">
        <f aca="false">($H117*V$1)/$K117</f>
        <v>0.199952535109043</v>
      </c>
      <c r="W117" s="33" t="n">
        <f aca="false">($H117*W$1)/$K117</f>
        <v>0.205506772195405</v>
      </c>
      <c r="X117" s="33" t="n">
        <f aca="false">($H117*X$1)/$K117</f>
        <v>0.211061009281767</v>
      </c>
      <c r="Y117" s="33" t="n">
        <f aca="false">($H117*Y$1)/$K117</f>
        <v>0.216615246368129</v>
      </c>
      <c r="Z117" s="34" t="n">
        <f aca="false">($I117*Z$1)/$K117</f>
        <v>0.231084741727246</v>
      </c>
      <c r="AA117" s="34" t="n">
        <f aca="false">($I117*AA$1)/$K117</f>
        <v>0.236861860270427</v>
      </c>
      <c r="AB117" s="34" t="n">
        <f aca="false">($I117*AB$1)/$K117</f>
        <v>0.242638978813608</v>
      </c>
      <c r="AC117" s="34" t="n">
        <f aca="false">($I117*AC$1)/$K117</f>
        <v>0.248416097356789</v>
      </c>
      <c r="AD117" s="35" t="n">
        <f aca="false">($I117*AD$1)/$K117</f>
        <v>0.25419321589997</v>
      </c>
      <c r="AE117" s="35" t="n">
        <f aca="false">($I117*AE$1)/$K117</f>
        <v>0.259970334443151</v>
      </c>
    </row>
    <row r="118" customFormat="false" ht="15" hidden="false" customHeight="false" outlineLevel="0" collapsed="false">
      <c r="A118" s="0" t="s">
        <v>15</v>
      </c>
      <c r="B118" s="46" t="s">
        <v>200</v>
      </c>
      <c r="C118" s="16" t="s">
        <v>201</v>
      </c>
      <c r="D118" s="45" t="n">
        <v>30</v>
      </c>
      <c r="E118" s="45"/>
      <c r="F118" s="30" t="n">
        <f aca="false">G118</f>
        <v>0.148112988969661</v>
      </c>
      <c r="G118" s="44" t="n">
        <v>0.148112988969661</v>
      </c>
      <c r="H118" s="44" t="n">
        <v>0.148112988969661</v>
      </c>
      <c r="I118" s="44" t="n">
        <f aca="false">+(H118+J118)/2</f>
        <v>0.154056494484831</v>
      </c>
      <c r="J118" s="44" t="n">
        <v>0.16</v>
      </c>
      <c r="K118" s="31" t="n">
        <v>1</v>
      </c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3" t="n">
        <f aca="false">($H118*V$1)/$K118</f>
        <v>0.199952535109043</v>
      </c>
      <c r="W118" s="33" t="n">
        <f aca="false">($H118*W$1)/$K118</f>
        <v>0.205506772195405</v>
      </c>
      <c r="X118" s="33" t="n">
        <f aca="false">($H118*X$1)/$K118</f>
        <v>0.211061009281767</v>
      </c>
      <c r="Y118" s="33" t="n">
        <f aca="false">($H118*Y$1)/$K118</f>
        <v>0.216615246368129</v>
      </c>
      <c r="Z118" s="34" t="n">
        <f aca="false">($I118*Z$1)/$K118</f>
        <v>0.231084741727246</v>
      </c>
      <c r="AA118" s="34" t="n">
        <f aca="false">($I118*AA$1)/$K118</f>
        <v>0.236861860270427</v>
      </c>
      <c r="AB118" s="34" t="n">
        <f aca="false">($I118*AB$1)/$K118</f>
        <v>0.242638978813608</v>
      </c>
      <c r="AC118" s="34" t="n">
        <f aca="false">($I118*AC$1)/$K118</f>
        <v>0.248416097356789</v>
      </c>
      <c r="AD118" s="35" t="n">
        <f aca="false">($I118*AD$1)/$K118</f>
        <v>0.25419321589997</v>
      </c>
      <c r="AE118" s="35" t="n">
        <f aca="false">($I118*AE$1)/$K118</f>
        <v>0.259970334443151</v>
      </c>
    </row>
    <row r="119" customFormat="false" ht="15" hidden="false" customHeight="false" outlineLevel="0" collapsed="false">
      <c r="A119" s="0" t="s">
        <v>15</v>
      </c>
      <c r="B119" s="46" t="s">
        <v>202</v>
      </c>
      <c r="C119" s="16" t="s">
        <v>201</v>
      </c>
      <c r="D119" s="45" t="n">
        <v>30</v>
      </c>
      <c r="E119" s="45"/>
      <c r="F119" s="30" t="n">
        <f aca="false">G119</f>
        <v>0.148112988969661</v>
      </c>
      <c r="G119" s="44" t="n">
        <v>0.148112988969661</v>
      </c>
      <c r="H119" s="44" t="n">
        <v>0.148112988969661</v>
      </c>
      <c r="I119" s="44" t="n">
        <f aca="false">+(H119+J119)/2</f>
        <v>0.154056494484831</v>
      </c>
      <c r="J119" s="44" t="n">
        <v>0.16</v>
      </c>
      <c r="K119" s="31" t="n">
        <v>1</v>
      </c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3" t="n">
        <f aca="false">($H119*V$1)/$K119</f>
        <v>0.199952535109043</v>
      </c>
      <c r="W119" s="33" t="n">
        <f aca="false">($H119*W$1)/$K119</f>
        <v>0.205506772195405</v>
      </c>
      <c r="X119" s="33" t="n">
        <f aca="false">($H119*X$1)/$K119</f>
        <v>0.211061009281767</v>
      </c>
      <c r="Y119" s="33" t="n">
        <f aca="false">($H119*Y$1)/$K119</f>
        <v>0.216615246368129</v>
      </c>
      <c r="Z119" s="34" t="n">
        <f aca="false">($I119*Z$1)/$K119</f>
        <v>0.231084741727246</v>
      </c>
      <c r="AA119" s="34" t="n">
        <f aca="false">($I119*AA$1)/$K119</f>
        <v>0.236861860270427</v>
      </c>
      <c r="AB119" s="34" t="n">
        <f aca="false">($I119*AB$1)/$K119</f>
        <v>0.242638978813608</v>
      </c>
      <c r="AC119" s="34" t="n">
        <f aca="false">($I119*AC$1)/$K119</f>
        <v>0.248416097356789</v>
      </c>
      <c r="AD119" s="35" t="n">
        <f aca="false">($I119*AD$1)/$K119</f>
        <v>0.25419321589997</v>
      </c>
      <c r="AE119" s="35" t="n">
        <f aca="false">($I119*AE$1)/$K119</f>
        <v>0.259970334443151</v>
      </c>
    </row>
    <row r="120" customFormat="false" ht="15" hidden="false" customHeight="false" outlineLevel="0" collapsed="false">
      <c r="A120" s="0" t="s">
        <v>15</v>
      </c>
      <c r="B120" s="46" t="s">
        <v>203</v>
      </c>
      <c r="C120" s="16" t="s">
        <v>204</v>
      </c>
      <c r="D120" s="45" t="n">
        <v>30</v>
      </c>
      <c r="E120" s="45"/>
      <c r="F120" s="30" t="n">
        <f aca="false">G120</f>
        <v>0.148112988969661</v>
      </c>
      <c r="G120" s="44" t="n">
        <v>0.148112988969661</v>
      </c>
      <c r="H120" s="44" t="n">
        <v>0.148112988969661</v>
      </c>
      <c r="I120" s="44" t="n">
        <f aca="false">+(H120+J120)/2</f>
        <v>0.154056494484831</v>
      </c>
      <c r="J120" s="44" t="n">
        <v>0.16</v>
      </c>
      <c r="K120" s="31" t="n">
        <v>1</v>
      </c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3" t="n">
        <f aca="false">($H120*V$1)/$K120</f>
        <v>0.199952535109043</v>
      </c>
      <c r="W120" s="33" t="n">
        <f aca="false">($H120*W$1)/$K120</f>
        <v>0.205506772195405</v>
      </c>
      <c r="X120" s="33" t="n">
        <f aca="false">($H120*X$1)/$K120</f>
        <v>0.211061009281767</v>
      </c>
      <c r="Y120" s="33" t="n">
        <f aca="false">($H120*Y$1)/$K120</f>
        <v>0.216615246368129</v>
      </c>
      <c r="Z120" s="34" t="n">
        <f aca="false">($I120*Z$1)/$K120</f>
        <v>0.231084741727246</v>
      </c>
      <c r="AA120" s="34" t="n">
        <f aca="false">($I120*AA$1)/$K120</f>
        <v>0.236861860270427</v>
      </c>
      <c r="AB120" s="34" t="n">
        <f aca="false">($I120*AB$1)/$K120</f>
        <v>0.242638978813608</v>
      </c>
      <c r="AC120" s="34" t="n">
        <f aca="false">($I120*AC$1)/$K120</f>
        <v>0.248416097356789</v>
      </c>
      <c r="AD120" s="35" t="n">
        <f aca="false">($I120*AD$1)/$K120</f>
        <v>0.25419321589997</v>
      </c>
      <c r="AE120" s="35" t="n">
        <f aca="false">($I120*AE$1)/$K120</f>
        <v>0.259970334443151</v>
      </c>
    </row>
    <row r="121" customFormat="false" ht="15" hidden="false" customHeight="false" outlineLevel="0" collapsed="false">
      <c r="A121" s="0" t="s">
        <v>15</v>
      </c>
      <c r="B121" s="46" t="s">
        <v>205</v>
      </c>
      <c r="C121" s="16" t="s">
        <v>206</v>
      </c>
      <c r="D121" s="45" t="n">
        <v>30</v>
      </c>
      <c r="E121" s="45"/>
      <c r="F121" s="30" t="n">
        <f aca="false">G121</f>
        <v>0.148112988969661</v>
      </c>
      <c r="G121" s="44" t="n">
        <v>0.148112988969661</v>
      </c>
      <c r="H121" s="44" t="n">
        <v>0.148112988969661</v>
      </c>
      <c r="I121" s="44" t="n">
        <f aca="false">+(H121+J121)/2</f>
        <v>0.154056494484831</v>
      </c>
      <c r="J121" s="44" t="n">
        <v>0.16</v>
      </c>
      <c r="K121" s="31" t="n">
        <v>1</v>
      </c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3" t="n">
        <f aca="false">($H121*V$1)/$K121</f>
        <v>0.199952535109043</v>
      </c>
      <c r="W121" s="33" t="n">
        <f aca="false">($H121*W$1)/$K121</f>
        <v>0.205506772195405</v>
      </c>
      <c r="X121" s="33" t="n">
        <f aca="false">($H121*X$1)/$K121</f>
        <v>0.211061009281767</v>
      </c>
      <c r="Y121" s="33" t="n">
        <f aca="false">($H121*Y$1)/$K121</f>
        <v>0.216615246368129</v>
      </c>
      <c r="Z121" s="34" t="n">
        <f aca="false">($I121*Z$1)/$K121</f>
        <v>0.231084741727246</v>
      </c>
      <c r="AA121" s="34" t="n">
        <f aca="false">($I121*AA$1)/$K121</f>
        <v>0.236861860270427</v>
      </c>
      <c r="AB121" s="34" t="n">
        <f aca="false">($I121*AB$1)/$K121</f>
        <v>0.242638978813608</v>
      </c>
      <c r="AC121" s="34" t="n">
        <f aca="false">($I121*AC$1)/$K121</f>
        <v>0.248416097356789</v>
      </c>
      <c r="AD121" s="35" t="n">
        <f aca="false">($I121*AD$1)/$K121</f>
        <v>0.25419321589997</v>
      </c>
      <c r="AE121" s="35" t="n">
        <f aca="false">($I121*AE$1)/$K121</f>
        <v>0.259970334443151</v>
      </c>
    </row>
    <row r="122" customFormat="false" ht="15" hidden="false" customHeight="false" outlineLevel="0" collapsed="false">
      <c r="A122" s="0" t="s">
        <v>15</v>
      </c>
      <c r="B122" s="46" t="s">
        <v>207</v>
      </c>
      <c r="C122" s="16" t="s">
        <v>208</v>
      </c>
      <c r="D122" s="45" t="n">
        <v>30</v>
      </c>
      <c r="E122" s="45"/>
      <c r="F122" s="30" t="n">
        <f aca="false">G122</f>
        <v>0.148112988969661</v>
      </c>
      <c r="G122" s="44" t="n">
        <v>0.148112988969661</v>
      </c>
      <c r="H122" s="44" t="n">
        <v>0.148112988969661</v>
      </c>
      <c r="I122" s="44" t="n">
        <f aca="false">+(H122+J122)/2</f>
        <v>0.154056494484831</v>
      </c>
      <c r="J122" s="44" t="n">
        <v>0.16</v>
      </c>
      <c r="K122" s="31" t="n">
        <v>1</v>
      </c>
      <c r="L122" s="32"/>
      <c r="M122" s="32"/>
      <c r="N122" s="32"/>
      <c r="O122" s="32"/>
      <c r="P122" s="32"/>
      <c r="Q122" s="32"/>
      <c r="R122" s="32" t="n">
        <f aca="false">($G122*R$1)/$K122</f>
        <v>0.177735586763593</v>
      </c>
      <c r="S122" s="32" t="n">
        <f aca="false">($G122*S$1)/$K122</f>
        <v>0.183289823849956</v>
      </c>
      <c r="T122" s="32" t="n">
        <f aca="false">($G122*T$1)/$K122</f>
        <v>0.188844060936318</v>
      </c>
      <c r="U122" s="32" t="n">
        <f aca="false">($G122*U$1)/$K122</f>
        <v>0.19439829802268</v>
      </c>
      <c r="V122" s="33" t="n">
        <f aca="false">($H122*V$1)/$K122</f>
        <v>0.199952535109043</v>
      </c>
      <c r="W122" s="33" t="n">
        <f aca="false">($H122*W$1)/$K122</f>
        <v>0.205506772195405</v>
      </c>
      <c r="X122" s="33" t="n">
        <f aca="false">($H122*X$1)/$K122</f>
        <v>0.211061009281767</v>
      </c>
      <c r="Y122" s="33" t="n">
        <f aca="false">($H122*Y$1)/$K122</f>
        <v>0.216615246368129</v>
      </c>
      <c r="Z122" s="34"/>
      <c r="AA122" s="34"/>
      <c r="AB122" s="34"/>
      <c r="AC122" s="34"/>
      <c r="AD122" s="35"/>
      <c r="AE122" s="35"/>
    </row>
    <row r="123" customFormat="false" ht="15" hidden="false" customHeight="false" outlineLevel="0" collapsed="false">
      <c r="A123" s="0" t="s">
        <v>15</v>
      </c>
      <c r="B123" s="46" t="s">
        <v>209</v>
      </c>
      <c r="C123" s="16" t="s">
        <v>210</v>
      </c>
      <c r="D123" s="45" t="n">
        <v>30</v>
      </c>
      <c r="E123" s="45"/>
      <c r="F123" s="30" t="n">
        <f aca="false">G123</f>
        <v>0.148112988969661</v>
      </c>
      <c r="G123" s="44" t="n">
        <v>0.148112988969661</v>
      </c>
      <c r="H123" s="44" t="n">
        <v>0.148112988969661</v>
      </c>
      <c r="I123" s="44" t="n">
        <f aca="false">+(H123+J123)/2</f>
        <v>0.154056494484831</v>
      </c>
      <c r="J123" s="44" t="n">
        <v>0.16</v>
      </c>
      <c r="K123" s="31" t="n">
        <v>1</v>
      </c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3" t="n">
        <f aca="false">($H123*V$1)/$K123</f>
        <v>0.199952535109043</v>
      </c>
      <c r="W123" s="33" t="n">
        <f aca="false">($H123*W$1)/$K123</f>
        <v>0.205506772195405</v>
      </c>
      <c r="X123" s="33" t="n">
        <f aca="false">($H123*X$1)/$K123</f>
        <v>0.211061009281767</v>
      </c>
      <c r="Y123" s="33" t="n">
        <f aca="false">($H123*Y$1)/$K123</f>
        <v>0.216615246368129</v>
      </c>
      <c r="Z123" s="34" t="n">
        <f aca="false">($I123*Z$1)/$K123</f>
        <v>0.231084741727246</v>
      </c>
      <c r="AA123" s="34" t="n">
        <f aca="false">($I123*AA$1)/$K123</f>
        <v>0.236861860270427</v>
      </c>
      <c r="AB123" s="34" t="n">
        <f aca="false">($I123*AB$1)/$K123</f>
        <v>0.242638978813608</v>
      </c>
      <c r="AC123" s="34" t="n">
        <f aca="false">($I123*AC$1)/$K123</f>
        <v>0.248416097356789</v>
      </c>
      <c r="AD123" s="35" t="n">
        <f aca="false">($I123*AD$1)/$K123</f>
        <v>0.25419321589997</v>
      </c>
      <c r="AE123" s="35" t="n">
        <f aca="false">($I123*AE$1)/$K123</f>
        <v>0.259970334443151</v>
      </c>
    </row>
    <row r="124" customFormat="false" ht="15" hidden="false" customHeight="false" outlineLevel="0" collapsed="false">
      <c r="A124" s="0" t="s">
        <v>15</v>
      </c>
      <c r="B124" s="46" t="s">
        <v>211</v>
      </c>
      <c r="C124" s="16" t="s">
        <v>210</v>
      </c>
      <c r="D124" s="45" t="n">
        <v>30</v>
      </c>
      <c r="E124" s="45"/>
      <c r="F124" s="30" t="n">
        <f aca="false">G124</f>
        <v>0.148112988969661</v>
      </c>
      <c r="G124" s="44" t="n">
        <v>0.148112988969661</v>
      </c>
      <c r="H124" s="44" t="n">
        <v>0.148112988969661</v>
      </c>
      <c r="I124" s="44" t="n">
        <f aca="false">+(H124+J124)/2</f>
        <v>0.154056494484831</v>
      </c>
      <c r="J124" s="44" t="n">
        <v>0.16</v>
      </c>
      <c r="K124" s="31" t="n">
        <v>1</v>
      </c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3" t="n">
        <f aca="false">($H124*V$1)/$K124</f>
        <v>0.199952535109043</v>
      </c>
      <c r="W124" s="33" t="n">
        <f aca="false">($H124*W$1)/$K124</f>
        <v>0.205506772195405</v>
      </c>
      <c r="X124" s="33" t="n">
        <f aca="false">($H124*X$1)/$K124</f>
        <v>0.211061009281767</v>
      </c>
      <c r="Y124" s="33" t="n">
        <f aca="false">($H124*Y$1)/$K124</f>
        <v>0.216615246368129</v>
      </c>
      <c r="Z124" s="34" t="n">
        <f aca="false">($I124*Z$1)/$K124</f>
        <v>0.231084741727246</v>
      </c>
      <c r="AA124" s="34" t="n">
        <f aca="false">($I124*AA$1)/$K124</f>
        <v>0.236861860270427</v>
      </c>
      <c r="AB124" s="34" t="n">
        <f aca="false">($I124*AB$1)/$K124</f>
        <v>0.242638978813608</v>
      </c>
      <c r="AC124" s="34" t="n">
        <f aca="false">($I124*AC$1)/$K124</f>
        <v>0.248416097356789</v>
      </c>
      <c r="AD124" s="35" t="n">
        <f aca="false">($I124*AD$1)/$K124</f>
        <v>0.25419321589997</v>
      </c>
      <c r="AE124" s="35" t="n">
        <f aca="false">($I124*AE$1)/$K124</f>
        <v>0.259970334443151</v>
      </c>
    </row>
    <row r="125" customFormat="false" ht="15" hidden="false" customHeight="false" outlineLevel="0" collapsed="false">
      <c r="A125" s="0" t="s">
        <v>15</v>
      </c>
      <c r="B125" s="46" t="s">
        <v>212</v>
      </c>
      <c r="C125" s="16" t="s">
        <v>213</v>
      </c>
      <c r="D125" s="45" t="n">
        <v>30</v>
      </c>
      <c r="E125" s="45"/>
      <c r="F125" s="30" t="n">
        <f aca="false">G125</f>
        <v>0.148112988969661</v>
      </c>
      <c r="G125" s="44" t="n">
        <v>0.148112988969661</v>
      </c>
      <c r="H125" s="44" t="n">
        <v>0.148112988969661</v>
      </c>
      <c r="I125" s="44" t="n">
        <f aca="false">+(H125+J125)/2</f>
        <v>0.154056494484831</v>
      </c>
      <c r="J125" s="44" t="n">
        <v>0.16</v>
      </c>
      <c r="K125" s="31" t="n">
        <v>1</v>
      </c>
      <c r="L125" s="32"/>
      <c r="M125" s="32"/>
      <c r="N125" s="32"/>
      <c r="O125" s="32"/>
      <c r="P125" s="32"/>
      <c r="Q125" s="32"/>
      <c r="R125" s="32" t="n">
        <f aca="false">($G125*R$1)/$K125</f>
        <v>0.177735586763593</v>
      </c>
      <c r="S125" s="32" t="n">
        <f aca="false">($G125*S$1)/$K125</f>
        <v>0.183289823849956</v>
      </c>
      <c r="T125" s="32" t="n">
        <f aca="false">($G125*T$1)/$K125</f>
        <v>0.188844060936318</v>
      </c>
      <c r="U125" s="32" t="n">
        <f aca="false">($G125*U$1)/$K125</f>
        <v>0.19439829802268</v>
      </c>
      <c r="V125" s="33" t="n">
        <f aca="false">($H125*V$1)/$K125</f>
        <v>0.199952535109043</v>
      </c>
      <c r="W125" s="33" t="n">
        <f aca="false">($H125*W$1)/$K125</f>
        <v>0.205506772195405</v>
      </c>
      <c r="X125" s="33" t="n">
        <f aca="false">($H125*X$1)/$K125</f>
        <v>0.211061009281767</v>
      </c>
      <c r="Y125" s="33" t="n">
        <f aca="false">($H125*Y$1)/$K125</f>
        <v>0.216615246368129</v>
      </c>
      <c r="Z125" s="34"/>
      <c r="AA125" s="34"/>
      <c r="AB125" s="34"/>
      <c r="AC125" s="34"/>
      <c r="AD125" s="35"/>
      <c r="AE125" s="35"/>
    </row>
    <row r="126" customFormat="false" ht="15" hidden="false" customHeight="false" outlineLevel="0" collapsed="false">
      <c r="A126" s="0" t="s">
        <v>15</v>
      </c>
      <c r="B126" s="46" t="s">
        <v>214</v>
      </c>
      <c r="C126" s="16" t="s">
        <v>213</v>
      </c>
      <c r="D126" s="45" t="n">
        <v>30</v>
      </c>
      <c r="E126" s="45"/>
      <c r="F126" s="30" t="n">
        <f aca="false">G126</f>
        <v>0.148112988969661</v>
      </c>
      <c r="G126" s="44" t="n">
        <v>0.148112988969661</v>
      </c>
      <c r="H126" s="44" t="n">
        <v>0.148112988969661</v>
      </c>
      <c r="I126" s="44" t="n">
        <f aca="false">+(H126+J126)/2</f>
        <v>0.154056494484831</v>
      </c>
      <c r="J126" s="44" t="n">
        <v>0.16</v>
      </c>
      <c r="K126" s="31" t="n">
        <v>1</v>
      </c>
      <c r="L126" s="32"/>
      <c r="M126" s="32"/>
      <c r="N126" s="32"/>
      <c r="O126" s="32"/>
      <c r="P126" s="32"/>
      <c r="Q126" s="32"/>
      <c r="R126" s="32" t="n">
        <f aca="false">($G126*R$1)/$K126</f>
        <v>0.177735586763593</v>
      </c>
      <c r="S126" s="32" t="n">
        <f aca="false">($G126*S$1)/$K126</f>
        <v>0.183289823849956</v>
      </c>
      <c r="T126" s="32" t="n">
        <f aca="false">($G126*T$1)/$K126</f>
        <v>0.188844060936318</v>
      </c>
      <c r="U126" s="32" t="n">
        <f aca="false">($G126*U$1)/$K126</f>
        <v>0.19439829802268</v>
      </c>
      <c r="V126" s="33" t="n">
        <f aca="false">($H126*V$1)/$K126</f>
        <v>0.199952535109043</v>
      </c>
      <c r="W126" s="33" t="n">
        <f aca="false">($H126*W$1)/$K126</f>
        <v>0.205506772195405</v>
      </c>
      <c r="X126" s="33" t="n">
        <f aca="false">($H126*X$1)/$K126</f>
        <v>0.211061009281767</v>
      </c>
      <c r="Y126" s="33" t="n">
        <f aca="false">($H126*Y$1)/$K126</f>
        <v>0.216615246368129</v>
      </c>
      <c r="Z126" s="34"/>
      <c r="AA126" s="34"/>
      <c r="AB126" s="34"/>
      <c r="AC126" s="34"/>
      <c r="AD126" s="35"/>
      <c r="AE126" s="35"/>
    </row>
    <row r="127" customFormat="false" ht="15" hidden="false" customHeight="false" outlineLevel="0" collapsed="false">
      <c r="A127" s="0" t="s">
        <v>15</v>
      </c>
      <c r="B127" s="46" t="s">
        <v>215</v>
      </c>
      <c r="C127" s="16" t="s">
        <v>216</v>
      </c>
      <c r="D127" s="45" t="n">
        <v>30</v>
      </c>
      <c r="E127" s="45"/>
      <c r="F127" s="30" t="n">
        <f aca="false">G127</f>
        <v>0.148112988969661</v>
      </c>
      <c r="G127" s="44" t="n">
        <v>0.148112988969661</v>
      </c>
      <c r="H127" s="44" t="n">
        <v>0.148112988969661</v>
      </c>
      <c r="I127" s="44" t="n">
        <f aca="false">+(H127+J127)/2</f>
        <v>0.154056494484831</v>
      </c>
      <c r="J127" s="44" t="n">
        <v>0.16</v>
      </c>
      <c r="K127" s="31" t="n">
        <v>1</v>
      </c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3"/>
      <c r="W127" s="33"/>
      <c r="X127" s="33"/>
      <c r="Y127" s="33"/>
      <c r="Z127" s="34" t="n">
        <f aca="false">($I127*Z$1)/$K127</f>
        <v>0.231084741727246</v>
      </c>
      <c r="AA127" s="34" t="n">
        <f aca="false">($I127*AA$1)/$K127</f>
        <v>0.236861860270427</v>
      </c>
      <c r="AB127" s="34" t="n">
        <f aca="false">($I127*AB$1)/$K127</f>
        <v>0.242638978813608</v>
      </c>
      <c r="AC127" s="34" t="n">
        <f aca="false">($I127*AC$1)/$K127</f>
        <v>0.248416097356789</v>
      </c>
      <c r="AD127" s="35" t="n">
        <f aca="false">($I127*AD$1)/$K127</f>
        <v>0.25419321589997</v>
      </c>
      <c r="AE127" s="35" t="n">
        <f aca="false">($I127*AE$1)/$K127</f>
        <v>0.259970334443151</v>
      </c>
    </row>
    <row r="128" customFormat="false" ht="15" hidden="false" customHeight="false" outlineLevel="0" collapsed="false">
      <c r="A128" s="0" t="s">
        <v>15</v>
      </c>
      <c r="B128" s="46" t="s">
        <v>217</v>
      </c>
      <c r="C128" s="16" t="s">
        <v>218</v>
      </c>
      <c r="D128" s="45" t="n">
        <v>30</v>
      </c>
      <c r="E128" s="45"/>
      <c r="F128" s="30" t="n">
        <f aca="false">G128</f>
        <v>0.148112988969661</v>
      </c>
      <c r="G128" s="44" t="n">
        <v>0.148112988969661</v>
      </c>
      <c r="H128" s="44" t="n">
        <v>0.148112988969661</v>
      </c>
      <c r="I128" s="44" t="n">
        <f aca="false">+(H128+J128)/2</f>
        <v>0.154056494484831</v>
      </c>
      <c r="J128" s="44" t="n">
        <v>0.16</v>
      </c>
      <c r="K128" s="31" t="n">
        <v>1</v>
      </c>
      <c r="L128" s="32"/>
      <c r="M128" s="32"/>
      <c r="N128" s="32"/>
      <c r="O128" s="32"/>
      <c r="P128" s="32"/>
      <c r="Q128" s="32"/>
      <c r="R128" s="32" t="n">
        <f aca="false">($G128*R$1)/$K128</f>
        <v>0.177735586763593</v>
      </c>
      <c r="S128" s="32" t="n">
        <f aca="false">($G128*S$1)/$K128</f>
        <v>0.183289823849956</v>
      </c>
      <c r="T128" s="32" t="n">
        <f aca="false">($G128*T$1)/$K128</f>
        <v>0.188844060936318</v>
      </c>
      <c r="U128" s="32" t="n">
        <f aca="false">($G128*U$1)/$K128</f>
        <v>0.19439829802268</v>
      </c>
      <c r="V128" s="33" t="n">
        <f aca="false">($H128*V$1)/$K128</f>
        <v>0.199952535109043</v>
      </c>
      <c r="W128" s="33" t="n">
        <f aca="false">($H128*W$1)/$K128</f>
        <v>0.205506772195405</v>
      </c>
      <c r="X128" s="33" t="n">
        <f aca="false">($H128*X$1)/$K128</f>
        <v>0.211061009281767</v>
      </c>
      <c r="Y128" s="33" t="n">
        <f aca="false">($H128*Y$1)/$K128</f>
        <v>0.216615246368129</v>
      </c>
      <c r="Z128" s="34" t="n">
        <f aca="false">($I128*Z$1)/$K128</f>
        <v>0.231084741727246</v>
      </c>
      <c r="AA128" s="34" t="n">
        <f aca="false">($I128*AA$1)/$K128</f>
        <v>0.236861860270427</v>
      </c>
      <c r="AB128" s="34" t="n">
        <f aca="false">($I128*AB$1)/$K128</f>
        <v>0.242638978813608</v>
      </c>
      <c r="AC128" s="34" t="n">
        <f aca="false">($I128*AC$1)/$K128</f>
        <v>0.248416097356789</v>
      </c>
      <c r="AD128" s="35" t="n">
        <f aca="false">($I128*AD$1)/$K128</f>
        <v>0.25419321589997</v>
      </c>
      <c r="AE128" s="35" t="n">
        <f aca="false">($I128*AE$1)/$K128</f>
        <v>0.259970334443151</v>
      </c>
    </row>
    <row r="129" customFormat="false" ht="15" hidden="false" customHeight="false" outlineLevel="0" collapsed="false">
      <c r="A129" s="0" t="s">
        <v>15</v>
      </c>
      <c r="B129" s="46" t="s">
        <v>219</v>
      </c>
      <c r="C129" s="16" t="s">
        <v>220</v>
      </c>
      <c r="D129" s="45" t="n">
        <v>30</v>
      </c>
      <c r="E129" s="45"/>
      <c r="F129" s="30" t="n">
        <f aca="false">G129</f>
        <v>0.148112988969661</v>
      </c>
      <c r="G129" s="44" t="n">
        <v>0.148112988969661</v>
      </c>
      <c r="H129" s="44" t="n">
        <v>0.148112988969661</v>
      </c>
      <c r="I129" s="44" t="n">
        <f aca="false">+(H129+J129)/2</f>
        <v>0.154056494484831</v>
      </c>
      <c r="J129" s="44" t="n">
        <v>0.16</v>
      </c>
      <c r="K129" s="31" t="n">
        <v>1</v>
      </c>
      <c r="L129" s="32"/>
      <c r="M129" s="32" t="n">
        <f aca="false">($G129*M$1)/$K129</f>
        <v>0.149964401331782</v>
      </c>
      <c r="N129" s="32" t="n">
        <f aca="false">($G129*N$1)/$K129</f>
        <v>0.155518638418144</v>
      </c>
      <c r="O129" s="32" t="n">
        <f aca="false">($G129*O$1)/$K129</f>
        <v>0.161072875504506</v>
      </c>
      <c r="P129" s="32" t="n">
        <f aca="false">($G129*P$1)/$K129</f>
        <v>0.166627112590869</v>
      </c>
      <c r="Q129" s="32" t="n">
        <f aca="false">($G129*Q$1)/$K129</f>
        <v>0.172181349677231</v>
      </c>
      <c r="R129" s="32" t="n">
        <f aca="false">($G129*R$1)/$K129</f>
        <v>0.177735586763593</v>
      </c>
      <c r="S129" s="32" t="n">
        <f aca="false">($G129*S$1)/$K129</f>
        <v>0.183289823849956</v>
      </c>
      <c r="T129" s="32"/>
      <c r="U129" s="32"/>
      <c r="V129" s="33"/>
      <c r="W129" s="33"/>
      <c r="X129" s="33"/>
      <c r="Y129" s="33"/>
      <c r="Z129" s="34"/>
      <c r="AA129" s="34"/>
      <c r="AB129" s="34"/>
      <c r="AC129" s="34"/>
      <c r="AD129" s="35"/>
      <c r="AE129" s="35"/>
    </row>
    <row r="130" customFormat="false" ht="15" hidden="false" customHeight="false" outlineLevel="0" collapsed="false">
      <c r="A130" s="0" t="s">
        <v>15</v>
      </c>
      <c r="B130" s="46" t="s">
        <v>221</v>
      </c>
      <c r="C130" s="16" t="s">
        <v>220</v>
      </c>
      <c r="D130" s="45" t="n">
        <v>30</v>
      </c>
      <c r="E130" s="45"/>
      <c r="F130" s="30" t="n">
        <f aca="false">G130</f>
        <v>0.148112988969661</v>
      </c>
      <c r="G130" s="44" t="n">
        <v>0.148112988969661</v>
      </c>
      <c r="H130" s="44" t="n">
        <v>0.148112988969661</v>
      </c>
      <c r="I130" s="44" t="n">
        <f aca="false">+(H130+J130)/2</f>
        <v>0.154056494484831</v>
      </c>
      <c r="J130" s="44" t="n">
        <v>0.16</v>
      </c>
      <c r="K130" s="31" t="n">
        <v>1</v>
      </c>
      <c r="L130" s="32"/>
      <c r="M130" s="32" t="n">
        <f aca="false">($G130*M$1)/$K130</f>
        <v>0.149964401331782</v>
      </c>
      <c r="N130" s="32" t="n">
        <f aca="false">($G130*N$1)/$K130</f>
        <v>0.155518638418144</v>
      </c>
      <c r="O130" s="32" t="n">
        <f aca="false">($G130*O$1)/$K130</f>
        <v>0.161072875504506</v>
      </c>
      <c r="P130" s="32" t="n">
        <f aca="false">($G130*P$1)/$K130</f>
        <v>0.166627112590869</v>
      </c>
      <c r="Q130" s="32" t="n">
        <f aca="false">($G130*Q$1)/$K130</f>
        <v>0.172181349677231</v>
      </c>
      <c r="R130" s="32" t="n">
        <f aca="false">($G130*R$1)/$K130</f>
        <v>0.177735586763593</v>
      </c>
      <c r="S130" s="32" t="n">
        <f aca="false">($G130*S$1)/$K130</f>
        <v>0.183289823849956</v>
      </c>
      <c r="T130" s="32"/>
      <c r="U130" s="32"/>
      <c r="V130" s="33"/>
      <c r="W130" s="33"/>
      <c r="X130" s="33"/>
      <c r="Y130" s="33"/>
      <c r="Z130" s="34"/>
      <c r="AA130" s="34"/>
      <c r="AB130" s="34"/>
      <c r="AC130" s="34"/>
      <c r="AD130" s="35"/>
      <c r="AE130" s="35"/>
    </row>
    <row r="131" customFormat="false" ht="15" hidden="false" customHeight="false" outlineLevel="0" collapsed="false">
      <c r="A131" s="0" t="s">
        <v>15</v>
      </c>
      <c r="B131" s="46" t="s">
        <v>222</v>
      </c>
      <c r="C131" s="16" t="s">
        <v>223</v>
      </c>
      <c r="D131" s="45" t="n">
        <v>30</v>
      </c>
      <c r="E131" s="45"/>
      <c r="F131" s="30" t="n">
        <f aca="false">G131</f>
        <v>0.148112988969661</v>
      </c>
      <c r="G131" s="44" t="n">
        <v>0.148112988969661</v>
      </c>
      <c r="H131" s="44" t="n">
        <v>0.148112988969661</v>
      </c>
      <c r="I131" s="44" t="n">
        <f aca="false">+(H131+J131)/2</f>
        <v>0.154056494484831</v>
      </c>
      <c r="J131" s="44" t="n">
        <v>0.16</v>
      </c>
      <c r="K131" s="31" t="n">
        <v>1</v>
      </c>
      <c r="L131" s="32"/>
      <c r="M131" s="32" t="n">
        <f aca="false">($G131*M$1)/$K131</f>
        <v>0.149964401331782</v>
      </c>
      <c r="N131" s="32" t="n">
        <f aca="false">($G131*N$1)/$K131</f>
        <v>0.155518638418144</v>
      </c>
      <c r="O131" s="32" t="n">
        <f aca="false">($G131*O$1)/$K131</f>
        <v>0.161072875504506</v>
      </c>
      <c r="P131" s="32" t="n">
        <f aca="false">($G131*P$1)/$K131</f>
        <v>0.166627112590869</v>
      </c>
      <c r="Q131" s="32" t="n">
        <f aca="false">($G131*Q$1)/$K131</f>
        <v>0.172181349677231</v>
      </c>
      <c r="R131" s="32"/>
      <c r="S131" s="32"/>
      <c r="T131" s="32"/>
      <c r="U131" s="32"/>
      <c r="V131" s="33"/>
      <c r="W131" s="33"/>
      <c r="X131" s="33"/>
      <c r="Y131" s="33"/>
      <c r="Z131" s="34"/>
      <c r="AA131" s="34"/>
      <c r="AB131" s="34"/>
      <c r="AC131" s="34"/>
      <c r="AD131" s="35"/>
      <c r="AE131" s="35"/>
    </row>
    <row r="132" customFormat="false" ht="15" hidden="false" customHeight="false" outlineLevel="0" collapsed="false">
      <c r="A132" s="0" t="s">
        <v>15</v>
      </c>
      <c r="B132" s="46" t="s">
        <v>200</v>
      </c>
      <c r="C132" s="16" t="s">
        <v>201</v>
      </c>
      <c r="D132" s="45" t="n">
        <v>31</v>
      </c>
      <c r="E132" s="45"/>
      <c r="F132" s="30" t="n">
        <f aca="false">G132</f>
        <v>0.148112988969661</v>
      </c>
      <c r="G132" s="44" t="n">
        <v>0.148112988969661</v>
      </c>
      <c r="H132" s="44" t="n">
        <v>0.148112988969661</v>
      </c>
      <c r="I132" s="44" t="n">
        <f aca="false">+(H132+J132)/2</f>
        <v>0.154056494484831</v>
      </c>
      <c r="J132" s="44" t="n">
        <v>0.16</v>
      </c>
      <c r="K132" s="31" t="n">
        <v>1</v>
      </c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3" t="n">
        <f aca="false">($H132*V$1)/$K132</f>
        <v>0.199952535109043</v>
      </c>
      <c r="W132" s="33" t="n">
        <f aca="false">($H132*W$1)/$K132</f>
        <v>0.205506772195405</v>
      </c>
      <c r="X132" s="33" t="n">
        <f aca="false">($H132*X$1)/$K132</f>
        <v>0.211061009281767</v>
      </c>
      <c r="Y132" s="33" t="n">
        <f aca="false">($H132*Y$1)/$K132</f>
        <v>0.216615246368129</v>
      </c>
      <c r="Z132" s="34" t="n">
        <f aca="false">($I132*Z$1)/$K132</f>
        <v>0.231084741727246</v>
      </c>
      <c r="AA132" s="34" t="n">
        <f aca="false">($I132*AA$1)/$K132</f>
        <v>0.236861860270427</v>
      </c>
      <c r="AB132" s="34" t="n">
        <f aca="false">($I132*AB$1)/$K132</f>
        <v>0.242638978813608</v>
      </c>
      <c r="AC132" s="34" t="n">
        <f aca="false">($I132*AC$1)/$K132</f>
        <v>0.248416097356789</v>
      </c>
      <c r="AD132" s="35" t="n">
        <f aca="false">($I132*AD$1)/$K132</f>
        <v>0.25419321589997</v>
      </c>
      <c r="AE132" s="35" t="n">
        <f aca="false">($I132*AE$1)/$K132</f>
        <v>0.259970334443151</v>
      </c>
    </row>
    <row r="133" customFormat="false" ht="15" hidden="false" customHeight="false" outlineLevel="0" collapsed="false">
      <c r="A133" s="0" t="s">
        <v>15</v>
      </c>
      <c r="B133" s="46" t="s">
        <v>202</v>
      </c>
      <c r="C133" s="16" t="s">
        <v>201</v>
      </c>
      <c r="D133" s="45" t="n">
        <v>31</v>
      </c>
      <c r="E133" s="45"/>
      <c r="F133" s="30" t="n">
        <f aca="false">G133</f>
        <v>0.148112988969661</v>
      </c>
      <c r="G133" s="44" t="n">
        <v>0.148112988969661</v>
      </c>
      <c r="H133" s="44" t="n">
        <v>0.148112988969661</v>
      </c>
      <c r="I133" s="44" t="n">
        <f aca="false">+(H133+J133)/2</f>
        <v>0.154056494484831</v>
      </c>
      <c r="J133" s="44" t="n">
        <v>0.16</v>
      </c>
      <c r="K133" s="31" t="n">
        <v>1</v>
      </c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3" t="n">
        <f aca="false">($H133*V$1)/$K133</f>
        <v>0.199952535109043</v>
      </c>
      <c r="W133" s="33" t="n">
        <f aca="false">($H133*W$1)/$K133</f>
        <v>0.205506772195405</v>
      </c>
      <c r="X133" s="33" t="n">
        <f aca="false">($H133*X$1)/$K133</f>
        <v>0.211061009281767</v>
      </c>
      <c r="Y133" s="33" t="n">
        <f aca="false">($H133*Y$1)/$K133</f>
        <v>0.216615246368129</v>
      </c>
      <c r="Z133" s="34" t="n">
        <f aca="false">($I133*Z$1)/$K133</f>
        <v>0.231084741727246</v>
      </c>
      <c r="AA133" s="34" t="n">
        <f aca="false">($I133*AA$1)/$K133</f>
        <v>0.236861860270427</v>
      </c>
      <c r="AB133" s="34" t="n">
        <f aca="false">($I133*AB$1)/$K133</f>
        <v>0.242638978813608</v>
      </c>
      <c r="AC133" s="34" t="n">
        <f aca="false">($I133*AC$1)/$K133</f>
        <v>0.248416097356789</v>
      </c>
      <c r="AD133" s="35" t="n">
        <f aca="false">($I133*AD$1)/$K133</f>
        <v>0.25419321589997</v>
      </c>
      <c r="AE133" s="35" t="n">
        <f aca="false">($I133*AE$1)/$K133</f>
        <v>0.259970334443151</v>
      </c>
    </row>
    <row r="134" customFormat="false" ht="15" hidden="false" customHeight="false" outlineLevel="0" collapsed="false">
      <c r="A134" s="0" t="s">
        <v>15</v>
      </c>
      <c r="B134" s="46" t="s">
        <v>203</v>
      </c>
      <c r="C134" s="16" t="s">
        <v>204</v>
      </c>
      <c r="D134" s="45" t="n">
        <v>31</v>
      </c>
      <c r="E134" s="45"/>
      <c r="F134" s="30" t="n">
        <f aca="false">G134</f>
        <v>0.148112988969661</v>
      </c>
      <c r="G134" s="44" t="n">
        <v>0.148112988969661</v>
      </c>
      <c r="H134" s="44" t="n">
        <v>0.148112988969661</v>
      </c>
      <c r="I134" s="44" t="n">
        <f aca="false">+(H134+J134)/2</f>
        <v>0.154056494484831</v>
      </c>
      <c r="J134" s="44" t="n">
        <v>0.16</v>
      </c>
      <c r="K134" s="31" t="n">
        <v>1</v>
      </c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3" t="n">
        <f aca="false">($H134*V$1)/$K134</f>
        <v>0.199952535109043</v>
      </c>
      <c r="W134" s="33" t="n">
        <f aca="false">($H134*W$1)/$K134</f>
        <v>0.205506772195405</v>
      </c>
      <c r="X134" s="33" t="n">
        <f aca="false">($H134*X$1)/$K134</f>
        <v>0.211061009281767</v>
      </c>
      <c r="Y134" s="33" t="n">
        <f aca="false">($H134*Y$1)/$K134</f>
        <v>0.216615246368129</v>
      </c>
      <c r="Z134" s="34" t="n">
        <f aca="false">($I134*Z$1)/$K134</f>
        <v>0.231084741727246</v>
      </c>
      <c r="AA134" s="34" t="n">
        <f aca="false">($I134*AA$1)/$K134</f>
        <v>0.236861860270427</v>
      </c>
      <c r="AB134" s="34" t="n">
        <f aca="false">($I134*AB$1)/$K134</f>
        <v>0.242638978813608</v>
      </c>
      <c r="AC134" s="34" t="n">
        <f aca="false">($I134*AC$1)/$K134</f>
        <v>0.248416097356789</v>
      </c>
      <c r="AD134" s="35" t="n">
        <f aca="false">($I134*AD$1)/$K134</f>
        <v>0.25419321589997</v>
      </c>
      <c r="AE134" s="35" t="n">
        <f aca="false">($I134*AE$1)/$K134</f>
        <v>0.259970334443151</v>
      </c>
    </row>
    <row r="135" customFormat="false" ht="15" hidden="false" customHeight="false" outlineLevel="0" collapsed="false">
      <c r="A135" s="0" t="s">
        <v>15</v>
      </c>
      <c r="B135" s="46" t="s">
        <v>205</v>
      </c>
      <c r="C135" s="16" t="s">
        <v>206</v>
      </c>
      <c r="D135" s="45" t="n">
        <v>31</v>
      </c>
      <c r="E135" s="45"/>
      <c r="F135" s="30" t="n">
        <f aca="false">G135</f>
        <v>0.148112988969661</v>
      </c>
      <c r="G135" s="44" t="n">
        <v>0.148112988969661</v>
      </c>
      <c r="H135" s="44" t="n">
        <v>0.148112988969661</v>
      </c>
      <c r="I135" s="44" t="n">
        <f aca="false">+(H135+J135)/2</f>
        <v>0.154056494484831</v>
      </c>
      <c r="J135" s="44" t="n">
        <v>0.16</v>
      </c>
      <c r="K135" s="31" t="n">
        <v>1</v>
      </c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3" t="n">
        <f aca="false">($H135*V$1)/$K135</f>
        <v>0.199952535109043</v>
      </c>
      <c r="W135" s="33" t="n">
        <f aca="false">($H135*W$1)/$K135</f>
        <v>0.205506772195405</v>
      </c>
      <c r="X135" s="33" t="n">
        <f aca="false">($H135*X$1)/$K135</f>
        <v>0.211061009281767</v>
      </c>
      <c r="Y135" s="33" t="n">
        <f aca="false">($H135*Y$1)/$K135</f>
        <v>0.216615246368129</v>
      </c>
      <c r="Z135" s="34" t="n">
        <f aca="false">($I135*Z$1)/$K135</f>
        <v>0.231084741727246</v>
      </c>
      <c r="AA135" s="34" t="n">
        <f aca="false">($I135*AA$1)/$K135</f>
        <v>0.236861860270427</v>
      </c>
      <c r="AB135" s="34" t="n">
        <f aca="false">($I135*AB$1)/$K135</f>
        <v>0.242638978813608</v>
      </c>
      <c r="AC135" s="34" t="n">
        <f aca="false">($I135*AC$1)/$K135</f>
        <v>0.248416097356789</v>
      </c>
      <c r="AD135" s="35" t="n">
        <f aca="false">($I135*AD$1)/$K135</f>
        <v>0.25419321589997</v>
      </c>
      <c r="AE135" s="35" t="n">
        <f aca="false">($I135*AE$1)/$K135</f>
        <v>0.259970334443151</v>
      </c>
    </row>
    <row r="136" customFormat="false" ht="15" hidden="false" customHeight="false" outlineLevel="0" collapsed="false">
      <c r="A136" s="0" t="s">
        <v>15</v>
      </c>
      <c r="B136" s="46" t="s">
        <v>207</v>
      </c>
      <c r="C136" s="16" t="s">
        <v>208</v>
      </c>
      <c r="D136" s="45" t="n">
        <v>31</v>
      </c>
      <c r="E136" s="45"/>
      <c r="F136" s="30" t="n">
        <f aca="false">G136</f>
        <v>0.148112988969661</v>
      </c>
      <c r="G136" s="44" t="n">
        <v>0.148112988969661</v>
      </c>
      <c r="H136" s="44" t="n">
        <v>0.148112988969661</v>
      </c>
      <c r="I136" s="44" t="n">
        <f aca="false">+(H136+J136)/2</f>
        <v>0.154056494484831</v>
      </c>
      <c r="J136" s="44" t="n">
        <v>0.16</v>
      </c>
      <c r="K136" s="31" t="n">
        <v>1</v>
      </c>
      <c r="L136" s="32"/>
      <c r="M136" s="32"/>
      <c r="N136" s="32"/>
      <c r="O136" s="32"/>
      <c r="P136" s="32"/>
      <c r="Q136" s="32"/>
      <c r="R136" s="32" t="n">
        <f aca="false">($G136*R$1)/$K136</f>
        <v>0.177735586763593</v>
      </c>
      <c r="S136" s="32" t="n">
        <f aca="false">($G136*S$1)/$K136</f>
        <v>0.183289823849956</v>
      </c>
      <c r="T136" s="32" t="n">
        <f aca="false">($G136*T$1)/$K136</f>
        <v>0.188844060936318</v>
      </c>
      <c r="U136" s="32" t="n">
        <f aca="false">($G136*U$1)/$K136</f>
        <v>0.19439829802268</v>
      </c>
      <c r="V136" s="33" t="n">
        <f aca="false">($H136*V$1)/$K136</f>
        <v>0.199952535109043</v>
      </c>
      <c r="W136" s="33" t="n">
        <f aca="false">($H136*W$1)/$K136</f>
        <v>0.205506772195405</v>
      </c>
      <c r="X136" s="33" t="n">
        <f aca="false">($H136*X$1)/$K136</f>
        <v>0.211061009281767</v>
      </c>
      <c r="Y136" s="33" t="n">
        <f aca="false">($H136*Y$1)/$K136</f>
        <v>0.216615246368129</v>
      </c>
      <c r="Z136" s="34"/>
      <c r="AA136" s="34"/>
      <c r="AB136" s="34"/>
      <c r="AC136" s="34"/>
      <c r="AD136" s="35"/>
      <c r="AE136" s="35"/>
    </row>
    <row r="137" customFormat="false" ht="15" hidden="false" customHeight="false" outlineLevel="0" collapsed="false">
      <c r="A137" s="0" t="s">
        <v>15</v>
      </c>
      <c r="B137" s="46" t="s">
        <v>209</v>
      </c>
      <c r="C137" s="16" t="s">
        <v>210</v>
      </c>
      <c r="D137" s="45" t="n">
        <v>31</v>
      </c>
      <c r="E137" s="45"/>
      <c r="F137" s="30" t="n">
        <f aca="false">G137</f>
        <v>0.148112988969661</v>
      </c>
      <c r="G137" s="44" t="n">
        <v>0.148112988969661</v>
      </c>
      <c r="H137" s="44" t="n">
        <v>0.148112988969661</v>
      </c>
      <c r="I137" s="44" t="n">
        <f aca="false">+(H137+J137)/2</f>
        <v>0.154056494484831</v>
      </c>
      <c r="J137" s="44" t="n">
        <v>0.16</v>
      </c>
      <c r="K137" s="31" t="n">
        <v>1</v>
      </c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3" t="n">
        <f aca="false">($H137*V$1)/$K137</f>
        <v>0.199952535109043</v>
      </c>
      <c r="W137" s="33" t="n">
        <f aca="false">($H137*W$1)/$K137</f>
        <v>0.205506772195405</v>
      </c>
      <c r="X137" s="33" t="n">
        <f aca="false">($H137*X$1)/$K137</f>
        <v>0.211061009281767</v>
      </c>
      <c r="Y137" s="33" t="n">
        <f aca="false">($H137*Y$1)/$K137</f>
        <v>0.216615246368129</v>
      </c>
      <c r="Z137" s="34" t="n">
        <f aca="false">($I137*Z$1)/$K137</f>
        <v>0.231084741727246</v>
      </c>
      <c r="AA137" s="34" t="n">
        <f aca="false">($I137*AA$1)/$K137</f>
        <v>0.236861860270427</v>
      </c>
      <c r="AB137" s="34" t="n">
        <f aca="false">($I137*AB$1)/$K137</f>
        <v>0.242638978813608</v>
      </c>
      <c r="AC137" s="34" t="n">
        <f aca="false">($I137*AC$1)/$K137</f>
        <v>0.248416097356789</v>
      </c>
      <c r="AD137" s="35" t="n">
        <f aca="false">($I137*AD$1)/$K137</f>
        <v>0.25419321589997</v>
      </c>
      <c r="AE137" s="35" t="n">
        <f aca="false">($I137*AE$1)/$K137</f>
        <v>0.259970334443151</v>
      </c>
    </row>
    <row r="138" customFormat="false" ht="15" hidden="false" customHeight="false" outlineLevel="0" collapsed="false">
      <c r="A138" s="0" t="s">
        <v>15</v>
      </c>
      <c r="B138" s="46" t="s">
        <v>211</v>
      </c>
      <c r="C138" s="16" t="s">
        <v>210</v>
      </c>
      <c r="D138" s="45" t="n">
        <v>31</v>
      </c>
      <c r="E138" s="45"/>
      <c r="F138" s="30" t="n">
        <f aca="false">G138</f>
        <v>0.148112988969661</v>
      </c>
      <c r="G138" s="44" t="n">
        <v>0.148112988969661</v>
      </c>
      <c r="H138" s="44" t="n">
        <v>0.148112988969661</v>
      </c>
      <c r="I138" s="44" t="n">
        <f aca="false">+(H138+J138)/2</f>
        <v>0.154056494484831</v>
      </c>
      <c r="J138" s="44" t="n">
        <v>0.16</v>
      </c>
      <c r="K138" s="31" t="n">
        <v>1</v>
      </c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3" t="n">
        <f aca="false">($H138*V$1)/$K138</f>
        <v>0.199952535109043</v>
      </c>
      <c r="W138" s="33" t="n">
        <f aca="false">($H138*W$1)/$K138</f>
        <v>0.205506772195405</v>
      </c>
      <c r="X138" s="33" t="n">
        <f aca="false">($H138*X$1)/$K138</f>
        <v>0.211061009281767</v>
      </c>
      <c r="Y138" s="33" t="n">
        <f aca="false">($H138*Y$1)/$K138</f>
        <v>0.216615246368129</v>
      </c>
      <c r="Z138" s="34" t="n">
        <f aca="false">($I138*Z$1)/$K138</f>
        <v>0.231084741727246</v>
      </c>
      <c r="AA138" s="34" t="n">
        <f aca="false">($I138*AA$1)/$K138</f>
        <v>0.236861860270427</v>
      </c>
      <c r="AB138" s="34" t="n">
        <f aca="false">($I138*AB$1)/$K138</f>
        <v>0.242638978813608</v>
      </c>
      <c r="AC138" s="34" t="n">
        <f aca="false">($I138*AC$1)/$K138</f>
        <v>0.248416097356789</v>
      </c>
      <c r="AD138" s="35" t="n">
        <f aca="false">($I138*AD$1)/$K138</f>
        <v>0.25419321589997</v>
      </c>
      <c r="AE138" s="35" t="n">
        <f aca="false">($I138*AE$1)/$K138</f>
        <v>0.259970334443151</v>
      </c>
    </row>
    <row r="139" customFormat="false" ht="15" hidden="false" customHeight="false" outlineLevel="0" collapsed="false">
      <c r="A139" s="0" t="s">
        <v>15</v>
      </c>
      <c r="B139" s="46" t="s">
        <v>212</v>
      </c>
      <c r="C139" s="16" t="s">
        <v>213</v>
      </c>
      <c r="D139" s="45" t="n">
        <v>31</v>
      </c>
      <c r="E139" s="45"/>
      <c r="F139" s="30" t="n">
        <f aca="false">G139</f>
        <v>0.148112988969661</v>
      </c>
      <c r="G139" s="44" t="n">
        <v>0.148112988969661</v>
      </c>
      <c r="H139" s="44" t="n">
        <v>0.148112988969661</v>
      </c>
      <c r="I139" s="44" t="n">
        <f aca="false">+(H139+J139)/2</f>
        <v>0.154056494484831</v>
      </c>
      <c r="J139" s="44" t="n">
        <v>0.16</v>
      </c>
      <c r="K139" s="31" t="n">
        <v>1</v>
      </c>
      <c r="L139" s="32"/>
      <c r="M139" s="32"/>
      <c r="N139" s="32"/>
      <c r="O139" s="32"/>
      <c r="P139" s="32"/>
      <c r="Q139" s="32"/>
      <c r="R139" s="32" t="n">
        <f aca="false">($G139*R$1)/$K139</f>
        <v>0.177735586763593</v>
      </c>
      <c r="S139" s="32" t="n">
        <f aca="false">($G139*S$1)/$K139</f>
        <v>0.183289823849956</v>
      </c>
      <c r="T139" s="32" t="n">
        <f aca="false">($G139*T$1)/$K139</f>
        <v>0.188844060936318</v>
      </c>
      <c r="U139" s="32" t="n">
        <f aca="false">($G139*U$1)/$K139</f>
        <v>0.19439829802268</v>
      </c>
      <c r="V139" s="33" t="n">
        <f aca="false">($H139*V$1)/$K139</f>
        <v>0.199952535109043</v>
      </c>
      <c r="W139" s="33" t="n">
        <f aca="false">($H139*W$1)/$K139</f>
        <v>0.205506772195405</v>
      </c>
      <c r="X139" s="33" t="n">
        <f aca="false">($H139*X$1)/$K139</f>
        <v>0.211061009281767</v>
      </c>
      <c r="Y139" s="33" t="n">
        <f aca="false">($H139*Y$1)/$K139</f>
        <v>0.216615246368129</v>
      </c>
      <c r="Z139" s="34"/>
      <c r="AA139" s="34"/>
      <c r="AB139" s="34"/>
      <c r="AC139" s="34"/>
      <c r="AD139" s="35"/>
      <c r="AE139" s="35"/>
    </row>
    <row r="140" customFormat="false" ht="15" hidden="false" customHeight="false" outlineLevel="0" collapsed="false">
      <c r="A140" s="0" t="s">
        <v>15</v>
      </c>
      <c r="B140" s="46" t="s">
        <v>214</v>
      </c>
      <c r="C140" s="16" t="s">
        <v>213</v>
      </c>
      <c r="D140" s="45" t="n">
        <v>31</v>
      </c>
      <c r="E140" s="45"/>
      <c r="F140" s="30" t="n">
        <f aca="false">G140</f>
        <v>0.148112988969661</v>
      </c>
      <c r="G140" s="44" t="n">
        <v>0.148112988969661</v>
      </c>
      <c r="H140" s="44" t="n">
        <v>0.148112988969661</v>
      </c>
      <c r="I140" s="44" t="n">
        <f aca="false">+(H140+J140)/2</f>
        <v>0.154056494484831</v>
      </c>
      <c r="J140" s="44" t="n">
        <v>0.16</v>
      </c>
      <c r="K140" s="31" t="n">
        <v>1</v>
      </c>
      <c r="L140" s="32"/>
      <c r="M140" s="32"/>
      <c r="N140" s="32"/>
      <c r="O140" s="32"/>
      <c r="P140" s="32"/>
      <c r="Q140" s="32"/>
      <c r="R140" s="32" t="n">
        <f aca="false">($G140*R$1)/$K140</f>
        <v>0.177735586763593</v>
      </c>
      <c r="S140" s="32" t="n">
        <f aca="false">($G140*S$1)/$K140</f>
        <v>0.183289823849956</v>
      </c>
      <c r="T140" s="32" t="n">
        <f aca="false">($G140*T$1)/$K140</f>
        <v>0.188844060936318</v>
      </c>
      <c r="U140" s="32" t="n">
        <f aca="false">($G140*U$1)/$K140</f>
        <v>0.19439829802268</v>
      </c>
      <c r="V140" s="33" t="n">
        <f aca="false">($H140*V$1)/$K140</f>
        <v>0.199952535109043</v>
      </c>
      <c r="W140" s="33" t="n">
        <f aca="false">($H140*W$1)/$K140</f>
        <v>0.205506772195405</v>
      </c>
      <c r="X140" s="33" t="n">
        <f aca="false">($H140*X$1)/$K140</f>
        <v>0.211061009281767</v>
      </c>
      <c r="Y140" s="33" t="n">
        <f aca="false">($H140*Y$1)/$K140</f>
        <v>0.216615246368129</v>
      </c>
      <c r="Z140" s="34"/>
      <c r="AA140" s="34"/>
      <c r="AB140" s="34"/>
      <c r="AC140" s="34"/>
      <c r="AD140" s="35"/>
      <c r="AE140" s="35"/>
    </row>
    <row r="141" customFormat="false" ht="15" hidden="false" customHeight="false" outlineLevel="0" collapsed="false">
      <c r="A141" s="0" t="s">
        <v>15</v>
      </c>
      <c r="B141" s="46" t="s">
        <v>215</v>
      </c>
      <c r="C141" s="16" t="s">
        <v>216</v>
      </c>
      <c r="D141" s="45" t="n">
        <v>31</v>
      </c>
      <c r="E141" s="45"/>
      <c r="F141" s="30" t="n">
        <f aca="false">G141</f>
        <v>0.148112988969661</v>
      </c>
      <c r="G141" s="44" t="n">
        <v>0.148112988969661</v>
      </c>
      <c r="H141" s="44" t="n">
        <v>0.148112988969661</v>
      </c>
      <c r="I141" s="44" t="n">
        <f aca="false">+(H141+J141)/2</f>
        <v>0.154056494484831</v>
      </c>
      <c r="J141" s="44" t="n">
        <v>0.16</v>
      </c>
      <c r="K141" s="31" t="n">
        <v>1</v>
      </c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3" t="n">
        <f aca="false">($H141*V$1)/$K141</f>
        <v>0.199952535109043</v>
      </c>
      <c r="W141" s="33" t="n">
        <f aca="false">($H141*W$1)/$K141</f>
        <v>0.205506772195405</v>
      </c>
      <c r="X141" s="33" t="n">
        <f aca="false">($H141*X$1)/$K141</f>
        <v>0.211061009281767</v>
      </c>
      <c r="Y141" s="33" t="n">
        <f aca="false">($H141*Y$1)/$K141</f>
        <v>0.216615246368129</v>
      </c>
      <c r="Z141" s="34" t="n">
        <f aca="false">($I141*Z$1)/$K141</f>
        <v>0.231084741727246</v>
      </c>
      <c r="AA141" s="34" t="n">
        <f aca="false">($I141*AA$1)/$K141</f>
        <v>0.236861860270427</v>
      </c>
      <c r="AB141" s="34" t="n">
        <f aca="false">($I141*AB$1)/$K141</f>
        <v>0.242638978813608</v>
      </c>
      <c r="AC141" s="34" t="n">
        <f aca="false">($I141*AC$1)/$K141</f>
        <v>0.248416097356789</v>
      </c>
      <c r="AD141" s="35" t="n">
        <f aca="false">($I141*AD$1)/$K141</f>
        <v>0.25419321589997</v>
      </c>
      <c r="AE141" s="35" t="n">
        <f aca="false">($I141*AE$1)/$K141</f>
        <v>0.259970334443151</v>
      </c>
    </row>
    <row r="142" customFormat="false" ht="15" hidden="false" customHeight="false" outlineLevel="0" collapsed="false">
      <c r="A142" s="0" t="s">
        <v>15</v>
      </c>
      <c r="B142" s="46" t="s">
        <v>217</v>
      </c>
      <c r="C142" s="16" t="s">
        <v>218</v>
      </c>
      <c r="D142" s="45" t="n">
        <v>31</v>
      </c>
      <c r="E142" s="45"/>
      <c r="F142" s="30" t="n">
        <f aca="false">G142</f>
        <v>0.148112988969661</v>
      </c>
      <c r="G142" s="44" t="n">
        <v>0.148112988969661</v>
      </c>
      <c r="H142" s="44" t="n">
        <v>0.148112988969661</v>
      </c>
      <c r="I142" s="44" t="n">
        <f aca="false">+(H142+J142)/2</f>
        <v>0.154056494484831</v>
      </c>
      <c r="J142" s="44" t="n">
        <v>0.16</v>
      </c>
      <c r="K142" s="31" t="n">
        <v>2</v>
      </c>
      <c r="L142" s="32"/>
      <c r="M142" s="32"/>
      <c r="N142" s="32"/>
      <c r="O142" s="32"/>
      <c r="P142" s="32"/>
      <c r="Q142" s="32"/>
      <c r="R142" s="32" t="n">
        <f aca="false">($G142*R$1)/$K142</f>
        <v>0.0888677933817967</v>
      </c>
      <c r="S142" s="32" t="n">
        <f aca="false">($G142*S$1)/$K142</f>
        <v>0.0916449119249778</v>
      </c>
      <c r="T142" s="32" t="n">
        <f aca="false">($G142*T$1)/$K142</f>
        <v>0.094422030468159</v>
      </c>
      <c r="U142" s="32" t="n">
        <f aca="false">($G142*U$1)/$K142</f>
        <v>0.0971991490113401</v>
      </c>
      <c r="V142" s="33" t="n">
        <f aca="false">($H142*V$1)/$K142</f>
        <v>0.0999762675545213</v>
      </c>
      <c r="W142" s="33" t="n">
        <f aca="false">($H142*W$1)/$K142</f>
        <v>0.102753386097702</v>
      </c>
      <c r="X142" s="33" t="n">
        <f aca="false">($H142*X$1)/$K142</f>
        <v>0.105530504640884</v>
      </c>
      <c r="Y142" s="33" t="n">
        <f aca="false">($H142*Y$1)/$K142</f>
        <v>0.108307623184065</v>
      </c>
      <c r="Z142" s="34" t="n">
        <f aca="false">($I142*Z$1)/$K142</f>
        <v>0.115542370863623</v>
      </c>
      <c r="AA142" s="34" t="n">
        <f aca="false">($I142*AA$1)/$K142</f>
        <v>0.118430930135213</v>
      </c>
      <c r="AB142" s="34" t="n">
        <f aca="false">($I142*AB$1)/$K142</f>
        <v>0.121319489406804</v>
      </c>
      <c r="AC142" s="34" t="n">
        <f aca="false">($I142*AC$1)/$K142</f>
        <v>0.124208048678395</v>
      </c>
      <c r="AD142" s="35" t="n">
        <f aca="false">($I142*AD$1)/$K142</f>
        <v>0.127096607949985</v>
      </c>
      <c r="AE142" s="35" t="n">
        <f aca="false">($I142*AE$1)/$K142</f>
        <v>0.129985167221576</v>
      </c>
      <c r="AF142" s="35" t="n">
        <f aca="false">($I142*AF$1)/$K142</f>
        <v>0.132873726493166</v>
      </c>
      <c r="AG142" s="35" t="n">
        <f aca="false">($I142*AG$1)/$K142</f>
        <v>0.135762285764757</v>
      </c>
      <c r="AH142" s="35" t="n">
        <f aca="false">($I142*AH$1)/$K142</f>
        <v>0.138650845036347</v>
      </c>
      <c r="AI142" s="35" t="n">
        <f aca="false">($I142*AI$1)/$K142</f>
        <v>0.141539404307938</v>
      </c>
      <c r="AJ142" s="35" t="n">
        <f aca="false">($I142*AJ$1)/$K142</f>
        <v>0.144427963579529</v>
      </c>
      <c r="AK142" s="35" t="n">
        <f aca="false">($I142*AK$1)/$K142</f>
        <v>0.147316522851119</v>
      </c>
      <c r="AL142" s="35" t="n">
        <f aca="false">($I142*AL$1)/$K142</f>
        <v>0.15020508212271</v>
      </c>
    </row>
    <row r="143" customFormat="false" ht="15" hidden="false" customHeight="false" outlineLevel="0" collapsed="false">
      <c r="A143" s="0" t="s">
        <v>15</v>
      </c>
      <c r="B143" s="46" t="s">
        <v>219</v>
      </c>
      <c r="C143" s="16" t="s">
        <v>220</v>
      </c>
      <c r="D143" s="45" t="n">
        <v>31</v>
      </c>
      <c r="E143" s="45"/>
      <c r="F143" s="30" t="n">
        <f aca="false">G143</f>
        <v>0.148112988969661</v>
      </c>
      <c r="G143" s="44" t="n">
        <v>0.148112988969661</v>
      </c>
      <c r="H143" s="44" t="n">
        <v>0.148112988969661</v>
      </c>
      <c r="I143" s="44" t="n">
        <f aca="false">+(H143+J143)/2</f>
        <v>0.154056494484831</v>
      </c>
      <c r="J143" s="44" t="n">
        <v>0.16</v>
      </c>
      <c r="K143" s="31" t="n">
        <v>1</v>
      </c>
      <c r="L143" s="32"/>
      <c r="M143" s="32" t="n">
        <f aca="false">($G143*M$1)/$K143</f>
        <v>0.149964401331782</v>
      </c>
      <c r="N143" s="32" t="n">
        <f aca="false">($G143*N$1)/$K143</f>
        <v>0.155518638418144</v>
      </c>
      <c r="O143" s="32" t="n">
        <f aca="false">($G143*O$1)/$K143</f>
        <v>0.161072875504506</v>
      </c>
      <c r="P143" s="32" t="n">
        <f aca="false">($G143*P$1)/$K143</f>
        <v>0.166627112590869</v>
      </c>
      <c r="Q143" s="32" t="n">
        <f aca="false">($G143*Q$1)/$K143</f>
        <v>0.172181349677231</v>
      </c>
      <c r="R143" s="32" t="n">
        <f aca="false">($G143*R$1)/$K143</f>
        <v>0.177735586763593</v>
      </c>
      <c r="S143" s="32" t="n">
        <f aca="false">($G143*S$1)/$K143</f>
        <v>0.183289823849956</v>
      </c>
      <c r="T143" s="32"/>
      <c r="U143" s="32"/>
      <c r="V143" s="33"/>
      <c r="W143" s="33"/>
      <c r="X143" s="33"/>
      <c r="Y143" s="33"/>
      <c r="Z143" s="34"/>
      <c r="AA143" s="34"/>
      <c r="AB143" s="34"/>
      <c r="AC143" s="34" t="n">
        <f aca="false">($I143*AC$1)/$K143</f>
        <v>0.248416097356789</v>
      </c>
      <c r="AD143" s="35" t="n">
        <f aca="false">($I143*AD$1)/$K143</f>
        <v>0.25419321589997</v>
      </c>
      <c r="AE143" s="35" t="n">
        <f aca="false">($I143*AE$1)/$K143</f>
        <v>0.259970334443151</v>
      </c>
    </row>
    <row r="144" customFormat="false" ht="15" hidden="false" customHeight="false" outlineLevel="0" collapsed="false">
      <c r="A144" s="0" t="s">
        <v>15</v>
      </c>
      <c r="B144" s="46" t="s">
        <v>221</v>
      </c>
      <c r="C144" s="16" t="s">
        <v>220</v>
      </c>
      <c r="D144" s="45" t="n">
        <v>31</v>
      </c>
      <c r="E144" s="45"/>
      <c r="F144" s="30" t="n">
        <f aca="false">G144</f>
        <v>0.148112988969661</v>
      </c>
      <c r="G144" s="44" t="n">
        <v>0.148112988969661</v>
      </c>
      <c r="H144" s="44" t="n">
        <v>0.148112988969661</v>
      </c>
      <c r="I144" s="44" t="n">
        <f aca="false">+(H144+J144)/2</f>
        <v>0.154056494484831</v>
      </c>
      <c r="J144" s="44" t="n">
        <v>0.16</v>
      </c>
      <c r="K144" s="31" t="n">
        <v>1</v>
      </c>
      <c r="L144" s="32"/>
      <c r="M144" s="32" t="n">
        <f aca="false">($G144*M$1)/$K144</f>
        <v>0.149964401331782</v>
      </c>
      <c r="N144" s="32" t="n">
        <f aca="false">($G144*N$1)/$K144</f>
        <v>0.155518638418144</v>
      </c>
      <c r="O144" s="32" t="n">
        <f aca="false">($G144*O$1)/$K144</f>
        <v>0.161072875504506</v>
      </c>
      <c r="P144" s="32" t="n">
        <f aca="false">($G144*P$1)/$K144</f>
        <v>0.166627112590869</v>
      </c>
      <c r="Q144" s="32" t="n">
        <f aca="false">($G144*Q$1)/$K144</f>
        <v>0.172181349677231</v>
      </c>
      <c r="R144" s="32" t="n">
        <f aca="false">($G144*R$1)/$K144</f>
        <v>0.177735586763593</v>
      </c>
      <c r="S144" s="32" t="n">
        <f aca="false">($G144*S$1)/$K144</f>
        <v>0.183289823849956</v>
      </c>
      <c r="T144" s="32"/>
      <c r="U144" s="32"/>
      <c r="V144" s="33"/>
      <c r="W144" s="33"/>
      <c r="X144" s="33"/>
      <c r="Y144" s="33"/>
      <c r="Z144" s="34"/>
      <c r="AA144" s="34"/>
      <c r="AB144" s="34"/>
      <c r="AC144" s="34" t="n">
        <f aca="false">($I144*AC$1)/$K144</f>
        <v>0.248416097356789</v>
      </c>
      <c r="AD144" s="35" t="n">
        <f aca="false">($I144*AD$1)/$K144</f>
        <v>0.25419321589997</v>
      </c>
      <c r="AE144" s="35" t="n">
        <f aca="false">($I144*AE$1)/$K144</f>
        <v>0.259970334443151</v>
      </c>
      <c r="AF144" s="35"/>
      <c r="AG144" s="35"/>
      <c r="AH144" s="35"/>
      <c r="AI144" s="35"/>
      <c r="AJ144" s="35"/>
      <c r="AK144" s="35"/>
      <c r="AL144" s="35"/>
    </row>
    <row r="145" customFormat="false" ht="15" hidden="false" customHeight="false" outlineLevel="0" collapsed="false">
      <c r="A145" s="0" t="s">
        <v>15</v>
      </c>
      <c r="B145" s="46" t="s">
        <v>222</v>
      </c>
      <c r="C145" s="16" t="s">
        <v>223</v>
      </c>
      <c r="D145" s="45" t="n">
        <v>31</v>
      </c>
      <c r="E145" s="45"/>
      <c r="F145" s="30" t="n">
        <f aca="false">G145</f>
        <v>0.148112988969661</v>
      </c>
      <c r="G145" s="44" t="n">
        <v>0.148112988969661</v>
      </c>
      <c r="H145" s="44" t="n">
        <v>0.148112988969661</v>
      </c>
      <c r="I145" s="44" t="n">
        <f aca="false">+(H145+J145)/2</f>
        <v>0.154056494484831</v>
      </c>
      <c r="J145" s="44" t="n">
        <v>0.16</v>
      </c>
      <c r="K145" s="31" t="n">
        <v>1</v>
      </c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3"/>
      <c r="W145" s="33"/>
      <c r="X145" s="33"/>
      <c r="Y145" s="33"/>
      <c r="Z145" s="34"/>
      <c r="AA145" s="34"/>
      <c r="AB145" s="34"/>
      <c r="AC145" s="34"/>
      <c r="AD145" s="35"/>
      <c r="AE145" s="35"/>
      <c r="AF145" s="35"/>
      <c r="AG145" s="35" t="n">
        <f aca="false">($I145*AG$1)/$K145</f>
        <v>0.271524571529514</v>
      </c>
      <c r="AH145" s="35" t="n">
        <f aca="false">($I145*AH$1)/$K145</f>
        <v>0.277301690072695</v>
      </c>
      <c r="AI145" s="35" t="n">
        <f aca="false">($I145*AI$1)/$K145</f>
        <v>0.283078808615876</v>
      </c>
      <c r="AJ145" s="35" t="n">
        <f aca="false">($I145*AJ$1)/$K145</f>
        <v>0.288855927159057</v>
      </c>
      <c r="AK145" s="35" t="n">
        <f aca="false">($I145*AK$1)/$K145</f>
        <v>0.294633045702238</v>
      </c>
      <c r="AL145" s="35" t="n">
        <f aca="false">($I145*AL$1)/$K145</f>
        <v>0.300410164245419</v>
      </c>
    </row>
    <row r="146" customFormat="false" ht="15" hidden="false" customHeight="false" outlineLevel="0" collapsed="false">
      <c r="A146" s="0" t="s">
        <v>14</v>
      </c>
      <c r="B146" s="46" t="s">
        <v>224</v>
      </c>
      <c r="C146" s="16" t="s">
        <v>225</v>
      </c>
      <c r="D146" s="45" t="n">
        <v>1</v>
      </c>
      <c r="E146" s="45"/>
      <c r="F146" s="30" t="n">
        <f aca="false">G146</f>
        <v>0.120350988019851</v>
      </c>
      <c r="G146" s="44" t="n">
        <v>0.120350988019851</v>
      </c>
      <c r="H146" s="44" t="n">
        <v>0.120350988019851</v>
      </c>
      <c r="I146" s="44" t="n">
        <v>0.120350988019851</v>
      </c>
      <c r="J146" s="44" t="n">
        <v>0.120350988019851</v>
      </c>
      <c r="K146" s="31" t="n">
        <v>1</v>
      </c>
      <c r="L146" s="32"/>
      <c r="M146" s="32" t="n">
        <f aca="false">($G146*M$1)/$K146</f>
        <v>0.121855375370099</v>
      </c>
      <c r="N146" s="32" t="n">
        <f aca="false">($G146*N$1)/$K146</f>
        <v>0.126368537420844</v>
      </c>
      <c r="O146" s="32" t="n">
        <f aca="false">($G146*O$1)/$K146</f>
        <v>0.130881699471588</v>
      </c>
      <c r="P146" s="32" t="n">
        <f aca="false">($G146*P$1)/$K146</f>
        <v>0.135394861522333</v>
      </c>
      <c r="Q146" s="32" t="n">
        <f aca="false">($G146*Q$1)/$K146</f>
        <v>0.139908023573077</v>
      </c>
      <c r="R146" s="32" t="n">
        <f aca="false">($G146*R$1)/$K146</f>
        <v>0.144421185623822</v>
      </c>
      <c r="S146" s="32" t="n">
        <f aca="false">($G146*S$1)/$K146</f>
        <v>0.148934347674566</v>
      </c>
      <c r="T146" s="32" t="n">
        <f aca="false">($G146*T$1)/$K146</f>
        <v>0.15344750972531</v>
      </c>
      <c r="U146" s="32" t="n">
        <f aca="false">($G146*U$1)/$K146</f>
        <v>0.157960671776055</v>
      </c>
      <c r="V146" s="33" t="n">
        <f aca="false">($H146*V$1)/$K146</f>
        <v>0.162473833826799</v>
      </c>
      <c r="W146" s="33" t="n">
        <f aca="false">($H146*W$1)/$K146</f>
        <v>0.166986995877544</v>
      </c>
      <c r="X146" s="33" t="n">
        <f aca="false">($H146*X$1)/$K146</f>
        <v>0.171500157928288</v>
      </c>
      <c r="Y146" s="33" t="n">
        <f aca="false">($H146*Y$1)/$K146</f>
        <v>0.176013319979033</v>
      </c>
      <c r="Z146" s="34" t="n">
        <f aca="false">($I146*Z$1)/$K146</f>
        <v>0.180526482029777</v>
      </c>
      <c r="AA146" s="34" t="n">
        <f aca="false">($I146*AA$1)/$K146</f>
        <v>0.185039644080521</v>
      </c>
      <c r="AB146" s="34" t="n">
        <f aca="false">($I146*AB$1)/$K146</f>
        <v>0.189552806131266</v>
      </c>
      <c r="AC146" s="34" t="n">
        <f aca="false">($I146*AC$1)/$K146</f>
        <v>0.19406596818201</v>
      </c>
      <c r="AD146" s="35" t="n">
        <f aca="false">($I146*AD$1)/$K146</f>
        <v>0.198579130232755</v>
      </c>
      <c r="AE146" s="35" t="n">
        <f aca="false">($I146*AE$1)/$K146</f>
        <v>0.203092292283499</v>
      </c>
    </row>
    <row r="147" customFormat="false" ht="15" hidden="false" customHeight="false" outlineLevel="0" collapsed="false">
      <c r="A147" s="0" t="s">
        <v>14</v>
      </c>
      <c r="B147" s="46" t="s">
        <v>226</v>
      </c>
      <c r="C147" s="16" t="s">
        <v>14</v>
      </c>
      <c r="D147" s="45" t="n">
        <v>1</v>
      </c>
      <c r="E147" s="45"/>
      <c r="F147" s="30" t="n">
        <f aca="false">G147</f>
        <v>0.120350988019851</v>
      </c>
      <c r="G147" s="44" t="n">
        <v>0.120350988019851</v>
      </c>
      <c r="H147" s="44" t="n">
        <v>0.120350988019851</v>
      </c>
      <c r="I147" s="44" t="n">
        <v>0.120350988019851</v>
      </c>
      <c r="J147" s="44" t="n">
        <v>0.120350988019851</v>
      </c>
      <c r="K147" s="31" t="n">
        <v>1</v>
      </c>
      <c r="L147" s="32"/>
      <c r="M147" s="32" t="n">
        <f aca="false">($G147*M$1)/$K147</f>
        <v>0.121855375370099</v>
      </c>
      <c r="N147" s="32" t="n">
        <f aca="false">($G147*N$1)/$K147</f>
        <v>0.126368537420844</v>
      </c>
      <c r="O147" s="32" t="n">
        <f aca="false">($G147*O$1)/$K147</f>
        <v>0.130881699471588</v>
      </c>
      <c r="P147" s="32" t="n">
        <f aca="false">($G147*P$1)/$K147</f>
        <v>0.135394861522333</v>
      </c>
      <c r="Q147" s="32" t="n">
        <f aca="false">($G147*Q$1)/$K147</f>
        <v>0.139908023573077</v>
      </c>
      <c r="R147" s="32" t="n">
        <f aca="false">($G147*R$1)/$K147</f>
        <v>0.144421185623822</v>
      </c>
      <c r="S147" s="32" t="n">
        <f aca="false">($G147*S$1)/$K147</f>
        <v>0.148934347674566</v>
      </c>
      <c r="T147" s="32" t="n">
        <f aca="false">($G147*T$1)/$K147</f>
        <v>0.15344750972531</v>
      </c>
      <c r="U147" s="32" t="n">
        <f aca="false">($G147*U$1)/$K147</f>
        <v>0.157960671776055</v>
      </c>
      <c r="V147" s="33" t="n">
        <f aca="false">($H147*V$1)/$K147</f>
        <v>0.162473833826799</v>
      </c>
      <c r="W147" s="33" t="n">
        <f aca="false">($H147*W$1)/$K147</f>
        <v>0.166986995877544</v>
      </c>
      <c r="X147" s="33" t="n">
        <f aca="false">($H147*X$1)/$K147</f>
        <v>0.171500157928288</v>
      </c>
      <c r="Y147" s="33" t="n">
        <f aca="false">($H147*Y$1)/$K147</f>
        <v>0.176013319979033</v>
      </c>
      <c r="Z147" s="34" t="n">
        <f aca="false">($I147*Z$1)/$K147</f>
        <v>0.180526482029777</v>
      </c>
      <c r="AA147" s="34" t="n">
        <f aca="false">($I147*AA$1)/$K147</f>
        <v>0.185039644080521</v>
      </c>
      <c r="AB147" s="34" t="n">
        <f aca="false">($I147*AB$1)/$K147</f>
        <v>0.189552806131266</v>
      </c>
      <c r="AC147" s="34" t="n">
        <f aca="false">($I147*AC$1)/$K147</f>
        <v>0.19406596818201</v>
      </c>
      <c r="AD147" s="35" t="n">
        <f aca="false">($I147*AD$1)/$K147</f>
        <v>0.198579130232755</v>
      </c>
      <c r="AE147" s="35" t="n">
        <f aca="false">($I147*AE$1)/$K147</f>
        <v>0.203092292283499</v>
      </c>
    </row>
    <row r="148" customFormat="false" ht="15" hidden="false" customHeight="false" outlineLevel="0" collapsed="false">
      <c r="A148" s="0" t="s">
        <v>14</v>
      </c>
      <c r="B148" s="46" t="s">
        <v>227</v>
      </c>
      <c r="C148" s="16" t="s">
        <v>14</v>
      </c>
      <c r="D148" s="45" t="n">
        <v>1</v>
      </c>
      <c r="E148" s="45"/>
      <c r="F148" s="30" t="n">
        <f aca="false">G148</f>
        <v>0.120350988019851</v>
      </c>
      <c r="G148" s="44" t="n">
        <v>0.120350988019851</v>
      </c>
      <c r="H148" s="44" t="n">
        <v>0.120350988019851</v>
      </c>
      <c r="I148" s="44" t="n">
        <v>0.120350988019851</v>
      </c>
      <c r="J148" s="44" t="n">
        <v>0.120350988019851</v>
      </c>
      <c r="K148" s="31" t="n">
        <v>1</v>
      </c>
      <c r="L148" s="32"/>
      <c r="M148" s="32" t="n">
        <f aca="false">($G148*M$1)/$K148</f>
        <v>0.121855375370099</v>
      </c>
      <c r="N148" s="32" t="n">
        <f aca="false">($G148*N$1)/$K148</f>
        <v>0.126368537420844</v>
      </c>
      <c r="O148" s="32" t="n">
        <f aca="false">($G148*O$1)/$K148</f>
        <v>0.130881699471588</v>
      </c>
      <c r="P148" s="32" t="n">
        <f aca="false">($G148*P$1)/$K148</f>
        <v>0.135394861522333</v>
      </c>
      <c r="Q148" s="32" t="n">
        <f aca="false">($G148*Q$1)/$K148</f>
        <v>0.139908023573077</v>
      </c>
      <c r="R148" s="32" t="n">
        <f aca="false">($G148*R$1)/$K148</f>
        <v>0.144421185623822</v>
      </c>
      <c r="S148" s="32" t="n">
        <f aca="false">($G148*S$1)/$K148</f>
        <v>0.148934347674566</v>
      </c>
      <c r="T148" s="32" t="n">
        <f aca="false">($G148*T$1)/$K148</f>
        <v>0.15344750972531</v>
      </c>
      <c r="U148" s="32" t="n">
        <f aca="false">($G148*U$1)/$K148</f>
        <v>0.157960671776055</v>
      </c>
      <c r="V148" s="33" t="n">
        <f aca="false">($H148*V$1)/$K148</f>
        <v>0.162473833826799</v>
      </c>
      <c r="W148" s="33" t="n">
        <f aca="false">($H148*W$1)/$K148</f>
        <v>0.166986995877544</v>
      </c>
      <c r="X148" s="33" t="n">
        <f aca="false">($H148*X$1)/$K148</f>
        <v>0.171500157928288</v>
      </c>
      <c r="Y148" s="33" t="n">
        <f aca="false">($H148*Y$1)/$K148</f>
        <v>0.176013319979033</v>
      </c>
      <c r="Z148" s="34" t="n">
        <f aca="false">($I148*Z$1)/$K148</f>
        <v>0.180526482029777</v>
      </c>
      <c r="AA148" s="34" t="n">
        <f aca="false">($I148*AA$1)/$K148</f>
        <v>0.185039644080521</v>
      </c>
      <c r="AB148" s="34" t="n">
        <f aca="false">($I148*AB$1)/$K148</f>
        <v>0.189552806131266</v>
      </c>
      <c r="AC148" s="34" t="n">
        <f aca="false">($I148*AC$1)/$K148</f>
        <v>0.19406596818201</v>
      </c>
      <c r="AD148" s="35" t="n">
        <f aca="false">($I148*AD$1)/$K148</f>
        <v>0.198579130232755</v>
      </c>
      <c r="AE148" s="35" t="n">
        <f aca="false">($I148*AE$1)/$K148</f>
        <v>0.203092292283499</v>
      </c>
    </row>
    <row r="149" customFormat="false" ht="15" hidden="false" customHeight="false" outlineLevel="0" collapsed="false">
      <c r="A149" s="0" t="s">
        <v>14</v>
      </c>
      <c r="B149" s="46" t="s">
        <v>228</v>
      </c>
      <c r="C149" s="16" t="s">
        <v>229</v>
      </c>
      <c r="D149" s="45" t="n">
        <v>1</v>
      </c>
      <c r="E149" s="45"/>
      <c r="F149" s="30" t="n">
        <f aca="false">G149</f>
        <v>0.120350988019851</v>
      </c>
      <c r="G149" s="44" t="n">
        <v>0.120350988019851</v>
      </c>
      <c r="H149" s="44" t="n">
        <v>0.120350988019851</v>
      </c>
      <c r="I149" s="44" t="n">
        <v>0.120350988019851</v>
      </c>
      <c r="J149" s="44" t="n">
        <v>0.120350988019851</v>
      </c>
      <c r="K149" s="31" t="n">
        <v>1</v>
      </c>
      <c r="L149" s="32"/>
      <c r="M149" s="32"/>
      <c r="N149" s="32"/>
      <c r="O149" s="32"/>
      <c r="P149" s="32"/>
      <c r="Q149" s="32"/>
      <c r="R149" s="32" t="n">
        <f aca="false">($G149*R$1)/$K149</f>
        <v>0.144421185623822</v>
      </c>
      <c r="S149" s="32" t="n">
        <f aca="false">($G149*S$1)/$K149</f>
        <v>0.148934347674566</v>
      </c>
      <c r="T149" s="32" t="n">
        <f aca="false">($G149*T$1)/$K149</f>
        <v>0.15344750972531</v>
      </c>
      <c r="U149" s="32" t="n">
        <f aca="false">($G149*U$1)/$K149</f>
        <v>0.157960671776055</v>
      </c>
      <c r="V149" s="33" t="n">
        <f aca="false">($H149*V$1)/$K149</f>
        <v>0.162473833826799</v>
      </c>
      <c r="W149" s="33" t="n">
        <f aca="false">($H149*W$1)/$K149</f>
        <v>0.166986995877544</v>
      </c>
      <c r="X149" s="33" t="n">
        <f aca="false">($H149*X$1)/$K149</f>
        <v>0.171500157928288</v>
      </c>
      <c r="Y149" s="33" t="n">
        <f aca="false">($H149*Y$1)/$K149</f>
        <v>0.176013319979033</v>
      </c>
      <c r="Z149" s="34" t="n">
        <f aca="false">($I149*Z$1)/$K149</f>
        <v>0.180526482029777</v>
      </c>
      <c r="AA149" s="34"/>
      <c r="AB149" s="34"/>
      <c r="AC149" s="34"/>
      <c r="AD149" s="35"/>
      <c r="AE149" s="35"/>
    </row>
    <row r="150" customFormat="false" ht="15" hidden="false" customHeight="false" outlineLevel="0" collapsed="false">
      <c r="A150" s="0" t="s">
        <v>14</v>
      </c>
      <c r="B150" s="46" t="s">
        <v>230</v>
      </c>
      <c r="C150" s="16" t="s">
        <v>229</v>
      </c>
      <c r="D150" s="45" t="n">
        <v>1</v>
      </c>
      <c r="E150" s="45"/>
      <c r="F150" s="30" t="n">
        <f aca="false">G150</f>
        <v>0.120350988019851</v>
      </c>
      <c r="G150" s="44" t="n">
        <v>0.120350988019851</v>
      </c>
      <c r="H150" s="44" t="n">
        <v>0.120350988019851</v>
      </c>
      <c r="I150" s="44" t="n">
        <v>0.120350988019851</v>
      </c>
      <c r="J150" s="44" t="n">
        <v>0.120350988019851</v>
      </c>
      <c r="K150" s="31" t="n">
        <v>1</v>
      </c>
      <c r="L150" s="32"/>
      <c r="M150" s="32"/>
      <c r="N150" s="32"/>
      <c r="O150" s="32"/>
      <c r="P150" s="32"/>
      <c r="Q150" s="32"/>
      <c r="R150" s="32" t="n">
        <f aca="false">($G150*R$1)/$K150</f>
        <v>0.144421185623822</v>
      </c>
      <c r="S150" s="32" t="n">
        <f aca="false">($G150*S$1)/$K150</f>
        <v>0.148934347674566</v>
      </c>
      <c r="T150" s="32" t="n">
        <f aca="false">($G150*T$1)/$K150</f>
        <v>0.15344750972531</v>
      </c>
      <c r="U150" s="32" t="n">
        <f aca="false">($G150*U$1)/$K150</f>
        <v>0.157960671776055</v>
      </c>
      <c r="V150" s="33" t="n">
        <f aca="false">($H150*V$1)/$K150</f>
        <v>0.162473833826799</v>
      </c>
      <c r="W150" s="33" t="n">
        <f aca="false">($H150*W$1)/$K150</f>
        <v>0.166986995877544</v>
      </c>
      <c r="X150" s="33" t="n">
        <f aca="false">($H150*X$1)/$K150</f>
        <v>0.171500157928288</v>
      </c>
      <c r="Y150" s="33" t="n">
        <f aca="false">($H150*Y$1)/$K150</f>
        <v>0.176013319979033</v>
      </c>
      <c r="Z150" s="34" t="n">
        <f aca="false">($I150*Z$1)/$K150</f>
        <v>0.180526482029777</v>
      </c>
      <c r="AA150" s="34"/>
      <c r="AB150" s="34"/>
      <c r="AC150" s="34"/>
      <c r="AD150" s="35"/>
      <c r="AE150" s="35"/>
    </row>
    <row r="151" customFormat="false" ht="15" hidden="false" customHeight="false" outlineLevel="0" collapsed="false">
      <c r="A151" s="0" t="s">
        <v>14</v>
      </c>
      <c r="B151" s="46" t="s">
        <v>231</v>
      </c>
      <c r="C151" s="16" t="s">
        <v>232</v>
      </c>
      <c r="D151" s="45" t="n">
        <v>1</v>
      </c>
      <c r="E151" s="45"/>
      <c r="F151" s="30" t="n">
        <f aca="false">G151</f>
        <v>0.120350988019851</v>
      </c>
      <c r="G151" s="44" t="n">
        <v>0.120350988019851</v>
      </c>
      <c r="H151" s="44" t="n">
        <v>0.120350988019851</v>
      </c>
      <c r="I151" s="44" t="n">
        <v>0.120350988019851</v>
      </c>
      <c r="J151" s="44" t="n">
        <v>0.120350988019851</v>
      </c>
      <c r="K151" s="31" t="n">
        <v>1</v>
      </c>
      <c r="L151" s="32"/>
      <c r="M151" s="32" t="n">
        <f aca="false">($G151*M$1)/$K151</f>
        <v>0.121855375370099</v>
      </c>
      <c r="N151" s="32" t="n">
        <f aca="false">($G151*N$1)/$K151</f>
        <v>0.126368537420844</v>
      </c>
      <c r="O151" s="32" t="n">
        <f aca="false">($G151*O$1)/$K151</f>
        <v>0.130881699471588</v>
      </c>
      <c r="P151" s="32" t="n">
        <f aca="false">($G151*P$1)/$K151</f>
        <v>0.135394861522333</v>
      </c>
      <c r="Q151" s="32" t="n">
        <f aca="false">($G151*Q$1)/$K151</f>
        <v>0.139908023573077</v>
      </c>
      <c r="R151" s="32" t="n">
        <f aca="false">($G151*R$1)/$K151</f>
        <v>0.144421185623822</v>
      </c>
      <c r="S151" s="32" t="n">
        <f aca="false">($G151*S$1)/$K151</f>
        <v>0.148934347674566</v>
      </c>
      <c r="T151" s="32" t="n">
        <f aca="false">($G151*T$1)/$K151</f>
        <v>0.15344750972531</v>
      </c>
      <c r="U151" s="32" t="n">
        <f aca="false">($G151*U$1)/$K151</f>
        <v>0.157960671776055</v>
      </c>
      <c r="V151" s="33" t="n">
        <f aca="false">($H151*V$1)/$K151</f>
        <v>0.162473833826799</v>
      </c>
      <c r="W151" s="33" t="n">
        <f aca="false">($H151*W$1)/$K151</f>
        <v>0.166986995877544</v>
      </c>
      <c r="X151" s="33" t="n">
        <f aca="false">($H151*X$1)/$K151</f>
        <v>0.171500157928288</v>
      </c>
      <c r="Y151" s="33" t="n">
        <f aca="false">($H151*Y$1)/$K151</f>
        <v>0.176013319979033</v>
      </c>
      <c r="Z151" s="34" t="n">
        <f aca="false">($I151*Z$1)/$K151</f>
        <v>0.180526482029777</v>
      </c>
      <c r="AA151" s="34" t="n">
        <f aca="false">($I151*AA$1)/$K151</f>
        <v>0.185039644080521</v>
      </c>
      <c r="AB151" s="34" t="n">
        <f aca="false">($I151*AB$1)/$K151</f>
        <v>0.189552806131266</v>
      </c>
      <c r="AC151" s="34" t="n">
        <f aca="false">($I151*AC$1)/$K151</f>
        <v>0.19406596818201</v>
      </c>
      <c r="AD151" s="35" t="n">
        <f aca="false">($I151*AD$1)/$K151</f>
        <v>0.198579130232755</v>
      </c>
      <c r="AE151" s="35" t="n">
        <f aca="false">($I151*AE$1)/$K151</f>
        <v>0.203092292283499</v>
      </c>
    </row>
    <row r="152" customFormat="false" ht="15" hidden="false" customHeight="false" outlineLevel="0" collapsed="false">
      <c r="A152" s="0" t="s">
        <v>233</v>
      </c>
      <c r="B152" s="46" t="s">
        <v>234</v>
      </c>
      <c r="C152" s="16" t="s">
        <v>235</v>
      </c>
      <c r="D152" s="45" t="n">
        <v>9</v>
      </c>
      <c r="E152" s="45"/>
      <c r="F152" s="44" t="n">
        <v>0.26400256871098</v>
      </c>
      <c r="G152" s="44" t="n">
        <v>0.26400256871098</v>
      </c>
      <c r="H152" s="44" t="n">
        <f aca="false">+(I152+G152)/2</f>
        <v>0.274814614266812</v>
      </c>
      <c r="I152" s="44" t="n">
        <v>0.285626659822644</v>
      </c>
      <c r="J152" s="44" t="n">
        <v>0.26674367384993</v>
      </c>
      <c r="K152" s="31" t="n">
        <v>2</v>
      </c>
      <c r="L152" s="32"/>
      <c r="M152" s="32"/>
      <c r="N152" s="32"/>
      <c r="O152" s="32"/>
      <c r="P152" s="32"/>
      <c r="Q152" s="32"/>
      <c r="R152" s="32" t="n">
        <f aca="false">($G152*R$1)/$K152</f>
        <v>0.158401541226588</v>
      </c>
      <c r="S152" s="32" t="n">
        <f aca="false">($G152*S$1)/$K152</f>
        <v>0.163351589389919</v>
      </c>
      <c r="T152" s="32" t="n">
        <f aca="false">($G152*T$1)/$K152</f>
        <v>0.16830163755325</v>
      </c>
      <c r="U152" s="32" t="n">
        <f aca="false">($G152*U$1)/$K152</f>
        <v>0.173251685716581</v>
      </c>
      <c r="V152" s="33" t="n">
        <f aca="false">($H152*V$1)/$K152</f>
        <v>0.185499864630098</v>
      </c>
      <c r="W152" s="33" t="n">
        <f aca="false">($H152*W$1)/$K152</f>
        <v>0.190652638647601</v>
      </c>
      <c r="X152" s="33" t="n">
        <f aca="false">($H152*X$1)/$K152</f>
        <v>0.195805412665104</v>
      </c>
      <c r="Y152" s="33" t="n">
        <f aca="false">($H152*Y$1)/$K152</f>
        <v>0.200958186682607</v>
      </c>
      <c r="Z152" s="34" t="n">
        <f aca="false">($I152*Z$1)/$K152</f>
        <v>0.214219994866983</v>
      </c>
      <c r="AA152" s="34" t="n">
        <f aca="false">($I152*AA$1)/$K152</f>
        <v>0.219575494738658</v>
      </c>
      <c r="AB152" s="34" t="n">
        <f aca="false">($I152*AB$1)/$K152</f>
        <v>0.224930994610332</v>
      </c>
      <c r="AC152" s="34" t="n">
        <f aca="false">($I152*AC$1)/$K152</f>
        <v>0.230286494482007</v>
      </c>
      <c r="AD152" s="35" t="n">
        <f aca="false">($J152*AD$1)/$K152</f>
        <v>0.220063530926192</v>
      </c>
      <c r="AE152" s="35" t="n">
        <f aca="false">($J152*AE$1)/$K152</f>
        <v>0.225064974810878</v>
      </c>
      <c r="AF152" s="35" t="n">
        <f aca="false">($J152*AF$1)/$K152</f>
        <v>0.230066418695565</v>
      </c>
      <c r="AG152" s="35" t="n">
        <f aca="false">($J152*AG$1)/$K152</f>
        <v>0.235067862580251</v>
      </c>
      <c r="AH152" s="35" t="n">
        <f aca="false">($J152*AH$1)/$K152</f>
        <v>0.240069306464937</v>
      </c>
      <c r="AI152" s="35" t="n">
        <f aca="false">($J152*AI$1)/$K152</f>
        <v>0.245070750349623</v>
      </c>
      <c r="AJ152" s="35" t="n">
        <f aca="false">($J152*AJ$1)/$K152</f>
        <v>0.250072194234309</v>
      </c>
      <c r="AK152" s="35" t="n">
        <f aca="false">($J152*AK$1)/$K152</f>
        <v>0.255073638118995</v>
      </c>
      <c r="AL152" s="35" t="n">
        <f aca="false">($J152*AL$1)/$K152</f>
        <v>0.260075082003682</v>
      </c>
    </row>
    <row r="153" customFormat="false" ht="15" hidden="false" customHeight="false" outlineLevel="0" collapsed="false">
      <c r="A153" s="0" t="s">
        <v>233</v>
      </c>
      <c r="B153" s="46" t="s">
        <v>236</v>
      </c>
      <c r="C153" s="16" t="s">
        <v>235</v>
      </c>
      <c r="D153" s="45" t="n">
        <v>9</v>
      </c>
      <c r="E153" s="45"/>
      <c r="F153" s="44" t="n">
        <v>0.26400256871098</v>
      </c>
      <c r="G153" s="44" t="n">
        <v>0.26400256871098</v>
      </c>
      <c r="H153" s="44" t="n">
        <f aca="false">+(I153+G153)/2</f>
        <v>0.274814614266812</v>
      </c>
      <c r="I153" s="44" t="n">
        <v>0.285626659822644</v>
      </c>
      <c r="J153" s="44" t="n">
        <v>0.26674367384993</v>
      </c>
      <c r="K153" s="31" t="n">
        <v>2</v>
      </c>
      <c r="L153" s="32"/>
      <c r="M153" s="32"/>
      <c r="N153" s="32"/>
      <c r="O153" s="32"/>
      <c r="P153" s="32"/>
      <c r="Q153" s="32"/>
      <c r="R153" s="32" t="n">
        <f aca="false">($G153*R$1)/$K153</f>
        <v>0.158401541226588</v>
      </c>
      <c r="S153" s="32" t="n">
        <f aca="false">($G153*S$1)/$K153</f>
        <v>0.163351589389919</v>
      </c>
      <c r="T153" s="32" t="n">
        <f aca="false">($G153*T$1)/$K153</f>
        <v>0.16830163755325</v>
      </c>
      <c r="U153" s="32" t="n">
        <f aca="false">($G153*U$1)/$K153</f>
        <v>0.173251685716581</v>
      </c>
      <c r="V153" s="33" t="n">
        <f aca="false">($H153*V$1)/$K153</f>
        <v>0.185499864630098</v>
      </c>
      <c r="W153" s="33" t="n">
        <f aca="false">($H153*W$1)/$K153</f>
        <v>0.190652638647601</v>
      </c>
      <c r="X153" s="33" t="n">
        <f aca="false">($H153*X$1)/$K153</f>
        <v>0.195805412665104</v>
      </c>
      <c r="Y153" s="33" t="n">
        <f aca="false">($H153*Y$1)/$K153</f>
        <v>0.200958186682607</v>
      </c>
      <c r="Z153" s="34" t="n">
        <f aca="false">($I153*Z$1)/$K153</f>
        <v>0.214219994866983</v>
      </c>
      <c r="AA153" s="34" t="n">
        <f aca="false">($I153*AA$1)/$K153</f>
        <v>0.219575494738658</v>
      </c>
      <c r="AB153" s="34" t="n">
        <f aca="false">($I153*AB$1)/$K153</f>
        <v>0.224930994610332</v>
      </c>
      <c r="AC153" s="34" t="n">
        <f aca="false">($I153*AC$1)/$K153</f>
        <v>0.230286494482007</v>
      </c>
      <c r="AD153" s="35" t="n">
        <f aca="false">($J153*AD$1)/$K153</f>
        <v>0.220063530926192</v>
      </c>
      <c r="AE153" s="35" t="n">
        <f aca="false">($J153*AE$1)/$K153</f>
        <v>0.225064974810878</v>
      </c>
      <c r="AF153" s="35" t="n">
        <f aca="false">($J153*AF$1)/$K153</f>
        <v>0.230066418695565</v>
      </c>
      <c r="AG153" s="35" t="n">
        <f aca="false">($J153*AG$1)/$K153</f>
        <v>0.235067862580251</v>
      </c>
      <c r="AH153" s="35" t="n">
        <f aca="false">($J153*AH$1)/$K153</f>
        <v>0.240069306464937</v>
      </c>
      <c r="AI153" s="35" t="n">
        <f aca="false">($J153*AI$1)/$K153</f>
        <v>0.245070750349623</v>
      </c>
      <c r="AJ153" s="35" t="n">
        <f aca="false">($J153*AJ$1)/$K153</f>
        <v>0.250072194234309</v>
      </c>
      <c r="AK153" s="35" t="n">
        <f aca="false">($J153*AK$1)/$K153</f>
        <v>0.255073638118995</v>
      </c>
      <c r="AL153" s="35" t="n">
        <f aca="false">($J153*AL$1)/$K153</f>
        <v>0.260075082003682</v>
      </c>
    </row>
    <row r="154" customFormat="false" ht="15" hidden="false" customHeight="false" outlineLevel="0" collapsed="false">
      <c r="A154" s="0" t="s">
        <v>233</v>
      </c>
      <c r="B154" s="46" t="s">
        <v>237</v>
      </c>
      <c r="C154" s="16" t="s">
        <v>238</v>
      </c>
      <c r="D154" s="45" t="n">
        <v>9</v>
      </c>
      <c r="E154" s="45"/>
      <c r="F154" s="44" t="n">
        <v>0.26400256871098</v>
      </c>
      <c r="G154" s="44" t="n">
        <v>0.26400256871098</v>
      </c>
      <c r="H154" s="44" t="n">
        <f aca="false">+(I154+G154)/2</f>
        <v>0.274814614266812</v>
      </c>
      <c r="I154" s="44" t="n">
        <v>0.285626659822644</v>
      </c>
      <c r="J154" s="44" t="n">
        <v>0.26674367384993</v>
      </c>
      <c r="K154" s="31" t="n">
        <v>2</v>
      </c>
      <c r="L154" s="32"/>
      <c r="M154" s="32"/>
      <c r="N154" s="32"/>
      <c r="O154" s="32"/>
      <c r="P154" s="32"/>
      <c r="Q154" s="32"/>
      <c r="R154" s="32" t="n">
        <f aca="false">($G154*R$1)/$K154</f>
        <v>0.158401541226588</v>
      </c>
      <c r="S154" s="32" t="n">
        <f aca="false">($G154*S$1)/$K154</f>
        <v>0.163351589389919</v>
      </c>
      <c r="T154" s="32" t="n">
        <f aca="false">($G154*T$1)/$K154</f>
        <v>0.16830163755325</v>
      </c>
      <c r="U154" s="32" t="n">
        <f aca="false">($G154*U$1)/$K154</f>
        <v>0.173251685716581</v>
      </c>
      <c r="V154" s="33" t="n">
        <f aca="false">($H154*V$1)/$K154</f>
        <v>0.185499864630098</v>
      </c>
      <c r="W154" s="33" t="n">
        <f aca="false">($H154*W$1)/$K154</f>
        <v>0.190652638647601</v>
      </c>
      <c r="X154" s="33" t="n">
        <f aca="false">($H154*X$1)/$K154</f>
        <v>0.195805412665104</v>
      </c>
      <c r="Y154" s="33" t="n">
        <f aca="false">($H154*Y$1)/$K154</f>
        <v>0.200958186682607</v>
      </c>
      <c r="Z154" s="34" t="n">
        <f aca="false">($I154*Z$1)/$K154</f>
        <v>0.214219994866983</v>
      </c>
      <c r="AA154" s="34" t="n">
        <f aca="false">($I154*AA$1)/$K154</f>
        <v>0.219575494738658</v>
      </c>
      <c r="AB154" s="34" t="n">
        <f aca="false">($I154*AB$1)/$K154</f>
        <v>0.224930994610332</v>
      </c>
      <c r="AC154" s="34" t="n">
        <f aca="false">($I154*AC$1)/$K154</f>
        <v>0.230286494482007</v>
      </c>
      <c r="AD154" s="35" t="n">
        <f aca="false">($J154*AD$1)/$K154</f>
        <v>0.220063530926192</v>
      </c>
      <c r="AE154" s="35" t="n">
        <f aca="false">($J154*AE$1)/$K154</f>
        <v>0.225064974810878</v>
      </c>
      <c r="AF154" s="35" t="n">
        <f aca="false">($J154*AF$1)/$K154</f>
        <v>0.230066418695565</v>
      </c>
      <c r="AG154" s="35" t="n">
        <f aca="false">($J154*AG$1)/$K154</f>
        <v>0.235067862580251</v>
      </c>
      <c r="AH154" s="35" t="n">
        <f aca="false">($J154*AH$1)/$K154</f>
        <v>0.240069306464937</v>
      </c>
      <c r="AI154" s="35" t="n">
        <f aca="false">($J154*AI$1)/$K154</f>
        <v>0.245070750349623</v>
      </c>
      <c r="AJ154" s="35" t="n">
        <f aca="false">($J154*AJ$1)/$K154</f>
        <v>0.250072194234309</v>
      </c>
      <c r="AK154" s="35" t="n">
        <f aca="false">($J154*AK$1)/$K154</f>
        <v>0.255073638118995</v>
      </c>
      <c r="AL154" s="35" t="n">
        <f aca="false">($J154*AL$1)/$K154</f>
        <v>0.260075082003682</v>
      </c>
    </row>
    <row r="155" customFormat="false" ht="15" hidden="false" customHeight="false" outlineLevel="0" collapsed="false">
      <c r="A155" s="0" t="s">
        <v>233</v>
      </c>
      <c r="B155" s="46" t="s">
        <v>234</v>
      </c>
      <c r="C155" s="16" t="s">
        <v>235</v>
      </c>
      <c r="D155" s="45" t="n">
        <v>16</v>
      </c>
      <c r="E155" s="45"/>
      <c r="F155" s="44" t="n">
        <v>0.26400256871098</v>
      </c>
      <c r="G155" s="44" t="n">
        <v>0.26400256871098</v>
      </c>
      <c r="H155" s="44" t="n">
        <f aca="false">+(I155+G155)/2</f>
        <v>0.274814614266812</v>
      </c>
      <c r="I155" s="44" t="n">
        <v>0.285626659822644</v>
      </c>
      <c r="J155" s="44" t="n">
        <v>0.26674367384993</v>
      </c>
      <c r="K155" s="31" t="n">
        <v>2</v>
      </c>
      <c r="L155" s="32"/>
      <c r="M155" s="32"/>
      <c r="N155" s="32"/>
      <c r="O155" s="32"/>
      <c r="P155" s="32"/>
      <c r="Q155" s="32"/>
      <c r="R155" s="32" t="n">
        <f aca="false">($G155*R$1)/$K155</f>
        <v>0.158401541226588</v>
      </c>
      <c r="S155" s="32" t="n">
        <f aca="false">($G155*S$1)/$K155</f>
        <v>0.163351589389919</v>
      </c>
      <c r="T155" s="32" t="n">
        <f aca="false">($G155*T$1)/$K155</f>
        <v>0.16830163755325</v>
      </c>
      <c r="U155" s="32" t="n">
        <f aca="false">($G155*U$1)/$K155</f>
        <v>0.173251685716581</v>
      </c>
      <c r="V155" s="33" t="n">
        <f aca="false">($H155*V$1)/$K155</f>
        <v>0.185499864630098</v>
      </c>
      <c r="W155" s="33" t="n">
        <f aca="false">($H155*W$1)/$K155</f>
        <v>0.190652638647601</v>
      </c>
      <c r="X155" s="33" t="n">
        <f aca="false">($H155*X$1)/$K155</f>
        <v>0.195805412665104</v>
      </c>
      <c r="Y155" s="33" t="n">
        <f aca="false">($H155*Y$1)/$K155</f>
        <v>0.200958186682607</v>
      </c>
      <c r="Z155" s="34" t="n">
        <f aca="false">($I155*Z$1)/$K155</f>
        <v>0.214219994866983</v>
      </c>
      <c r="AA155" s="34" t="n">
        <f aca="false">($I155*AA$1)/$K155</f>
        <v>0.219575494738658</v>
      </c>
      <c r="AB155" s="34" t="n">
        <f aca="false">($I155*AB$1)/$K155</f>
        <v>0.224930994610332</v>
      </c>
      <c r="AC155" s="34" t="n">
        <f aca="false">($I155*AC$1)/$K155</f>
        <v>0.230286494482007</v>
      </c>
      <c r="AD155" s="35" t="n">
        <f aca="false">($J155*AD$1)/$K155</f>
        <v>0.220063530926192</v>
      </c>
      <c r="AE155" s="35" t="n">
        <f aca="false">($J155*AE$1)/$K155</f>
        <v>0.225064974810878</v>
      </c>
      <c r="AF155" s="35" t="n">
        <f aca="false">($J155*AF$1)/$K155</f>
        <v>0.230066418695565</v>
      </c>
      <c r="AG155" s="35" t="n">
        <f aca="false">($J155*AG$1)/$K155</f>
        <v>0.235067862580251</v>
      </c>
      <c r="AH155" s="35" t="n">
        <f aca="false">($J155*AH$1)/$K155</f>
        <v>0.240069306464937</v>
      </c>
      <c r="AI155" s="35" t="n">
        <f aca="false">($J155*AI$1)/$K155</f>
        <v>0.245070750349623</v>
      </c>
      <c r="AJ155" s="35" t="n">
        <f aca="false">($J155*AJ$1)/$K155</f>
        <v>0.250072194234309</v>
      </c>
      <c r="AK155" s="35" t="n">
        <f aca="false">($J155*AK$1)/$K155</f>
        <v>0.255073638118995</v>
      </c>
      <c r="AL155" s="35" t="n">
        <f aca="false">($J155*AL$1)/$K155</f>
        <v>0.260075082003682</v>
      </c>
    </row>
    <row r="156" customFormat="false" ht="15" hidden="false" customHeight="false" outlineLevel="0" collapsed="false">
      <c r="A156" s="0" t="s">
        <v>233</v>
      </c>
      <c r="B156" s="46" t="s">
        <v>236</v>
      </c>
      <c r="C156" s="16" t="s">
        <v>235</v>
      </c>
      <c r="D156" s="45" t="n">
        <v>16</v>
      </c>
      <c r="E156" s="45"/>
      <c r="F156" s="44" t="n">
        <v>0.26400256871098</v>
      </c>
      <c r="G156" s="44" t="n">
        <v>0.26400256871098</v>
      </c>
      <c r="H156" s="44" t="n">
        <f aca="false">+(I156+G156)/2</f>
        <v>0.274814614266812</v>
      </c>
      <c r="I156" s="44" t="n">
        <v>0.285626659822644</v>
      </c>
      <c r="J156" s="44" t="n">
        <v>0.26674367384993</v>
      </c>
      <c r="K156" s="31" t="n">
        <v>2</v>
      </c>
      <c r="L156" s="32"/>
      <c r="M156" s="32"/>
      <c r="N156" s="32"/>
      <c r="O156" s="32"/>
      <c r="P156" s="32"/>
      <c r="Q156" s="32"/>
      <c r="R156" s="32" t="n">
        <f aca="false">($G156*R$1)/$K156</f>
        <v>0.158401541226588</v>
      </c>
      <c r="S156" s="32" t="n">
        <f aca="false">($G156*S$1)/$K156</f>
        <v>0.163351589389919</v>
      </c>
      <c r="T156" s="32" t="n">
        <f aca="false">($G156*T$1)/$K156</f>
        <v>0.16830163755325</v>
      </c>
      <c r="U156" s="32" t="n">
        <f aca="false">($G156*U$1)/$K156</f>
        <v>0.173251685716581</v>
      </c>
      <c r="V156" s="33" t="n">
        <f aca="false">($H156*V$1)/$K156</f>
        <v>0.185499864630098</v>
      </c>
      <c r="W156" s="33" t="n">
        <f aca="false">($H156*W$1)/$K156</f>
        <v>0.190652638647601</v>
      </c>
      <c r="X156" s="33" t="n">
        <f aca="false">($H156*X$1)/$K156</f>
        <v>0.195805412665104</v>
      </c>
      <c r="Y156" s="33" t="n">
        <f aca="false">($H156*Y$1)/$K156</f>
        <v>0.200958186682607</v>
      </c>
      <c r="Z156" s="34" t="n">
        <f aca="false">($I156*Z$1)/$K156</f>
        <v>0.214219994866983</v>
      </c>
      <c r="AA156" s="34" t="n">
        <f aca="false">($I156*AA$1)/$K156</f>
        <v>0.219575494738658</v>
      </c>
      <c r="AB156" s="34" t="n">
        <f aca="false">($I156*AB$1)/$K156</f>
        <v>0.224930994610332</v>
      </c>
      <c r="AC156" s="34" t="n">
        <f aca="false">($I156*AC$1)/$K156</f>
        <v>0.230286494482007</v>
      </c>
      <c r="AD156" s="35" t="n">
        <f aca="false">($J156*AD$1)/$K156</f>
        <v>0.220063530926192</v>
      </c>
      <c r="AE156" s="35" t="n">
        <f aca="false">($J156*AE$1)/$K156</f>
        <v>0.225064974810878</v>
      </c>
      <c r="AF156" s="35" t="n">
        <f aca="false">($J156*AF$1)/$K156</f>
        <v>0.230066418695565</v>
      </c>
      <c r="AG156" s="35" t="n">
        <f aca="false">($J156*AG$1)/$K156</f>
        <v>0.235067862580251</v>
      </c>
      <c r="AH156" s="35" t="n">
        <f aca="false">($J156*AH$1)/$K156</f>
        <v>0.240069306464937</v>
      </c>
      <c r="AI156" s="35" t="n">
        <f aca="false">($J156*AI$1)/$K156</f>
        <v>0.245070750349623</v>
      </c>
      <c r="AJ156" s="35" t="n">
        <f aca="false">($J156*AJ$1)/$K156</f>
        <v>0.250072194234309</v>
      </c>
      <c r="AK156" s="35" t="n">
        <f aca="false">($J156*AK$1)/$K156</f>
        <v>0.255073638118995</v>
      </c>
      <c r="AL156" s="35" t="n">
        <f aca="false">($J156*AL$1)/$K156</f>
        <v>0.260075082003682</v>
      </c>
    </row>
    <row r="157" customFormat="false" ht="15" hidden="false" customHeight="false" outlineLevel="0" collapsed="false">
      <c r="A157" s="0" t="s">
        <v>233</v>
      </c>
      <c r="B157" s="46" t="s">
        <v>237</v>
      </c>
      <c r="C157" s="16" t="s">
        <v>238</v>
      </c>
      <c r="D157" s="45" t="n">
        <v>16</v>
      </c>
      <c r="E157" s="45"/>
      <c r="F157" s="44" t="n">
        <v>0.26400256871098</v>
      </c>
      <c r="G157" s="44" t="n">
        <v>0.26400256871098</v>
      </c>
      <c r="H157" s="44" t="n">
        <f aca="false">+(I157+G157)/2</f>
        <v>0.274814614266812</v>
      </c>
      <c r="I157" s="44" t="n">
        <v>0.285626659822644</v>
      </c>
      <c r="J157" s="44" t="n">
        <v>0.26674367384993</v>
      </c>
      <c r="K157" s="31" t="n">
        <v>2</v>
      </c>
      <c r="L157" s="32"/>
      <c r="M157" s="32"/>
      <c r="N157" s="32"/>
      <c r="O157" s="32"/>
      <c r="P157" s="32"/>
      <c r="Q157" s="32"/>
      <c r="R157" s="32" t="n">
        <f aca="false">($G157*R$1)/$K157</f>
        <v>0.158401541226588</v>
      </c>
      <c r="S157" s="32" t="n">
        <f aca="false">($G157*S$1)/$K157</f>
        <v>0.163351589389919</v>
      </c>
      <c r="T157" s="32" t="n">
        <f aca="false">($G157*T$1)/$K157</f>
        <v>0.16830163755325</v>
      </c>
      <c r="U157" s="32" t="n">
        <f aca="false">($G157*U$1)/$K157</f>
        <v>0.173251685716581</v>
      </c>
      <c r="V157" s="33" t="n">
        <f aca="false">($H157*V$1)/$K157</f>
        <v>0.185499864630098</v>
      </c>
      <c r="W157" s="33" t="n">
        <f aca="false">($H157*W$1)/$K157</f>
        <v>0.190652638647601</v>
      </c>
      <c r="X157" s="33" t="n">
        <f aca="false">($H157*X$1)/$K157</f>
        <v>0.195805412665104</v>
      </c>
      <c r="Y157" s="33" t="n">
        <f aca="false">($H157*Y$1)/$K157</f>
        <v>0.200958186682607</v>
      </c>
      <c r="Z157" s="34" t="n">
        <f aca="false">($I157*Z$1)/$K157</f>
        <v>0.214219994866983</v>
      </c>
      <c r="AA157" s="34" t="n">
        <f aca="false">($I157*AA$1)/$K157</f>
        <v>0.219575494738658</v>
      </c>
      <c r="AB157" s="34" t="n">
        <f aca="false">($I157*AB$1)/$K157</f>
        <v>0.224930994610332</v>
      </c>
      <c r="AC157" s="34" t="n">
        <f aca="false">($I157*AC$1)/$K157</f>
        <v>0.230286494482007</v>
      </c>
      <c r="AD157" s="35" t="n">
        <f aca="false">($J157*AD$1)/$K157</f>
        <v>0.220063530926192</v>
      </c>
      <c r="AE157" s="35" t="n">
        <f aca="false">($J157*AE$1)/$K157</f>
        <v>0.225064974810878</v>
      </c>
      <c r="AF157" s="35" t="n">
        <f aca="false">($J157*AF$1)/$K157</f>
        <v>0.230066418695565</v>
      </c>
      <c r="AG157" s="35" t="n">
        <f aca="false">($J157*AG$1)/$K157</f>
        <v>0.235067862580251</v>
      </c>
      <c r="AH157" s="35" t="n">
        <f aca="false">($J157*AH$1)/$K157</f>
        <v>0.240069306464937</v>
      </c>
      <c r="AI157" s="35" t="n">
        <f aca="false">($J157*AI$1)/$K157</f>
        <v>0.245070750349623</v>
      </c>
      <c r="AJ157" s="35" t="n">
        <f aca="false">($J157*AJ$1)/$K157</f>
        <v>0.250072194234309</v>
      </c>
      <c r="AK157" s="35" t="n">
        <f aca="false">($J157*AK$1)/$K157</f>
        <v>0.255073638118995</v>
      </c>
      <c r="AL157" s="35" t="n">
        <f aca="false">($J157*AL$1)/$K157</f>
        <v>0.260075082003682</v>
      </c>
    </row>
    <row r="158" customFormat="false" ht="15" hidden="false" customHeight="false" outlineLevel="0" collapsed="false">
      <c r="A158" s="0" t="s">
        <v>239</v>
      </c>
      <c r="B158" s="46" t="s">
        <v>240</v>
      </c>
      <c r="C158" s="16" t="s">
        <v>241</v>
      </c>
      <c r="D158" s="45" t="n">
        <v>11</v>
      </c>
      <c r="E158" s="45"/>
      <c r="F158" s="47" t="n">
        <v>0.25629900044452</v>
      </c>
      <c r="G158" s="47" t="n">
        <v>0.25629900044452</v>
      </c>
      <c r="H158" s="44" t="n">
        <f aca="false">+(I158+G158)/2</f>
        <v>0.271265956108044</v>
      </c>
      <c r="I158" s="47" t="n">
        <v>0.286232911771569</v>
      </c>
      <c r="J158" s="47" t="n">
        <v>0.286232911771569</v>
      </c>
      <c r="K158" s="31" t="n">
        <v>1</v>
      </c>
      <c r="L158" s="32"/>
      <c r="M158" s="32"/>
      <c r="N158" s="32"/>
      <c r="O158" s="32"/>
      <c r="P158" s="32"/>
      <c r="Q158" s="32"/>
      <c r="R158" s="32" t="n">
        <f aca="false">($G158*R$1)/$K158</f>
        <v>0.307558800533424</v>
      </c>
      <c r="S158" s="32" t="n">
        <f aca="false">($G158*S$1)/$K158</f>
        <v>0.317170013050093</v>
      </c>
      <c r="T158" s="32" t="n">
        <f aca="false">($G158*T$1)/$K158</f>
        <v>0.326781225566763</v>
      </c>
      <c r="U158" s="32"/>
      <c r="V158" s="33"/>
      <c r="W158" s="33"/>
      <c r="X158" s="33"/>
      <c r="Y158" s="33"/>
    </row>
    <row r="159" customFormat="false" ht="15" hidden="false" customHeight="false" outlineLevel="0" collapsed="false">
      <c r="A159" s="0" t="s">
        <v>239</v>
      </c>
      <c r="B159" s="46" t="s">
        <v>240</v>
      </c>
      <c r="C159" s="16" t="s">
        <v>241</v>
      </c>
      <c r="D159" s="45" t="n">
        <v>18</v>
      </c>
      <c r="E159" s="45"/>
      <c r="F159" s="47" t="n">
        <v>0.25629900044452</v>
      </c>
      <c r="G159" s="47" t="n">
        <v>0.25629900044452</v>
      </c>
      <c r="H159" s="44" t="n">
        <f aca="false">+(I159+G159)/2</f>
        <v>0.271265956108044</v>
      </c>
      <c r="I159" s="47" t="n">
        <v>0.286232911771569</v>
      </c>
      <c r="J159" s="47" t="n">
        <v>0.286232911771569</v>
      </c>
      <c r="K159" s="31" t="n">
        <v>1</v>
      </c>
      <c r="L159" s="32"/>
      <c r="M159" s="32"/>
      <c r="N159" s="32"/>
      <c r="O159" s="32"/>
      <c r="P159" s="32"/>
      <c r="Q159" s="32"/>
      <c r="R159" s="32" t="n">
        <f aca="false">($G159*R$1)/$K159</f>
        <v>0.307558800533424</v>
      </c>
      <c r="S159" s="32" t="n">
        <f aca="false">($G159*S$1)/$K159</f>
        <v>0.317170013050093</v>
      </c>
      <c r="T159" s="32" t="n">
        <f aca="false">($G159*T$1)/$K159</f>
        <v>0.326781225566763</v>
      </c>
      <c r="U159" s="32"/>
      <c r="V159" s="33"/>
      <c r="W159" s="33"/>
      <c r="X159" s="33"/>
      <c r="Y159" s="33"/>
    </row>
    <row r="160" customFormat="false" ht="15" hidden="false" customHeight="false" outlineLevel="0" collapsed="false">
      <c r="A160" s="0" t="s">
        <v>242</v>
      </c>
      <c r="B160" s="46" t="s">
        <v>243</v>
      </c>
      <c r="C160" s="16" t="s">
        <v>244</v>
      </c>
      <c r="D160" s="45" t="n">
        <v>10</v>
      </c>
      <c r="E160" s="45"/>
      <c r="F160" s="44" t="n">
        <v>0.22742850037207</v>
      </c>
      <c r="G160" s="44" t="n">
        <v>0.22742850037207</v>
      </c>
      <c r="H160" s="44" t="n">
        <v>0.24190829770174</v>
      </c>
      <c r="I160" s="44" t="n">
        <v>0.256388095031411</v>
      </c>
      <c r="J160" s="44" t="n">
        <v>0.230208122470512</v>
      </c>
      <c r="K160" s="31" t="n">
        <v>2</v>
      </c>
      <c r="L160" s="32"/>
      <c r="M160" s="32"/>
      <c r="N160" s="32"/>
      <c r="O160" s="32"/>
      <c r="P160" s="32"/>
      <c r="Q160" s="32"/>
      <c r="R160" s="32" t="n">
        <f aca="false">($G160*R$1)/$K160</f>
        <v>0.136457100223242</v>
      </c>
      <c r="S160" s="32" t="n">
        <f aca="false">($G160*S$1)/$K160</f>
        <v>0.140721384605218</v>
      </c>
      <c r="T160" s="32" t="n">
        <f aca="false">($G160*T$1)/$K160</f>
        <v>0.144985668987195</v>
      </c>
      <c r="U160" s="32" t="n">
        <f aca="false">($G160*U$1)/$K160</f>
        <v>0.149249953369171</v>
      </c>
      <c r="V160" s="33" t="n">
        <f aca="false">($H160*V$1)/$K160</f>
        <v>0.163288100948675</v>
      </c>
      <c r="W160" s="33" t="n">
        <f aca="false">($H160*W$1)/$K160</f>
        <v>0.167823881530582</v>
      </c>
      <c r="X160" s="33" t="n">
        <f aca="false">($H160*X$1)/$K160</f>
        <v>0.17235966211249</v>
      </c>
      <c r="Y160" s="33" t="n">
        <f aca="false">($H160*Y$1)/$K160</f>
        <v>0.176895442694398</v>
      </c>
      <c r="Z160" s="34" t="n">
        <f aca="false">($I160*Z$1)/$K160</f>
        <v>0.192291071273558</v>
      </c>
      <c r="AA160" s="34" t="n">
        <f aca="false">($I160*AA$1)/$K160</f>
        <v>0.197098348055397</v>
      </c>
      <c r="AB160" s="34" t="n">
        <f aca="false">($I160*AB$1)/$K160</f>
        <v>0.201905624837236</v>
      </c>
      <c r="AC160" s="34" t="n">
        <f aca="false">($I160*AC$1)/$K160</f>
        <v>0.206712901619075</v>
      </c>
      <c r="AD160" s="35" t="n">
        <f aca="false">($J160*AD$1)/$K160</f>
        <v>0.189921701038172</v>
      </c>
      <c r="AE160" s="35" t="n">
        <f aca="false">($J160*AE$1)/$K160</f>
        <v>0.194238103334494</v>
      </c>
      <c r="AF160" s="35" t="n">
        <f aca="false">($J160*AF$1)/$K160</f>
        <v>0.198554505630816</v>
      </c>
      <c r="AG160" s="35" t="n">
        <f aca="false">($J160*AG$1)/$K160</f>
        <v>0.202870907927138</v>
      </c>
      <c r="AH160" s="35" t="n">
        <f aca="false">($J160*AH$1)/$K160</f>
        <v>0.20718731022346</v>
      </c>
      <c r="AI160" s="35" t="n">
        <f aca="false">($J160*AI$1)/$K160</f>
        <v>0.211503712519782</v>
      </c>
      <c r="AJ160" s="35" t="n">
        <f aca="false">($J160*AJ$1)/$K160</f>
        <v>0.215820114816105</v>
      </c>
      <c r="AK160" s="35" t="n">
        <f aca="false">($J160*AK$1)/$K160</f>
        <v>0.220136517112427</v>
      </c>
      <c r="AL160" s="35" t="n">
        <f aca="false">($J160*AL$1)/$K160</f>
        <v>0.224452919408749</v>
      </c>
    </row>
    <row r="161" customFormat="false" ht="15" hidden="false" customHeight="false" outlineLevel="0" collapsed="false">
      <c r="A161" s="0" t="s">
        <v>242</v>
      </c>
      <c r="B161" s="48" t="s">
        <v>245</v>
      </c>
      <c r="C161" s="48" t="s">
        <v>246</v>
      </c>
      <c r="D161" s="45" t="n">
        <v>10</v>
      </c>
      <c r="E161" s="45"/>
      <c r="F161" s="44" t="n">
        <v>0.22742850037207</v>
      </c>
      <c r="G161" s="44" t="n">
        <v>0.22742850037207</v>
      </c>
      <c r="H161" s="44" t="n">
        <v>0.24190829770174</v>
      </c>
      <c r="I161" s="44" t="n">
        <v>0.256388095031411</v>
      </c>
      <c r="J161" s="44" t="n">
        <v>0.230208122470512</v>
      </c>
      <c r="K161" s="31" t="n">
        <v>2</v>
      </c>
      <c r="L161" s="32"/>
      <c r="M161" s="32"/>
      <c r="N161" s="32"/>
      <c r="O161" s="32"/>
      <c r="P161" s="32"/>
      <c r="Q161" s="32"/>
      <c r="R161" s="32" t="n">
        <f aca="false">($G161*R$1)/$K161</f>
        <v>0.136457100223242</v>
      </c>
      <c r="S161" s="32" t="n">
        <f aca="false">($G161*S$1)/$K161</f>
        <v>0.140721384605218</v>
      </c>
      <c r="T161" s="32" t="n">
        <f aca="false">($G161*T$1)/$K161</f>
        <v>0.144985668987195</v>
      </c>
      <c r="U161" s="32" t="n">
        <f aca="false">($G161*U$1)/$K161</f>
        <v>0.149249953369171</v>
      </c>
      <c r="V161" s="33" t="n">
        <f aca="false">($H161*V$1)/$K161</f>
        <v>0.163288100948675</v>
      </c>
      <c r="W161" s="33" t="n">
        <f aca="false">($H161*W$1)/$K161</f>
        <v>0.167823881530582</v>
      </c>
      <c r="X161" s="33" t="n">
        <f aca="false">($H161*X$1)/$K161</f>
        <v>0.17235966211249</v>
      </c>
      <c r="Y161" s="33" t="n">
        <f aca="false">($H161*Y$1)/$K161</f>
        <v>0.176895442694398</v>
      </c>
      <c r="Z161" s="34" t="n">
        <f aca="false">($I161*Z$1)/$K161</f>
        <v>0.192291071273558</v>
      </c>
      <c r="AA161" s="34" t="n">
        <f aca="false">($I161*AA$1)/$K161</f>
        <v>0.197098348055397</v>
      </c>
      <c r="AB161" s="34" t="n">
        <f aca="false">($I161*AB$1)/$K161</f>
        <v>0.201905624837236</v>
      </c>
      <c r="AC161" s="34" t="n">
        <f aca="false">($I161*AC$1)/$K161</f>
        <v>0.206712901619075</v>
      </c>
      <c r="AD161" s="35" t="n">
        <f aca="false">($J161*AD$1)/$K161</f>
        <v>0.189921701038172</v>
      </c>
      <c r="AE161" s="35" t="n">
        <f aca="false">($J161*AE$1)/$K161</f>
        <v>0.194238103334494</v>
      </c>
      <c r="AF161" s="35" t="n">
        <f aca="false">($J161*AF$1)/$K161</f>
        <v>0.198554505630816</v>
      </c>
      <c r="AG161" s="35" t="n">
        <f aca="false">($J161*AG$1)/$K161</f>
        <v>0.202870907927138</v>
      </c>
      <c r="AH161" s="35" t="n">
        <f aca="false">($J161*AH$1)/$K161</f>
        <v>0.20718731022346</v>
      </c>
      <c r="AI161" s="35" t="n">
        <f aca="false">($J161*AI$1)/$K161</f>
        <v>0.211503712519782</v>
      </c>
      <c r="AJ161" s="35" t="n">
        <f aca="false">($J161*AJ$1)/$K161</f>
        <v>0.215820114816105</v>
      </c>
      <c r="AK161" s="35" t="n">
        <f aca="false">($J161*AK$1)/$K161</f>
        <v>0.220136517112427</v>
      </c>
      <c r="AL161" s="35" t="n">
        <f aca="false">($J161*AL$1)/$K161</f>
        <v>0.224452919408749</v>
      </c>
    </row>
    <row r="162" customFormat="false" ht="15" hidden="false" customHeight="false" outlineLevel="0" collapsed="false">
      <c r="A162" s="0" t="s">
        <v>242</v>
      </c>
      <c r="B162" s="48" t="s">
        <v>234</v>
      </c>
      <c r="C162" s="48" t="s">
        <v>235</v>
      </c>
      <c r="D162" s="45" t="n">
        <v>10</v>
      </c>
      <c r="E162" s="45"/>
      <c r="F162" s="44" t="n">
        <v>0.22742850037207</v>
      </c>
      <c r="G162" s="44" t="n">
        <v>0.22742850037207</v>
      </c>
      <c r="H162" s="44" t="n">
        <v>0.24190829770174</v>
      </c>
      <c r="I162" s="44" t="n">
        <v>0.256388095031411</v>
      </c>
      <c r="J162" s="44" t="n">
        <v>0.230208122470512</v>
      </c>
      <c r="K162" s="31" t="n">
        <v>2</v>
      </c>
      <c r="L162" s="32"/>
      <c r="M162" s="32"/>
      <c r="N162" s="32"/>
      <c r="O162" s="32"/>
      <c r="P162" s="32"/>
      <c r="Q162" s="32"/>
      <c r="R162" s="32" t="n">
        <f aca="false">($G162*R$1)/$K162</f>
        <v>0.136457100223242</v>
      </c>
      <c r="S162" s="32" t="n">
        <f aca="false">($G162*S$1)/$K162</f>
        <v>0.140721384605218</v>
      </c>
      <c r="T162" s="32" t="n">
        <f aca="false">($G162*T$1)/$K162</f>
        <v>0.144985668987195</v>
      </c>
      <c r="U162" s="32" t="n">
        <f aca="false">($G162*U$1)/$K162</f>
        <v>0.149249953369171</v>
      </c>
      <c r="V162" s="33" t="n">
        <f aca="false">($H162*V$1)/$K162</f>
        <v>0.163288100948675</v>
      </c>
      <c r="W162" s="33" t="n">
        <f aca="false">($H162*W$1)/$K162</f>
        <v>0.167823881530582</v>
      </c>
      <c r="X162" s="33" t="n">
        <f aca="false">($H162*X$1)/$K162</f>
        <v>0.17235966211249</v>
      </c>
      <c r="Y162" s="33" t="n">
        <f aca="false">($H162*Y$1)/$K162</f>
        <v>0.176895442694398</v>
      </c>
      <c r="Z162" s="34" t="n">
        <f aca="false">($I162*Z$1)/$K162</f>
        <v>0.192291071273558</v>
      </c>
      <c r="AA162" s="34" t="n">
        <f aca="false">($I162*AA$1)/$K162</f>
        <v>0.197098348055397</v>
      </c>
      <c r="AB162" s="34" t="n">
        <f aca="false">($I162*AB$1)/$K162</f>
        <v>0.201905624837236</v>
      </c>
      <c r="AC162" s="34" t="n">
        <f aca="false">($I162*AC$1)/$K162</f>
        <v>0.206712901619075</v>
      </c>
      <c r="AD162" s="35" t="n">
        <f aca="false">($J162*AD$1)/$K162</f>
        <v>0.189921701038172</v>
      </c>
      <c r="AE162" s="35" t="n">
        <f aca="false">($J162*AE$1)/$K162</f>
        <v>0.194238103334494</v>
      </c>
      <c r="AF162" s="35" t="n">
        <f aca="false">($J162*AF$1)/$K162</f>
        <v>0.198554505630816</v>
      </c>
      <c r="AG162" s="35" t="n">
        <f aca="false">($J162*AG$1)/$K162</f>
        <v>0.202870907927138</v>
      </c>
      <c r="AH162" s="35" t="n">
        <f aca="false">($J162*AH$1)/$K162</f>
        <v>0.20718731022346</v>
      </c>
      <c r="AI162" s="35" t="n">
        <f aca="false">($J162*AI$1)/$K162</f>
        <v>0.211503712519782</v>
      </c>
      <c r="AJ162" s="35" t="n">
        <f aca="false">($J162*AJ$1)/$K162</f>
        <v>0.215820114816105</v>
      </c>
      <c r="AK162" s="35" t="n">
        <f aca="false">($J162*AK$1)/$K162</f>
        <v>0.220136517112427</v>
      </c>
      <c r="AL162" s="35" t="n">
        <f aca="false">($J162*AL$1)/$K162</f>
        <v>0.224452919408749</v>
      </c>
    </row>
    <row r="163" customFormat="false" ht="15" hidden="false" customHeight="false" outlineLevel="0" collapsed="false">
      <c r="A163" s="0" t="s">
        <v>242</v>
      </c>
      <c r="B163" s="48" t="s">
        <v>236</v>
      </c>
      <c r="C163" s="48" t="s">
        <v>235</v>
      </c>
      <c r="D163" s="45" t="n">
        <v>10</v>
      </c>
      <c r="E163" s="45"/>
      <c r="F163" s="44" t="n">
        <v>0.22742850037207</v>
      </c>
      <c r="G163" s="44" t="n">
        <v>0.22742850037207</v>
      </c>
      <c r="H163" s="44" t="n">
        <v>0.24190829770174</v>
      </c>
      <c r="I163" s="44" t="n">
        <v>0.256388095031411</v>
      </c>
      <c r="J163" s="44" t="n">
        <v>0.230208122470512</v>
      </c>
      <c r="K163" s="31" t="n">
        <v>2</v>
      </c>
      <c r="L163" s="32"/>
      <c r="M163" s="32"/>
      <c r="N163" s="32"/>
      <c r="O163" s="32"/>
      <c r="P163" s="32"/>
      <c r="Q163" s="32"/>
      <c r="R163" s="32" t="n">
        <f aca="false">($G163*R$1)/$K163</f>
        <v>0.136457100223242</v>
      </c>
      <c r="S163" s="32" t="n">
        <f aca="false">($G163*S$1)/$K163</f>
        <v>0.140721384605218</v>
      </c>
      <c r="T163" s="32" t="n">
        <f aca="false">($G163*T$1)/$K163</f>
        <v>0.144985668987195</v>
      </c>
      <c r="U163" s="32" t="n">
        <f aca="false">($G163*U$1)/$K163</f>
        <v>0.149249953369171</v>
      </c>
      <c r="V163" s="33" t="n">
        <f aca="false">($H163*V$1)/$K163</f>
        <v>0.163288100948675</v>
      </c>
      <c r="W163" s="33" t="n">
        <f aca="false">($H163*W$1)/$K163</f>
        <v>0.167823881530582</v>
      </c>
      <c r="X163" s="33" t="n">
        <f aca="false">($H163*X$1)/$K163</f>
        <v>0.17235966211249</v>
      </c>
      <c r="Y163" s="33" t="n">
        <f aca="false">($H163*Y$1)/$K163</f>
        <v>0.176895442694398</v>
      </c>
      <c r="Z163" s="34" t="n">
        <f aca="false">($I163*Z$1)/$K163</f>
        <v>0.192291071273558</v>
      </c>
      <c r="AA163" s="34" t="n">
        <f aca="false">($I163*AA$1)/$K163</f>
        <v>0.197098348055397</v>
      </c>
      <c r="AB163" s="34" t="n">
        <f aca="false">($I163*AB$1)/$K163</f>
        <v>0.201905624837236</v>
      </c>
      <c r="AC163" s="34" t="n">
        <f aca="false">($I163*AC$1)/$K163</f>
        <v>0.206712901619075</v>
      </c>
      <c r="AD163" s="35" t="n">
        <f aca="false">($J163*AD$1)/$K163</f>
        <v>0.189921701038172</v>
      </c>
      <c r="AE163" s="35" t="n">
        <f aca="false">($J163*AE$1)/$K163</f>
        <v>0.194238103334494</v>
      </c>
      <c r="AF163" s="35" t="n">
        <f aca="false">($J163*AF$1)/$K163</f>
        <v>0.198554505630816</v>
      </c>
      <c r="AG163" s="35" t="n">
        <f aca="false">($J163*AG$1)/$K163</f>
        <v>0.202870907927138</v>
      </c>
      <c r="AH163" s="35" t="n">
        <f aca="false">($J163*AH$1)/$K163</f>
        <v>0.20718731022346</v>
      </c>
      <c r="AI163" s="35" t="n">
        <f aca="false">($J163*AI$1)/$K163</f>
        <v>0.211503712519782</v>
      </c>
      <c r="AJ163" s="35" t="n">
        <f aca="false">($J163*AJ$1)/$K163</f>
        <v>0.215820114816105</v>
      </c>
      <c r="AK163" s="35" t="n">
        <f aca="false">($J163*AK$1)/$K163</f>
        <v>0.220136517112427</v>
      </c>
      <c r="AL163" s="35" t="n">
        <f aca="false">($J163*AL$1)/$K163</f>
        <v>0.224452919408749</v>
      </c>
    </row>
    <row r="164" customFormat="false" ht="15" hidden="false" customHeight="false" outlineLevel="0" collapsed="false">
      <c r="A164" s="0" t="s">
        <v>242</v>
      </c>
      <c r="B164" s="48" t="s">
        <v>247</v>
      </c>
      <c r="C164" s="48" t="s">
        <v>248</v>
      </c>
      <c r="D164" s="45" t="n">
        <v>10</v>
      </c>
      <c r="E164" s="45"/>
      <c r="F164" s="44" t="n">
        <v>0.22742850037207</v>
      </c>
      <c r="G164" s="44" t="n">
        <v>0.22742850037207</v>
      </c>
      <c r="H164" s="44" t="n">
        <v>0.24190829770174</v>
      </c>
      <c r="I164" s="44" t="n">
        <v>0.256388095031411</v>
      </c>
      <c r="J164" s="44" t="n">
        <v>0.230208122470512</v>
      </c>
      <c r="K164" s="31" t="n">
        <v>2</v>
      </c>
      <c r="L164" s="32"/>
      <c r="M164" s="32"/>
      <c r="N164" s="32"/>
      <c r="O164" s="32"/>
      <c r="P164" s="32"/>
      <c r="Q164" s="32"/>
      <c r="R164" s="32" t="n">
        <f aca="false">($G164*R$1)/$K164</f>
        <v>0.136457100223242</v>
      </c>
      <c r="S164" s="32" t="n">
        <f aca="false">($G164*S$1)/$K164</f>
        <v>0.140721384605218</v>
      </c>
      <c r="T164" s="32" t="n">
        <f aca="false">($G164*T$1)/$K164</f>
        <v>0.144985668987195</v>
      </c>
      <c r="U164" s="32" t="n">
        <f aca="false">($G164*U$1)/$K164</f>
        <v>0.149249953369171</v>
      </c>
      <c r="V164" s="33" t="n">
        <f aca="false">($H164*V$1)/$K164</f>
        <v>0.163288100948675</v>
      </c>
      <c r="W164" s="33" t="n">
        <f aca="false">($H164*W$1)/$K164</f>
        <v>0.167823881530582</v>
      </c>
      <c r="X164" s="33" t="n">
        <f aca="false">($H164*X$1)/$K164</f>
        <v>0.17235966211249</v>
      </c>
      <c r="Y164" s="33" t="n">
        <f aca="false">($H164*Y$1)/$K164</f>
        <v>0.176895442694398</v>
      </c>
      <c r="Z164" s="34" t="n">
        <f aca="false">($I164*Z$1)/$K164</f>
        <v>0.192291071273558</v>
      </c>
      <c r="AA164" s="34" t="n">
        <f aca="false">($I164*AA$1)/$K164</f>
        <v>0.197098348055397</v>
      </c>
      <c r="AB164" s="34" t="n">
        <f aca="false">($I164*AB$1)/$K164</f>
        <v>0.201905624837236</v>
      </c>
      <c r="AC164" s="34" t="n">
        <f aca="false">($I164*AC$1)/$K164</f>
        <v>0.206712901619075</v>
      </c>
      <c r="AD164" s="35" t="n">
        <f aca="false">($J164*AD$1)/$K164</f>
        <v>0.189921701038172</v>
      </c>
      <c r="AE164" s="35" t="n">
        <f aca="false">($J164*AE$1)/$K164</f>
        <v>0.194238103334494</v>
      </c>
      <c r="AF164" s="35" t="n">
        <f aca="false">($J164*AF$1)/$K164</f>
        <v>0.198554505630816</v>
      </c>
      <c r="AG164" s="35" t="n">
        <f aca="false">($J164*AG$1)/$K164</f>
        <v>0.202870907927138</v>
      </c>
      <c r="AH164" s="35" t="n">
        <f aca="false">($J164*AH$1)/$K164</f>
        <v>0.20718731022346</v>
      </c>
      <c r="AI164" s="35" t="n">
        <f aca="false">($J164*AI$1)/$K164</f>
        <v>0.211503712519782</v>
      </c>
      <c r="AJ164" s="35" t="n">
        <f aca="false">($J164*AJ$1)/$K164</f>
        <v>0.215820114816105</v>
      </c>
      <c r="AK164" s="35" t="n">
        <f aca="false">($J164*AK$1)/$K164</f>
        <v>0.220136517112427</v>
      </c>
      <c r="AL164" s="35" t="n">
        <f aca="false">($J164*AL$1)/$K164</f>
        <v>0.224452919408749</v>
      </c>
    </row>
    <row r="165" customFormat="false" ht="15" hidden="false" customHeight="false" outlineLevel="0" collapsed="false">
      <c r="A165" s="0" t="s">
        <v>242</v>
      </c>
      <c r="B165" s="48" t="s">
        <v>237</v>
      </c>
      <c r="C165" s="48" t="s">
        <v>238</v>
      </c>
      <c r="D165" s="45" t="n">
        <v>10</v>
      </c>
      <c r="E165" s="45"/>
      <c r="F165" s="44" t="n">
        <v>0.22742850037207</v>
      </c>
      <c r="G165" s="44" t="n">
        <v>0.22742850037207</v>
      </c>
      <c r="H165" s="44" t="n">
        <v>0.24190829770174</v>
      </c>
      <c r="I165" s="44" t="n">
        <v>0.256388095031411</v>
      </c>
      <c r="J165" s="44" t="n">
        <v>0.230208122470512</v>
      </c>
      <c r="K165" s="31" t="n">
        <v>2</v>
      </c>
      <c r="L165" s="32"/>
      <c r="M165" s="32"/>
      <c r="N165" s="32"/>
      <c r="O165" s="32"/>
      <c r="P165" s="32"/>
      <c r="Q165" s="32"/>
      <c r="R165" s="32" t="n">
        <f aca="false">($G165*R$1)/$K165</f>
        <v>0.136457100223242</v>
      </c>
      <c r="S165" s="32" t="n">
        <f aca="false">($G165*S$1)/$K165</f>
        <v>0.140721384605218</v>
      </c>
      <c r="T165" s="32" t="n">
        <f aca="false">($G165*T$1)/$K165</f>
        <v>0.144985668987195</v>
      </c>
      <c r="U165" s="32" t="n">
        <f aca="false">($G165*U$1)/$K165</f>
        <v>0.149249953369171</v>
      </c>
      <c r="V165" s="33" t="n">
        <f aca="false">($H165*V$1)/$K165</f>
        <v>0.163288100948675</v>
      </c>
      <c r="W165" s="33" t="n">
        <f aca="false">($H165*W$1)/$K165</f>
        <v>0.167823881530582</v>
      </c>
      <c r="X165" s="33" t="n">
        <f aca="false">($H165*X$1)/$K165</f>
        <v>0.17235966211249</v>
      </c>
      <c r="Y165" s="33" t="n">
        <f aca="false">($H165*Y$1)/$K165</f>
        <v>0.176895442694398</v>
      </c>
      <c r="Z165" s="34" t="n">
        <f aca="false">($I165*Z$1)/$K165</f>
        <v>0.192291071273558</v>
      </c>
      <c r="AA165" s="34" t="n">
        <f aca="false">($I165*AA$1)/$K165</f>
        <v>0.197098348055397</v>
      </c>
      <c r="AB165" s="34" t="n">
        <f aca="false">($I165*AB$1)/$K165</f>
        <v>0.201905624837236</v>
      </c>
      <c r="AC165" s="34" t="n">
        <f aca="false">($I165*AC$1)/$K165</f>
        <v>0.206712901619075</v>
      </c>
      <c r="AD165" s="35" t="n">
        <f aca="false">($J165*AD$1)/$K165</f>
        <v>0.189921701038172</v>
      </c>
      <c r="AE165" s="35" t="n">
        <f aca="false">($J165*AE$1)/$K165</f>
        <v>0.194238103334494</v>
      </c>
      <c r="AF165" s="35" t="n">
        <f aca="false">($J165*AF$1)/$K165</f>
        <v>0.198554505630816</v>
      </c>
      <c r="AG165" s="35" t="n">
        <f aca="false">($J165*AG$1)/$K165</f>
        <v>0.202870907927138</v>
      </c>
      <c r="AH165" s="35" t="n">
        <f aca="false">($J165*AH$1)/$K165</f>
        <v>0.20718731022346</v>
      </c>
      <c r="AI165" s="35" t="n">
        <f aca="false">($J165*AI$1)/$K165</f>
        <v>0.211503712519782</v>
      </c>
      <c r="AJ165" s="35" t="n">
        <f aca="false">($J165*AJ$1)/$K165</f>
        <v>0.215820114816105</v>
      </c>
      <c r="AK165" s="35" t="n">
        <f aca="false">($J165*AK$1)/$K165</f>
        <v>0.220136517112427</v>
      </c>
      <c r="AL165" s="35" t="n">
        <f aca="false">($J165*AL$1)/$K165</f>
        <v>0.224452919408749</v>
      </c>
    </row>
    <row r="166" customFormat="false" ht="15" hidden="false" customHeight="false" outlineLevel="0" collapsed="false">
      <c r="A166" s="0" t="s">
        <v>242</v>
      </c>
      <c r="B166" s="48" t="s">
        <v>249</v>
      </c>
      <c r="C166" s="48" t="s">
        <v>250</v>
      </c>
      <c r="D166" s="45" t="n">
        <v>10</v>
      </c>
      <c r="E166" s="45"/>
      <c r="F166" s="44" t="n">
        <v>0.22742850037207</v>
      </c>
      <c r="G166" s="44" t="n">
        <v>0.22742850037207</v>
      </c>
      <c r="H166" s="44" t="n">
        <v>0.24190829770174</v>
      </c>
      <c r="I166" s="44" t="n">
        <v>0.256388095031411</v>
      </c>
      <c r="J166" s="44" t="n">
        <v>0.230208122470512</v>
      </c>
      <c r="K166" s="31" t="n">
        <v>2</v>
      </c>
      <c r="L166" s="32"/>
      <c r="M166" s="32"/>
      <c r="N166" s="32"/>
      <c r="O166" s="32"/>
      <c r="P166" s="32"/>
      <c r="Q166" s="32"/>
      <c r="R166" s="32" t="n">
        <f aca="false">($G166*R$1)/$K166</f>
        <v>0.136457100223242</v>
      </c>
      <c r="S166" s="32" t="n">
        <f aca="false">($G166*S$1)/$K166</f>
        <v>0.140721384605218</v>
      </c>
      <c r="T166" s="32" t="n">
        <f aca="false">($G166*T$1)/$K166</f>
        <v>0.144985668987195</v>
      </c>
      <c r="U166" s="32" t="n">
        <f aca="false">($G166*U$1)/$K166</f>
        <v>0.149249953369171</v>
      </c>
      <c r="V166" s="33" t="n">
        <f aca="false">($H166*V$1)/$K166</f>
        <v>0.163288100948675</v>
      </c>
      <c r="W166" s="33" t="n">
        <f aca="false">($H166*W$1)/$K166</f>
        <v>0.167823881530582</v>
      </c>
      <c r="X166" s="33" t="n">
        <f aca="false">($H166*X$1)/$K166</f>
        <v>0.17235966211249</v>
      </c>
      <c r="Y166" s="33" t="n">
        <f aca="false">($H166*Y$1)/$K166</f>
        <v>0.176895442694398</v>
      </c>
      <c r="Z166" s="34" t="n">
        <f aca="false">($I166*Z$1)/$K166</f>
        <v>0.192291071273558</v>
      </c>
      <c r="AA166" s="34" t="n">
        <f aca="false">($I166*AA$1)/$K166</f>
        <v>0.197098348055397</v>
      </c>
      <c r="AB166" s="34" t="n">
        <f aca="false">($I166*AB$1)/$K166</f>
        <v>0.201905624837236</v>
      </c>
      <c r="AC166" s="34" t="n">
        <f aca="false">($I166*AC$1)/$K166</f>
        <v>0.206712901619075</v>
      </c>
      <c r="AD166" s="35" t="n">
        <f aca="false">($J166*AD$1)/$K166</f>
        <v>0.189921701038172</v>
      </c>
      <c r="AE166" s="35" t="n">
        <f aca="false">($J166*AE$1)/$K166</f>
        <v>0.194238103334494</v>
      </c>
      <c r="AF166" s="35" t="n">
        <f aca="false">($J166*AF$1)/$K166</f>
        <v>0.198554505630816</v>
      </c>
      <c r="AG166" s="35" t="n">
        <f aca="false">($J166*AG$1)/$K166</f>
        <v>0.202870907927138</v>
      </c>
      <c r="AH166" s="35" t="n">
        <f aca="false">($J166*AH$1)/$K166</f>
        <v>0.20718731022346</v>
      </c>
      <c r="AI166" s="35" t="n">
        <f aca="false">($J166*AI$1)/$K166</f>
        <v>0.211503712519782</v>
      </c>
      <c r="AJ166" s="35" t="n">
        <f aca="false">($J166*AJ$1)/$K166</f>
        <v>0.215820114816105</v>
      </c>
      <c r="AK166" s="35" t="n">
        <f aca="false">($J166*AK$1)/$K166</f>
        <v>0.220136517112427</v>
      </c>
      <c r="AL166" s="35" t="n">
        <f aca="false">($J166*AL$1)/$K166</f>
        <v>0.224452919408749</v>
      </c>
    </row>
    <row r="167" customFormat="false" ht="15" hidden="false" customHeight="false" outlineLevel="0" collapsed="false">
      <c r="A167" s="0" t="s">
        <v>242</v>
      </c>
      <c r="B167" s="48" t="s">
        <v>251</v>
      </c>
      <c r="C167" s="48" t="s">
        <v>252</v>
      </c>
      <c r="D167" s="45" t="n">
        <v>10</v>
      </c>
      <c r="E167" s="45"/>
      <c r="F167" s="44" t="n">
        <v>0.22742850037207</v>
      </c>
      <c r="G167" s="44" t="n">
        <v>0.22742850037207</v>
      </c>
      <c r="H167" s="44" t="n">
        <v>0.24190829770174</v>
      </c>
      <c r="I167" s="44" t="n">
        <v>0.256388095031411</v>
      </c>
      <c r="J167" s="44" t="n">
        <v>0.230208122470512</v>
      </c>
      <c r="K167" s="31" t="n">
        <v>2</v>
      </c>
      <c r="L167" s="32"/>
      <c r="M167" s="32"/>
      <c r="N167" s="32"/>
      <c r="O167" s="32"/>
      <c r="P167" s="32"/>
      <c r="Q167" s="32"/>
      <c r="R167" s="32" t="n">
        <f aca="false">($G167*R$1)/$K167</f>
        <v>0.136457100223242</v>
      </c>
      <c r="S167" s="32" t="n">
        <f aca="false">($G167*S$1)/$K167</f>
        <v>0.140721384605218</v>
      </c>
      <c r="T167" s="32" t="n">
        <f aca="false">($G167*T$1)/$K167</f>
        <v>0.144985668987195</v>
      </c>
      <c r="U167" s="32" t="n">
        <f aca="false">($G167*U$1)/$K167</f>
        <v>0.149249953369171</v>
      </c>
      <c r="V167" s="33" t="n">
        <f aca="false">($H167*V$1)/$K167</f>
        <v>0.163288100948675</v>
      </c>
      <c r="W167" s="33" t="n">
        <f aca="false">($H167*W$1)/$K167</f>
        <v>0.167823881530582</v>
      </c>
      <c r="X167" s="33" t="n">
        <f aca="false">($H167*X$1)/$K167</f>
        <v>0.17235966211249</v>
      </c>
      <c r="Y167" s="33" t="n">
        <f aca="false">($H167*Y$1)/$K167</f>
        <v>0.176895442694398</v>
      </c>
      <c r="Z167" s="34" t="n">
        <f aca="false">($I167*Z$1)/$K167</f>
        <v>0.192291071273558</v>
      </c>
      <c r="AA167" s="34" t="n">
        <f aca="false">($I167*AA$1)/$K167</f>
        <v>0.197098348055397</v>
      </c>
      <c r="AB167" s="34" t="n">
        <f aca="false">($I167*AB$1)/$K167</f>
        <v>0.201905624837236</v>
      </c>
      <c r="AC167" s="34" t="n">
        <f aca="false">($I167*AC$1)/$K167</f>
        <v>0.206712901619075</v>
      </c>
      <c r="AD167" s="35" t="n">
        <f aca="false">($J167*AD$1)/$K167</f>
        <v>0.189921701038172</v>
      </c>
      <c r="AE167" s="35" t="n">
        <f aca="false">($J167*AE$1)/$K167</f>
        <v>0.194238103334494</v>
      </c>
      <c r="AF167" s="35" t="n">
        <f aca="false">($J167*AF$1)/$K167</f>
        <v>0.198554505630816</v>
      </c>
      <c r="AG167" s="35" t="n">
        <f aca="false">($J167*AG$1)/$K167</f>
        <v>0.202870907927138</v>
      </c>
      <c r="AH167" s="35" t="n">
        <f aca="false">($J167*AH$1)/$K167</f>
        <v>0.20718731022346</v>
      </c>
      <c r="AI167" s="35" t="n">
        <f aca="false">($J167*AI$1)/$K167</f>
        <v>0.211503712519782</v>
      </c>
      <c r="AJ167" s="35" t="n">
        <f aca="false">($J167*AJ$1)/$K167</f>
        <v>0.215820114816105</v>
      </c>
      <c r="AK167" s="35" t="n">
        <f aca="false">($J167*AK$1)/$K167</f>
        <v>0.220136517112427</v>
      </c>
      <c r="AL167" s="35" t="n">
        <f aca="false">($J167*AL$1)/$K167</f>
        <v>0.224452919408749</v>
      </c>
    </row>
    <row r="168" customFormat="false" ht="15" hidden="false" customHeight="false" outlineLevel="0" collapsed="false">
      <c r="A168" s="0" t="s">
        <v>242</v>
      </c>
      <c r="B168" s="48" t="s">
        <v>253</v>
      </c>
      <c r="C168" s="48" t="s">
        <v>254</v>
      </c>
      <c r="D168" s="45" t="n">
        <v>10</v>
      </c>
      <c r="E168" s="45"/>
      <c r="F168" s="44" t="n">
        <v>0.22742850037207</v>
      </c>
      <c r="G168" s="44" t="n">
        <v>0.22742850037207</v>
      </c>
      <c r="H168" s="44" t="n">
        <v>0.24190829770174</v>
      </c>
      <c r="I168" s="44" t="n">
        <v>0.256388095031411</v>
      </c>
      <c r="J168" s="44" t="n">
        <v>0.230208122470512</v>
      </c>
      <c r="K168" s="31" t="n">
        <v>2</v>
      </c>
      <c r="L168" s="32"/>
      <c r="M168" s="32"/>
      <c r="N168" s="32"/>
      <c r="O168" s="32"/>
      <c r="P168" s="32"/>
      <c r="Q168" s="32"/>
      <c r="R168" s="32" t="n">
        <f aca="false">($G168*R$1)/$K168</f>
        <v>0.136457100223242</v>
      </c>
      <c r="S168" s="32" t="n">
        <f aca="false">($G168*S$1)/$K168</f>
        <v>0.140721384605218</v>
      </c>
      <c r="T168" s="32" t="n">
        <f aca="false">($G168*T$1)/$K168</f>
        <v>0.144985668987195</v>
      </c>
      <c r="U168" s="32" t="n">
        <f aca="false">($G168*U$1)/$K168</f>
        <v>0.149249953369171</v>
      </c>
      <c r="V168" s="33" t="n">
        <f aca="false">($H168*V$1)/$K168</f>
        <v>0.163288100948675</v>
      </c>
      <c r="W168" s="33" t="n">
        <f aca="false">($H168*W$1)/$K168</f>
        <v>0.167823881530582</v>
      </c>
      <c r="X168" s="33" t="n">
        <f aca="false">($H168*X$1)/$K168</f>
        <v>0.17235966211249</v>
      </c>
      <c r="Y168" s="33" t="n">
        <f aca="false">($H168*Y$1)/$K168</f>
        <v>0.176895442694398</v>
      </c>
      <c r="Z168" s="34" t="n">
        <f aca="false">($I168*Z$1)/$K168</f>
        <v>0.192291071273558</v>
      </c>
      <c r="AA168" s="34" t="n">
        <f aca="false">($I168*AA$1)/$K168</f>
        <v>0.197098348055397</v>
      </c>
      <c r="AB168" s="34" t="n">
        <f aca="false">($I168*AB$1)/$K168</f>
        <v>0.201905624837236</v>
      </c>
      <c r="AC168" s="34" t="n">
        <f aca="false">($I168*AC$1)/$K168</f>
        <v>0.206712901619075</v>
      </c>
      <c r="AD168" s="35" t="n">
        <f aca="false">($J168*AD$1)/$K168</f>
        <v>0.189921701038172</v>
      </c>
      <c r="AE168" s="35" t="n">
        <f aca="false">($J168*AE$1)/$K168</f>
        <v>0.194238103334494</v>
      </c>
      <c r="AF168" s="35" t="n">
        <f aca="false">($J168*AF$1)/$K168</f>
        <v>0.198554505630816</v>
      </c>
      <c r="AG168" s="35" t="n">
        <f aca="false">($J168*AG$1)/$K168</f>
        <v>0.202870907927138</v>
      </c>
      <c r="AH168" s="35" t="n">
        <f aca="false">($J168*AH$1)/$K168</f>
        <v>0.20718731022346</v>
      </c>
      <c r="AI168" s="35" t="n">
        <f aca="false">($J168*AI$1)/$K168</f>
        <v>0.211503712519782</v>
      </c>
      <c r="AJ168" s="35" t="n">
        <f aca="false">($J168*AJ$1)/$K168</f>
        <v>0.215820114816105</v>
      </c>
      <c r="AK168" s="35" t="n">
        <f aca="false">($J168*AK$1)/$K168</f>
        <v>0.220136517112427</v>
      </c>
      <c r="AL168" s="35" t="n">
        <f aca="false">($J168*AL$1)/$K168</f>
        <v>0.224452919408749</v>
      </c>
    </row>
    <row r="169" customFormat="false" ht="15" hidden="false" customHeight="false" outlineLevel="0" collapsed="false">
      <c r="A169" s="0" t="s">
        <v>242</v>
      </c>
      <c r="B169" s="48" t="s">
        <v>255</v>
      </c>
      <c r="C169" s="48" t="s">
        <v>254</v>
      </c>
      <c r="D169" s="45" t="n">
        <v>10</v>
      </c>
      <c r="E169" s="45"/>
      <c r="F169" s="44" t="n">
        <v>0.22742850037207</v>
      </c>
      <c r="G169" s="44" t="n">
        <v>0.22742850037207</v>
      </c>
      <c r="H169" s="44" t="n">
        <v>0.24190829770174</v>
      </c>
      <c r="I169" s="44" t="n">
        <v>0.256388095031411</v>
      </c>
      <c r="J169" s="44" t="n">
        <v>0.230208122470512</v>
      </c>
      <c r="K169" s="31" t="n">
        <v>2</v>
      </c>
      <c r="L169" s="32"/>
      <c r="M169" s="32"/>
      <c r="N169" s="32"/>
      <c r="O169" s="32"/>
      <c r="P169" s="32"/>
      <c r="Q169" s="32"/>
      <c r="R169" s="32" t="n">
        <f aca="false">($G169*R$1)/$K169</f>
        <v>0.136457100223242</v>
      </c>
      <c r="S169" s="32" t="n">
        <f aca="false">($G169*S$1)/$K169</f>
        <v>0.140721384605218</v>
      </c>
      <c r="T169" s="32" t="n">
        <f aca="false">($G169*T$1)/$K169</f>
        <v>0.144985668987195</v>
      </c>
      <c r="U169" s="32" t="n">
        <f aca="false">($G169*U$1)/$K169</f>
        <v>0.149249953369171</v>
      </c>
      <c r="V169" s="33" t="n">
        <f aca="false">($H169*V$1)/$K169</f>
        <v>0.163288100948675</v>
      </c>
      <c r="W169" s="33" t="n">
        <f aca="false">($H169*W$1)/$K169</f>
        <v>0.167823881530582</v>
      </c>
      <c r="X169" s="33" t="n">
        <f aca="false">($H169*X$1)/$K169</f>
        <v>0.17235966211249</v>
      </c>
      <c r="Y169" s="33" t="n">
        <f aca="false">($H169*Y$1)/$K169</f>
        <v>0.176895442694398</v>
      </c>
      <c r="Z169" s="34" t="n">
        <f aca="false">($I169*Z$1)/$K169</f>
        <v>0.192291071273558</v>
      </c>
      <c r="AA169" s="34" t="n">
        <f aca="false">($I169*AA$1)/$K169</f>
        <v>0.197098348055397</v>
      </c>
      <c r="AB169" s="34" t="n">
        <f aca="false">($I169*AB$1)/$K169</f>
        <v>0.201905624837236</v>
      </c>
      <c r="AC169" s="34" t="n">
        <f aca="false">($I169*AC$1)/$K169</f>
        <v>0.206712901619075</v>
      </c>
      <c r="AD169" s="35" t="n">
        <f aca="false">($J169*AD$1)/$K169</f>
        <v>0.189921701038172</v>
      </c>
      <c r="AE169" s="35" t="n">
        <f aca="false">($J169*AE$1)/$K169</f>
        <v>0.194238103334494</v>
      </c>
      <c r="AF169" s="35" t="n">
        <f aca="false">($J169*AF$1)/$K169</f>
        <v>0.198554505630816</v>
      </c>
      <c r="AG169" s="35" t="n">
        <f aca="false">($J169*AG$1)/$K169</f>
        <v>0.202870907927138</v>
      </c>
      <c r="AH169" s="35" t="n">
        <f aca="false">($J169*AH$1)/$K169</f>
        <v>0.20718731022346</v>
      </c>
      <c r="AI169" s="35" t="n">
        <f aca="false">($J169*AI$1)/$K169</f>
        <v>0.211503712519782</v>
      </c>
      <c r="AJ169" s="35" t="n">
        <f aca="false">($J169*AJ$1)/$K169</f>
        <v>0.215820114816105</v>
      </c>
      <c r="AK169" s="35" t="n">
        <f aca="false">($J169*AK$1)/$K169</f>
        <v>0.220136517112427</v>
      </c>
      <c r="AL169" s="35" t="n">
        <f aca="false">($J169*AL$1)/$K169</f>
        <v>0.224452919408749</v>
      </c>
    </row>
    <row r="170" customFormat="false" ht="15" hidden="false" customHeight="false" outlineLevel="0" collapsed="false">
      <c r="A170" s="0" t="s">
        <v>242</v>
      </c>
      <c r="B170" s="48" t="s">
        <v>256</v>
      </c>
      <c r="C170" s="48" t="s">
        <v>257</v>
      </c>
      <c r="D170" s="45" t="n">
        <v>10</v>
      </c>
      <c r="E170" s="45"/>
      <c r="F170" s="44" t="n">
        <v>0.22742850037207</v>
      </c>
      <c r="G170" s="44" t="n">
        <v>0.22742850037207</v>
      </c>
      <c r="H170" s="44" t="n">
        <v>0.24190829770174</v>
      </c>
      <c r="I170" s="44" t="n">
        <v>0.256388095031411</v>
      </c>
      <c r="J170" s="44" t="n">
        <v>0.230208122470512</v>
      </c>
      <c r="K170" s="31" t="n">
        <v>2</v>
      </c>
      <c r="L170" s="32"/>
      <c r="M170" s="32"/>
      <c r="N170" s="32"/>
      <c r="O170" s="32"/>
      <c r="P170" s="32"/>
      <c r="Q170" s="32"/>
      <c r="R170" s="32" t="n">
        <f aca="false">($G170*R$1)/$K170</f>
        <v>0.136457100223242</v>
      </c>
      <c r="S170" s="32" t="n">
        <f aca="false">($G170*S$1)/$K170</f>
        <v>0.140721384605218</v>
      </c>
      <c r="T170" s="32" t="n">
        <f aca="false">($G170*T$1)/$K170</f>
        <v>0.144985668987195</v>
      </c>
      <c r="U170" s="32" t="n">
        <f aca="false">($G170*U$1)/$K170</f>
        <v>0.149249953369171</v>
      </c>
      <c r="V170" s="33" t="n">
        <f aca="false">($H170*V$1)/$K170</f>
        <v>0.163288100948675</v>
      </c>
      <c r="W170" s="33" t="n">
        <f aca="false">($H170*W$1)/$K170</f>
        <v>0.167823881530582</v>
      </c>
      <c r="X170" s="33" t="n">
        <f aca="false">($H170*X$1)/$K170</f>
        <v>0.17235966211249</v>
      </c>
      <c r="Y170" s="33" t="n">
        <f aca="false">($H170*Y$1)/$K170</f>
        <v>0.176895442694398</v>
      </c>
      <c r="Z170" s="34" t="n">
        <f aca="false">($I170*Z$1)/$K170</f>
        <v>0.192291071273558</v>
      </c>
      <c r="AA170" s="34" t="n">
        <f aca="false">($I170*AA$1)/$K170</f>
        <v>0.197098348055397</v>
      </c>
      <c r="AB170" s="34" t="n">
        <f aca="false">($I170*AB$1)/$K170</f>
        <v>0.201905624837236</v>
      </c>
      <c r="AC170" s="34" t="n">
        <f aca="false">($I170*AC$1)/$K170</f>
        <v>0.206712901619075</v>
      </c>
      <c r="AD170" s="35" t="n">
        <f aca="false">($J170*AD$1)/$K170</f>
        <v>0.189921701038172</v>
      </c>
      <c r="AE170" s="35" t="n">
        <f aca="false">($J170*AE$1)/$K170</f>
        <v>0.194238103334494</v>
      </c>
      <c r="AF170" s="35" t="n">
        <f aca="false">($J170*AF$1)/$K170</f>
        <v>0.198554505630816</v>
      </c>
      <c r="AG170" s="35" t="n">
        <f aca="false">($J170*AG$1)/$K170</f>
        <v>0.202870907927138</v>
      </c>
      <c r="AH170" s="35" t="n">
        <f aca="false">($J170*AH$1)/$K170</f>
        <v>0.20718731022346</v>
      </c>
      <c r="AI170" s="35" t="n">
        <f aca="false">($J170*AI$1)/$K170</f>
        <v>0.211503712519782</v>
      </c>
      <c r="AJ170" s="35" t="n">
        <f aca="false">($J170*AJ$1)/$K170</f>
        <v>0.215820114816105</v>
      </c>
      <c r="AK170" s="35" t="n">
        <f aca="false">($J170*AK$1)/$K170</f>
        <v>0.220136517112427</v>
      </c>
      <c r="AL170" s="35" t="n">
        <f aca="false">($J170*AL$1)/$K170</f>
        <v>0.224452919408749</v>
      </c>
    </row>
    <row r="171" customFormat="false" ht="15" hidden="false" customHeight="false" outlineLevel="0" collapsed="false">
      <c r="A171" s="0" t="s">
        <v>242</v>
      </c>
      <c r="B171" s="48" t="s">
        <v>258</v>
      </c>
      <c r="C171" s="48" t="s">
        <v>259</v>
      </c>
      <c r="D171" s="45" t="n">
        <v>10</v>
      </c>
      <c r="E171" s="45"/>
      <c r="F171" s="44" t="n">
        <v>0.22742850037207</v>
      </c>
      <c r="G171" s="44" t="n">
        <v>0.22742850037207</v>
      </c>
      <c r="H171" s="44" t="n">
        <v>0.24190829770174</v>
      </c>
      <c r="I171" s="44" t="n">
        <v>0.256388095031411</v>
      </c>
      <c r="J171" s="44" t="n">
        <v>0.230208122470512</v>
      </c>
      <c r="K171" s="31" t="n">
        <v>2</v>
      </c>
      <c r="L171" s="32"/>
      <c r="M171" s="32"/>
      <c r="N171" s="32"/>
      <c r="O171" s="32"/>
      <c r="P171" s="32"/>
      <c r="Q171" s="32"/>
      <c r="R171" s="32" t="n">
        <f aca="false">($G171*R$1)/$K171</f>
        <v>0.136457100223242</v>
      </c>
      <c r="S171" s="32" t="n">
        <f aca="false">($G171*S$1)/$K171</f>
        <v>0.140721384605218</v>
      </c>
      <c r="T171" s="32" t="n">
        <f aca="false">($G171*T$1)/$K171</f>
        <v>0.144985668987195</v>
      </c>
      <c r="U171" s="32" t="n">
        <f aca="false">($G171*U$1)/$K171</f>
        <v>0.149249953369171</v>
      </c>
      <c r="V171" s="33" t="n">
        <f aca="false">($H171*V$1)/$K171</f>
        <v>0.163288100948675</v>
      </c>
      <c r="W171" s="33" t="n">
        <f aca="false">($H171*W$1)/$K171</f>
        <v>0.167823881530582</v>
      </c>
      <c r="X171" s="33" t="n">
        <f aca="false">($H171*X$1)/$K171</f>
        <v>0.17235966211249</v>
      </c>
      <c r="Y171" s="33" t="n">
        <f aca="false">($H171*Y$1)/$K171</f>
        <v>0.176895442694398</v>
      </c>
      <c r="Z171" s="34" t="n">
        <f aca="false">($I171*Z$1)/$K171</f>
        <v>0.192291071273558</v>
      </c>
      <c r="AA171" s="34" t="n">
        <f aca="false">($I171*AA$1)/$K171</f>
        <v>0.197098348055397</v>
      </c>
      <c r="AB171" s="34" t="n">
        <f aca="false">($I171*AB$1)/$K171</f>
        <v>0.201905624837236</v>
      </c>
      <c r="AC171" s="34" t="n">
        <f aca="false">($I171*AC$1)/$K171</f>
        <v>0.206712901619075</v>
      </c>
      <c r="AD171" s="35" t="n">
        <f aca="false">($J171*AD$1)/$K171</f>
        <v>0.189921701038172</v>
      </c>
      <c r="AE171" s="35" t="n">
        <f aca="false">($J171*AE$1)/$K171</f>
        <v>0.194238103334494</v>
      </c>
      <c r="AF171" s="35" t="n">
        <f aca="false">($J171*AF$1)/$K171</f>
        <v>0.198554505630816</v>
      </c>
      <c r="AG171" s="35" t="n">
        <f aca="false">($J171*AG$1)/$K171</f>
        <v>0.202870907927138</v>
      </c>
      <c r="AH171" s="35" t="n">
        <f aca="false">($J171*AH$1)/$K171</f>
        <v>0.20718731022346</v>
      </c>
      <c r="AI171" s="35" t="n">
        <f aca="false">($J171*AI$1)/$K171</f>
        <v>0.211503712519782</v>
      </c>
      <c r="AJ171" s="35" t="n">
        <f aca="false">($J171*AJ$1)/$K171</f>
        <v>0.215820114816105</v>
      </c>
      <c r="AK171" s="35" t="n">
        <f aca="false">($J171*AK$1)/$K171</f>
        <v>0.220136517112427</v>
      </c>
      <c r="AL171" s="35" t="n">
        <f aca="false">($J171*AL$1)/$K171</f>
        <v>0.224452919408749</v>
      </c>
    </row>
    <row r="172" customFormat="false" ht="15" hidden="false" customHeight="false" outlineLevel="0" collapsed="false">
      <c r="A172" s="0" t="s">
        <v>242</v>
      </c>
      <c r="B172" s="48" t="s">
        <v>260</v>
      </c>
      <c r="C172" s="48" t="s">
        <v>259</v>
      </c>
      <c r="D172" s="45" t="n">
        <v>10</v>
      </c>
      <c r="E172" s="45"/>
      <c r="F172" s="44" t="n">
        <v>0.22742850037207</v>
      </c>
      <c r="G172" s="44" t="n">
        <v>0.22742850037207</v>
      </c>
      <c r="H172" s="44" t="n">
        <v>0.24190829770174</v>
      </c>
      <c r="I172" s="44" t="n">
        <v>0.256388095031411</v>
      </c>
      <c r="J172" s="44" t="n">
        <v>0.230208122470512</v>
      </c>
      <c r="K172" s="31" t="n">
        <v>2</v>
      </c>
      <c r="L172" s="32"/>
      <c r="M172" s="32"/>
      <c r="N172" s="32"/>
      <c r="O172" s="32"/>
      <c r="P172" s="32"/>
      <c r="Q172" s="32"/>
      <c r="R172" s="32" t="n">
        <f aca="false">($G172*R$1)/$K172</f>
        <v>0.136457100223242</v>
      </c>
      <c r="S172" s="32" t="n">
        <f aca="false">($G172*S$1)/$K172</f>
        <v>0.140721384605218</v>
      </c>
      <c r="T172" s="32" t="n">
        <f aca="false">($G172*T$1)/$K172</f>
        <v>0.144985668987195</v>
      </c>
      <c r="U172" s="32" t="n">
        <f aca="false">($G172*U$1)/$K172</f>
        <v>0.149249953369171</v>
      </c>
      <c r="V172" s="33" t="n">
        <f aca="false">($H172*V$1)/$K172</f>
        <v>0.163288100948675</v>
      </c>
      <c r="W172" s="33" t="n">
        <f aca="false">($H172*W$1)/$K172</f>
        <v>0.167823881530582</v>
      </c>
      <c r="X172" s="33" t="n">
        <f aca="false">($H172*X$1)/$K172</f>
        <v>0.17235966211249</v>
      </c>
      <c r="Y172" s="33" t="n">
        <f aca="false">($H172*Y$1)/$K172</f>
        <v>0.176895442694398</v>
      </c>
      <c r="Z172" s="34" t="n">
        <f aca="false">($I172*Z$1)/$K172</f>
        <v>0.192291071273558</v>
      </c>
      <c r="AA172" s="34" t="n">
        <f aca="false">($I172*AA$1)/$K172</f>
        <v>0.197098348055397</v>
      </c>
      <c r="AB172" s="34" t="n">
        <f aca="false">($I172*AB$1)/$K172</f>
        <v>0.201905624837236</v>
      </c>
      <c r="AC172" s="34" t="n">
        <f aca="false">($I172*AC$1)/$K172</f>
        <v>0.206712901619075</v>
      </c>
      <c r="AD172" s="35" t="n">
        <f aca="false">($J172*AD$1)/$K172</f>
        <v>0.189921701038172</v>
      </c>
      <c r="AE172" s="35" t="n">
        <f aca="false">($J172*AE$1)/$K172</f>
        <v>0.194238103334494</v>
      </c>
      <c r="AF172" s="35" t="n">
        <f aca="false">($J172*AF$1)/$K172</f>
        <v>0.198554505630816</v>
      </c>
      <c r="AG172" s="35" t="n">
        <f aca="false">($J172*AG$1)/$K172</f>
        <v>0.202870907927138</v>
      </c>
      <c r="AH172" s="35" t="n">
        <f aca="false">($J172*AH$1)/$K172</f>
        <v>0.20718731022346</v>
      </c>
      <c r="AI172" s="35" t="n">
        <f aca="false">($J172*AI$1)/$K172</f>
        <v>0.211503712519782</v>
      </c>
      <c r="AJ172" s="35" t="n">
        <f aca="false">($J172*AJ$1)/$K172</f>
        <v>0.215820114816105</v>
      </c>
      <c r="AK172" s="35" t="n">
        <f aca="false">($J172*AK$1)/$K172</f>
        <v>0.220136517112427</v>
      </c>
      <c r="AL172" s="35" t="n">
        <f aca="false">($J172*AL$1)/$K172</f>
        <v>0.224452919408749</v>
      </c>
    </row>
    <row r="173" customFormat="false" ht="15" hidden="false" customHeight="false" outlineLevel="0" collapsed="false">
      <c r="A173" s="0" t="s">
        <v>242</v>
      </c>
      <c r="B173" s="48" t="s">
        <v>261</v>
      </c>
      <c r="C173" s="48" t="s">
        <v>259</v>
      </c>
      <c r="D173" s="45" t="n">
        <v>10</v>
      </c>
      <c r="E173" s="45"/>
      <c r="F173" s="44" t="n">
        <v>0.22742850037207</v>
      </c>
      <c r="G173" s="44" t="n">
        <v>0.22742850037207</v>
      </c>
      <c r="H173" s="44" t="n">
        <v>0.24190829770174</v>
      </c>
      <c r="I173" s="44" t="n">
        <v>0.256388095031411</v>
      </c>
      <c r="J173" s="44" t="n">
        <v>0.230208122470512</v>
      </c>
      <c r="K173" s="31" t="n">
        <v>2</v>
      </c>
      <c r="L173" s="32"/>
      <c r="M173" s="32"/>
      <c r="N173" s="32"/>
      <c r="O173" s="32"/>
      <c r="P173" s="32"/>
      <c r="Q173" s="32"/>
      <c r="R173" s="32" t="n">
        <f aca="false">($G173*R$1)/$K173</f>
        <v>0.136457100223242</v>
      </c>
      <c r="S173" s="32" t="n">
        <f aca="false">($G173*S$1)/$K173</f>
        <v>0.140721384605218</v>
      </c>
      <c r="T173" s="32" t="n">
        <f aca="false">($G173*T$1)/$K173</f>
        <v>0.144985668987195</v>
      </c>
      <c r="U173" s="32" t="n">
        <f aca="false">($G173*U$1)/$K173</f>
        <v>0.149249953369171</v>
      </c>
      <c r="V173" s="33" t="n">
        <f aca="false">($H173*V$1)/$K173</f>
        <v>0.163288100948675</v>
      </c>
      <c r="W173" s="33" t="n">
        <f aca="false">($H173*W$1)/$K173</f>
        <v>0.167823881530582</v>
      </c>
      <c r="X173" s="33" t="n">
        <f aca="false">($H173*X$1)/$K173</f>
        <v>0.17235966211249</v>
      </c>
      <c r="Y173" s="33" t="n">
        <f aca="false">($H173*Y$1)/$K173</f>
        <v>0.176895442694398</v>
      </c>
      <c r="Z173" s="34" t="n">
        <f aca="false">($I173*Z$1)/$K173</f>
        <v>0.192291071273558</v>
      </c>
      <c r="AA173" s="34" t="n">
        <f aca="false">($I173*AA$1)/$K173</f>
        <v>0.197098348055397</v>
      </c>
      <c r="AB173" s="34" t="n">
        <f aca="false">($I173*AB$1)/$K173</f>
        <v>0.201905624837236</v>
      </c>
      <c r="AC173" s="34" t="n">
        <f aca="false">($I173*AC$1)/$K173</f>
        <v>0.206712901619075</v>
      </c>
      <c r="AD173" s="35" t="n">
        <f aca="false">($J173*AD$1)/$K173</f>
        <v>0.189921701038172</v>
      </c>
      <c r="AE173" s="35" t="n">
        <f aca="false">($J173*AE$1)/$K173</f>
        <v>0.194238103334494</v>
      </c>
      <c r="AF173" s="35" t="n">
        <f aca="false">($J173*AF$1)/$K173</f>
        <v>0.198554505630816</v>
      </c>
      <c r="AG173" s="35" t="n">
        <f aca="false">($J173*AG$1)/$K173</f>
        <v>0.202870907927138</v>
      </c>
      <c r="AH173" s="35" t="n">
        <f aca="false">($J173*AH$1)/$K173</f>
        <v>0.20718731022346</v>
      </c>
      <c r="AI173" s="35" t="n">
        <f aca="false">($J173*AI$1)/$K173</f>
        <v>0.211503712519782</v>
      </c>
      <c r="AJ173" s="35" t="n">
        <f aca="false">($J173*AJ$1)/$K173</f>
        <v>0.215820114816105</v>
      </c>
      <c r="AK173" s="35" t="n">
        <f aca="false">($J173*AK$1)/$K173</f>
        <v>0.220136517112427</v>
      </c>
      <c r="AL173" s="35" t="n">
        <f aca="false">($J173*AL$1)/$K173</f>
        <v>0.224452919408749</v>
      </c>
    </row>
    <row r="174" customFormat="false" ht="15" hidden="false" customHeight="false" outlineLevel="0" collapsed="false">
      <c r="A174" s="0" t="s">
        <v>242</v>
      </c>
      <c r="B174" s="48" t="s">
        <v>262</v>
      </c>
      <c r="C174" s="48" t="s">
        <v>259</v>
      </c>
      <c r="D174" s="45" t="n">
        <v>10</v>
      </c>
      <c r="E174" s="45"/>
      <c r="F174" s="44" t="n">
        <v>0.22742850037207</v>
      </c>
      <c r="G174" s="44" t="n">
        <v>0.22742850037207</v>
      </c>
      <c r="H174" s="44" t="n">
        <v>0.24190829770174</v>
      </c>
      <c r="I174" s="44" t="n">
        <v>0.256388095031411</v>
      </c>
      <c r="J174" s="44" t="n">
        <v>0.230208122470512</v>
      </c>
      <c r="K174" s="31" t="n">
        <v>2</v>
      </c>
      <c r="L174" s="32"/>
      <c r="M174" s="32"/>
      <c r="N174" s="32"/>
      <c r="O174" s="32"/>
      <c r="P174" s="32"/>
      <c r="Q174" s="32"/>
      <c r="R174" s="32" t="n">
        <f aca="false">($G174*R$1)/$K174</f>
        <v>0.136457100223242</v>
      </c>
      <c r="S174" s="32" t="n">
        <f aca="false">($G174*S$1)/$K174</f>
        <v>0.140721384605218</v>
      </c>
      <c r="T174" s="32" t="n">
        <f aca="false">($G174*T$1)/$K174</f>
        <v>0.144985668987195</v>
      </c>
      <c r="U174" s="32" t="n">
        <f aca="false">($G174*U$1)/$K174</f>
        <v>0.149249953369171</v>
      </c>
      <c r="V174" s="33" t="n">
        <f aca="false">($H174*V$1)/$K174</f>
        <v>0.163288100948675</v>
      </c>
      <c r="W174" s="33" t="n">
        <f aca="false">($H174*W$1)/$K174</f>
        <v>0.167823881530582</v>
      </c>
      <c r="X174" s="33" t="n">
        <f aca="false">($H174*X$1)/$K174</f>
        <v>0.17235966211249</v>
      </c>
      <c r="Y174" s="33" t="n">
        <f aca="false">($H174*Y$1)/$K174</f>
        <v>0.176895442694398</v>
      </c>
      <c r="Z174" s="34" t="n">
        <f aca="false">($I174*Z$1)/$K174</f>
        <v>0.192291071273558</v>
      </c>
      <c r="AA174" s="34" t="n">
        <f aca="false">($I174*AA$1)/$K174</f>
        <v>0.197098348055397</v>
      </c>
      <c r="AB174" s="34" t="n">
        <f aca="false">($I174*AB$1)/$K174</f>
        <v>0.201905624837236</v>
      </c>
      <c r="AC174" s="34" t="n">
        <f aca="false">($I174*AC$1)/$K174</f>
        <v>0.206712901619075</v>
      </c>
      <c r="AD174" s="35" t="n">
        <f aca="false">($J174*AD$1)/$K174</f>
        <v>0.189921701038172</v>
      </c>
      <c r="AE174" s="35" t="n">
        <f aca="false">($J174*AE$1)/$K174</f>
        <v>0.194238103334494</v>
      </c>
      <c r="AF174" s="35" t="n">
        <f aca="false">($J174*AF$1)/$K174</f>
        <v>0.198554505630816</v>
      </c>
      <c r="AG174" s="35" t="n">
        <f aca="false">($J174*AG$1)/$K174</f>
        <v>0.202870907927138</v>
      </c>
      <c r="AH174" s="35" t="n">
        <f aca="false">($J174*AH$1)/$K174</f>
        <v>0.20718731022346</v>
      </c>
      <c r="AI174" s="35" t="n">
        <f aca="false">($J174*AI$1)/$K174</f>
        <v>0.211503712519782</v>
      </c>
      <c r="AJ174" s="35" t="n">
        <f aca="false">($J174*AJ$1)/$K174</f>
        <v>0.215820114816105</v>
      </c>
      <c r="AK174" s="35" t="n">
        <f aca="false">($J174*AK$1)/$K174</f>
        <v>0.220136517112427</v>
      </c>
      <c r="AL174" s="35" t="n">
        <f aca="false">($J174*AL$1)/$K174</f>
        <v>0.224452919408749</v>
      </c>
    </row>
    <row r="175" customFormat="false" ht="15" hidden="false" customHeight="false" outlineLevel="0" collapsed="false">
      <c r="A175" s="0" t="s">
        <v>242</v>
      </c>
      <c r="B175" s="48" t="s">
        <v>263</v>
      </c>
      <c r="C175" s="48" t="s">
        <v>259</v>
      </c>
      <c r="D175" s="45" t="n">
        <v>10</v>
      </c>
      <c r="E175" s="45"/>
      <c r="F175" s="44" t="n">
        <v>0.22742850037207</v>
      </c>
      <c r="G175" s="44" t="n">
        <v>0.22742850037207</v>
      </c>
      <c r="H175" s="44" t="n">
        <v>0.24190829770174</v>
      </c>
      <c r="I175" s="44" t="n">
        <v>0.256388095031411</v>
      </c>
      <c r="J175" s="44" t="n">
        <v>0.230208122470512</v>
      </c>
      <c r="K175" s="31" t="n">
        <v>2</v>
      </c>
      <c r="L175" s="32"/>
      <c r="M175" s="32"/>
      <c r="N175" s="32"/>
      <c r="O175" s="32"/>
      <c r="P175" s="32"/>
      <c r="Q175" s="32"/>
      <c r="R175" s="32" t="n">
        <f aca="false">($G175*R$1)/$K175</f>
        <v>0.136457100223242</v>
      </c>
      <c r="S175" s="32" t="n">
        <f aca="false">($G175*S$1)/$K175</f>
        <v>0.140721384605218</v>
      </c>
      <c r="T175" s="32" t="n">
        <f aca="false">($G175*T$1)/$K175</f>
        <v>0.144985668987195</v>
      </c>
      <c r="U175" s="32" t="n">
        <f aca="false">($G175*U$1)/$K175</f>
        <v>0.149249953369171</v>
      </c>
      <c r="V175" s="33" t="n">
        <f aca="false">($H175*V$1)/$K175</f>
        <v>0.163288100948675</v>
      </c>
      <c r="W175" s="33" t="n">
        <f aca="false">($H175*W$1)/$K175</f>
        <v>0.167823881530582</v>
      </c>
      <c r="X175" s="33" t="n">
        <f aca="false">($H175*X$1)/$K175</f>
        <v>0.17235966211249</v>
      </c>
      <c r="Y175" s="33" t="n">
        <f aca="false">($H175*Y$1)/$K175</f>
        <v>0.176895442694398</v>
      </c>
      <c r="Z175" s="34" t="n">
        <f aca="false">($I175*Z$1)/$K175</f>
        <v>0.192291071273558</v>
      </c>
      <c r="AA175" s="34" t="n">
        <f aca="false">($I175*AA$1)/$K175</f>
        <v>0.197098348055397</v>
      </c>
      <c r="AB175" s="34" t="n">
        <f aca="false">($I175*AB$1)/$K175</f>
        <v>0.201905624837236</v>
      </c>
      <c r="AC175" s="34" t="n">
        <f aca="false">($I175*AC$1)/$K175</f>
        <v>0.206712901619075</v>
      </c>
      <c r="AD175" s="35" t="n">
        <f aca="false">($J175*AD$1)/$K175</f>
        <v>0.189921701038172</v>
      </c>
      <c r="AE175" s="35" t="n">
        <f aca="false">($J175*AE$1)/$K175</f>
        <v>0.194238103334494</v>
      </c>
      <c r="AF175" s="35" t="n">
        <f aca="false">($J175*AF$1)/$K175</f>
        <v>0.198554505630816</v>
      </c>
      <c r="AG175" s="35" t="n">
        <f aca="false">($J175*AG$1)/$K175</f>
        <v>0.202870907927138</v>
      </c>
      <c r="AH175" s="35" t="n">
        <f aca="false">($J175*AH$1)/$K175</f>
        <v>0.20718731022346</v>
      </c>
      <c r="AI175" s="35" t="n">
        <f aca="false">($J175*AI$1)/$K175</f>
        <v>0.211503712519782</v>
      </c>
      <c r="AJ175" s="35" t="n">
        <f aca="false">($J175*AJ$1)/$K175</f>
        <v>0.215820114816105</v>
      </c>
      <c r="AK175" s="35" t="n">
        <f aca="false">($J175*AK$1)/$K175</f>
        <v>0.220136517112427</v>
      </c>
      <c r="AL175" s="35" t="n">
        <f aca="false">($J175*AL$1)/$K175</f>
        <v>0.224452919408749</v>
      </c>
    </row>
    <row r="176" customFormat="false" ht="15" hidden="false" customHeight="false" outlineLevel="0" collapsed="false">
      <c r="A176" s="0" t="s">
        <v>242</v>
      </c>
      <c r="B176" s="48" t="s">
        <v>264</v>
      </c>
      <c r="C176" s="48" t="s">
        <v>259</v>
      </c>
      <c r="D176" s="45" t="n">
        <v>10</v>
      </c>
      <c r="E176" s="45"/>
      <c r="F176" s="44" t="n">
        <v>0.22742850037207</v>
      </c>
      <c r="G176" s="44" t="n">
        <v>0.22742850037207</v>
      </c>
      <c r="H176" s="44" t="n">
        <v>0.24190829770174</v>
      </c>
      <c r="I176" s="44" t="n">
        <v>0.256388095031411</v>
      </c>
      <c r="J176" s="44" t="n">
        <v>0.230208122470512</v>
      </c>
      <c r="K176" s="31" t="n">
        <v>2</v>
      </c>
      <c r="L176" s="32"/>
      <c r="M176" s="32"/>
      <c r="N176" s="32"/>
      <c r="O176" s="32"/>
      <c r="P176" s="32"/>
      <c r="Q176" s="32"/>
      <c r="R176" s="32" t="n">
        <f aca="false">($G176*R$1)/$K176</f>
        <v>0.136457100223242</v>
      </c>
      <c r="S176" s="32" t="n">
        <f aca="false">($G176*S$1)/$K176</f>
        <v>0.140721384605218</v>
      </c>
      <c r="T176" s="32" t="n">
        <f aca="false">($G176*T$1)/$K176</f>
        <v>0.144985668987195</v>
      </c>
      <c r="U176" s="32" t="n">
        <f aca="false">($G176*U$1)/$K176</f>
        <v>0.149249953369171</v>
      </c>
      <c r="V176" s="33" t="n">
        <f aca="false">($H176*V$1)/$K176</f>
        <v>0.163288100948675</v>
      </c>
      <c r="W176" s="33" t="n">
        <f aca="false">($H176*W$1)/$K176</f>
        <v>0.167823881530582</v>
      </c>
      <c r="X176" s="33" t="n">
        <f aca="false">($H176*X$1)/$K176</f>
        <v>0.17235966211249</v>
      </c>
      <c r="Y176" s="33" t="n">
        <f aca="false">($H176*Y$1)/$K176</f>
        <v>0.176895442694398</v>
      </c>
      <c r="Z176" s="34" t="n">
        <f aca="false">($I176*Z$1)/$K176</f>
        <v>0.192291071273558</v>
      </c>
      <c r="AA176" s="34" t="n">
        <f aca="false">($I176*AA$1)/$K176</f>
        <v>0.197098348055397</v>
      </c>
      <c r="AB176" s="34" t="n">
        <f aca="false">($I176*AB$1)/$K176</f>
        <v>0.201905624837236</v>
      </c>
      <c r="AC176" s="34" t="n">
        <f aca="false">($I176*AC$1)/$K176</f>
        <v>0.206712901619075</v>
      </c>
      <c r="AD176" s="35" t="n">
        <f aca="false">($J176*AD$1)/$K176</f>
        <v>0.189921701038172</v>
      </c>
      <c r="AE176" s="35" t="n">
        <f aca="false">($J176*AE$1)/$K176</f>
        <v>0.194238103334494</v>
      </c>
      <c r="AF176" s="35" t="n">
        <f aca="false">($J176*AF$1)/$K176</f>
        <v>0.198554505630816</v>
      </c>
      <c r="AG176" s="35" t="n">
        <f aca="false">($J176*AG$1)/$K176</f>
        <v>0.202870907927138</v>
      </c>
      <c r="AH176" s="35" t="n">
        <f aca="false">($J176*AH$1)/$K176</f>
        <v>0.20718731022346</v>
      </c>
      <c r="AI176" s="35" t="n">
        <f aca="false">($J176*AI$1)/$K176</f>
        <v>0.211503712519782</v>
      </c>
      <c r="AJ176" s="35" t="n">
        <f aca="false">($J176*AJ$1)/$K176</f>
        <v>0.215820114816105</v>
      </c>
      <c r="AK176" s="35" t="n">
        <f aca="false">($J176*AK$1)/$K176</f>
        <v>0.220136517112427</v>
      </c>
      <c r="AL176" s="35" t="n">
        <f aca="false">($J176*AL$1)/$K176</f>
        <v>0.224452919408749</v>
      </c>
    </row>
    <row r="177" customFormat="false" ht="15" hidden="false" customHeight="false" outlineLevel="0" collapsed="false">
      <c r="A177" s="0" t="s">
        <v>242</v>
      </c>
      <c r="B177" s="48" t="s">
        <v>265</v>
      </c>
      <c r="C177" s="48" t="s">
        <v>266</v>
      </c>
      <c r="D177" s="45" t="n">
        <v>10</v>
      </c>
      <c r="E177" s="45"/>
      <c r="F177" s="44" t="n">
        <v>0.22742850037207</v>
      </c>
      <c r="G177" s="44" t="n">
        <v>0.22742850037207</v>
      </c>
      <c r="H177" s="44" t="n">
        <v>0.24190829770174</v>
      </c>
      <c r="I177" s="44" t="n">
        <v>0.256388095031411</v>
      </c>
      <c r="J177" s="44" t="n">
        <v>0.230208122470512</v>
      </c>
      <c r="K177" s="31" t="n">
        <v>2</v>
      </c>
      <c r="L177" s="32"/>
      <c r="M177" s="32"/>
      <c r="N177" s="32"/>
      <c r="O177" s="32"/>
      <c r="P177" s="32"/>
      <c r="Q177" s="32"/>
      <c r="R177" s="32" t="n">
        <f aca="false">($G177*R$1)/$K177</f>
        <v>0.136457100223242</v>
      </c>
      <c r="S177" s="32" t="n">
        <f aca="false">($G177*S$1)/$K177</f>
        <v>0.140721384605218</v>
      </c>
      <c r="T177" s="32" t="n">
        <f aca="false">($G177*T$1)/$K177</f>
        <v>0.144985668987195</v>
      </c>
      <c r="U177" s="32" t="n">
        <f aca="false">($G177*U$1)/$K177</f>
        <v>0.149249953369171</v>
      </c>
      <c r="V177" s="33" t="n">
        <f aca="false">($H177*V$1)/$K177</f>
        <v>0.163288100948675</v>
      </c>
      <c r="W177" s="33" t="n">
        <f aca="false">($H177*W$1)/$K177</f>
        <v>0.167823881530582</v>
      </c>
      <c r="X177" s="33" t="n">
        <f aca="false">($H177*X$1)/$K177</f>
        <v>0.17235966211249</v>
      </c>
      <c r="Y177" s="33" t="n">
        <f aca="false">($H177*Y$1)/$K177</f>
        <v>0.176895442694398</v>
      </c>
      <c r="Z177" s="34" t="n">
        <f aca="false">($I177*Z$1)/$K177</f>
        <v>0.192291071273558</v>
      </c>
      <c r="AA177" s="34" t="n">
        <f aca="false">($I177*AA$1)/$K177</f>
        <v>0.197098348055397</v>
      </c>
      <c r="AB177" s="34" t="n">
        <f aca="false">($I177*AB$1)/$K177</f>
        <v>0.201905624837236</v>
      </c>
      <c r="AC177" s="34" t="n">
        <f aca="false">($I177*AC$1)/$K177</f>
        <v>0.206712901619075</v>
      </c>
      <c r="AD177" s="35" t="n">
        <f aca="false">($J177*AD$1)/$K177</f>
        <v>0.189921701038172</v>
      </c>
      <c r="AE177" s="35" t="n">
        <f aca="false">($J177*AE$1)/$K177</f>
        <v>0.194238103334494</v>
      </c>
      <c r="AF177" s="35" t="n">
        <f aca="false">($J177*AF$1)/$K177</f>
        <v>0.198554505630816</v>
      </c>
      <c r="AG177" s="35" t="n">
        <f aca="false">($J177*AG$1)/$K177</f>
        <v>0.202870907927138</v>
      </c>
      <c r="AH177" s="35" t="n">
        <f aca="false">($J177*AH$1)/$K177</f>
        <v>0.20718731022346</v>
      </c>
      <c r="AI177" s="35" t="n">
        <f aca="false">($J177*AI$1)/$K177</f>
        <v>0.211503712519782</v>
      </c>
      <c r="AJ177" s="35" t="n">
        <f aca="false">($J177*AJ$1)/$K177</f>
        <v>0.215820114816105</v>
      </c>
      <c r="AK177" s="35" t="n">
        <f aca="false">($J177*AK$1)/$K177</f>
        <v>0.220136517112427</v>
      </c>
      <c r="AL177" s="35" t="n">
        <f aca="false">($J177*AL$1)/$K177</f>
        <v>0.224452919408749</v>
      </c>
    </row>
    <row r="178" customFormat="false" ht="15" hidden="false" customHeight="false" outlineLevel="0" collapsed="false">
      <c r="A178" s="0" t="s">
        <v>242</v>
      </c>
      <c r="B178" s="48" t="s">
        <v>267</v>
      </c>
      <c r="C178" s="48" t="s">
        <v>268</v>
      </c>
      <c r="D178" s="45" t="n">
        <v>10</v>
      </c>
      <c r="E178" s="45"/>
      <c r="F178" s="44" t="n">
        <v>0.22742850037207</v>
      </c>
      <c r="G178" s="44" t="n">
        <v>0.22742850037207</v>
      </c>
      <c r="H178" s="44" t="n">
        <v>0.24190829770174</v>
      </c>
      <c r="I178" s="44" t="n">
        <v>0.256388095031411</v>
      </c>
      <c r="J178" s="44" t="n">
        <v>0.230208122470512</v>
      </c>
      <c r="K178" s="31" t="n">
        <v>2</v>
      </c>
      <c r="L178" s="32"/>
      <c r="M178" s="32"/>
      <c r="N178" s="32"/>
      <c r="O178" s="32"/>
      <c r="P178" s="32"/>
      <c r="Q178" s="32"/>
      <c r="R178" s="32" t="n">
        <f aca="false">($G178*R$1)/$K178</f>
        <v>0.136457100223242</v>
      </c>
      <c r="S178" s="32" t="n">
        <f aca="false">($G178*S$1)/$K178</f>
        <v>0.140721384605218</v>
      </c>
      <c r="T178" s="32" t="n">
        <f aca="false">($G178*T$1)/$K178</f>
        <v>0.144985668987195</v>
      </c>
      <c r="U178" s="32" t="n">
        <f aca="false">($G178*U$1)/$K178</f>
        <v>0.149249953369171</v>
      </c>
      <c r="V178" s="33" t="n">
        <f aca="false">($H178*V$1)/$K178</f>
        <v>0.163288100948675</v>
      </c>
      <c r="W178" s="33" t="n">
        <f aca="false">($H178*W$1)/$K178</f>
        <v>0.167823881530582</v>
      </c>
      <c r="X178" s="33" t="n">
        <f aca="false">($H178*X$1)/$K178</f>
        <v>0.17235966211249</v>
      </c>
      <c r="Y178" s="33" t="n">
        <f aca="false">($H178*Y$1)/$K178</f>
        <v>0.176895442694398</v>
      </c>
      <c r="Z178" s="34" t="n">
        <f aca="false">($I178*Z$1)/$K178</f>
        <v>0.192291071273558</v>
      </c>
      <c r="AA178" s="34" t="n">
        <f aca="false">($I178*AA$1)/$K178</f>
        <v>0.197098348055397</v>
      </c>
      <c r="AB178" s="34" t="n">
        <f aca="false">($I178*AB$1)/$K178</f>
        <v>0.201905624837236</v>
      </c>
      <c r="AC178" s="34" t="n">
        <f aca="false">($I178*AC$1)/$K178</f>
        <v>0.206712901619075</v>
      </c>
      <c r="AD178" s="35" t="n">
        <f aca="false">($J178*AD$1)/$K178</f>
        <v>0.189921701038172</v>
      </c>
      <c r="AE178" s="35" t="n">
        <f aca="false">($J178*AE$1)/$K178</f>
        <v>0.194238103334494</v>
      </c>
      <c r="AF178" s="35" t="n">
        <f aca="false">($J178*AF$1)/$K178</f>
        <v>0.198554505630816</v>
      </c>
      <c r="AG178" s="35" t="n">
        <f aca="false">($J178*AG$1)/$K178</f>
        <v>0.202870907927138</v>
      </c>
      <c r="AH178" s="35" t="n">
        <f aca="false">($J178*AH$1)/$K178</f>
        <v>0.20718731022346</v>
      </c>
      <c r="AI178" s="35" t="n">
        <f aca="false">($J178*AI$1)/$K178</f>
        <v>0.211503712519782</v>
      </c>
      <c r="AJ178" s="35" t="n">
        <f aca="false">($J178*AJ$1)/$K178</f>
        <v>0.215820114816105</v>
      </c>
      <c r="AK178" s="35" t="n">
        <f aca="false">($J178*AK$1)/$K178</f>
        <v>0.220136517112427</v>
      </c>
      <c r="AL178" s="35" t="n">
        <f aca="false">($J178*AL$1)/$K178</f>
        <v>0.224452919408749</v>
      </c>
    </row>
    <row r="179" customFormat="false" ht="15" hidden="false" customHeight="false" outlineLevel="0" collapsed="false">
      <c r="A179" s="0" t="s">
        <v>242</v>
      </c>
      <c r="B179" s="48" t="s">
        <v>269</v>
      </c>
      <c r="C179" s="48" t="s">
        <v>270</v>
      </c>
      <c r="D179" s="45" t="n">
        <v>10</v>
      </c>
      <c r="E179" s="45"/>
      <c r="F179" s="44" t="n">
        <v>0.22742850037207</v>
      </c>
      <c r="G179" s="44" t="n">
        <v>0.22742850037207</v>
      </c>
      <c r="H179" s="44" t="n">
        <v>0.24190829770174</v>
      </c>
      <c r="I179" s="44" t="n">
        <v>0.256388095031411</v>
      </c>
      <c r="J179" s="44" t="n">
        <v>0.230208122470512</v>
      </c>
      <c r="K179" s="31" t="n">
        <v>2</v>
      </c>
      <c r="L179" s="32"/>
      <c r="M179" s="32"/>
      <c r="N179" s="32"/>
      <c r="O179" s="32"/>
      <c r="P179" s="32"/>
      <c r="Q179" s="32"/>
      <c r="R179" s="32" t="n">
        <f aca="false">($G179*R$1)/$K179</f>
        <v>0.136457100223242</v>
      </c>
      <c r="S179" s="32" t="n">
        <f aca="false">($G179*S$1)/$K179</f>
        <v>0.140721384605218</v>
      </c>
      <c r="T179" s="32" t="n">
        <f aca="false">($G179*T$1)/$K179</f>
        <v>0.144985668987195</v>
      </c>
      <c r="U179" s="32" t="n">
        <f aca="false">($G179*U$1)/$K179</f>
        <v>0.149249953369171</v>
      </c>
      <c r="V179" s="33" t="n">
        <f aca="false">($H179*V$1)/$K179</f>
        <v>0.163288100948675</v>
      </c>
      <c r="W179" s="33" t="n">
        <f aca="false">($H179*W$1)/$K179</f>
        <v>0.167823881530582</v>
      </c>
      <c r="X179" s="33" t="n">
        <f aca="false">($H179*X$1)/$K179</f>
        <v>0.17235966211249</v>
      </c>
      <c r="Y179" s="33" t="n">
        <f aca="false">($H179*Y$1)/$K179</f>
        <v>0.176895442694398</v>
      </c>
      <c r="Z179" s="34" t="n">
        <f aca="false">($I179*Z$1)/$K179</f>
        <v>0.192291071273558</v>
      </c>
      <c r="AA179" s="34" t="n">
        <f aca="false">($I179*AA$1)/$K179</f>
        <v>0.197098348055397</v>
      </c>
      <c r="AB179" s="34" t="n">
        <f aca="false">($I179*AB$1)/$K179</f>
        <v>0.201905624837236</v>
      </c>
      <c r="AC179" s="34" t="n">
        <f aca="false">($I179*AC$1)/$K179</f>
        <v>0.206712901619075</v>
      </c>
      <c r="AD179" s="35" t="n">
        <f aca="false">($J179*AD$1)/$K179</f>
        <v>0.189921701038172</v>
      </c>
      <c r="AE179" s="35" t="n">
        <f aca="false">($J179*AE$1)/$K179</f>
        <v>0.194238103334494</v>
      </c>
      <c r="AF179" s="35" t="n">
        <f aca="false">($J179*AF$1)/$K179</f>
        <v>0.198554505630816</v>
      </c>
      <c r="AG179" s="35" t="n">
        <f aca="false">($J179*AG$1)/$K179</f>
        <v>0.202870907927138</v>
      </c>
      <c r="AH179" s="35" t="n">
        <f aca="false">($J179*AH$1)/$K179</f>
        <v>0.20718731022346</v>
      </c>
      <c r="AI179" s="35" t="n">
        <f aca="false">($J179*AI$1)/$K179</f>
        <v>0.211503712519782</v>
      </c>
      <c r="AJ179" s="35" t="n">
        <f aca="false">($J179*AJ$1)/$K179</f>
        <v>0.215820114816105</v>
      </c>
      <c r="AK179" s="35" t="n">
        <f aca="false">($J179*AK$1)/$K179</f>
        <v>0.220136517112427</v>
      </c>
      <c r="AL179" s="35" t="n">
        <f aca="false">($J179*AL$1)/$K179</f>
        <v>0.224452919408749</v>
      </c>
    </row>
    <row r="180" customFormat="false" ht="15" hidden="false" customHeight="false" outlineLevel="0" collapsed="false">
      <c r="A180" s="0" t="s">
        <v>242</v>
      </c>
      <c r="B180" s="48" t="s">
        <v>271</v>
      </c>
      <c r="C180" s="48" t="s">
        <v>270</v>
      </c>
      <c r="D180" s="45" t="n">
        <v>10</v>
      </c>
      <c r="E180" s="45"/>
      <c r="F180" s="44" t="n">
        <v>0.22742850037207</v>
      </c>
      <c r="G180" s="44" t="n">
        <v>0.22742850037207</v>
      </c>
      <c r="H180" s="44" t="n">
        <v>0.24190829770174</v>
      </c>
      <c r="I180" s="44" t="n">
        <v>0.256388095031411</v>
      </c>
      <c r="J180" s="44" t="n">
        <v>0.230208122470512</v>
      </c>
      <c r="K180" s="31" t="n">
        <v>2</v>
      </c>
      <c r="L180" s="32"/>
      <c r="M180" s="32"/>
      <c r="N180" s="32"/>
      <c r="O180" s="32"/>
      <c r="P180" s="32"/>
      <c r="Q180" s="32"/>
      <c r="R180" s="32" t="n">
        <f aca="false">($G180*R$1)/$K180</f>
        <v>0.136457100223242</v>
      </c>
      <c r="S180" s="32" t="n">
        <f aca="false">($G180*S$1)/$K180</f>
        <v>0.140721384605218</v>
      </c>
      <c r="T180" s="32" t="n">
        <f aca="false">($G180*T$1)/$K180</f>
        <v>0.144985668987195</v>
      </c>
      <c r="U180" s="32" t="n">
        <f aca="false">($G180*U$1)/$K180</f>
        <v>0.149249953369171</v>
      </c>
      <c r="V180" s="33" t="n">
        <f aca="false">($H180*V$1)/$K180</f>
        <v>0.163288100948675</v>
      </c>
      <c r="W180" s="33" t="n">
        <f aca="false">($H180*W$1)/$K180</f>
        <v>0.167823881530582</v>
      </c>
      <c r="X180" s="33" t="n">
        <f aca="false">($H180*X$1)/$K180</f>
        <v>0.17235966211249</v>
      </c>
      <c r="Y180" s="33" t="n">
        <f aca="false">($H180*Y$1)/$K180</f>
        <v>0.176895442694398</v>
      </c>
      <c r="Z180" s="34" t="n">
        <f aca="false">($I180*Z$1)/$K180</f>
        <v>0.192291071273558</v>
      </c>
      <c r="AA180" s="34" t="n">
        <f aca="false">($I180*AA$1)/$K180</f>
        <v>0.197098348055397</v>
      </c>
      <c r="AB180" s="34" t="n">
        <f aca="false">($I180*AB$1)/$K180</f>
        <v>0.201905624837236</v>
      </c>
      <c r="AC180" s="34" t="n">
        <f aca="false">($I180*AC$1)/$K180</f>
        <v>0.206712901619075</v>
      </c>
      <c r="AD180" s="35" t="n">
        <f aca="false">($J180*AD$1)/$K180</f>
        <v>0.189921701038172</v>
      </c>
      <c r="AE180" s="35" t="n">
        <f aca="false">($J180*AE$1)/$K180</f>
        <v>0.194238103334494</v>
      </c>
      <c r="AF180" s="35" t="n">
        <f aca="false">($J180*AF$1)/$K180</f>
        <v>0.198554505630816</v>
      </c>
      <c r="AG180" s="35" t="n">
        <f aca="false">($J180*AG$1)/$K180</f>
        <v>0.202870907927138</v>
      </c>
      <c r="AH180" s="35" t="n">
        <f aca="false">($J180*AH$1)/$K180</f>
        <v>0.20718731022346</v>
      </c>
      <c r="AI180" s="35" t="n">
        <f aca="false">($J180*AI$1)/$K180</f>
        <v>0.211503712519782</v>
      </c>
      <c r="AJ180" s="35" t="n">
        <f aca="false">($J180*AJ$1)/$K180</f>
        <v>0.215820114816105</v>
      </c>
      <c r="AK180" s="35" t="n">
        <f aca="false">($J180*AK$1)/$K180</f>
        <v>0.220136517112427</v>
      </c>
      <c r="AL180" s="35" t="n">
        <f aca="false">($J180*AL$1)/$K180</f>
        <v>0.224452919408749</v>
      </c>
    </row>
    <row r="181" customFormat="false" ht="15" hidden="false" customHeight="false" outlineLevel="0" collapsed="false">
      <c r="A181" s="0" t="s">
        <v>242</v>
      </c>
      <c r="B181" s="48" t="s">
        <v>272</v>
      </c>
      <c r="C181" s="48" t="s">
        <v>273</v>
      </c>
      <c r="D181" s="45" t="n">
        <v>10</v>
      </c>
      <c r="E181" s="45"/>
      <c r="F181" s="44" t="n">
        <v>0.22742850037207</v>
      </c>
      <c r="G181" s="44" t="n">
        <v>0.22742850037207</v>
      </c>
      <c r="H181" s="44" t="n">
        <v>0.24190829770174</v>
      </c>
      <c r="I181" s="44" t="n">
        <v>0.256388095031411</v>
      </c>
      <c r="J181" s="44" t="n">
        <v>0.230208122470512</v>
      </c>
      <c r="K181" s="31" t="n">
        <v>2</v>
      </c>
      <c r="L181" s="32"/>
      <c r="M181" s="32"/>
      <c r="N181" s="32"/>
      <c r="O181" s="32"/>
      <c r="P181" s="32"/>
      <c r="Q181" s="32"/>
      <c r="R181" s="32" t="n">
        <f aca="false">($G181*R$1)/$K181</f>
        <v>0.136457100223242</v>
      </c>
      <c r="S181" s="32" t="n">
        <f aca="false">($G181*S$1)/$K181</f>
        <v>0.140721384605218</v>
      </c>
      <c r="T181" s="32" t="n">
        <f aca="false">($G181*T$1)/$K181</f>
        <v>0.144985668987195</v>
      </c>
      <c r="U181" s="32" t="n">
        <f aca="false">($G181*U$1)/$K181</f>
        <v>0.149249953369171</v>
      </c>
      <c r="V181" s="33" t="n">
        <f aca="false">($H181*V$1)/$K181</f>
        <v>0.163288100948675</v>
      </c>
      <c r="W181" s="33" t="n">
        <f aca="false">($H181*W$1)/$K181</f>
        <v>0.167823881530582</v>
      </c>
      <c r="X181" s="33" t="n">
        <f aca="false">($H181*X$1)/$K181</f>
        <v>0.17235966211249</v>
      </c>
      <c r="Y181" s="33" t="n">
        <f aca="false">($H181*Y$1)/$K181</f>
        <v>0.176895442694398</v>
      </c>
      <c r="Z181" s="34" t="n">
        <f aca="false">($I181*Z$1)/$K181</f>
        <v>0.192291071273558</v>
      </c>
      <c r="AA181" s="34" t="n">
        <f aca="false">($I181*AA$1)/$K181</f>
        <v>0.197098348055397</v>
      </c>
      <c r="AB181" s="34" t="n">
        <f aca="false">($I181*AB$1)/$K181</f>
        <v>0.201905624837236</v>
      </c>
      <c r="AC181" s="34" t="n">
        <f aca="false">($I181*AC$1)/$K181</f>
        <v>0.206712901619075</v>
      </c>
      <c r="AD181" s="35" t="n">
        <f aca="false">($J181*AD$1)/$K181</f>
        <v>0.189921701038172</v>
      </c>
      <c r="AE181" s="35" t="n">
        <f aca="false">($J181*AE$1)/$K181</f>
        <v>0.194238103334494</v>
      </c>
      <c r="AF181" s="35" t="n">
        <f aca="false">($J181*AF$1)/$K181</f>
        <v>0.198554505630816</v>
      </c>
      <c r="AG181" s="35" t="n">
        <f aca="false">($J181*AG$1)/$K181</f>
        <v>0.202870907927138</v>
      </c>
      <c r="AH181" s="35" t="n">
        <f aca="false">($J181*AH$1)/$K181</f>
        <v>0.20718731022346</v>
      </c>
      <c r="AI181" s="35" t="n">
        <f aca="false">($J181*AI$1)/$K181</f>
        <v>0.211503712519782</v>
      </c>
      <c r="AJ181" s="35" t="n">
        <f aca="false">($J181*AJ$1)/$K181</f>
        <v>0.215820114816105</v>
      </c>
      <c r="AK181" s="35" t="n">
        <f aca="false">($J181*AK$1)/$K181</f>
        <v>0.220136517112427</v>
      </c>
      <c r="AL181" s="35" t="n">
        <f aca="false">($J181*AL$1)/$K181</f>
        <v>0.224452919408749</v>
      </c>
    </row>
    <row r="182" customFormat="false" ht="15" hidden="false" customHeight="false" outlineLevel="0" collapsed="false">
      <c r="A182" s="0" t="s">
        <v>242</v>
      </c>
      <c r="B182" s="48" t="s">
        <v>243</v>
      </c>
      <c r="C182" s="48" t="s">
        <v>244</v>
      </c>
      <c r="D182" s="45" t="n">
        <v>17</v>
      </c>
      <c r="E182" s="45"/>
      <c r="F182" s="44" t="n">
        <v>0.22742850037207</v>
      </c>
      <c r="G182" s="44" t="n">
        <v>0.22742850037207</v>
      </c>
      <c r="H182" s="44" t="n">
        <v>0.24190829770174</v>
      </c>
      <c r="I182" s="44" t="n">
        <v>0.256388095031411</v>
      </c>
      <c r="J182" s="44" t="n">
        <v>0.230208122470512</v>
      </c>
      <c r="K182" s="31" t="n">
        <v>2</v>
      </c>
      <c r="L182" s="32"/>
      <c r="M182" s="32"/>
      <c r="N182" s="32"/>
      <c r="O182" s="32"/>
      <c r="P182" s="32"/>
      <c r="Q182" s="32"/>
      <c r="R182" s="32" t="n">
        <f aca="false">($G182*R$1)/$K182</f>
        <v>0.136457100223242</v>
      </c>
      <c r="S182" s="32" t="n">
        <f aca="false">($G182*S$1)/$K182</f>
        <v>0.140721384605218</v>
      </c>
      <c r="T182" s="32" t="n">
        <f aca="false">($G182*T$1)/$K182</f>
        <v>0.144985668987195</v>
      </c>
      <c r="U182" s="32" t="n">
        <f aca="false">($G182*U$1)/$K182</f>
        <v>0.149249953369171</v>
      </c>
      <c r="V182" s="33" t="n">
        <f aca="false">($H182*V$1)/$K182</f>
        <v>0.163288100948675</v>
      </c>
      <c r="W182" s="33" t="n">
        <f aca="false">($H182*W$1)/$K182</f>
        <v>0.167823881530582</v>
      </c>
      <c r="X182" s="33" t="n">
        <f aca="false">($H182*X$1)/$K182</f>
        <v>0.17235966211249</v>
      </c>
      <c r="Y182" s="33" t="n">
        <f aca="false">($H182*Y$1)/$K182</f>
        <v>0.176895442694398</v>
      </c>
      <c r="Z182" s="34" t="n">
        <f aca="false">($I182*Z$1)/$K182</f>
        <v>0.192291071273558</v>
      </c>
      <c r="AA182" s="34" t="n">
        <f aca="false">($I182*AA$1)/$K182</f>
        <v>0.197098348055397</v>
      </c>
      <c r="AB182" s="34" t="n">
        <f aca="false">($I182*AB$1)/$K182</f>
        <v>0.201905624837236</v>
      </c>
      <c r="AC182" s="34" t="n">
        <f aca="false">($I182*AC$1)/$K182</f>
        <v>0.206712901619075</v>
      </c>
      <c r="AD182" s="35" t="n">
        <f aca="false">($J182*AD$1)/$K182</f>
        <v>0.189921701038172</v>
      </c>
      <c r="AE182" s="35" t="n">
        <f aca="false">($J182*AE$1)/$K182</f>
        <v>0.194238103334494</v>
      </c>
      <c r="AF182" s="35" t="n">
        <f aca="false">($J182*AF$1)/$K182</f>
        <v>0.198554505630816</v>
      </c>
      <c r="AG182" s="35" t="n">
        <f aca="false">($J182*AG$1)/$K182</f>
        <v>0.202870907927138</v>
      </c>
      <c r="AH182" s="35" t="n">
        <f aca="false">($J182*AH$1)/$K182</f>
        <v>0.20718731022346</v>
      </c>
      <c r="AI182" s="35" t="n">
        <f aca="false">($J182*AI$1)/$K182</f>
        <v>0.211503712519782</v>
      </c>
      <c r="AJ182" s="35" t="n">
        <f aca="false">($J182*AJ$1)/$K182</f>
        <v>0.215820114816105</v>
      </c>
      <c r="AK182" s="35" t="n">
        <f aca="false">($J182*AK$1)/$K182</f>
        <v>0.220136517112427</v>
      </c>
      <c r="AL182" s="35" t="n">
        <f aca="false">($J182*AL$1)/$K182</f>
        <v>0.224452919408749</v>
      </c>
    </row>
    <row r="183" customFormat="false" ht="15" hidden="false" customHeight="false" outlineLevel="0" collapsed="false">
      <c r="A183" s="0" t="s">
        <v>242</v>
      </c>
      <c r="B183" s="48" t="s">
        <v>245</v>
      </c>
      <c r="C183" s="48" t="s">
        <v>246</v>
      </c>
      <c r="D183" s="45" t="n">
        <v>17</v>
      </c>
      <c r="E183" s="45"/>
      <c r="F183" s="44" t="n">
        <v>0.22742850037207</v>
      </c>
      <c r="G183" s="44" t="n">
        <v>0.22742850037207</v>
      </c>
      <c r="H183" s="44" t="n">
        <v>0.24190829770174</v>
      </c>
      <c r="I183" s="44" t="n">
        <v>0.256388095031411</v>
      </c>
      <c r="J183" s="44" t="n">
        <v>0.230208122470512</v>
      </c>
      <c r="K183" s="31" t="n">
        <v>2</v>
      </c>
      <c r="L183" s="32"/>
      <c r="M183" s="32"/>
      <c r="N183" s="32"/>
      <c r="O183" s="32"/>
      <c r="P183" s="32"/>
      <c r="Q183" s="32"/>
      <c r="R183" s="32" t="n">
        <f aca="false">($G183*R$1)/$K183</f>
        <v>0.136457100223242</v>
      </c>
      <c r="S183" s="32" t="n">
        <f aca="false">($G183*S$1)/$K183</f>
        <v>0.140721384605218</v>
      </c>
      <c r="T183" s="32" t="n">
        <f aca="false">($G183*T$1)/$K183</f>
        <v>0.144985668987195</v>
      </c>
      <c r="U183" s="32" t="n">
        <f aca="false">($G183*U$1)/$K183</f>
        <v>0.149249953369171</v>
      </c>
      <c r="V183" s="33" t="n">
        <f aca="false">($H183*V$1)/$K183</f>
        <v>0.163288100948675</v>
      </c>
      <c r="W183" s="33" t="n">
        <f aca="false">($H183*W$1)/$K183</f>
        <v>0.167823881530582</v>
      </c>
      <c r="X183" s="33" t="n">
        <f aca="false">($H183*X$1)/$K183</f>
        <v>0.17235966211249</v>
      </c>
      <c r="Y183" s="33" t="n">
        <f aca="false">($H183*Y$1)/$K183</f>
        <v>0.176895442694398</v>
      </c>
      <c r="Z183" s="34" t="n">
        <f aca="false">($I183*Z$1)/$K183</f>
        <v>0.192291071273558</v>
      </c>
      <c r="AA183" s="34" t="n">
        <f aca="false">($I183*AA$1)/$K183</f>
        <v>0.197098348055397</v>
      </c>
      <c r="AB183" s="34" t="n">
        <f aca="false">($I183*AB$1)/$K183</f>
        <v>0.201905624837236</v>
      </c>
      <c r="AC183" s="34" t="n">
        <f aca="false">($I183*AC$1)/$K183</f>
        <v>0.206712901619075</v>
      </c>
      <c r="AD183" s="35" t="n">
        <f aca="false">($J183*AD$1)/$K183</f>
        <v>0.189921701038172</v>
      </c>
      <c r="AE183" s="35" t="n">
        <f aca="false">($J183*AE$1)/$K183</f>
        <v>0.194238103334494</v>
      </c>
      <c r="AF183" s="35" t="n">
        <f aca="false">($J183*AF$1)/$K183</f>
        <v>0.198554505630816</v>
      </c>
      <c r="AG183" s="35" t="n">
        <f aca="false">($J183*AG$1)/$K183</f>
        <v>0.202870907927138</v>
      </c>
      <c r="AH183" s="35" t="n">
        <f aca="false">($J183*AH$1)/$K183</f>
        <v>0.20718731022346</v>
      </c>
      <c r="AI183" s="35" t="n">
        <f aca="false">($J183*AI$1)/$K183</f>
        <v>0.211503712519782</v>
      </c>
      <c r="AJ183" s="35" t="n">
        <f aca="false">($J183*AJ$1)/$K183</f>
        <v>0.215820114816105</v>
      </c>
      <c r="AK183" s="35" t="n">
        <f aca="false">($J183*AK$1)/$K183</f>
        <v>0.220136517112427</v>
      </c>
      <c r="AL183" s="35" t="n">
        <f aca="false">($J183*AL$1)/$K183</f>
        <v>0.224452919408749</v>
      </c>
    </row>
    <row r="184" customFormat="false" ht="15" hidden="false" customHeight="false" outlineLevel="0" collapsed="false">
      <c r="A184" s="0" t="s">
        <v>242</v>
      </c>
      <c r="B184" s="48" t="s">
        <v>234</v>
      </c>
      <c r="C184" s="48" t="s">
        <v>235</v>
      </c>
      <c r="D184" s="45" t="n">
        <v>17</v>
      </c>
      <c r="E184" s="45"/>
      <c r="F184" s="44" t="n">
        <v>0.22742850037207</v>
      </c>
      <c r="G184" s="44" t="n">
        <v>0.22742850037207</v>
      </c>
      <c r="H184" s="44" t="n">
        <v>0.24190829770174</v>
      </c>
      <c r="I184" s="44" t="n">
        <v>0.256388095031411</v>
      </c>
      <c r="J184" s="44" t="n">
        <v>0.230208122470512</v>
      </c>
      <c r="K184" s="31" t="n">
        <v>2</v>
      </c>
      <c r="L184" s="32"/>
      <c r="M184" s="32"/>
      <c r="N184" s="32"/>
      <c r="O184" s="32"/>
      <c r="P184" s="32"/>
      <c r="Q184" s="32"/>
      <c r="R184" s="32" t="n">
        <f aca="false">($G184*R$1)/$K184</f>
        <v>0.136457100223242</v>
      </c>
      <c r="S184" s="32" t="n">
        <f aca="false">($G184*S$1)/$K184</f>
        <v>0.140721384605218</v>
      </c>
      <c r="T184" s="32" t="n">
        <f aca="false">($G184*T$1)/$K184</f>
        <v>0.144985668987195</v>
      </c>
      <c r="U184" s="32" t="n">
        <f aca="false">($G184*U$1)/$K184</f>
        <v>0.149249953369171</v>
      </c>
      <c r="V184" s="33" t="n">
        <f aca="false">($H184*V$1)/$K184</f>
        <v>0.163288100948675</v>
      </c>
      <c r="W184" s="33" t="n">
        <f aca="false">($H184*W$1)/$K184</f>
        <v>0.167823881530582</v>
      </c>
      <c r="X184" s="33" t="n">
        <f aca="false">($H184*X$1)/$K184</f>
        <v>0.17235966211249</v>
      </c>
      <c r="Y184" s="33" t="n">
        <f aca="false">($H184*Y$1)/$K184</f>
        <v>0.176895442694398</v>
      </c>
      <c r="Z184" s="34" t="n">
        <f aca="false">($I184*Z$1)/$K184</f>
        <v>0.192291071273558</v>
      </c>
      <c r="AA184" s="34" t="n">
        <f aca="false">($I184*AA$1)/$K184</f>
        <v>0.197098348055397</v>
      </c>
      <c r="AB184" s="34" t="n">
        <f aca="false">($I184*AB$1)/$K184</f>
        <v>0.201905624837236</v>
      </c>
      <c r="AC184" s="34" t="n">
        <f aca="false">($I184*AC$1)/$K184</f>
        <v>0.206712901619075</v>
      </c>
      <c r="AD184" s="35" t="n">
        <f aca="false">($J184*AD$1)/$K184</f>
        <v>0.189921701038172</v>
      </c>
      <c r="AE184" s="35" t="n">
        <f aca="false">($J184*AE$1)/$K184</f>
        <v>0.194238103334494</v>
      </c>
      <c r="AF184" s="35" t="n">
        <f aca="false">($J184*AF$1)/$K184</f>
        <v>0.198554505630816</v>
      </c>
      <c r="AG184" s="35" t="n">
        <f aca="false">($J184*AG$1)/$K184</f>
        <v>0.202870907927138</v>
      </c>
      <c r="AH184" s="35" t="n">
        <f aca="false">($J184*AH$1)/$K184</f>
        <v>0.20718731022346</v>
      </c>
      <c r="AI184" s="35" t="n">
        <f aca="false">($J184*AI$1)/$K184</f>
        <v>0.211503712519782</v>
      </c>
      <c r="AJ184" s="35" t="n">
        <f aca="false">($J184*AJ$1)/$K184</f>
        <v>0.215820114816105</v>
      </c>
      <c r="AK184" s="35" t="n">
        <f aca="false">($J184*AK$1)/$K184</f>
        <v>0.220136517112427</v>
      </c>
      <c r="AL184" s="35" t="n">
        <f aca="false">($J184*AL$1)/$K184</f>
        <v>0.224452919408749</v>
      </c>
    </row>
    <row r="185" customFormat="false" ht="15" hidden="false" customHeight="false" outlineLevel="0" collapsed="false">
      <c r="A185" s="0" t="s">
        <v>242</v>
      </c>
      <c r="B185" s="48" t="s">
        <v>236</v>
      </c>
      <c r="C185" s="48" t="s">
        <v>235</v>
      </c>
      <c r="D185" s="45" t="n">
        <v>17</v>
      </c>
      <c r="E185" s="45"/>
      <c r="F185" s="44" t="n">
        <v>0.22742850037207</v>
      </c>
      <c r="G185" s="44" t="n">
        <v>0.22742850037207</v>
      </c>
      <c r="H185" s="44" t="n">
        <v>0.24190829770174</v>
      </c>
      <c r="I185" s="44" t="n">
        <v>0.256388095031411</v>
      </c>
      <c r="J185" s="44" t="n">
        <v>0.230208122470512</v>
      </c>
      <c r="K185" s="31" t="n">
        <v>2</v>
      </c>
      <c r="L185" s="32"/>
      <c r="M185" s="32"/>
      <c r="N185" s="32"/>
      <c r="O185" s="32"/>
      <c r="P185" s="32"/>
      <c r="Q185" s="32"/>
      <c r="R185" s="32" t="n">
        <f aca="false">($G185*R$1)/$K185</f>
        <v>0.136457100223242</v>
      </c>
      <c r="S185" s="32" t="n">
        <f aca="false">($G185*S$1)/$K185</f>
        <v>0.140721384605218</v>
      </c>
      <c r="T185" s="32" t="n">
        <f aca="false">($G185*T$1)/$K185</f>
        <v>0.144985668987195</v>
      </c>
      <c r="U185" s="32" t="n">
        <f aca="false">($G185*U$1)/$K185</f>
        <v>0.149249953369171</v>
      </c>
      <c r="V185" s="33" t="n">
        <f aca="false">($H185*V$1)/$K185</f>
        <v>0.163288100948675</v>
      </c>
      <c r="W185" s="33" t="n">
        <f aca="false">($H185*W$1)/$K185</f>
        <v>0.167823881530582</v>
      </c>
      <c r="X185" s="33" t="n">
        <f aca="false">($H185*X$1)/$K185</f>
        <v>0.17235966211249</v>
      </c>
      <c r="Y185" s="33" t="n">
        <f aca="false">($H185*Y$1)/$K185</f>
        <v>0.176895442694398</v>
      </c>
      <c r="Z185" s="34" t="n">
        <f aca="false">($I185*Z$1)/$K185</f>
        <v>0.192291071273558</v>
      </c>
      <c r="AA185" s="34" t="n">
        <f aca="false">($I185*AA$1)/$K185</f>
        <v>0.197098348055397</v>
      </c>
      <c r="AB185" s="34" t="n">
        <f aca="false">($I185*AB$1)/$K185</f>
        <v>0.201905624837236</v>
      </c>
      <c r="AC185" s="34" t="n">
        <f aca="false">($I185*AC$1)/$K185</f>
        <v>0.206712901619075</v>
      </c>
      <c r="AD185" s="35" t="n">
        <f aca="false">($J185*AD$1)/$K185</f>
        <v>0.189921701038172</v>
      </c>
      <c r="AE185" s="35" t="n">
        <f aca="false">($J185*AE$1)/$K185</f>
        <v>0.194238103334494</v>
      </c>
      <c r="AF185" s="35" t="n">
        <f aca="false">($J185*AF$1)/$K185</f>
        <v>0.198554505630816</v>
      </c>
      <c r="AG185" s="35" t="n">
        <f aca="false">($J185*AG$1)/$K185</f>
        <v>0.202870907927138</v>
      </c>
      <c r="AH185" s="35" t="n">
        <f aca="false">($J185*AH$1)/$K185</f>
        <v>0.20718731022346</v>
      </c>
      <c r="AI185" s="35" t="n">
        <f aca="false">($J185*AI$1)/$K185</f>
        <v>0.211503712519782</v>
      </c>
      <c r="AJ185" s="35" t="n">
        <f aca="false">($J185*AJ$1)/$K185</f>
        <v>0.215820114816105</v>
      </c>
      <c r="AK185" s="35" t="n">
        <f aca="false">($J185*AK$1)/$K185</f>
        <v>0.220136517112427</v>
      </c>
      <c r="AL185" s="35" t="n">
        <f aca="false">($J185*AL$1)/$K185</f>
        <v>0.224452919408749</v>
      </c>
    </row>
    <row r="186" customFormat="false" ht="15" hidden="false" customHeight="false" outlineLevel="0" collapsed="false">
      <c r="A186" s="0" t="s">
        <v>242</v>
      </c>
      <c r="B186" s="48" t="s">
        <v>247</v>
      </c>
      <c r="C186" s="48" t="s">
        <v>248</v>
      </c>
      <c r="D186" s="45" t="n">
        <v>17</v>
      </c>
      <c r="E186" s="45"/>
      <c r="F186" s="44" t="n">
        <v>0.22742850037207</v>
      </c>
      <c r="G186" s="44" t="n">
        <v>0.22742850037207</v>
      </c>
      <c r="H186" s="44" t="n">
        <v>0.24190829770174</v>
      </c>
      <c r="I186" s="44" t="n">
        <v>0.256388095031411</v>
      </c>
      <c r="J186" s="44" t="n">
        <v>0.230208122470512</v>
      </c>
      <c r="K186" s="31" t="n">
        <v>2</v>
      </c>
      <c r="L186" s="32"/>
      <c r="M186" s="32"/>
      <c r="N186" s="32"/>
      <c r="O186" s="32"/>
      <c r="P186" s="32"/>
      <c r="Q186" s="32"/>
      <c r="R186" s="32" t="n">
        <f aca="false">($G186*R$1)/$K186</f>
        <v>0.136457100223242</v>
      </c>
      <c r="S186" s="32" t="n">
        <f aca="false">($G186*S$1)/$K186</f>
        <v>0.140721384605218</v>
      </c>
      <c r="T186" s="32" t="n">
        <f aca="false">($G186*T$1)/$K186</f>
        <v>0.144985668987195</v>
      </c>
      <c r="U186" s="32" t="n">
        <f aca="false">($G186*U$1)/$K186</f>
        <v>0.149249953369171</v>
      </c>
      <c r="V186" s="33" t="n">
        <f aca="false">($H186*V$1)/$K186</f>
        <v>0.163288100948675</v>
      </c>
      <c r="W186" s="33" t="n">
        <f aca="false">($H186*W$1)/$K186</f>
        <v>0.167823881530582</v>
      </c>
      <c r="X186" s="33" t="n">
        <f aca="false">($H186*X$1)/$K186</f>
        <v>0.17235966211249</v>
      </c>
      <c r="Y186" s="33" t="n">
        <f aca="false">($H186*Y$1)/$K186</f>
        <v>0.176895442694398</v>
      </c>
      <c r="Z186" s="34" t="n">
        <f aca="false">($I186*Z$1)/$K186</f>
        <v>0.192291071273558</v>
      </c>
      <c r="AA186" s="34" t="n">
        <f aca="false">($I186*AA$1)/$K186</f>
        <v>0.197098348055397</v>
      </c>
      <c r="AB186" s="34" t="n">
        <f aca="false">($I186*AB$1)/$K186</f>
        <v>0.201905624837236</v>
      </c>
      <c r="AC186" s="34" t="n">
        <f aca="false">($I186*AC$1)/$K186</f>
        <v>0.206712901619075</v>
      </c>
      <c r="AD186" s="35" t="n">
        <f aca="false">($J186*AD$1)/$K186</f>
        <v>0.189921701038172</v>
      </c>
      <c r="AE186" s="35" t="n">
        <f aca="false">($J186*AE$1)/$K186</f>
        <v>0.194238103334494</v>
      </c>
      <c r="AF186" s="35" t="n">
        <f aca="false">($J186*AF$1)/$K186</f>
        <v>0.198554505630816</v>
      </c>
      <c r="AG186" s="35" t="n">
        <f aca="false">($J186*AG$1)/$K186</f>
        <v>0.202870907927138</v>
      </c>
      <c r="AH186" s="35" t="n">
        <f aca="false">($J186*AH$1)/$K186</f>
        <v>0.20718731022346</v>
      </c>
      <c r="AI186" s="35" t="n">
        <f aca="false">($J186*AI$1)/$K186</f>
        <v>0.211503712519782</v>
      </c>
      <c r="AJ186" s="35" t="n">
        <f aca="false">($J186*AJ$1)/$K186</f>
        <v>0.215820114816105</v>
      </c>
      <c r="AK186" s="35" t="n">
        <f aca="false">($J186*AK$1)/$K186</f>
        <v>0.220136517112427</v>
      </c>
      <c r="AL186" s="35" t="n">
        <f aca="false">($J186*AL$1)/$K186</f>
        <v>0.224452919408749</v>
      </c>
    </row>
    <row r="187" customFormat="false" ht="15" hidden="false" customHeight="false" outlineLevel="0" collapsed="false">
      <c r="A187" s="0" t="s">
        <v>242</v>
      </c>
      <c r="B187" s="48" t="s">
        <v>237</v>
      </c>
      <c r="C187" s="48" t="s">
        <v>238</v>
      </c>
      <c r="D187" s="45" t="n">
        <v>17</v>
      </c>
      <c r="E187" s="45"/>
      <c r="F187" s="44" t="n">
        <v>0.22742850037207</v>
      </c>
      <c r="G187" s="44" t="n">
        <v>0.22742850037207</v>
      </c>
      <c r="H187" s="44" t="n">
        <v>0.24190829770174</v>
      </c>
      <c r="I187" s="44" t="n">
        <v>0.256388095031411</v>
      </c>
      <c r="J187" s="44" t="n">
        <v>0.230208122470512</v>
      </c>
      <c r="K187" s="31" t="n">
        <v>2</v>
      </c>
      <c r="L187" s="32"/>
      <c r="M187" s="32"/>
      <c r="N187" s="32"/>
      <c r="O187" s="32"/>
      <c r="P187" s="32"/>
      <c r="Q187" s="32"/>
      <c r="R187" s="32" t="n">
        <f aca="false">($G187*R$1)/$K187</f>
        <v>0.136457100223242</v>
      </c>
      <c r="S187" s="32" t="n">
        <f aca="false">($G187*S$1)/$K187</f>
        <v>0.140721384605218</v>
      </c>
      <c r="T187" s="32" t="n">
        <f aca="false">($G187*T$1)/$K187</f>
        <v>0.144985668987195</v>
      </c>
      <c r="U187" s="32" t="n">
        <f aca="false">($G187*U$1)/$K187</f>
        <v>0.149249953369171</v>
      </c>
      <c r="V187" s="33" t="n">
        <f aca="false">($H187*V$1)/$K187</f>
        <v>0.163288100948675</v>
      </c>
      <c r="W187" s="33" t="n">
        <f aca="false">($H187*W$1)/$K187</f>
        <v>0.167823881530582</v>
      </c>
      <c r="X187" s="33" t="n">
        <f aca="false">($H187*X$1)/$K187</f>
        <v>0.17235966211249</v>
      </c>
      <c r="Y187" s="33" t="n">
        <f aca="false">($H187*Y$1)/$K187</f>
        <v>0.176895442694398</v>
      </c>
      <c r="Z187" s="34" t="n">
        <f aca="false">($I187*Z$1)/$K187</f>
        <v>0.192291071273558</v>
      </c>
      <c r="AA187" s="34" t="n">
        <f aca="false">($I187*AA$1)/$K187</f>
        <v>0.197098348055397</v>
      </c>
      <c r="AB187" s="34" t="n">
        <f aca="false">($I187*AB$1)/$K187</f>
        <v>0.201905624837236</v>
      </c>
      <c r="AC187" s="34" t="n">
        <f aca="false">($I187*AC$1)/$K187</f>
        <v>0.206712901619075</v>
      </c>
      <c r="AD187" s="35" t="n">
        <f aca="false">($J187*AD$1)/$K187</f>
        <v>0.189921701038172</v>
      </c>
      <c r="AE187" s="35" t="n">
        <f aca="false">($J187*AE$1)/$K187</f>
        <v>0.194238103334494</v>
      </c>
      <c r="AF187" s="35" t="n">
        <f aca="false">($J187*AF$1)/$K187</f>
        <v>0.198554505630816</v>
      </c>
      <c r="AG187" s="35" t="n">
        <f aca="false">($J187*AG$1)/$K187</f>
        <v>0.202870907927138</v>
      </c>
      <c r="AH187" s="35" t="n">
        <f aca="false">($J187*AH$1)/$K187</f>
        <v>0.20718731022346</v>
      </c>
      <c r="AI187" s="35" t="n">
        <f aca="false">($J187*AI$1)/$K187</f>
        <v>0.211503712519782</v>
      </c>
      <c r="AJ187" s="35" t="n">
        <f aca="false">($J187*AJ$1)/$K187</f>
        <v>0.215820114816105</v>
      </c>
      <c r="AK187" s="35" t="n">
        <f aca="false">($J187*AK$1)/$K187</f>
        <v>0.220136517112427</v>
      </c>
      <c r="AL187" s="35" t="n">
        <f aca="false">($J187*AL$1)/$K187</f>
        <v>0.224452919408749</v>
      </c>
    </row>
    <row r="188" customFormat="false" ht="15" hidden="false" customHeight="false" outlineLevel="0" collapsed="false">
      <c r="A188" s="0" t="s">
        <v>242</v>
      </c>
      <c r="B188" s="48" t="s">
        <v>249</v>
      </c>
      <c r="C188" s="48" t="s">
        <v>250</v>
      </c>
      <c r="D188" s="45" t="n">
        <v>17</v>
      </c>
      <c r="E188" s="45"/>
      <c r="F188" s="44" t="n">
        <v>0.22742850037207</v>
      </c>
      <c r="G188" s="44" t="n">
        <v>0.22742850037207</v>
      </c>
      <c r="H188" s="44" t="n">
        <v>0.24190829770174</v>
      </c>
      <c r="I188" s="44" t="n">
        <v>0.256388095031411</v>
      </c>
      <c r="J188" s="44" t="n">
        <v>0.230208122470512</v>
      </c>
      <c r="K188" s="31" t="n">
        <v>2</v>
      </c>
      <c r="L188" s="32"/>
      <c r="M188" s="32"/>
      <c r="N188" s="32"/>
      <c r="O188" s="32"/>
      <c r="P188" s="32"/>
      <c r="Q188" s="32"/>
      <c r="R188" s="32" t="n">
        <f aca="false">($G188*R$1)/$K188</f>
        <v>0.136457100223242</v>
      </c>
      <c r="S188" s="32" t="n">
        <f aca="false">($G188*S$1)/$K188</f>
        <v>0.140721384605218</v>
      </c>
      <c r="T188" s="32" t="n">
        <f aca="false">($G188*T$1)/$K188</f>
        <v>0.144985668987195</v>
      </c>
      <c r="U188" s="32" t="n">
        <f aca="false">($G188*U$1)/$K188</f>
        <v>0.149249953369171</v>
      </c>
      <c r="V188" s="33" t="n">
        <f aca="false">($H188*V$1)/$K188</f>
        <v>0.163288100948675</v>
      </c>
      <c r="W188" s="33" t="n">
        <f aca="false">($H188*W$1)/$K188</f>
        <v>0.167823881530582</v>
      </c>
      <c r="X188" s="33" t="n">
        <f aca="false">($H188*X$1)/$K188</f>
        <v>0.17235966211249</v>
      </c>
      <c r="Y188" s="33" t="n">
        <f aca="false">($H188*Y$1)/$K188</f>
        <v>0.176895442694398</v>
      </c>
      <c r="Z188" s="34" t="n">
        <f aca="false">($I188*Z$1)/$K188</f>
        <v>0.192291071273558</v>
      </c>
      <c r="AA188" s="34" t="n">
        <f aca="false">($I188*AA$1)/$K188</f>
        <v>0.197098348055397</v>
      </c>
      <c r="AB188" s="34" t="n">
        <f aca="false">($I188*AB$1)/$K188</f>
        <v>0.201905624837236</v>
      </c>
      <c r="AC188" s="34" t="n">
        <f aca="false">($I188*AC$1)/$K188</f>
        <v>0.206712901619075</v>
      </c>
      <c r="AD188" s="35" t="n">
        <f aca="false">($J188*AD$1)/$K188</f>
        <v>0.189921701038172</v>
      </c>
      <c r="AE188" s="35" t="n">
        <f aca="false">($J188*AE$1)/$K188</f>
        <v>0.194238103334494</v>
      </c>
      <c r="AF188" s="35" t="n">
        <f aca="false">($J188*AF$1)/$K188</f>
        <v>0.198554505630816</v>
      </c>
      <c r="AG188" s="35" t="n">
        <f aca="false">($J188*AG$1)/$K188</f>
        <v>0.202870907927138</v>
      </c>
      <c r="AH188" s="35" t="n">
        <f aca="false">($J188*AH$1)/$K188</f>
        <v>0.20718731022346</v>
      </c>
      <c r="AI188" s="35" t="n">
        <f aca="false">($J188*AI$1)/$K188</f>
        <v>0.211503712519782</v>
      </c>
      <c r="AJ188" s="35" t="n">
        <f aca="false">($J188*AJ$1)/$K188</f>
        <v>0.215820114816105</v>
      </c>
      <c r="AK188" s="35" t="n">
        <f aca="false">($J188*AK$1)/$K188</f>
        <v>0.220136517112427</v>
      </c>
      <c r="AL188" s="35" t="n">
        <f aca="false">($J188*AL$1)/$K188</f>
        <v>0.224452919408749</v>
      </c>
    </row>
    <row r="189" customFormat="false" ht="15" hidden="false" customHeight="false" outlineLevel="0" collapsed="false">
      <c r="A189" s="0" t="s">
        <v>242</v>
      </c>
      <c r="B189" s="48" t="s">
        <v>251</v>
      </c>
      <c r="C189" s="48" t="s">
        <v>252</v>
      </c>
      <c r="D189" s="45" t="n">
        <v>17</v>
      </c>
      <c r="E189" s="45"/>
      <c r="F189" s="44" t="n">
        <v>0.22742850037207</v>
      </c>
      <c r="G189" s="44" t="n">
        <v>0.22742850037207</v>
      </c>
      <c r="H189" s="44" t="n">
        <v>0.24190829770174</v>
      </c>
      <c r="I189" s="44" t="n">
        <v>0.256388095031411</v>
      </c>
      <c r="J189" s="44" t="n">
        <v>0.230208122470512</v>
      </c>
      <c r="K189" s="31" t="n">
        <v>2</v>
      </c>
      <c r="L189" s="32"/>
      <c r="M189" s="32"/>
      <c r="N189" s="32"/>
      <c r="O189" s="32"/>
      <c r="P189" s="32"/>
      <c r="Q189" s="32"/>
      <c r="R189" s="32" t="n">
        <f aca="false">($G189*R$1)/$K189</f>
        <v>0.136457100223242</v>
      </c>
      <c r="S189" s="32" t="n">
        <f aca="false">($G189*S$1)/$K189</f>
        <v>0.140721384605218</v>
      </c>
      <c r="T189" s="32" t="n">
        <f aca="false">($G189*T$1)/$K189</f>
        <v>0.144985668987195</v>
      </c>
      <c r="U189" s="32" t="n">
        <f aca="false">($G189*U$1)/$K189</f>
        <v>0.149249953369171</v>
      </c>
      <c r="V189" s="33" t="n">
        <f aca="false">($H189*V$1)/$K189</f>
        <v>0.163288100948675</v>
      </c>
      <c r="W189" s="33" t="n">
        <f aca="false">($H189*W$1)/$K189</f>
        <v>0.167823881530582</v>
      </c>
      <c r="X189" s="33" t="n">
        <f aca="false">($H189*X$1)/$K189</f>
        <v>0.17235966211249</v>
      </c>
      <c r="Y189" s="33" t="n">
        <f aca="false">($H189*Y$1)/$K189</f>
        <v>0.176895442694398</v>
      </c>
      <c r="Z189" s="34" t="n">
        <f aca="false">($I189*Z$1)/$K189</f>
        <v>0.192291071273558</v>
      </c>
      <c r="AA189" s="34" t="n">
        <f aca="false">($I189*AA$1)/$K189</f>
        <v>0.197098348055397</v>
      </c>
      <c r="AB189" s="34" t="n">
        <f aca="false">($I189*AB$1)/$K189</f>
        <v>0.201905624837236</v>
      </c>
      <c r="AC189" s="34" t="n">
        <f aca="false">($I189*AC$1)/$K189</f>
        <v>0.206712901619075</v>
      </c>
      <c r="AD189" s="35" t="n">
        <f aca="false">($J189*AD$1)/$K189</f>
        <v>0.189921701038172</v>
      </c>
      <c r="AE189" s="35" t="n">
        <f aca="false">($J189*AE$1)/$K189</f>
        <v>0.194238103334494</v>
      </c>
      <c r="AF189" s="35" t="n">
        <f aca="false">($J189*AF$1)/$K189</f>
        <v>0.198554505630816</v>
      </c>
      <c r="AG189" s="35" t="n">
        <f aca="false">($J189*AG$1)/$K189</f>
        <v>0.202870907927138</v>
      </c>
      <c r="AH189" s="35" t="n">
        <f aca="false">($J189*AH$1)/$K189</f>
        <v>0.20718731022346</v>
      </c>
      <c r="AI189" s="35" t="n">
        <f aca="false">($J189*AI$1)/$K189</f>
        <v>0.211503712519782</v>
      </c>
      <c r="AJ189" s="35" t="n">
        <f aca="false">($J189*AJ$1)/$K189</f>
        <v>0.215820114816105</v>
      </c>
      <c r="AK189" s="35" t="n">
        <f aca="false">($J189*AK$1)/$K189</f>
        <v>0.220136517112427</v>
      </c>
      <c r="AL189" s="35" t="n">
        <f aca="false">($J189*AL$1)/$K189</f>
        <v>0.224452919408749</v>
      </c>
    </row>
    <row r="190" customFormat="false" ht="15" hidden="false" customHeight="false" outlineLevel="0" collapsed="false">
      <c r="A190" s="0" t="s">
        <v>242</v>
      </c>
      <c r="B190" s="48" t="s">
        <v>253</v>
      </c>
      <c r="C190" s="48" t="s">
        <v>254</v>
      </c>
      <c r="D190" s="45" t="n">
        <v>17</v>
      </c>
      <c r="E190" s="45"/>
      <c r="F190" s="44" t="n">
        <v>0.22742850037207</v>
      </c>
      <c r="G190" s="44" t="n">
        <v>0.22742850037207</v>
      </c>
      <c r="H190" s="44" t="n">
        <v>0.24190829770174</v>
      </c>
      <c r="I190" s="44" t="n">
        <v>0.256388095031411</v>
      </c>
      <c r="J190" s="44" t="n">
        <v>0.230208122470512</v>
      </c>
      <c r="K190" s="31" t="n">
        <v>2</v>
      </c>
      <c r="L190" s="32"/>
      <c r="M190" s="32"/>
      <c r="N190" s="32"/>
      <c r="O190" s="32"/>
      <c r="P190" s="32"/>
      <c r="Q190" s="32"/>
      <c r="R190" s="32" t="n">
        <f aca="false">($G190*R$1)/$K190</f>
        <v>0.136457100223242</v>
      </c>
      <c r="S190" s="32" t="n">
        <f aca="false">($G190*S$1)/$K190</f>
        <v>0.140721384605218</v>
      </c>
      <c r="T190" s="32" t="n">
        <f aca="false">($G190*T$1)/$K190</f>
        <v>0.144985668987195</v>
      </c>
      <c r="U190" s="32" t="n">
        <f aca="false">($G190*U$1)/$K190</f>
        <v>0.149249953369171</v>
      </c>
      <c r="V190" s="33" t="n">
        <f aca="false">($H190*V$1)/$K190</f>
        <v>0.163288100948675</v>
      </c>
      <c r="W190" s="33" t="n">
        <f aca="false">($H190*W$1)/$K190</f>
        <v>0.167823881530582</v>
      </c>
      <c r="X190" s="33" t="n">
        <f aca="false">($H190*X$1)/$K190</f>
        <v>0.17235966211249</v>
      </c>
      <c r="Y190" s="33" t="n">
        <f aca="false">($H190*Y$1)/$K190</f>
        <v>0.176895442694398</v>
      </c>
      <c r="Z190" s="34" t="n">
        <f aca="false">($I190*Z$1)/$K190</f>
        <v>0.192291071273558</v>
      </c>
      <c r="AA190" s="34" t="n">
        <f aca="false">($I190*AA$1)/$K190</f>
        <v>0.197098348055397</v>
      </c>
      <c r="AB190" s="34" t="n">
        <f aca="false">($I190*AB$1)/$K190</f>
        <v>0.201905624837236</v>
      </c>
      <c r="AC190" s="34" t="n">
        <f aca="false">($I190*AC$1)/$K190</f>
        <v>0.206712901619075</v>
      </c>
      <c r="AD190" s="35" t="n">
        <f aca="false">($J190*AD$1)/$K190</f>
        <v>0.189921701038172</v>
      </c>
      <c r="AE190" s="35" t="n">
        <f aca="false">($J190*AE$1)/$K190</f>
        <v>0.194238103334494</v>
      </c>
      <c r="AF190" s="35" t="n">
        <f aca="false">($J190*AF$1)/$K190</f>
        <v>0.198554505630816</v>
      </c>
      <c r="AG190" s="35" t="n">
        <f aca="false">($J190*AG$1)/$K190</f>
        <v>0.202870907927138</v>
      </c>
      <c r="AH190" s="35" t="n">
        <f aca="false">($J190*AH$1)/$K190</f>
        <v>0.20718731022346</v>
      </c>
      <c r="AI190" s="35" t="n">
        <f aca="false">($J190*AI$1)/$K190</f>
        <v>0.211503712519782</v>
      </c>
      <c r="AJ190" s="35" t="n">
        <f aca="false">($J190*AJ$1)/$K190</f>
        <v>0.215820114816105</v>
      </c>
      <c r="AK190" s="35" t="n">
        <f aca="false">($J190*AK$1)/$K190</f>
        <v>0.220136517112427</v>
      </c>
      <c r="AL190" s="35" t="n">
        <f aca="false">($J190*AL$1)/$K190</f>
        <v>0.224452919408749</v>
      </c>
    </row>
    <row r="191" customFormat="false" ht="15" hidden="false" customHeight="false" outlineLevel="0" collapsed="false">
      <c r="A191" s="0" t="s">
        <v>242</v>
      </c>
      <c r="B191" s="48" t="s">
        <v>255</v>
      </c>
      <c r="C191" s="48" t="s">
        <v>254</v>
      </c>
      <c r="D191" s="45" t="n">
        <v>17</v>
      </c>
      <c r="E191" s="45"/>
      <c r="F191" s="44" t="n">
        <v>0.22742850037207</v>
      </c>
      <c r="G191" s="44" t="n">
        <v>0.22742850037207</v>
      </c>
      <c r="H191" s="44" t="n">
        <v>0.24190829770174</v>
      </c>
      <c r="I191" s="44" t="n">
        <v>0.256388095031411</v>
      </c>
      <c r="J191" s="44" t="n">
        <v>0.230208122470512</v>
      </c>
      <c r="K191" s="31" t="n">
        <v>2</v>
      </c>
      <c r="L191" s="32"/>
      <c r="M191" s="32"/>
      <c r="N191" s="32"/>
      <c r="O191" s="32"/>
      <c r="P191" s="32"/>
      <c r="Q191" s="32"/>
      <c r="R191" s="32" t="n">
        <f aca="false">($G191*R$1)/$K191</f>
        <v>0.136457100223242</v>
      </c>
      <c r="S191" s="32" t="n">
        <f aca="false">($G191*S$1)/$K191</f>
        <v>0.140721384605218</v>
      </c>
      <c r="T191" s="32" t="n">
        <f aca="false">($G191*T$1)/$K191</f>
        <v>0.144985668987195</v>
      </c>
      <c r="U191" s="32" t="n">
        <f aca="false">($G191*U$1)/$K191</f>
        <v>0.149249953369171</v>
      </c>
      <c r="V191" s="33" t="n">
        <f aca="false">($H191*V$1)/$K191</f>
        <v>0.163288100948675</v>
      </c>
      <c r="W191" s="33" t="n">
        <f aca="false">($H191*W$1)/$K191</f>
        <v>0.167823881530582</v>
      </c>
      <c r="X191" s="33" t="n">
        <f aca="false">($H191*X$1)/$K191</f>
        <v>0.17235966211249</v>
      </c>
      <c r="Y191" s="33" t="n">
        <f aca="false">($H191*Y$1)/$K191</f>
        <v>0.176895442694398</v>
      </c>
      <c r="Z191" s="34" t="n">
        <f aca="false">($I191*Z$1)/$K191</f>
        <v>0.192291071273558</v>
      </c>
      <c r="AA191" s="34" t="n">
        <f aca="false">($I191*AA$1)/$K191</f>
        <v>0.197098348055397</v>
      </c>
      <c r="AB191" s="34" t="n">
        <f aca="false">($I191*AB$1)/$K191</f>
        <v>0.201905624837236</v>
      </c>
      <c r="AC191" s="34" t="n">
        <f aca="false">($I191*AC$1)/$K191</f>
        <v>0.206712901619075</v>
      </c>
      <c r="AD191" s="35" t="n">
        <f aca="false">($J191*AD$1)/$K191</f>
        <v>0.189921701038172</v>
      </c>
      <c r="AE191" s="35" t="n">
        <f aca="false">($J191*AE$1)/$K191</f>
        <v>0.194238103334494</v>
      </c>
      <c r="AF191" s="35" t="n">
        <f aca="false">($J191*AF$1)/$K191</f>
        <v>0.198554505630816</v>
      </c>
      <c r="AG191" s="35" t="n">
        <f aca="false">($J191*AG$1)/$K191</f>
        <v>0.202870907927138</v>
      </c>
      <c r="AH191" s="35" t="n">
        <f aca="false">($J191*AH$1)/$K191</f>
        <v>0.20718731022346</v>
      </c>
      <c r="AI191" s="35" t="n">
        <f aca="false">($J191*AI$1)/$K191</f>
        <v>0.211503712519782</v>
      </c>
      <c r="AJ191" s="35" t="n">
        <f aca="false">($J191*AJ$1)/$K191</f>
        <v>0.215820114816105</v>
      </c>
      <c r="AK191" s="35" t="n">
        <f aca="false">($J191*AK$1)/$K191</f>
        <v>0.220136517112427</v>
      </c>
      <c r="AL191" s="35" t="n">
        <f aca="false">($J191*AL$1)/$K191</f>
        <v>0.224452919408749</v>
      </c>
    </row>
    <row r="192" customFormat="false" ht="15" hidden="false" customHeight="false" outlineLevel="0" collapsed="false">
      <c r="A192" s="0" t="s">
        <v>242</v>
      </c>
      <c r="B192" s="48" t="s">
        <v>256</v>
      </c>
      <c r="C192" s="48" t="s">
        <v>257</v>
      </c>
      <c r="D192" s="45" t="n">
        <v>17</v>
      </c>
      <c r="E192" s="45"/>
      <c r="F192" s="44" t="n">
        <v>0.22742850037207</v>
      </c>
      <c r="G192" s="44" t="n">
        <v>0.22742850037207</v>
      </c>
      <c r="H192" s="44" t="n">
        <v>0.24190829770174</v>
      </c>
      <c r="I192" s="44" t="n">
        <v>0.256388095031411</v>
      </c>
      <c r="J192" s="44" t="n">
        <v>0.230208122470512</v>
      </c>
      <c r="K192" s="31" t="n">
        <v>2</v>
      </c>
      <c r="L192" s="32"/>
      <c r="M192" s="32"/>
      <c r="N192" s="32"/>
      <c r="O192" s="32"/>
      <c r="P192" s="32"/>
      <c r="Q192" s="32"/>
      <c r="R192" s="32" t="n">
        <f aca="false">($G192*R$1)/$K192</f>
        <v>0.136457100223242</v>
      </c>
      <c r="S192" s="32" t="n">
        <f aca="false">($G192*S$1)/$K192</f>
        <v>0.140721384605218</v>
      </c>
      <c r="T192" s="32" t="n">
        <f aca="false">($G192*T$1)/$K192</f>
        <v>0.144985668987195</v>
      </c>
      <c r="U192" s="32" t="n">
        <f aca="false">($G192*U$1)/$K192</f>
        <v>0.149249953369171</v>
      </c>
      <c r="V192" s="33" t="n">
        <f aca="false">($H192*V$1)/$K192</f>
        <v>0.163288100948675</v>
      </c>
      <c r="W192" s="33" t="n">
        <f aca="false">($H192*W$1)/$K192</f>
        <v>0.167823881530582</v>
      </c>
      <c r="X192" s="33" t="n">
        <f aca="false">($H192*X$1)/$K192</f>
        <v>0.17235966211249</v>
      </c>
      <c r="Y192" s="33" t="n">
        <f aca="false">($H192*Y$1)/$K192</f>
        <v>0.176895442694398</v>
      </c>
      <c r="Z192" s="34" t="n">
        <f aca="false">($I192*Z$1)/$K192</f>
        <v>0.192291071273558</v>
      </c>
      <c r="AA192" s="34" t="n">
        <f aca="false">($I192*AA$1)/$K192</f>
        <v>0.197098348055397</v>
      </c>
      <c r="AB192" s="34" t="n">
        <f aca="false">($I192*AB$1)/$K192</f>
        <v>0.201905624837236</v>
      </c>
      <c r="AC192" s="34" t="n">
        <f aca="false">($I192*AC$1)/$K192</f>
        <v>0.206712901619075</v>
      </c>
      <c r="AD192" s="35" t="n">
        <f aca="false">($J192*AD$1)/$K192</f>
        <v>0.189921701038172</v>
      </c>
      <c r="AE192" s="35" t="n">
        <f aca="false">($J192*AE$1)/$K192</f>
        <v>0.194238103334494</v>
      </c>
      <c r="AF192" s="35" t="n">
        <f aca="false">($J192*AF$1)/$K192</f>
        <v>0.198554505630816</v>
      </c>
      <c r="AG192" s="35" t="n">
        <f aca="false">($J192*AG$1)/$K192</f>
        <v>0.202870907927138</v>
      </c>
      <c r="AH192" s="35" t="n">
        <f aca="false">($J192*AH$1)/$K192</f>
        <v>0.20718731022346</v>
      </c>
      <c r="AI192" s="35" t="n">
        <f aca="false">($J192*AI$1)/$K192</f>
        <v>0.211503712519782</v>
      </c>
      <c r="AJ192" s="35" t="n">
        <f aca="false">($J192*AJ$1)/$K192</f>
        <v>0.215820114816105</v>
      </c>
      <c r="AK192" s="35" t="n">
        <f aca="false">($J192*AK$1)/$K192</f>
        <v>0.220136517112427</v>
      </c>
      <c r="AL192" s="35" t="n">
        <f aca="false">($J192*AL$1)/$K192</f>
        <v>0.224452919408749</v>
      </c>
    </row>
    <row r="193" customFormat="false" ht="15" hidden="false" customHeight="false" outlineLevel="0" collapsed="false">
      <c r="A193" s="0" t="s">
        <v>242</v>
      </c>
      <c r="B193" s="48" t="s">
        <v>258</v>
      </c>
      <c r="C193" s="48" t="s">
        <v>259</v>
      </c>
      <c r="D193" s="45" t="n">
        <v>17</v>
      </c>
      <c r="E193" s="45"/>
      <c r="F193" s="44" t="n">
        <v>0.22742850037207</v>
      </c>
      <c r="G193" s="44" t="n">
        <v>0.22742850037207</v>
      </c>
      <c r="H193" s="44" t="n">
        <v>0.24190829770174</v>
      </c>
      <c r="I193" s="44" t="n">
        <v>0.256388095031411</v>
      </c>
      <c r="J193" s="44" t="n">
        <v>0.230208122470512</v>
      </c>
      <c r="K193" s="31" t="n">
        <v>2</v>
      </c>
      <c r="L193" s="32"/>
      <c r="M193" s="32"/>
      <c r="N193" s="32"/>
      <c r="O193" s="32"/>
      <c r="P193" s="32"/>
      <c r="Q193" s="32"/>
      <c r="R193" s="32" t="n">
        <f aca="false">($G193*R$1)/$K193</f>
        <v>0.136457100223242</v>
      </c>
      <c r="S193" s="32" t="n">
        <f aca="false">($G193*S$1)/$K193</f>
        <v>0.140721384605218</v>
      </c>
      <c r="T193" s="32" t="n">
        <f aca="false">($G193*T$1)/$K193</f>
        <v>0.144985668987195</v>
      </c>
      <c r="U193" s="32" t="n">
        <f aca="false">($G193*U$1)/$K193</f>
        <v>0.149249953369171</v>
      </c>
      <c r="V193" s="33" t="n">
        <f aca="false">($H193*V$1)/$K193</f>
        <v>0.163288100948675</v>
      </c>
      <c r="W193" s="33" t="n">
        <f aca="false">($H193*W$1)/$K193</f>
        <v>0.167823881530582</v>
      </c>
      <c r="X193" s="33" t="n">
        <f aca="false">($H193*X$1)/$K193</f>
        <v>0.17235966211249</v>
      </c>
      <c r="Y193" s="33" t="n">
        <f aca="false">($H193*Y$1)/$K193</f>
        <v>0.176895442694398</v>
      </c>
      <c r="Z193" s="34" t="n">
        <f aca="false">($I193*Z$1)/$K193</f>
        <v>0.192291071273558</v>
      </c>
      <c r="AA193" s="34" t="n">
        <f aca="false">($I193*AA$1)/$K193</f>
        <v>0.197098348055397</v>
      </c>
      <c r="AB193" s="34" t="n">
        <f aca="false">($I193*AB$1)/$K193</f>
        <v>0.201905624837236</v>
      </c>
      <c r="AC193" s="34" t="n">
        <f aca="false">($I193*AC$1)/$K193</f>
        <v>0.206712901619075</v>
      </c>
      <c r="AD193" s="35" t="n">
        <f aca="false">($J193*AD$1)/$K193</f>
        <v>0.189921701038172</v>
      </c>
      <c r="AE193" s="35" t="n">
        <f aca="false">($J193*AE$1)/$K193</f>
        <v>0.194238103334494</v>
      </c>
      <c r="AF193" s="35" t="n">
        <f aca="false">($J193*AF$1)/$K193</f>
        <v>0.198554505630816</v>
      </c>
      <c r="AG193" s="35" t="n">
        <f aca="false">($J193*AG$1)/$K193</f>
        <v>0.202870907927138</v>
      </c>
      <c r="AH193" s="35" t="n">
        <f aca="false">($J193*AH$1)/$K193</f>
        <v>0.20718731022346</v>
      </c>
      <c r="AI193" s="35" t="n">
        <f aca="false">($J193*AI$1)/$K193</f>
        <v>0.211503712519782</v>
      </c>
      <c r="AJ193" s="35" t="n">
        <f aca="false">($J193*AJ$1)/$K193</f>
        <v>0.215820114816105</v>
      </c>
      <c r="AK193" s="35" t="n">
        <f aca="false">($J193*AK$1)/$K193</f>
        <v>0.220136517112427</v>
      </c>
      <c r="AL193" s="35" t="n">
        <f aca="false">($J193*AL$1)/$K193</f>
        <v>0.224452919408749</v>
      </c>
    </row>
    <row r="194" customFormat="false" ht="15" hidden="false" customHeight="false" outlineLevel="0" collapsed="false">
      <c r="A194" s="0" t="s">
        <v>242</v>
      </c>
      <c r="B194" s="48" t="s">
        <v>260</v>
      </c>
      <c r="C194" s="48" t="s">
        <v>259</v>
      </c>
      <c r="D194" s="45" t="n">
        <v>17</v>
      </c>
      <c r="E194" s="45"/>
      <c r="F194" s="44" t="n">
        <v>0.22742850037207</v>
      </c>
      <c r="G194" s="44" t="n">
        <v>0.22742850037207</v>
      </c>
      <c r="H194" s="44" t="n">
        <v>0.24190829770174</v>
      </c>
      <c r="I194" s="44" t="n">
        <v>0.256388095031411</v>
      </c>
      <c r="J194" s="44" t="n">
        <v>0.230208122470512</v>
      </c>
      <c r="K194" s="31" t="n">
        <v>2</v>
      </c>
      <c r="L194" s="32"/>
      <c r="M194" s="32"/>
      <c r="N194" s="32"/>
      <c r="O194" s="32"/>
      <c r="P194" s="32"/>
      <c r="Q194" s="32"/>
      <c r="R194" s="32" t="n">
        <f aca="false">($G194*R$1)/$K194</f>
        <v>0.136457100223242</v>
      </c>
      <c r="S194" s="32" t="n">
        <f aca="false">($G194*S$1)/$K194</f>
        <v>0.140721384605218</v>
      </c>
      <c r="T194" s="32" t="n">
        <f aca="false">($G194*T$1)/$K194</f>
        <v>0.144985668987195</v>
      </c>
      <c r="U194" s="32" t="n">
        <f aca="false">($G194*U$1)/$K194</f>
        <v>0.149249953369171</v>
      </c>
      <c r="V194" s="33" t="n">
        <f aca="false">($H194*V$1)/$K194</f>
        <v>0.163288100948675</v>
      </c>
      <c r="W194" s="33" t="n">
        <f aca="false">($H194*W$1)/$K194</f>
        <v>0.167823881530582</v>
      </c>
      <c r="X194" s="33" t="n">
        <f aca="false">($H194*X$1)/$K194</f>
        <v>0.17235966211249</v>
      </c>
      <c r="Y194" s="33" t="n">
        <f aca="false">($H194*Y$1)/$K194</f>
        <v>0.176895442694398</v>
      </c>
      <c r="Z194" s="34" t="n">
        <f aca="false">($I194*Z$1)/$K194</f>
        <v>0.192291071273558</v>
      </c>
      <c r="AA194" s="34" t="n">
        <f aca="false">($I194*AA$1)/$K194</f>
        <v>0.197098348055397</v>
      </c>
      <c r="AB194" s="34" t="n">
        <f aca="false">($I194*AB$1)/$K194</f>
        <v>0.201905624837236</v>
      </c>
      <c r="AC194" s="34" t="n">
        <f aca="false">($I194*AC$1)/$K194</f>
        <v>0.206712901619075</v>
      </c>
      <c r="AD194" s="35" t="n">
        <f aca="false">($J194*AD$1)/$K194</f>
        <v>0.189921701038172</v>
      </c>
      <c r="AE194" s="35" t="n">
        <f aca="false">($J194*AE$1)/$K194</f>
        <v>0.194238103334494</v>
      </c>
      <c r="AF194" s="35" t="n">
        <f aca="false">($J194*AF$1)/$K194</f>
        <v>0.198554505630816</v>
      </c>
      <c r="AG194" s="35" t="n">
        <f aca="false">($J194*AG$1)/$K194</f>
        <v>0.202870907927138</v>
      </c>
      <c r="AH194" s="35" t="n">
        <f aca="false">($J194*AH$1)/$K194</f>
        <v>0.20718731022346</v>
      </c>
      <c r="AI194" s="35" t="n">
        <f aca="false">($J194*AI$1)/$K194</f>
        <v>0.211503712519782</v>
      </c>
      <c r="AJ194" s="35" t="n">
        <f aca="false">($J194*AJ$1)/$K194</f>
        <v>0.215820114816105</v>
      </c>
      <c r="AK194" s="35" t="n">
        <f aca="false">($J194*AK$1)/$K194</f>
        <v>0.220136517112427</v>
      </c>
      <c r="AL194" s="35" t="n">
        <f aca="false">($J194*AL$1)/$K194</f>
        <v>0.224452919408749</v>
      </c>
    </row>
    <row r="195" customFormat="false" ht="15" hidden="false" customHeight="false" outlineLevel="0" collapsed="false">
      <c r="A195" s="0" t="s">
        <v>242</v>
      </c>
      <c r="B195" s="48" t="s">
        <v>261</v>
      </c>
      <c r="C195" s="48" t="s">
        <v>259</v>
      </c>
      <c r="D195" s="45" t="n">
        <v>17</v>
      </c>
      <c r="E195" s="45"/>
      <c r="F195" s="44" t="n">
        <v>0.22742850037207</v>
      </c>
      <c r="G195" s="44" t="n">
        <v>0.22742850037207</v>
      </c>
      <c r="H195" s="44" t="n">
        <v>0.24190829770174</v>
      </c>
      <c r="I195" s="44" t="n">
        <v>0.256388095031411</v>
      </c>
      <c r="J195" s="44" t="n">
        <v>0.230208122470512</v>
      </c>
      <c r="K195" s="31" t="n">
        <v>2</v>
      </c>
      <c r="L195" s="32"/>
      <c r="M195" s="32"/>
      <c r="N195" s="32"/>
      <c r="O195" s="32"/>
      <c r="P195" s="32"/>
      <c r="Q195" s="32"/>
      <c r="R195" s="32" t="n">
        <f aca="false">($G195*R$1)/$K195</f>
        <v>0.136457100223242</v>
      </c>
      <c r="S195" s="32" t="n">
        <f aca="false">($G195*S$1)/$K195</f>
        <v>0.140721384605218</v>
      </c>
      <c r="T195" s="32" t="n">
        <f aca="false">($G195*T$1)/$K195</f>
        <v>0.144985668987195</v>
      </c>
      <c r="U195" s="32" t="n">
        <f aca="false">($G195*U$1)/$K195</f>
        <v>0.149249953369171</v>
      </c>
      <c r="V195" s="33" t="n">
        <f aca="false">($H195*V$1)/$K195</f>
        <v>0.163288100948675</v>
      </c>
      <c r="W195" s="33" t="n">
        <f aca="false">($H195*W$1)/$K195</f>
        <v>0.167823881530582</v>
      </c>
      <c r="X195" s="33" t="n">
        <f aca="false">($H195*X$1)/$K195</f>
        <v>0.17235966211249</v>
      </c>
      <c r="Y195" s="33" t="n">
        <f aca="false">($H195*Y$1)/$K195</f>
        <v>0.176895442694398</v>
      </c>
      <c r="Z195" s="34" t="n">
        <f aca="false">($I195*Z$1)/$K195</f>
        <v>0.192291071273558</v>
      </c>
      <c r="AA195" s="34" t="n">
        <f aca="false">($I195*AA$1)/$K195</f>
        <v>0.197098348055397</v>
      </c>
      <c r="AB195" s="34" t="n">
        <f aca="false">($I195*AB$1)/$K195</f>
        <v>0.201905624837236</v>
      </c>
      <c r="AC195" s="34" t="n">
        <f aca="false">($I195*AC$1)/$K195</f>
        <v>0.206712901619075</v>
      </c>
      <c r="AD195" s="35" t="n">
        <f aca="false">($J195*AD$1)/$K195</f>
        <v>0.189921701038172</v>
      </c>
      <c r="AE195" s="35" t="n">
        <f aca="false">($J195*AE$1)/$K195</f>
        <v>0.194238103334494</v>
      </c>
      <c r="AF195" s="35" t="n">
        <f aca="false">($J195*AF$1)/$K195</f>
        <v>0.198554505630816</v>
      </c>
      <c r="AG195" s="35" t="n">
        <f aca="false">($J195*AG$1)/$K195</f>
        <v>0.202870907927138</v>
      </c>
      <c r="AH195" s="35" t="n">
        <f aca="false">($J195*AH$1)/$K195</f>
        <v>0.20718731022346</v>
      </c>
      <c r="AI195" s="35" t="n">
        <f aca="false">($J195*AI$1)/$K195</f>
        <v>0.211503712519782</v>
      </c>
      <c r="AJ195" s="35" t="n">
        <f aca="false">($J195*AJ$1)/$K195</f>
        <v>0.215820114816105</v>
      </c>
      <c r="AK195" s="35" t="n">
        <f aca="false">($J195*AK$1)/$K195</f>
        <v>0.220136517112427</v>
      </c>
      <c r="AL195" s="35" t="n">
        <f aca="false">($J195*AL$1)/$K195</f>
        <v>0.224452919408749</v>
      </c>
    </row>
    <row r="196" customFormat="false" ht="15" hidden="false" customHeight="false" outlineLevel="0" collapsed="false">
      <c r="A196" s="0" t="s">
        <v>242</v>
      </c>
      <c r="B196" s="48" t="s">
        <v>262</v>
      </c>
      <c r="C196" s="48" t="s">
        <v>259</v>
      </c>
      <c r="D196" s="45" t="n">
        <v>17</v>
      </c>
      <c r="E196" s="45"/>
      <c r="F196" s="44" t="n">
        <v>0.22742850037207</v>
      </c>
      <c r="G196" s="44" t="n">
        <v>0.22742850037207</v>
      </c>
      <c r="H196" s="44" t="n">
        <v>0.24190829770174</v>
      </c>
      <c r="I196" s="44" t="n">
        <v>0.256388095031411</v>
      </c>
      <c r="J196" s="44" t="n">
        <v>0.230208122470512</v>
      </c>
      <c r="K196" s="31" t="n">
        <v>2</v>
      </c>
      <c r="L196" s="32"/>
      <c r="M196" s="32"/>
      <c r="N196" s="32"/>
      <c r="O196" s="32"/>
      <c r="P196" s="32"/>
      <c r="Q196" s="32"/>
      <c r="R196" s="32" t="n">
        <f aca="false">($G196*R$1)/$K196</f>
        <v>0.136457100223242</v>
      </c>
      <c r="S196" s="32" t="n">
        <f aca="false">($G196*S$1)/$K196</f>
        <v>0.140721384605218</v>
      </c>
      <c r="T196" s="32" t="n">
        <f aca="false">($G196*T$1)/$K196</f>
        <v>0.144985668987195</v>
      </c>
      <c r="U196" s="32" t="n">
        <f aca="false">($G196*U$1)/$K196</f>
        <v>0.149249953369171</v>
      </c>
      <c r="V196" s="33" t="n">
        <f aca="false">($H196*V$1)/$K196</f>
        <v>0.163288100948675</v>
      </c>
      <c r="W196" s="33" t="n">
        <f aca="false">($H196*W$1)/$K196</f>
        <v>0.167823881530582</v>
      </c>
      <c r="X196" s="33" t="n">
        <f aca="false">($H196*X$1)/$K196</f>
        <v>0.17235966211249</v>
      </c>
      <c r="Y196" s="33" t="n">
        <f aca="false">($H196*Y$1)/$K196</f>
        <v>0.176895442694398</v>
      </c>
      <c r="Z196" s="34" t="n">
        <f aca="false">($I196*Z$1)/$K196</f>
        <v>0.192291071273558</v>
      </c>
      <c r="AA196" s="34" t="n">
        <f aca="false">($I196*AA$1)/$K196</f>
        <v>0.197098348055397</v>
      </c>
      <c r="AB196" s="34" t="n">
        <f aca="false">($I196*AB$1)/$K196</f>
        <v>0.201905624837236</v>
      </c>
      <c r="AC196" s="34" t="n">
        <f aca="false">($I196*AC$1)/$K196</f>
        <v>0.206712901619075</v>
      </c>
      <c r="AD196" s="35" t="n">
        <f aca="false">($J196*AD$1)/$K196</f>
        <v>0.189921701038172</v>
      </c>
      <c r="AE196" s="35" t="n">
        <f aca="false">($J196*AE$1)/$K196</f>
        <v>0.194238103334494</v>
      </c>
      <c r="AF196" s="35" t="n">
        <f aca="false">($J196*AF$1)/$K196</f>
        <v>0.198554505630816</v>
      </c>
      <c r="AG196" s="35" t="n">
        <f aca="false">($J196*AG$1)/$K196</f>
        <v>0.202870907927138</v>
      </c>
      <c r="AH196" s="35" t="n">
        <f aca="false">($J196*AH$1)/$K196</f>
        <v>0.20718731022346</v>
      </c>
      <c r="AI196" s="35" t="n">
        <f aca="false">($J196*AI$1)/$K196</f>
        <v>0.211503712519782</v>
      </c>
      <c r="AJ196" s="35" t="n">
        <f aca="false">($J196*AJ$1)/$K196</f>
        <v>0.215820114816105</v>
      </c>
      <c r="AK196" s="35" t="n">
        <f aca="false">($J196*AK$1)/$K196</f>
        <v>0.220136517112427</v>
      </c>
      <c r="AL196" s="35" t="n">
        <f aca="false">($J196*AL$1)/$K196</f>
        <v>0.224452919408749</v>
      </c>
    </row>
    <row r="197" customFormat="false" ht="15" hidden="false" customHeight="false" outlineLevel="0" collapsed="false">
      <c r="A197" s="0" t="s">
        <v>242</v>
      </c>
      <c r="B197" s="48" t="s">
        <v>263</v>
      </c>
      <c r="C197" s="48" t="s">
        <v>259</v>
      </c>
      <c r="D197" s="45" t="n">
        <v>17</v>
      </c>
      <c r="E197" s="45"/>
      <c r="F197" s="44" t="n">
        <v>0.22742850037207</v>
      </c>
      <c r="G197" s="44" t="n">
        <v>0.22742850037207</v>
      </c>
      <c r="H197" s="44" t="n">
        <v>0.24190829770174</v>
      </c>
      <c r="I197" s="44" t="n">
        <v>0.256388095031411</v>
      </c>
      <c r="J197" s="44" t="n">
        <v>0.230208122470512</v>
      </c>
      <c r="K197" s="31" t="n">
        <v>2</v>
      </c>
      <c r="L197" s="32"/>
      <c r="M197" s="32"/>
      <c r="N197" s="32"/>
      <c r="O197" s="32"/>
      <c r="P197" s="32"/>
      <c r="Q197" s="32"/>
      <c r="R197" s="32" t="n">
        <f aca="false">($G197*R$1)/$K197</f>
        <v>0.136457100223242</v>
      </c>
      <c r="S197" s="32" t="n">
        <f aca="false">($G197*S$1)/$K197</f>
        <v>0.140721384605218</v>
      </c>
      <c r="T197" s="32" t="n">
        <f aca="false">($G197*T$1)/$K197</f>
        <v>0.144985668987195</v>
      </c>
      <c r="U197" s="32" t="n">
        <f aca="false">($G197*U$1)/$K197</f>
        <v>0.149249953369171</v>
      </c>
      <c r="V197" s="33" t="n">
        <f aca="false">($H197*V$1)/$K197</f>
        <v>0.163288100948675</v>
      </c>
      <c r="W197" s="33" t="n">
        <f aca="false">($H197*W$1)/$K197</f>
        <v>0.167823881530582</v>
      </c>
      <c r="X197" s="33" t="n">
        <f aca="false">($H197*X$1)/$K197</f>
        <v>0.17235966211249</v>
      </c>
      <c r="Y197" s="33" t="n">
        <f aca="false">($H197*Y$1)/$K197</f>
        <v>0.176895442694398</v>
      </c>
      <c r="Z197" s="34" t="n">
        <f aca="false">($I197*Z$1)/$K197</f>
        <v>0.192291071273558</v>
      </c>
      <c r="AA197" s="34" t="n">
        <f aca="false">($I197*AA$1)/$K197</f>
        <v>0.197098348055397</v>
      </c>
      <c r="AB197" s="34" t="n">
        <f aca="false">($I197*AB$1)/$K197</f>
        <v>0.201905624837236</v>
      </c>
      <c r="AC197" s="34" t="n">
        <f aca="false">($I197*AC$1)/$K197</f>
        <v>0.206712901619075</v>
      </c>
      <c r="AD197" s="35" t="n">
        <f aca="false">($J197*AD$1)/$K197</f>
        <v>0.189921701038172</v>
      </c>
      <c r="AE197" s="35" t="n">
        <f aca="false">($J197*AE$1)/$K197</f>
        <v>0.194238103334494</v>
      </c>
      <c r="AF197" s="35" t="n">
        <f aca="false">($J197*AF$1)/$K197</f>
        <v>0.198554505630816</v>
      </c>
      <c r="AG197" s="35" t="n">
        <f aca="false">($J197*AG$1)/$K197</f>
        <v>0.202870907927138</v>
      </c>
      <c r="AH197" s="35" t="n">
        <f aca="false">($J197*AH$1)/$K197</f>
        <v>0.20718731022346</v>
      </c>
      <c r="AI197" s="35" t="n">
        <f aca="false">($J197*AI$1)/$K197</f>
        <v>0.211503712519782</v>
      </c>
      <c r="AJ197" s="35" t="n">
        <f aca="false">($J197*AJ$1)/$K197</f>
        <v>0.215820114816105</v>
      </c>
      <c r="AK197" s="35" t="n">
        <f aca="false">($J197*AK$1)/$K197</f>
        <v>0.220136517112427</v>
      </c>
      <c r="AL197" s="35" t="n">
        <f aca="false">($J197*AL$1)/$K197</f>
        <v>0.224452919408749</v>
      </c>
    </row>
    <row r="198" customFormat="false" ht="15" hidden="false" customHeight="false" outlineLevel="0" collapsed="false">
      <c r="A198" s="0" t="s">
        <v>242</v>
      </c>
      <c r="B198" s="48" t="s">
        <v>264</v>
      </c>
      <c r="C198" s="48" t="s">
        <v>259</v>
      </c>
      <c r="D198" s="45" t="n">
        <v>17</v>
      </c>
      <c r="E198" s="45"/>
      <c r="F198" s="44" t="n">
        <v>0.22742850037207</v>
      </c>
      <c r="G198" s="44" t="n">
        <v>0.22742850037207</v>
      </c>
      <c r="H198" s="44" t="n">
        <v>0.24190829770174</v>
      </c>
      <c r="I198" s="44" t="n">
        <v>0.256388095031411</v>
      </c>
      <c r="J198" s="44" t="n">
        <v>0.230208122470512</v>
      </c>
      <c r="K198" s="31" t="n">
        <v>2</v>
      </c>
      <c r="L198" s="32"/>
      <c r="M198" s="32"/>
      <c r="N198" s="32"/>
      <c r="O198" s="32"/>
      <c r="P198" s="32"/>
      <c r="Q198" s="32"/>
      <c r="R198" s="32" t="n">
        <f aca="false">($G198*R$1)/$K198</f>
        <v>0.136457100223242</v>
      </c>
      <c r="S198" s="32" t="n">
        <f aca="false">($G198*S$1)/$K198</f>
        <v>0.140721384605218</v>
      </c>
      <c r="T198" s="32" t="n">
        <f aca="false">($G198*T$1)/$K198</f>
        <v>0.144985668987195</v>
      </c>
      <c r="U198" s="32" t="n">
        <f aca="false">($G198*U$1)/$K198</f>
        <v>0.149249953369171</v>
      </c>
      <c r="V198" s="33" t="n">
        <f aca="false">($H198*V$1)/$K198</f>
        <v>0.163288100948675</v>
      </c>
      <c r="W198" s="33" t="n">
        <f aca="false">($H198*W$1)/$K198</f>
        <v>0.167823881530582</v>
      </c>
      <c r="X198" s="33" t="n">
        <f aca="false">($H198*X$1)/$K198</f>
        <v>0.17235966211249</v>
      </c>
      <c r="Y198" s="33" t="n">
        <f aca="false">($H198*Y$1)/$K198</f>
        <v>0.176895442694398</v>
      </c>
      <c r="Z198" s="34" t="n">
        <f aca="false">($I198*Z$1)/$K198</f>
        <v>0.192291071273558</v>
      </c>
      <c r="AA198" s="34" t="n">
        <f aca="false">($I198*AA$1)/$K198</f>
        <v>0.197098348055397</v>
      </c>
      <c r="AB198" s="34" t="n">
        <f aca="false">($I198*AB$1)/$K198</f>
        <v>0.201905624837236</v>
      </c>
      <c r="AC198" s="34" t="n">
        <f aca="false">($I198*AC$1)/$K198</f>
        <v>0.206712901619075</v>
      </c>
      <c r="AD198" s="35" t="n">
        <f aca="false">($J198*AD$1)/$K198</f>
        <v>0.189921701038172</v>
      </c>
      <c r="AE198" s="35" t="n">
        <f aca="false">($J198*AE$1)/$K198</f>
        <v>0.194238103334494</v>
      </c>
      <c r="AF198" s="35" t="n">
        <f aca="false">($J198*AF$1)/$K198</f>
        <v>0.198554505630816</v>
      </c>
      <c r="AG198" s="35" t="n">
        <f aca="false">($J198*AG$1)/$K198</f>
        <v>0.202870907927138</v>
      </c>
      <c r="AH198" s="35" t="n">
        <f aca="false">($J198*AH$1)/$K198</f>
        <v>0.20718731022346</v>
      </c>
      <c r="AI198" s="35" t="n">
        <f aca="false">($J198*AI$1)/$K198</f>
        <v>0.211503712519782</v>
      </c>
      <c r="AJ198" s="35" t="n">
        <f aca="false">($J198*AJ$1)/$K198</f>
        <v>0.215820114816105</v>
      </c>
      <c r="AK198" s="35" t="n">
        <f aca="false">($J198*AK$1)/$K198</f>
        <v>0.220136517112427</v>
      </c>
      <c r="AL198" s="35" t="n">
        <f aca="false">($J198*AL$1)/$K198</f>
        <v>0.224452919408749</v>
      </c>
    </row>
    <row r="199" customFormat="false" ht="15" hidden="false" customHeight="false" outlineLevel="0" collapsed="false">
      <c r="A199" s="0" t="s">
        <v>242</v>
      </c>
      <c r="B199" s="48" t="s">
        <v>265</v>
      </c>
      <c r="C199" s="48" t="s">
        <v>266</v>
      </c>
      <c r="D199" s="45" t="n">
        <v>17</v>
      </c>
      <c r="E199" s="45"/>
      <c r="F199" s="44" t="n">
        <v>0.22742850037207</v>
      </c>
      <c r="G199" s="44" t="n">
        <v>0.22742850037207</v>
      </c>
      <c r="H199" s="44" t="n">
        <v>0.24190829770174</v>
      </c>
      <c r="I199" s="44" t="n">
        <v>0.256388095031411</v>
      </c>
      <c r="J199" s="44" t="n">
        <v>0.230208122470512</v>
      </c>
      <c r="K199" s="31" t="n">
        <v>2</v>
      </c>
      <c r="L199" s="32"/>
      <c r="M199" s="32"/>
      <c r="N199" s="32"/>
      <c r="O199" s="32"/>
      <c r="P199" s="32"/>
      <c r="Q199" s="32"/>
      <c r="R199" s="32" t="n">
        <f aca="false">($G199*R$1)/$K199</f>
        <v>0.136457100223242</v>
      </c>
      <c r="S199" s="32" t="n">
        <f aca="false">($G199*S$1)/$K199</f>
        <v>0.140721384605218</v>
      </c>
      <c r="T199" s="32" t="n">
        <f aca="false">($G199*T$1)/$K199</f>
        <v>0.144985668987195</v>
      </c>
      <c r="U199" s="32" t="n">
        <f aca="false">($G199*U$1)/$K199</f>
        <v>0.149249953369171</v>
      </c>
      <c r="V199" s="33" t="n">
        <f aca="false">($H199*V$1)/$K199</f>
        <v>0.163288100948675</v>
      </c>
      <c r="W199" s="33" t="n">
        <f aca="false">($H199*W$1)/$K199</f>
        <v>0.167823881530582</v>
      </c>
      <c r="X199" s="33" t="n">
        <f aca="false">($H199*X$1)/$K199</f>
        <v>0.17235966211249</v>
      </c>
      <c r="Y199" s="33" t="n">
        <f aca="false">($H199*Y$1)/$K199</f>
        <v>0.176895442694398</v>
      </c>
      <c r="Z199" s="34" t="n">
        <f aca="false">($I199*Z$1)/$K199</f>
        <v>0.192291071273558</v>
      </c>
      <c r="AA199" s="34" t="n">
        <f aca="false">($I199*AA$1)/$K199</f>
        <v>0.197098348055397</v>
      </c>
      <c r="AB199" s="34" t="n">
        <f aca="false">($I199*AB$1)/$K199</f>
        <v>0.201905624837236</v>
      </c>
      <c r="AC199" s="34" t="n">
        <f aca="false">($I199*AC$1)/$K199</f>
        <v>0.206712901619075</v>
      </c>
      <c r="AD199" s="35" t="n">
        <f aca="false">($J199*AD$1)/$K199</f>
        <v>0.189921701038172</v>
      </c>
      <c r="AE199" s="35" t="n">
        <f aca="false">($J199*AE$1)/$K199</f>
        <v>0.194238103334494</v>
      </c>
      <c r="AF199" s="35" t="n">
        <f aca="false">($J199*AF$1)/$K199</f>
        <v>0.198554505630816</v>
      </c>
      <c r="AG199" s="35" t="n">
        <f aca="false">($J199*AG$1)/$K199</f>
        <v>0.202870907927138</v>
      </c>
      <c r="AH199" s="35" t="n">
        <f aca="false">($J199*AH$1)/$K199</f>
        <v>0.20718731022346</v>
      </c>
      <c r="AI199" s="35" t="n">
        <f aca="false">($J199*AI$1)/$K199</f>
        <v>0.211503712519782</v>
      </c>
      <c r="AJ199" s="35" t="n">
        <f aca="false">($J199*AJ$1)/$K199</f>
        <v>0.215820114816105</v>
      </c>
      <c r="AK199" s="35" t="n">
        <f aca="false">($J199*AK$1)/$K199</f>
        <v>0.220136517112427</v>
      </c>
      <c r="AL199" s="35" t="n">
        <f aca="false">($J199*AL$1)/$K199</f>
        <v>0.224452919408749</v>
      </c>
    </row>
    <row r="200" customFormat="false" ht="15" hidden="false" customHeight="false" outlineLevel="0" collapsed="false">
      <c r="A200" s="0" t="s">
        <v>242</v>
      </c>
      <c r="B200" s="48" t="s">
        <v>267</v>
      </c>
      <c r="C200" s="48" t="s">
        <v>268</v>
      </c>
      <c r="D200" s="45" t="n">
        <v>17</v>
      </c>
      <c r="E200" s="45"/>
      <c r="F200" s="44" t="n">
        <v>0.22742850037207</v>
      </c>
      <c r="G200" s="44" t="n">
        <v>0.22742850037207</v>
      </c>
      <c r="H200" s="44" t="n">
        <v>0.24190829770174</v>
      </c>
      <c r="I200" s="44" t="n">
        <v>0.256388095031411</v>
      </c>
      <c r="J200" s="44" t="n">
        <v>0.230208122470512</v>
      </c>
      <c r="K200" s="31" t="n">
        <v>2</v>
      </c>
      <c r="L200" s="32"/>
      <c r="M200" s="32"/>
      <c r="N200" s="32"/>
      <c r="O200" s="32"/>
      <c r="P200" s="32"/>
      <c r="Q200" s="32"/>
      <c r="R200" s="32" t="n">
        <f aca="false">($G200*R$1)/$K200</f>
        <v>0.136457100223242</v>
      </c>
      <c r="S200" s="32" t="n">
        <f aca="false">($G200*S$1)/$K200</f>
        <v>0.140721384605218</v>
      </c>
      <c r="T200" s="32" t="n">
        <f aca="false">($G200*T$1)/$K200</f>
        <v>0.144985668987195</v>
      </c>
      <c r="U200" s="32" t="n">
        <f aca="false">($G200*U$1)/$K200</f>
        <v>0.149249953369171</v>
      </c>
      <c r="V200" s="33" t="n">
        <f aca="false">($H200*V$1)/$K200</f>
        <v>0.163288100948675</v>
      </c>
      <c r="W200" s="33" t="n">
        <f aca="false">($H200*W$1)/$K200</f>
        <v>0.167823881530582</v>
      </c>
      <c r="X200" s="33" t="n">
        <f aca="false">($H200*X$1)/$K200</f>
        <v>0.17235966211249</v>
      </c>
      <c r="Y200" s="33" t="n">
        <f aca="false">($H200*Y$1)/$K200</f>
        <v>0.176895442694398</v>
      </c>
      <c r="Z200" s="34" t="n">
        <f aca="false">($I200*Z$1)/$K200</f>
        <v>0.192291071273558</v>
      </c>
      <c r="AA200" s="34" t="n">
        <f aca="false">($I200*AA$1)/$K200</f>
        <v>0.197098348055397</v>
      </c>
      <c r="AB200" s="34" t="n">
        <f aca="false">($I200*AB$1)/$K200</f>
        <v>0.201905624837236</v>
      </c>
      <c r="AC200" s="34" t="n">
        <f aca="false">($I200*AC$1)/$K200</f>
        <v>0.206712901619075</v>
      </c>
      <c r="AD200" s="35" t="n">
        <f aca="false">($J200*AD$1)/$K200</f>
        <v>0.189921701038172</v>
      </c>
      <c r="AE200" s="35" t="n">
        <f aca="false">($J200*AE$1)/$K200</f>
        <v>0.194238103334494</v>
      </c>
      <c r="AF200" s="35" t="n">
        <f aca="false">($J200*AF$1)/$K200</f>
        <v>0.198554505630816</v>
      </c>
      <c r="AG200" s="35" t="n">
        <f aca="false">($J200*AG$1)/$K200</f>
        <v>0.202870907927138</v>
      </c>
      <c r="AH200" s="35" t="n">
        <f aca="false">($J200*AH$1)/$K200</f>
        <v>0.20718731022346</v>
      </c>
      <c r="AI200" s="35" t="n">
        <f aca="false">($J200*AI$1)/$K200</f>
        <v>0.211503712519782</v>
      </c>
      <c r="AJ200" s="35" t="n">
        <f aca="false">($J200*AJ$1)/$K200</f>
        <v>0.215820114816105</v>
      </c>
      <c r="AK200" s="35" t="n">
        <f aca="false">($J200*AK$1)/$K200</f>
        <v>0.220136517112427</v>
      </c>
      <c r="AL200" s="35" t="n">
        <f aca="false">($J200*AL$1)/$K200</f>
        <v>0.224452919408749</v>
      </c>
    </row>
    <row r="201" customFormat="false" ht="15" hidden="false" customHeight="false" outlineLevel="0" collapsed="false">
      <c r="A201" s="0" t="s">
        <v>242</v>
      </c>
      <c r="B201" s="48" t="s">
        <v>269</v>
      </c>
      <c r="C201" s="48" t="s">
        <v>270</v>
      </c>
      <c r="D201" s="45" t="n">
        <v>17</v>
      </c>
      <c r="E201" s="45"/>
      <c r="F201" s="44" t="n">
        <v>0.22742850037207</v>
      </c>
      <c r="G201" s="44" t="n">
        <v>0.22742850037207</v>
      </c>
      <c r="H201" s="44" t="n">
        <v>0.24190829770174</v>
      </c>
      <c r="I201" s="44" t="n">
        <v>0.256388095031411</v>
      </c>
      <c r="J201" s="44" t="n">
        <v>0.230208122470512</v>
      </c>
      <c r="K201" s="31" t="n">
        <v>1</v>
      </c>
      <c r="L201" s="32"/>
      <c r="M201" s="32"/>
      <c r="N201" s="32"/>
      <c r="O201" s="32"/>
      <c r="P201" s="32"/>
      <c r="Q201" s="32"/>
      <c r="R201" s="32" t="n">
        <f aca="false">($G201*R$1)/$K201</f>
        <v>0.272914200446484</v>
      </c>
      <c r="S201" s="32" t="n">
        <f aca="false">($G201*S$1)/$K201</f>
        <v>0.281442769210436</v>
      </c>
      <c r="T201" s="32" t="n">
        <f aca="false">($G201*T$1)/$K201</f>
        <v>0.289971337974389</v>
      </c>
      <c r="U201" s="32" t="n">
        <f aca="false">($G201*U$1)/$K201</f>
        <v>0.298499906738342</v>
      </c>
      <c r="V201" s="33"/>
      <c r="W201" s="33"/>
      <c r="X201" s="33"/>
      <c r="Y201" s="33"/>
      <c r="Z201" s="34"/>
      <c r="AA201" s="34"/>
      <c r="AB201" s="34"/>
      <c r="AC201" s="34"/>
      <c r="AD201" s="35"/>
      <c r="AE201" s="35"/>
      <c r="AF201" s="35"/>
      <c r="AG201" s="35"/>
      <c r="AH201" s="35"/>
      <c r="AI201" s="35"/>
      <c r="AJ201" s="35"/>
      <c r="AK201" s="35"/>
      <c r="AL201" s="35"/>
    </row>
    <row r="202" customFormat="false" ht="15" hidden="false" customHeight="false" outlineLevel="0" collapsed="false">
      <c r="A202" s="0" t="s">
        <v>242</v>
      </c>
      <c r="B202" s="48" t="s">
        <v>271</v>
      </c>
      <c r="C202" s="48" t="s">
        <v>270</v>
      </c>
      <c r="D202" s="45" t="n">
        <v>17</v>
      </c>
      <c r="E202" s="45"/>
      <c r="F202" s="44" t="n">
        <v>0.22742850037207</v>
      </c>
      <c r="G202" s="44" t="n">
        <v>0.22742850037207</v>
      </c>
      <c r="H202" s="44" t="n">
        <v>0.24190829770174</v>
      </c>
      <c r="I202" s="44" t="n">
        <v>0.256388095031411</v>
      </c>
      <c r="J202" s="44" t="n">
        <v>0.230208122470512</v>
      </c>
      <c r="K202" s="31" t="n">
        <v>1</v>
      </c>
      <c r="L202" s="32"/>
      <c r="M202" s="32"/>
      <c r="N202" s="32"/>
      <c r="O202" s="32"/>
      <c r="P202" s="32"/>
      <c r="Q202" s="32"/>
      <c r="R202" s="32" t="n">
        <f aca="false">($G202*R$1)/$K202</f>
        <v>0.272914200446484</v>
      </c>
      <c r="S202" s="32" t="n">
        <f aca="false">($G202*S$1)/$K202</f>
        <v>0.281442769210436</v>
      </c>
      <c r="T202" s="32" t="n">
        <f aca="false">($G202*T$1)/$K202</f>
        <v>0.289971337974389</v>
      </c>
      <c r="U202" s="32" t="n">
        <f aca="false">($G202*U$1)/$K202</f>
        <v>0.298499906738342</v>
      </c>
      <c r="V202" s="33"/>
      <c r="W202" s="33"/>
      <c r="X202" s="33"/>
      <c r="Y202" s="33"/>
      <c r="Z202" s="34"/>
      <c r="AA202" s="34"/>
      <c r="AB202" s="34"/>
      <c r="AC202" s="34"/>
      <c r="AD202" s="35"/>
      <c r="AE202" s="35"/>
      <c r="AF202" s="35"/>
      <c r="AG202" s="35"/>
      <c r="AH202" s="35"/>
      <c r="AI202" s="35"/>
      <c r="AJ202" s="35"/>
      <c r="AK202" s="35"/>
      <c r="AL202" s="35"/>
    </row>
    <row r="203" customFormat="false" ht="15" hidden="false" customHeight="false" outlineLevel="0" collapsed="false">
      <c r="A203" s="0" t="s">
        <v>242</v>
      </c>
      <c r="B203" s="48" t="s">
        <v>272</v>
      </c>
      <c r="C203" s="48" t="s">
        <v>273</v>
      </c>
      <c r="D203" s="45" t="n">
        <v>17</v>
      </c>
      <c r="E203" s="45"/>
      <c r="F203" s="44" t="n">
        <v>0.22742850037207</v>
      </c>
      <c r="G203" s="44" t="n">
        <v>0.22742850037207</v>
      </c>
      <c r="H203" s="44" t="n">
        <v>0.24190829770174</v>
      </c>
      <c r="I203" s="44" t="n">
        <v>0.256388095031411</v>
      </c>
      <c r="J203" s="44" t="n">
        <v>0.230208122470512</v>
      </c>
      <c r="K203" s="31" t="n">
        <v>1</v>
      </c>
      <c r="L203" s="32"/>
      <c r="M203" s="32"/>
      <c r="N203" s="32"/>
      <c r="O203" s="32"/>
      <c r="P203" s="32"/>
      <c r="Q203" s="32"/>
      <c r="R203" s="32" t="n">
        <f aca="false">($G203*R$1)/$K203</f>
        <v>0.272914200446484</v>
      </c>
      <c r="S203" s="32" t="n">
        <f aca="false">($G203*S$1)/$K203</f>
        <v>0.281442769210436</v>
      </c>
      <c r="T203" s="32" t="n">
        <f aca="false">($G203*T$1)/$K203</f>
        <v>0.289971337974389</v>
      </c>
      <c r="U203" s="32" t="n">
        <f aca="false">($G203*U$1)/$K203</f>
        <v>0.298499906738342</v>
      </c>
      <c r="V203" s="33"/>
      <c r="W203" s="33"/>
      <c r="X203" s="33"/>
      <c r="Y203" s="33"/>
      <c r="Z203" s="34"/>
      <c r="AA203" s="34"/>
      <c r="AB203" s="34"/>
      <c r="AC203" s="34"/>
      <c r="AD203" s="35"/>
      <c r="AE203" s="35"/>
      <c r="AF203" s="35"/>
      <c r="AG203" s="35"/>
      <c r="AH203" s="35"/>
      <c r="AI203" s="35"/>
      <c r="AJ203" s="35"/>
      <c r="AK203" s="35"/>
      <c r="AL203" s="35"/>
    </row>
    <row r="204" customFormat="false" ht="15" hidden="false" customHeight="false" outlineLevel="0" collapsed="false">
      <c r="A204" s="0" t="s">
        <v>274</v>
      </c>
      <c r="B204" s="0" t="s">
        <v>275</v>
      </c>
      <c r="C204" s="16" t="s">
        <v>276</v>
      </c>
      <c r="D204" s="45" t="n">
        <v>12</v>
      </c>
      <c r="E204" s="45"/>
      <c r="F204" s="44" t="n">
        <v>0.22742850037207</v>
      </c>
      <c r="G204" s="44" t="n">
        <v>0.22742850037207</v>
      </c>
      <c r="H204" s="44" t="n">
        <f aca="false">+(I204+G204)/2</f>
        <v>0.24190829770174</v>
      </c>
      <c r="I204" s="44" t="n">
        <v>0.256388095031411</v>
      </c>
      <c r="J204" s="44" t="n">
        <v>0.230208122470512</v>
      </c>
      <c r="K204" s="31" t="n">
        <v>1</v>
      </c>
      <c r="L204" s="32"/>
      <c r="M204" s="32"/>
      <c r="N204" s="32"/>
      <c r="O204" s="32"/>
      <c r="P204" s="32"/>
      <c r="Q204" s="32"/>
      <c r="R204" s="32" t="n">
        <f aca="false">($G204*R$1)/$K204</f>
        <v>0.272914200446484</v>
      </c>
      <c r="S204" s="32" t="n">
        <f aca="false">($G204*S$1)/$K204</f>
        <v>0.281442769210436</v>
      </c>
      <c r="T204" s="32" t="n">
        <f aca="false">($G204*T$1)/$K204</f>
        <v>0.289971337974389</v>
      </c>
      <c r="U204" s="32" t="n">
        <f aca="false">($G204*U$1)/$K204</f>
        <v>0.298499906738342</v>
      </c>
      <c r="V204" s="33"/>
      <c r="W204" s="33"/>
      <c r="X204" s="33"/>
      <c r="Y204" s="33"/>
      <c r="Z204" s="34"/>
      <c r="AA204" s="34"/>
      <c r="AB204" s="34"/>
      <c r="AC204" s="34"/>
      <c r="AD204" s="35"/>
      <c r="AE204" s="35"/>
      <c r="AF204" s="35"/>
      <c r="AG204" s="35"/>
      <c r="AH204" s="35"/>
      <c r="AI204" s="35"/>
      <c r="AJ204" s="35"/>
      <c r="AK204" s="35"/>
      <c r="AL204" s="35"/>
    </row>
    <row r="205" customFormat="false" ht="15" hidden="false" customHeight="false" outlineLevel="0" collapsed="false">
      <c r="A205" s="0" t="s">
        <v>274</v>
      </c>
      <c r="B205" s="0" t="s">
        <v>277</v>
      </c>
      <c r="C205" s="16" t="s">
        <v>278</v>
      </c>
      <c r="D205" s="45" t="n">
        <v>12</v>
      </c>
      <c r="E205" s="45"/>
      <c r="F205" s="44" t="n">
        <v>0.22742850037207</v>
      </c>
      <c r="G205" s="44" t="n">
        <v>0.22742850037207</v>
      </c>
      <c r="H205" s="44" t="n">
        <f aca="false">+(I205+G205)/2</f>
        <v>0.24190829770174</v>
      </c>
      <c r="I205" s="44" t="n">
        <v>0.256388095031411</v>
      </c>
      <c r="J205" s="44" t="n">
        <v>0.230208122470512</v>
      </c>
      <c r="K205" s="31" t="n">
        <v>1</v>
      </c>
      <c r="L205" s="32"/>
      <c r="M205" s="32"/>
      <c r="N205" s="32"/>
      <c r="O205" s="32"/>
      <c r="P205" s="32"/>
      <c r="Q205" s="32"/>
      <c r="R205" s="32" t="n">
        <f aca="false">($G205*R$1)/$K205</f>
        <v>0.272914200446484</v>
      </c>
      <c r="S205" s="32" t="n">
        <f aca="false">($G205*S$1)/$K205</f>
        <v>0.281442769210436</v>
      </c>
      <c r="T205" s="32" t="n">
        <f aca="false">($G205*T$1)/$K205</f>
        <v>0.289971337974389</v>
      </c>
      <c r="U205" s="32" t="n">
        <f aca="false">($G205*U$1)/$K205</f>
        <v>0.298499906738342</v>
      </c>
      <c r="V205" s="33"/>
      <c r="W205" s="33"/>
      <c r="X205" s="33"/>
      <c r="Y205" s="33"/>
      <c r="Z205" s="34"/>
      <c r="AA205" s="34"/>
      <c r="AB205" s="34"/>
      <c r="AC205" s="34"/>
      <c r="AD205" s="35"/>
      <c r="AE205" s="35"/>
      <c r="AF205" s="35"/>
      <c r="AG205" s="35"/>
      <c r="AH205" s="35"/>
      <c r="AI205" s="35"/>
      <c r="AJ205" s="35"/>
      <c r="AK205" s="35"/>
      <c r="AL205" s="35"/>
    </row>
    <row r="206" customFormat="false" ht="15" hidden="false" customHeight="false" outlineLevel="0" collapsed="false">
      <c r="A206" s="0" t="s">
        <v>274</v>
      </c>
      <c r="B206" s="0" t="s">
        <v>279</v>
      </c>
      <c r="C206" s="16" t="s">
        <v>280</v>
      </c>
      <c r="D206" s="45" t="n">
        <v>12</v>
      </c>
      <c r="E206" s="45"/>
      <c r="F206" s="44" t="n">
        <v>0.22742850037207</v>
      </c>
      <c r="G206" s="44" t="n">
        <v>0.22742850037207</v>
      </c>
      <c r="H206" s="44" t="n">
        <f aca="false">+(I206+G206)/2</f>
        <v>0.24190829770174</v>
      </c>
      <c r="I206" s="44" t="n">
        <v>0.256388095031411</v>
      </c>
      <c r="J206" s="44" t="n">
        <v>0.230208122470512</v>
      </c>
      <c r="K206" s="31" t="n">
        <v>1</v>
      </c>
      <c r="L206" s="32"/>
      <c r="M206" s="32"/>
      <c r="N206" s="32"/>
      <c r="O206" s="32"/>
      <c r="P206" s="32"/>
      <c r="Q206" s="32"/>
      <c r="R206" s="32" t="n">
        <f aca="false">($G206*R$1)/$K206</f>
        <v>0.272914200446484</v>
      </c>
      <c r="S206" s="32" t="n">
        <f aca="false">($G206*S$1)/$K206</f>
        <v>0.281442769210436</v>
      </c>
      <c r="T206" s="32" t="n">
        <f aca="false">($G206*T$1)/$K206</f>
        <v>0.289971337974389</v>
      </c>
      <c r="U206" s="32" t="n">
        <f aca="false">($G206*U$1)/$K206</f>
        <v>0.298499906738342</v>
      </c>
      <c r="V206" s="33"/>
      <c r="W206" s="33"/>
      <c r="X206" s="33"/>
      <c r="Y206" s="33"/>
      <c r="Z206" s="34"/>
      <c r="AA206" s="34"/>
      <c r="AB206" s="34"/>
      <c r="AC206" s="34"/>
      <c r="AD206" s="35"/>
      <c r="AE206" s="35"/>
      <c r="AF206" s="35"/>
      <c r="AG206" s="35"/>
      <c r="AH206" s="35"/>
      <c r="AI206" s="35"/>
      <c r="AJ206" s="35"/>
      <c r="AK206" s="35"/>
      <c r="AL206" s="35"/>
    </row>
    <row r="207" customFormat="false" ht="15" hidden="false" customHeight="false" outlineLevel="0" collapsed="false">
      <c r="A207" s="0" t="s">
        <v>274</v>
      </c>
      <c r="B207" s="0" t="s">
        <v>281</v>
      </c>
      <c r="C207" s="16" t="s">
        <v>282</v>
      </c>
      <c r="D207" s="45" t="n">
        <v>12</v>
      </c>
      <c r="E207" s="45"/>
      <c r="F207" s="44" t="n">
        <v>0.22742850037207</v>
      </c>
      <c r="G207" s="44" t="n">
        <v>0.22742850037207</v>
      </c>
      <c r="H207" s="44" t="n">
        <f aca="false">+(I207+G207)/2</f>
        <v>0.24190829770174</v>
      </c>
      <c r="I207" s="44" t="n">
        <v>0.256388095031411</v>
      </c>
      <c r="J207" s="44" t="n">
        <v>0.230208122470512</v>
      </c>
      <c r="K207" s="31" t="n">
        <v>1</v>
      </c>
      <c r="L207" s="32"/>
      <c r="M207" s="32"/>
      <c r="N207" s="32"/>
      <c r="O207" s="32"/>
      <c r="P207" s="32"/>
      <c r="Q207" s="32"/>
      <c r="R207" s="32" t="n">
        <f aca="false">($G207*R$1)/$K207</f>
        <v>0.272914200446484</v>
      </c>
      <c r="S207" s="32" t="n">
        <f aca="false">($G207*S$1)/$K207</f>
        <v>0.281442769210436</v>
      </c>
      <c r="T207" s="32" t="n">
        <f aca="false">($G207*T$1)/$K207</f>
        <v>0.289971337974389</v>
      </c>
      <c r="U207" s="32" t="n">
        <f aca="false">($G207*U$1)/$K207</f>
        <v>0.298499906738342</v>
      </c>
      <c r="V207" s="33"/>
      <c r="W207" s="33"/>
      <c r="X207" s="33"/>
      <c r="Y207" s="33"/>
      <c r="Z207" s="34"/>
      <c r="AA207" s="34"/>
      <c r="AB207" s="34"/>
      <c r="AC207" s="34"/>
      <c r="AD207" s="35"/>
      <c r="AE207" s="35"/>
      <c r="AF207" s="35"/>
      <c r="AG207" s="35"/>
      <c r="AH207" s="35"/>
      <c r="AI207" s="35"/>
      <c r="AJ207" s="35"/>
      <c r="AK207" s="35"/>
      <c r="AL207" s="35"/>
    </row>
    <row r="208" customFormat="false" ht="15" hidden="false" customHeight="false" outlineLevel="0" collapsed="false">
      <c r="A208" s="0" t="s">
        <v>274</v>
      </c>
      <c r="B208" s="0" t="s">
        <v>283</v>
      </c>
      <c r="C208" s="16" t="s">
        <v>284</v>
      </c>
      <c r="D208" s="45" t="n">
        <v>12</v>
      </c>
      <c r="E208" s="45"/>
      <c r="F208" s="44" t="n">
        <v>0.22742850037207</v>
      </c>
      <c r="G208" s="44" t="n">
        <v>0.22742850037207</v>
      </c>
      <c r="H208" s="44" t="n">
        <f aca="false">+(I208+G208)/2</f>
        <v>0.24190829770174</v>
      </c>
      <c r="I208" s="44" t="n">
        <v>0.256388095031411</v>
      </c>
      <c r="J208" s="44" t="n">
        <v>0.230208122470512</v>
      </c>
      <c r="K208" s="31" t="n">
        <v>1</v>
      </c>
      <c r="L208" s="32"/>
      <c r="M208" s="32"/>
      <c r="N208" s="32"/>
      <c r="O208" s="32"/>
      <c r="P208" s="32"/>
      <c r="Q208" s="32"/>
      <c r="R208" s="32" t="n">
        <f aca="false">($G208*R$1)/$K208</f>
        <v>0.272914200446484</v>
      </c>
      <c r="S208" s="32" t="n">
        <f aca="false">($G208*S$1)/$K208</f>
        <v>0.281442769210436</v>
      </c>
      <c r="T208" s="32" t="n">
        <f aca="false">($G208*T$1)/$K208</f>
        <v>0.289971337974389</v>
      </c>
      <c r="U208" s="32" t="n">
        <f aca="false">($G208*U$1)/$K208</f>
        <v>0.298499906738342</v>
      </c>
      <c r="V208" s="33"/>
      <c r="W208" s="33"/>
      <c r="X208" s="33"/>
      <c r="Y208" s="33"/>
      <c r="Z208" s="34"/>
      <c r="AA208" s="34"/>
      <c r="AB208" s="34"/>
      <c r="AC208" s="34"/>
      <c r="AD208" s="35"/>
      <c r="AE208" s="35"/>
      <c r="AF208" s="35"/>
      <c r="AG208" s="35"/>
      <c r="AH208" s="35"/>
      <c r="AI208" s="35"/>
      <c r="AJ208" s="35"/>
      <c r="AK208" s="35"/>
      <c r="AL208" s="35"/>
    </row>
    <row r="209" customFormat="false" ht="15" hidden="false" customHeight="false" outlineLevel="0" collapsed="false">
      <c r="A209" s="0" t="s">
        <v>274</v>
      </c>
      <c r="B209" s="0" t="s">
        <v>275</v>
      </c>
      <c r="C209" s="16" t="s">
        <v>276</v>
      </c>
      <c r="D209" s="45" t="n">
        <v>19</v>
      </c>
      <c r="E209" s="45"/>
      <c r="F209" s="44" t="n">
        <v>0.22742850037207</v>
      </c>
      <c r="G209" s="44" t="n">
        <v>0.22742850037207</v>
      </c>
      <c r="H209" s="44" t="n">
        <f aca="false">+(I209+G209)/2</f>
        <v>0.24190829770174</v>
      </c>
      <c r="I209" s="44" t="n">
        <v>0.256388095031411</v>
      </c>
      <c r="J209" s="44" t="n">
        <v>0.230208122470512</v>
      </c>
      <c r="K209" s="31" t="n">
        <v>1</v>
      </c>
      <c r="L209" s="32"/>
      <c r="M209" s="32"/>
      <c r="N209" s="32"/>
      <c r="O209" s="32"/>
      <c r="P209" s="32"/>
      <c r="Q209" s="32"/>
      <c r="R209" s="32" t="n">
        <f aca="false">($G209*R$1)/$K209</f>
        <v>0.272914200446484</v>
      </c>
      <c r="S209" s="32" t="n">
        <f aca="false">($G209*S$1)/$K209</f>
        <v>0.281442769210436</v>
      </c>
      <c r="T209" s="32" t="n">
        <f aca="false">($G209*T$1)/$K209</f>
        <v>0.289971337974389</v>
      </c>
      <c r="U209" s="32" t="n">
        <f aca="false">($G209*U$1)/$K209</f>
        <v>0.298499906738342</v>
      </c>
      <c r="V209" s="33"/>
      <c r="W209" s="33"/>
      <c r="X209" s="33"/>
      <c r="Y209" s="33"/>
      <c r="Z209" s="34"/>
      <c r="AA209" s="34"/>
      <c r="AB209" s="34"/>
      <c r="AC209" s="34"/>
      <c r="AD209" s="35"/>
      <c r="AE209" s="35"/>
      <c r="AF209" s="35"/>
      <c r="AG209" s="35"/>
      <c r="AH209" s="35"/>
      <c r="AI209" s="35"/>
      <c r="AJ209" s="35"/>
      <c r="AK209" s="35"/>
      <c r="AL209" s="35"/>
    </row>
    <row r="210" customFormat="false" ht="15" hidden="false" customHeight="false" outlineLevel="0" collapsed="false">
      <c r="A210" s="0" t="s">
        <v>274</v>
      </c>
      <c r="B210" s="0" t="s">
        <v>277</v>
      </c>
      <c r="C210" s="16" t="s">
        <v>278</v>
      </c>
      <c r="D210" s="45" t="n">
        <v>19</v>
      </c>
      <c r="E210" s="45"/>
      <c r="F210" s="44" t="n">
        <v>0.22742850037207</v>
      </c>
      <c r="G210" s="44" t="n">
        <v>0.22742850037207</v>
      </c>
      <c r="H210" s="44" t="n">
        <f aca="false">+(I210+G210)/2</f>
        <v>0.24190829770174</v>
      </c>
      <c r="I210" s="44" t="n">
        <v>0.256388095031411</v>
      </c>
      <c r="J210" s="44" t="n">
        <v>0.230208122470512</v>
      </c>
      <c r="K210" s="31" t="n">
        <v>1</v>
      </c>
      <c r="L210" s="32"/>
      <c r="M210" s="32"/>
      <c r="N210" s="32"/>
      <c r="O210" s="32"/>
      <c r="P210" s="32"/>
      <c r="Q210" s="32"/>
      <c r="R210" s="32" t="n">
        <f aca="false">($G210*R$1)/$K210</f>
        <v>0.272914200446484</v>
      </c>
      <c r="S210" s="32" t="n">
        <f aca="false">($G210*S$1)/$K210</f>
        <v>0.281442769210436</v>
      </c>
      <c r="T210" s="32" t="n">
        <f aca="false">($G210*T$1)/$K210</f>
        <v>0.289971337974389</v>
      </c>
      <c r="U210" s="32" t="n">
        <f aca="false">($G210*U$1)/$K210</f>
        <v>0.298499906738342</v>
      </c>
      <c r="V210" s="33"/>
      <c r="W210" s="33"/>
      <c r="X210" s="33"/>
      <c r="Y210" s="33"/>
      <c r="Z210" s="34"/>
      <c r="AA210" s="34"/>
      <c r="AB210" s="34"/>
      <c r="AC210" s="34"/>
      <c r="AD210" s="35"/>
      <c r="AE210" s="35"/>
      <c r="AF210" s="35"/>
      <c r="AG210" s="35"/>
      <c r="AH210" s="35"/>
      <c r="AI210" s="35"/>
      <c r="AJ210" s="35"/>
      <c r="AK210" s="35"/>
      <c r="AL210" s="35"/>
    </row>
    <row r="211" customFormat="false" ht="15" hidden="false" customHeight="false" outlineLevel="0" collapsed="false">
      <c r="A211" s="0" t="s">
        <v>274</v>
      </c>
      <c r="B211" s="0" t="s">
        <v>279</v>
      </c>
      <c r="C211" s="16" t="s">
        <v>280</v>
      </c>
      <c r="D211" s="45" t="n">
        <v>19</v>
      </c>
      <c r="E211" s="45"/>
      <c r="F211" s="44" t="n">
        <v>0.22742850037207</v>
      </c>
      <c r="G211" s="44" t="n">
        <v>0.22742850037207</v>
      </c>
      <c r="H211" s="44" t="n">
        <f aca="false">+(I211+G211)/2</f>
        <v>0.24190829770174</v>
      </c>
      <c r="I211" s="44" t="n">
        <v>0.256388095031411</v>
      </c>
      <c r="J211" s="44" t="n">
        <v>0.230208122470512</v>
      </c>
      <c r="K211" s="31" t="n">
        <v>1</v>
      </c>
      <c r="L211" s="32"/>
      <c r="M211" s="32"/>
      <c r="N211" s="32"/>
      <c r="O211" s="32"/>
      <c r="P211" s="32"/>
      <c r="Q211" s="32"/>
      <c r="R211" s="32" t="n">
        <f aca="false">($G211*R$1)/$K211</f>
        <v>0.272914200446484</v>
      </c>
      <c r="S211" s="32" t="n">
        <f aca="false">($G211*S$1)/$K211</f>
        <v>0.281442769210436</v>
      </c>
      <c r="T211" s="32" t="n">
        <f aca="false">($G211*T$1)/$K211</f>
        <v>0.289971337974389</v>
      </c>
      <c r="U211" s="32" t="n">
        <f aca="false">($G211*U$1)/$K211</f>
        <v>0.298499906738342</v>
      </c>
      <c r="V211" s="33"/>
      <c r="W211" s="33"/>
      <c r="X211" s="33"/>
      <c r="Y211" s="33"/>
      <c r="Z211" s="34"/>
      <c r="AA211" s="34"/>
      <c r="AB211" s="34"/>
      <c r="AC211" s="34"/>
      <c r="AD211" s="35"/>
      <c r="AE211" s="35"/>
      <c r="AF211" s="35"/>
      <c r="AG211" s="35"/>
      <c r="AH211" s="35"/>
      <c r="AI211" s="35"/>
      <c r="AJ211" s="35"/>
      <c r="AK211" s="35"/>
      <c r="AL211" s="35"/>
    </row>
    <row r="212" customFormat="false" ht="15" hidden="false" customHeight="false" outlineLevel="0" collapsed="false">
      <c r="A212" s="0" t="s">
        <v>274</v>
      </c>
      <c r="B212" s="0" t="s">
        <v>281</v>
      </c>
      <c r="C212" s="16" t="s">
        <v>282</v>
      </c>
      <c r="D212" s="45" t="n">
        <v>19</v>
      </c>
      <c r="E212" s="45"/>
      <c r="F212" s="44" t="n">
        <v>0.22742850037207</v>
      </c>
      <c r="G212" s="44" t="n">
        <v>0.22742850037207</v>
      </c>
      <c r="H212" s="44" t="n">
        <f aca="false">+(I212+G212)/2</f>
        <v>0.24190829770174</v>
      </c>
      <c r="I212" s="44" t="n">
        <v>0.256388095031411</v>
      </c>
      <c r="J212" s="44" t="n">
        <v>0.230208122470512</v>
      </c>
      <c r="K212" s="31" t="n">
        <v>1</v>
      </c>
      <c r="L212" s="32"/>
      <c r="M212" s="32"/>
      <c r="N212" s="32"/>
      <c r="O212" s="32"/>
      <c r="P212" s="32"/>
      <c r="Q212" s="32"/>
      <c r="R212" s="32" t="n">
        <f aca="false">($G212*R$1)/$K212</f>
        <v>0.272914200446484</v>
      </c>
      <c r="S212" s="32" t="n">
        <f aca="false">($G212*S$1)/$K212</f>
        <v>0.281442769210436</v>
      </c>
      <c r="T212" s="32" t="n">
        <f aca="false">($G212*T$1)/$K212</f>
        <v>0.289971337974389</v>
      </c>
      <c r="U212" s="32" t="n">
        <f aca="false">($G212*U$1)/$K212</f>
        <v>0.298499906738342</v>
      </c>
      <c r="V212" s="33"/>
      <c r="W212" s="33"/>
      <c r="X212" s="33"/>
      <c r="Y212" s="33"/>
      <c r="Z212" s="34"/>
      <c r="AA212" s="34"/>
      <c r="AB212" s="34"/>
      <c r="AC212" s="34"/>
      <c r="AD212" s="35"/>
      <c r="AE212" s="35"/>
      <c r="AF212" s="35"/>
      <c r="AG212" s="35"/>
      <c r="AH212" s="35"/>
      <c r="AI212" s="35"/>
      <c r="AJ212" s="35"/>
      <c r="AK212" s="35"/>
      <c r="AL212" s="35"/>
    </row>
    <row r="213" customFormat="false" ht="15" hidden="false" customHeight="false" outlineLevel="0" collapsed="false">
      <c r="A213" s="0" t="s">
        <v>274</v>
      </c>
      <c r="B213" s="0" t="s">
        <v>283</v>
      </c>
      <c r="C213" s="16" t="s">
        <v>284</v>
      </c>
      <c r="D213" s="45" t="n">
        <v>19</v>
      </c>
      <c r="E213" s="45"/>
      <c r="F213" s="44" t="n">
        <v>0.22742850037207</v>
      </c>
      <c r="G213" s="44" t="n">
        <v>0.22742850037207</v>
      </c>
      <c r="H213" s="44" t="n">
        <f aca="false">+(I213+G213)/2</f>
        <v>0.24190829770174</v>
      </c>
      <c r="I213" s="44" t="n">
        <v>0.256388095031411</v>
      </c>
      <c r="J213" s="44" t="n">
        <v>0.230208122470512</v>
      </c>
      <c r="K213" s="31" t="n">
        <v>1</v>
      </c>
      <c r="L213" s="32"/>
      <c r="M213" s="32"/>
      <c r="N213" s="32"/>
      <c r="O213" s="32"/>
      <c r="P213" s="32"/>
      <c r="Q213" s="32"/>
      <c r="R213" s="32" t="n">
        <f aca="false">($G213*R$1)/$K213</f>
        <v>0.272914200446484</v>
      </c>
      <c r="S213" s="32" t="n">
        <f aca="false">($G213*S$1)/$K213</f>
        <v>0.281442769210436</v>
      </c>
      <c r="T213" s="32" t="n">
        <f aca="false">($G213*T$1)/$K213</f>
        <v>0.289971337974389</v>
      </c>
      <c r="U213" s="32" t="n">
        <f aca="false">($G213*U$1)/$K213</f>
        <v>0.298499906738342</v>
      </c>
      <c r="V213" s="33"/>
      <c r="W213" s="33"/>
      <c r="X213" s="33"/>
      <c r="Y213" s="33"/>
      <c r="Z213" s="34"/>
      <c r="AA213" s="34"/>
      <c r="AB213" s="34"/>
      <c r="AC213" s="34"/>
      <c r="AD213" s="35"/>
      <c r="AE213" s="35"/>
      <c r="AF213" s="35"/>
      <c r="AG213" s="35"/>
      <c r="AH213" s="35"/>
      <c r="AI213" s="35"/>
      <c r="AJ213" s="35"/>
      <c r="AK213" s="35"/>
      <c r="AL213" s="35"/>
    </row>
    <row r="214" customFormat="false" ht="15" hidden="false" customHeight="false" outlineLevel="0" collapsed="false">
      <c r="A214" s="5" t="s">
        <v>39</v>
      </c>
      <c r="B214" s="0" t="s">
        <v>285</v>
      </c>
      <c r="C214" s="16" t="s">
        <v>286</v>
      </c>
      <c r="D214" s="45" t="n">
        <v>13</v>
      </c>
      <c r="E214" s="45"/>
      <c r="F214" s="44" t="n">
        <v>0.22742850037207</v>
      </c>
      <c r="G214" s="44" t="n">
        <v>0.22742850037207</v>
      </c>
      <c r="H214" s="44" t="n">
        <f aca="false">+(I214+G214)/2</f>
        <v>0.24190829770174</v>
      </c>
      <c r="I214" s="44" t="n">
        <v>0.256388095031411</v>
      </c>
      <c r="J214" s="44" t="n">
        <v>0.230208122470512</v>
      </c>
      <c r="K214" s="31" t="n">
        <v>1</v>
      </c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3" t="n">
        <f aca="false">($H214*V$1)/$K214</f>
        <v>0.326576201897349</v>
      </c>
      <c r="W214" s="33" t="n">
        <f aca="false">($H214*W$1)/$K214</f>
        <v>0.335647763061165</v>
      </c>
      <c r="X214" s="33" t="n">
        <f aca="false">($H214*X$1)/$K214</f>
        <v>0.34471932422498</v>
      </c>
      <c r="Y214" s="33" t="n">
        <f aca="false">($H214*Y$1)/$K214</f>
        <v>0.353790885388795</v>
      </c>
      <c r="Z214" s="34" t="n">
        <f aca="false">($I214*Z$1)/$K214</f>
        <v>0.384582142547116</v>
      </c>
      <c r="AA214" s="34"/>
      <c r="AB214" s="34"/>
      <c r="AC214" s="34"/>
      <c r="AD214" s="35"/>
      <c r="AE214" s="35"/>
      <c r="AF214" s="35"/>
      <c r="AG214" s="35"/>
      <c r="AH214" s="35"/>
      <c r="AI214" s="35"/>
      <c r="AJ214" s="35"/>
      <c r="AK214" s="35"/>
      <c r="AL214" s="35"/>
    </row>
    <row r="215" customFormat="false" ht="15" hidden="false" customHeight="false" outlineLevel="0" collapsed="false">
      <c r="A215" s="5" t="s">
        <v>39</v>
      </c>
      <c r="B215" s="0" t="s">
        <v>287</v>
      </c>
      <c r="C215" s="16" t="s">
        <v>288</v>
      </c>
      <c r="D215" s="45" t="n">
        <v>13</v>
      </c>
      <c r="E215" s="45"/>
      <c r="F215" s="44" t="n">
        <v>0.22742850037207</v>
      </c>
      <c r="G215" s="44" t="n">
        <v>0.22742850037207</v>
      </c>
      <c r="H215" s="44" t="n">
        <f aca="false">+(I215+G215)/2</f>
        <v>0.24190829770174</v>
      </c>
      <c r="I215" s="44" t="n">
        <v>0.256388095031411</v>
      </c>
      <c r="J215" s="44" t="n">
        <v>0.230208122470512</v>
      </c>
      <c r="K215" s="31" t="n">
        <v>1</v>
      </c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3" t="n">
        <f aca="false">($H215*V$1)/$K215</f>
        <v>0.326576201897349</v>
      </c>
      <c r="W215" s="33" t="n">
        <f aca="false">($H215*W$1)/$K215</f>
        <v>0.335647763061165</v>
      </c>
      <c r="X215" s="33" t="n">
        <f aca="false">($H215*X$1)/$K215</f>
        <v>0.34471932422498</v>
      </c>
      <c r="Y215" s="33" t="n">
        <f aca="false">($H215*Y$1)/$K215</f>
        <v>0.353790885388795</v>
      </c>
      <c r="Z215" s="34" t="n">
        <f aca="false">($I215*Z$1)/$K215</f>
        <v>0.384582142547116</v>
      </c>
      <c r="AA215" s="34"/>
      <c r="AB215" s="34"/>
      <c r="AC215" s="34"/>
      <c r="AD215" s="35"/>
      <c r="AE215" s="35"/>
      <c r="AF215" s="35"/>
      <c r="AG215" s="35"/>
      <c r="AH215" s="35"/>
      <c r="AI215" s="35"/>
      <c r="AJ215" s="35"/>
      <c r="AK215" s="35"/>
      <c r="AL215" s="35"/>
    </row>
    <row r="216" customFormat="false" ht="15" hidden="false" customHeight="false" outlineLevel="0" collapsed="false">
      <c r="A216" s="5" t="s">
        <v>39</v>
      </c>
      <c r="B216" s="0" t="s">
        <v>289</v>
      </c>
      <c r="C216" s="16" t="s">
        <v>290</v>
      </c>
      <c r="D216" s="45" t="n">
        <v>13</v>
      </c>
      <c r="E216" s="45"/>
      <c r="F216" s="44" t="n">
        <v>0.22742850037207</v>
      </c>
      <c r="G216" s="44" t="n">
        <v>0.22742850037207</v>
      </c>
      <c r="H216" s="44" t="n">
        <f aca="false">+(I216+G216)/2</f>
        <v>0.24190829770174</v>
      </c>
      <c r="I216" s="44" t="n">
        <v>0.256388095031411</v>
      </c>
      <c r="J216" s="44" t="n">
        <v>0.230208122470512</v>
      </c>
      <c r="K216" s="31" t="n">
        <v>1</v>
      </c>
      <c r="L216" s="32"/>
      <c r="M216" s="32"/>
      <c r="N216" s="32"/>
      <c r="O216" s="32"/>
      <c r="P216" s="32"/>
      <c r="Q216" s="32"/>
      <c r="R216" s="32" t="n">
        <f aca="false">($G216*R$1)/$K216</f>
        <v>0.272914200446484</v>
      </c>
      <c r="S216" s="32" t="n">
        <f aca="false">($G216*S$1)/$K216</f>
        <v>0.281442769210436</v>
      </c>
      <c r="T216" s="32" t="n">
        <f aca="false">($G216*T$1)/$K216</f>
        <v>0.289971337974389</v>
      </c>
      <c r="U216" s="32" t="n">
        <f aca="false">($G216*U$1)/$K216</f>
        <v>0.298499906738342</v>
      </c>
      <c r="V216" s="33"/>
      <c r="W216" s="33"/>
      <c r="X216" s="33"/>
      <c r="Y216" s="33"/>
      <c r="Z216" s="34"/>
      <c r="AA216" s="34"/>
      <c r="AB216" s="34"/>
      <c r="AC216" s="34"/>
      <c r="AD216" s="35"/>
      <c r="AE216" s="35"/>
      <c r="AF216" s="35"/>
      <c r="AG216" s="35"/>
      <c r="AH216" s="35"/>
      <c r="AI216" s="35"/>
      <c r="AJ216" s="35"/>
      <c r="AK216" s="35"/>
      <c r="AL216" s="35"/>
    </row>
    <row r="217" customFormat="false" ht="15" hidden="false" customHeight="false" outlineLevel="0" collapsed="false">
      <c r="A217" s="5" t="s">
        <v>39</v>
      </c>
      <c r="B217" s="0" t="s">
        <v>285</v>
      </c>
      <c r="C217" s="16" t="s">
        <v>286</v>
      </c>
      <c r="D217" s="45" t="n">
        <v>20</v>
      </c>
      <c r="E217" s="45"/>
      <c r="F217" s="44" t="n">
        <v>0.22742850037207</v>
      </c>
      <c r="G217" s="44" t="n">
        <v>0.22742850037207</v>
      </c>
      <c r="H217" s="44" t="n">
        <f aca="false">+(I217+G217)/2</f>
        <v>0.24190829770174</v>
      </c>
      <c r="I217" s="44" t="n">
        <v>0.256388095031411</v>
      </c>
      <c r="J217" s="44" t="n">
        <v>0.230208122470512</v>
      </c>
      <c r="K217" s="31" t="n">
        <v>1</v>
      </c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3" t="n">
        <f aca="false">($H217*V$1)/$K217</f>
        <v>0.326576201897349</v>
      </c>
      <c r="W217" s="33" t="n">
        <f aca="false">($H217*W$1)/$K217</f>
        <v>0.335647763061165</v>
      </c>
      <c r="X217" s="33" t="n">
        <f aca="false">($H217*X$1)/$K217</f>
        <v>0.34471932422498</v>
      </c>
      <c r="Y217" s="33" t="n">
        <f aca="false">($H217*Y$1)/$K217</f>
        <v>0.353790885388795</v>
      </c>
      <c r="Z217" s="34" t="n">
        <f aca="false">($I217*Z$1)/$K217</f>
        <v>0.384582142547116</v>
      </c>
      <c r="AA217" s="34"/>
      <c r="AB217" s="34"/>
      <c r="AC217" s="34"/>
      <c r="AD217" s="35"/>
      <c r="AE217" s="35"/>
      <c r="AF217" s="35"/>
      <c r="AG217" s="35"/>
      <c r="AH217" s="35"/>
      <c r="AI217" s="35"/>
      <c r="AJ217" s="35"/>
      <c r="AK217" s="35"/>
      <c r="AL217" s="35"/>
    </row>
    <row r="218" customFormat="false" ht="15" hidden="false" customHeight="false" outlineLevel="0" collapsed="false">
      <c r="A218" s="5" t="s">
        <v>39</v>
      </c>
      <c r="B218" s="0" t="s">
        <v>287</v>
      </c>
      <c r="C218" s="16" t="s">
        <v>288</v>
      </c>
      <c r="D218" s="45" t="n">
        <v>20</v>
      </c>
      <c r="E218" s="45"/>
      <c r="F218" s="44" t="n">
        <v>0.22742850037207</v>
      </c>
      <c r="G218" s="44" t="n">
        <v>0.22742850037207</v>
      </c>
      <c r="H218" s="44" t="n">
        <f aca="false">+(I218+G218)/2</f>
        <v>0.24190829770174</v>
      </c>
      <c r="I218" s="44" t="n">
        <v>0.256388095031411</v>
      </c>
      <c r="J218" s="44" t="n">
        <v>0.230208122470512</v>
      </c>
      <c r="K218" s="31" t="n">
        <v>1</v>
      </c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3" t="n">
        <f aca="false">($H218*V$1)/$K218</f>
        <v>0.326576201897349</v>
      </c>
      <c r="W218" s="33" t="n">
        <f aca="false">($H218*W$1)/$K218</f>
        <v>0.335647763061165</v>
      </c>
      <c r="X218" s="33" t="n">
        <f aca="false">($H218*X$1)/$K218</f>
        <v>0.34471932422498</v>
      </c>
      <c r="Y218" s="33" t="n">
        <f aca="false">($H218*Y$1)/$K218</f>
        <v>0.353790885388795</v>
      </c>
      <c r="Z218" s="34" t="n">
        <f aca="false">($I218*Z$1)/$K218</f>
        <v>0.384582142547116</v>
      </c>
      <c r="AA218" s="34"/>
      <c r="AB218" s="34"/>
      <c r="AC218" s="34"/>
      <c r="AD218" s="35"/>
      <c r="AE218" s="35"/>
      <c r="AF218" s="35"/>
      <c r="AG218" s="35"/>
      <c r="AH218" s="35"/>
      <c r="AI218" s="35"/>
      <c r="AJ218" s="35"/>
      <c r="AK218" s="35"/>
      <c r="AL218" s="35"/>
    </row>
    <row r="219" customFormat="false" ht="15" hidden="false" customHeight="false" outlineLevel="0" collapsed="false">
      <c r="A219" s="5" t="s">
        <v>39</v>
      </c>
      <c r="B219" s="0" t="s">
        <v>289</v>
      </c>
      <c r="C219" s="16" t="s">
        <v>290</v>
      </c>
      <c r="D219" s="45" t="n">
        <v>20</v>
      </c>
      <c r="E219" s="45"/>
      <c r="F219" s="44" t="n">
        <v>0.22742850037207</v>
      </c>
      <c r="G219" s="44" t="n">
        <v>0.22742850037207</v>
      </c>
      <c r="H219" s="44" t="n">
        <f aca="false">+(I219+G219)/2</f>
        <v>0.24190829770174</v>
      </c>
      <c r="I219" s="44" t="n">
        <v>0.256388095031411</v>
      </c>
      <c r="J219" s="44" t="n">
        <v>0.230208122470512</v>
      </c>
      <c r="K219" s="31" t="n">
        <v>1</v>
      </c>
      <c r="L219" s="32"/>
      <c r="M219" s="32"/>
      <c r="N219" s="32"/>
      <c r="O219" s="32"/>
      <c r="P219" s="32"/>
      <c r="Q219" s="32"/>
      <c r="R219" s="32" t="n">
        <f aca="false">($G219*R$1)/$K219</f>
        <v>0.272914200446484</v>
      </c>
      <c r="S219" s="32" t="n">
        <f aca="false">($G219*S$1)/$K219</f>
        <v>0.281442769210436</v>
      </c>
      <c r="T219" s="32" t="n">
        <f aca="false">($G219*T$1)/$K219</f>
        <v>0.289971337974389</v>
      </c>
      <c r="U219" s="32" t="n">
        <f aca="false">($G219*U$1)/$K219</f>
        <v>0.298499906738342</v>
      </c>
      <c r="V219" s="33"/>
      <c r="W219" s="33"/>
      <c r="X219" s="33"/>
      <c r="Y219" s="33"/>
      <c r="Z219" s="34"/>
      <c r="AA219" s="34"/>
      <c r="AB219" s="34"/>
      <c r="AC219" s="34"/>
      <c r="AD219" s="35"/>
      <c r="AE219" s="35"/>
      <c r="AF219" s="35"/>
      <c r="AG219" s="35"/>
      <c r="AH219" s="35"/>
      <c r="AI219" s="35"/>
      <c r="AJ219" s="35"/>
      <c r="AK219" s="35"/>
      <c r="AL219" s="35"/>
    </row>
    <row r="220" customFormat="false" ht="15" hidden="false" customHeight="false" outlineLevel="0" collapsed="false">
      <c r="A220" s="5" t="s">
        <v>40</v>
      </c>
      <c r="B220" s="0" t="s">
        <v>256</v>
      </c>
      <c r="C220" s="16" t="s">
        <v>291</v>
      </c>
      <c r="D220" s="45" t="n">
        <v>14</v>
      </c>
      <c r="E220" s="45"/>
      <c r="F220" s="44" t="n">
        <f aca="false">+F224*0.9</f>
        <v>0.204685650334863</v>
      </c>
      <c r="G220" s="44" t="n">
        <f aca="false">+G224*0.9</f>
        <v>0.204685650334863</v>
      </c>
      <c r="H220" s="44" t="n">
        <f aca="false">+H224*0.9</f>
        <v>0.217717467931566</v>
      </c>
      <c r="I220" s="44" t="n">
        <f aca="false">+I224*0.9</f>
        <v>0.23074928552827</v>
      </c>
      <c r="J220" s="44" t="n">
        <f aca="false">+J224*0.9</f>
        <v>0.20718731022346</v>
      </c>
      <c r="K220" s="31" t="n">
        <v>2</v>
      </c>
      <c r="L220" s="32"/>
      <c r="M220" s="32"/>
      <c r="N220" s="32"/>
      <c r="O220" s="32"/>
      <c r="P220" s="32"/>
      <c r="Q220" s="32"/>
      <c r="R220" s="32" t="n">
        <f aca="false">($G220*R$1)/$K220</f>
        <v>0.122811390200918</v>
      </c>
      <c r="S220" s="32" t="n">
        <f aca="false">($G220*S$1)/$K220</f>
        <v>0.126649246144696</v>
      </c>
      <c r="T220" s="32" t="n">
        <f aca="false">($G220*T$1)/$K220</f>
        <v>0.130487102088475</v>
      </c>
      <c r="U220" s="32" t="n">
        <f aca="false">($G220*U$1)/$K220</f>
        <v>0.134324958032254</v>
      </c>
      <c r="V220" s="33" t="n">
        <f aca="false">($H220*V$1)/$K220</f>
        <v>0.146959290853807</v>
      </c>
      <c r="W220" s="33" t="n">
        <f aca="false">($H220*W$1)/$K220</f>
        <v>0.151041493377524</v>
      </c>
      <c r="X220" s="33" t="n">
        <f aca="false">($H220*X$1)/$K220</f>
        <v>0.155123695901241</v>
      </c>
      <c r="Y220" s="33" t="n">
        <f aca="false">($H220*Y$1)/$K220</f>
        <v>0.159205898424958</v>
      </c>
      <c r="Z220" s="34" t="n">
        <f aca="false">($I220*Z$1)/$K220</f>
        <v>0.173061964146202</v>
      </c>
      <c r="AA220" s="34" t="n">
        <f aca="false">($I220*AA$1)/$K220</f>
        <v>0.177388513249857</v>
      </c>
      <c r="AB220" s="34" t="n">
        <f aca="false">($I220*AB$1)/$K220</f>
        <v>0.181715062353512</v>
      </c>
      <c r="AC220" s="34" t="n">
        <f aca="false">($I220*AC$1)/$K220</f>
        <v>0.186041611457167</v>
      </c>
      <c r="AD220" s="35" t="n">
        <f aca="false">($J220*AD$1)/$K220</f>
        <v>0.170929530934355</v>
      </c>
      <c r="AE220" s="35" t="n">
        <f aca="false">($J220*AE$1)/$K220</f>
        <v>0.174814293001045</v>
      </c>
      <c r="AF220" s="35" t="n">
        <f aca="false">($J220*AF$1)/$K220</f>
        <v>0.178699055067735</v>
      </c>
      <c r="AG220" s="35" t="n">
        <f aca="false">($J220*AG$1)/$K220</f>
        <v>0.182583817134424</v>
      </c>
      <c r="AH220" s="35" t="n">
        <f aca="false">($J220*AH$1)/$K220</f>
        <v>0.186468579201114</v>
      </c>
      <c r="AI220" s="35" t="n">
        <f aca="false">($J220*AI$1)/$K220</f>
        <v>0.190353341267804</v>
      </c>
      <c r="AJ220" s="35" t="n">
        <f aca="false">($J220*AJ$1)/$K220</f>
        <v>0.194238103334494</v>
      </c>
      <c r="AK220" s="35" t="n">
        <f aca="false">($J220*AK$1)/$K220</f>
        <v>0.198122865401184</v>
      </c>
      <c r="AL220" s="35" t="n">
        <f aca="false">($J220*AL$1)/$K220</f>
        <v>0.202007627467874</v>
      </c>
    </row>
    <row r="221" customFormat="false" ht="15" hidden="false" customHeight="false" outlineLevel="0" collapsed="false">
      <c r="A221" s="5" t="s">
        <v>40</v>
      </c>
      <c r="B221" s="0" t="s">
        <v>292</v>
      </c>
      <c r="C221" s="16" t="s">
        <v>293</v>
      </c>
      <c r="D221" s="45" t="n">
        <v>14</v>
      </c>
      <c r="E221" s="45"/>
      <c r="F221" s="44" t="n">
        <f aca="false">+F225*0.9</f>
        <v>0.204685650334863</v>
      </c>
      <c r="G221" s="44" t="n">
        <f aca="false">+G225*0.9</f>
        <v>0.204685650334863</v>
      </c>
      <c r="H221" s="44" t="n">
        <f aca="false">+H225*0.9</f>
        <v>0.217717467931566</v>
      </c>
      <c r="I221" s="44" t="n">
        <f aca="false">+I225*0.9</f>
        <v>0.23074928552827</v>
      </c>
      <c r="J221" s="44" t="n">
        <f aca="false">+J225*0.9</f>
        <v>0.20718731022346</v>
      </c>
      <c r="K221" s="31" t="n">
        <v>2</v>
      </c>
      <c r="L221" s="32"/>
      <c r="M221" s="32"/>
      <c r="N221" s="32"/>
      <c r="O221" s="32"/>
      <c r="P221" s="32"/>
      <c r="Q221" s="32"/>
      <c r="R221" s="32" t="n">
        <f aca="false">($G221*R$1)/$K221</f>
        <v>0.122811390200918</v>
      </c>
      <c r="S221" s="32" t="n">
        <f aca="false">($G221*S$1)/$K221</f>
        <v>0.126649246144696</v>
      </c>
      <c r="T221" s="32" t="n">
        <f aca="false">($G221*T$1)/$K221</f>
        <v>0.130487102088475</v>
      </c>
      <c r="U221" s="32" t="n">
        <f aca="false">($G221*U$1)/$K221</f>
        <v>0.134324958032254</v>
      </c>
      <c r="V221" s="33" t="n">
        <f aca="false">($H221*V$1)/$K221</f>
        <v>0.146959290853807</v>
      </c>
      <c r="W221" s="33" t="n">
        <f aca="false">($H221*W$1)/$K221</f>
        <v>0.151041493377524</v>
      </c>
      <c r="X221" s="33" t="n">
        <f aca="false">($H221*X$1)/$K221</f>
        <v>0.155123695901241</v>
      </c>
      <c r="Y221" s="33" t="n">
        <f aca="false">($H221*Y$1)/$K221</f>
        <v>0.159205898424958</v>
      </c>
      <c r="Z221" s="34" t="n">
        <f aca="false">($I221*Z$1)/$K221</f>
        <v>0.173061964146202</v>
      </c>
      <c r="AA221" s="34" t="n">
        <f aca="false">($I221*AA$1)/$K221</f>
        <v>0.177388513249857</v>
      </c>
      <c r="AB221" s="34" t="n">
        <f aca="false">($I221*AB$1)/$K221</f>
        <v>0.181715062353512</v>
      </c>
      <c r="AC221" s="34" t="n">
        <f aca="false">($I221*AC$1)/$K221</f>
        <v>0.186041611457167</v>
      </c>
      <c r="AD221" s="35" t="n">
        <f aca="false">($J221*AD$1)/$K221</f>
        <v>0.170929530934355</v>
      </c>
      <c r="AE221" s="35" t="n">
        <f aca="false">($J221*AE$1)/$K221</f>
        <v>0.174814293001045</v>
      </c>
      <c r="AF221" s="35" t="n">
        <f aca="false">($J221*AF$1)/$K221</f>
        <v>0.178699055067735</v>
      </c>
      <c r="AG221" s="35" t="n">
        <f aca="false">($J221*AG$1)/$K221</f>
        <v>0.182583817134424</v>
      </c>
      <c r="AH221" s="35" t="n">
        <f aca="false">($J221*AH$1)/$K221</f>
        <v>0.186468579201114</v>
      </c>
      <c r="AI221" s="35" t="n">
        <f aca="false">($J221*AI$1)/$K221</f>
        <v>0.190353341267804</v>
      </c>
      <c r="AJ221" s="35" t="n">
        <f aca="false">($J221*AJ$1)/$K221</f>
        <v>0.194238103334494</v>
      </c>
      <c r="AK221" s="35" t="n">
        <f aca="false">($J221*AK$1)/$K221</f>
        <v>0.198122865401184</v>
      </c>
      <c r="AL221" s="35" t="n">
        <f aca="false">($J221*AL$1)/$K221</f>
        <v>0.202007627467874</v>
      </c>
    </row>
    <row r="222" customFormat="false" ht="15" hidden="false" customHeight="false" outlineLevel="0" collapsed="false">
      <c r="A222" s="5" t="s">
        <v>40</v>
      </c>
      <c r="B222" s="0" t="s">
        <v>256</v>
      </c>
      <c r="C222" s="16" t="s">
        <v>291</v>
      </c>
      <c r="D222" s="45" t="n">
        <v>21</v>
      </c>
      <c r="E222" s="45"/>
      <c r="F222" s="44" t="n">
        <f aca="false">+F226*0.9</f>
        <v>0.204685650334863</v>
      </c>
      <c r="G222" s="44" t="n">
        <f aca="false">+G226*0.9</f>
        <v>0.204685650334863</v>
      </c>
      <c r="H222" s="44" t="n">
        <f aca="false">+H226*0.9</f>
        <v>0.217717467931566</v>
      </c>
      <c r="I222" s="44" t="n">
        <f aca="false">+I226*0.9</f>
        <v>0.23074928552827</v>
      </c>
      <c r="J222" s="44" t="n">
        <f aca="false">+J226*0.9</f>
        <v>0.20718731022346</v>
      </c>
      <c r="K222" s="31" t="n">
        <v>2</v>
      </c>
      <c r="L222" s="32"/>
      <c r="M222" s="32"/>
      <c r="N222" s="32"/>
      <c r="O222" s="32"/>
      <c r="P222" s="32"/>
      <c r="Q222" s="32"/>
      <c r="R222" s="32" t="n">
        <f aca="false">($G222*R$1)/$K222</f>
        <v>0.122811390200918</v>
      </c>
      <c r="S222" s="32" t="n">
        <f aca="false">($G222*S$1)/$K222</f>
        <v>0.126649246144696</v>
      </c>
      <c r="T222" s="32" t="n">
        <f aca="false">($G222*T$1)/$K222</f>
        <v>0.130487102088475</v>
      </c>
      <c r="U222" s="32" t="n">
        <f aca="false">($G222*U$1)/$K222</f>
        <v>0.134324958032254</v>
      </c>
      <c r="V222" s="33" t="n">
        <f aca="false">($H222*V$1)/$K222</f>
        <v>0.146959290853807</v>
      </c>
      <c r="W222" s="33" t="n">
        <f aca="false">($H222*W$1)/$K222</f>
        <v>0.151041493377524</v>
      </c>
      <c r="X222" s="33" t="n">
        <f aca="false">($H222*X$1)/$K222</f>
        <v>0.155123695901241</v>
      </c>
      <c r="Y222" s="33" t="n">
        <f aca="false">($H222*Y$1)/$K222</f>
        <v>0.159205898424958</v>
      </c>
      <c r="Z222" s="34" t="n">
        <f aca="false">($I222*Z$1)/$K222</f>
        <v>0.173061964146202</v>
      </c>
      <c r="AA222" s="34" t="n">
        <f aca="false">($I222*AA$1)/$K222</f>
        <v>0.177388513249857</v>
      </c>
      <c r="AB222" s="34" t="n">
        <f aca="false">($I222*AB$1)/$K222</f>
        <v>0.181715062353512</v>
      </c>
      <c r="AC222" s="34" t="n">
        <f aca="false">($I222*AC$1)/$K222</f>
        <v>0.186041611457167</v>
      </c>
      <c r="AD222" s="35" t="n">
        <f aca="false">($J222*AD$1)/$K222</f>
        <v>0.170929530934355</v>
      </c>
      <c r="AE222" s="35" t="n">
        <f aca="false">($J222*AE$1)/$K222</f>
        <v>0.174814293001045</v>
      </c>
      <c r="AF222" s="35" t="n">
        <f aca="false">($J222*AF$1)/$K222</f>
        <v>0.178699055067735</v>
      </c>
      <c r="AG222" s="35" t="n">
        <f aca="false">($J222*AG$1)/$K222</f>
        <v>0.182583817134424</v>
      </c>
      <c r="AH222" s="35" t="n">
        <f aca="false">($J222*AH$1)/$K222</f>
        <v>0.186468579201114</v>
      </c>
      <c r="AI222" s="35" t="n">
        <f aca="false">($J222*AI$1)/$K222</f>
        <v>0.190353341267804</v>
      </c>
      <c r="AJ222" s="35" t="n">
        <f aca="false">($J222*AJ$1)/$K222</f>
        <v>0.194238103334494</v>
      </c>
      <c r="AK222" s="35" t="n">
        <f aca="false">($J222*AK$1)/$K222</f>
        <v>0.198122865401184</v>
      </c>
      <c r="AL222" s="35" t="n">
        <f aca="false">($J222*AL$1)/$K222</f>
        <v>0.202007627467874</v>
      </c>
    </row>
    <row r="223" customFormat="false" ht="15" hidden="false" customHeight="false" outlineLevel="0" collapsed="false">
      <c r="A223" s="5" t="s">
        <v>40</v>
      </c>
      <c r="B223" s="0" t="s">
        <v>292</v>
      </c>
      <c r="C223" s="16" t="s">
        <v>293</v>
      </c>
      <c r="D223" s="45" t="n">
        <v>21</v>
      </c>
      <c r="E223" s="45"/>
      <c r="F223" s="44" t="n">
        <f aca="false">+F227*0.9</f>
        <v>0.204685650334863</v>
      </c>
      <c r="G223" s="44" t="n">
        <f aca="false">+G227*0.9</f>
        <v>0.204685650334863</v>
      </c>
      <c r="H223" s="44" t="n">
        <f aca="false">+H227*0.9</f>
        <v>0.217717467931566</v>
      </c>
      <c r="I223" s="44" t="n">
        <f aca="false">+I227*0.9</f>
        <v>0.23074928552827</v>
      </c>
      <c r="J223" s="44" t="n">
        <f aca="false">+J227*0.9</f>
        <v>0.20718731022346</v>
      </c>
      <c r="K223" s="31" t="n">
        <v>2</v>
      </c>
      <c r="L223" s="32"/>
      <c r="M223" s="32"/>
      <c r="N223" s="32"/>
      <c r="O223" s="32"/>
      <c r="P223" s="32"/>
      <c r="Q223" s="32"/>
      <c r="R223" s="32" t="n">
        <f aca="false">($G223*R$1)/$K223</f>
        <v>0.122811390200918</v>
      </c>
      <c r="S223" s="32" t="n">
        <f aca="false">($G223*S$1)/$K223</f>
        <v>0.126649246144696</v>
      </c>
      <c r="T223" s="32" t="n">
        <f aca="false">($G223*T$1)/$K223</f>
        <v>0.130487102088475</v>
      </c>
      <c r="U223" s="32" t="n">
        <f aca="false">($G223*U$1)/$K223</f>
        <v>0.134324958032254</v>
      </c>
      <c r="V223" s="33" t="n">
        <f aca="false">($H223*V$1)/$K223</f>
        <v>0.146959290853807</v>
      </c>
      <c r="W223" s="33" t="n">
        <f aca="false">($H223*W$1)/$K223</f>
        <v>0.151041493377524</v>
      </c>
      <c r="X223" s="33" t="n">
        <f aca="false">($H223*X$1)/$K223</f>
        <v>0.155123695901241</v>
      </c>
      <c r="Y223" s="33" t="n">
        <f aca="false">($H223*Y$1)/$K223</f>
        <v>0.159205898424958</v>
      </c>
      <c r="Z223" s="34" t="n">
        <f aca="false">($I223*Z$1)/$K223</f>
        <v>0.173061964146202</v>
      </c>
      <c r="AA223" s="34" t="n">
        <f aca="false">($I223*AA$1)/$K223</f>
        <v>0.177388513249857</v>
      </c>
      <c r="AB223" s="34" t="n">
        <f aca="false">($I223*AB$1)/$K223</f>
        <v>0.181715062353512</v>
      </c>
      <c r="AC223" s="34" t="n">
        <f aca="false">($I223*AC$1)/$K223</f>
        <v>0.186041611457167</v>
      </c>
      <c r="AD223" s="35" t="n">
        <f aca="false">($J223*AD$1)/$K223</f>
        <v>0.170929530934355</v>
      </c>
      <c r="AE223" s="35" t="n">
        <f aca="false">($J223*AE$1)/$K223</f>
        <v>0.174814293001045</v>
      </c>
      <c r="AF223" s="35" t="n">
        <f aca="false">($J223*AF$1)/$K223</f>
        <v>0.178699055067735</v>
      </c>
      <c r="AG223" s="35" t="n">
        <f aca="false">($J223*AG$1)/$K223</f>
        <v>0.182583817134424</v>
      </c>
      <c r="AH223" s="35" t="n">
        <f aca="false">($J223*AH$1)/$K223</f>
        <v>0.186468579201114</v>
      </c>
      <c r="AI223" s="35" t="n">
        <f aca="false">($J223*AI$1)/$K223</f>
        <v>0.190353341267804</v>
      </c>
      <c r="AJ223" s="35" t="n">
        <f aca="false">($J223*AJ$1)/$K223</f>
        <v>0.194238103334494</v>
      </c>
      <c r="AK223" s="35" t="n">
        <f aca="false">($J223*AK$1)/$K223</f>
        <v>0.198122865401184</v>
      </c>
      <c r="AL223" s="35" t="n">
        <f aca="false">($J223*AL$1)/$K223</f>
        <v>0.202007627467874</v>
      </c>
    </row>
    <row r="224" customFormat="false" ht="15" hidden="false" customHeight="false" outlineLevel="0" collapsed="false">
      <c r="A224" s="5" t="s">
        <v>22</v>
      </c>
      <c r="B224" s="0" t="s">
        <v>294</v>
      </c>
      <c r="C224" s="16" t="s">
        <v>295</v>
      </c>
      <c r="D224" s="45" t="n">
        <v>15</v>
      </c>
      <c r="E224" s="45"/>
      <c r="F224" s="44" t="n">
        <v>0.22742850037207</v>
      </c>
      <c r="G224" s="44" t="n">
        <v>0.22742850037207</v>
      </c>
      <c r="H224" s="44" t="n">
        <f aca="false">+(I224+G224)/2</f>
        <v>0.24190829770174</v>
      </c>
      <c r="I224" s="44" t="n">
        <v>0.256388095031411</v>
      </c>
      <c r="J224" s="44" t="n">
        <v>0.230208122470512</v>
      </c>
      <c r="K224" s="31" t="n">
        <v>2</v>
      </c>
      <c r="L224" s="32"/>
      <c r="M224" s="32"/>
      <c r="N224" s="32"/>
      <c r="O224" s="32"/>
      <c r="P224" s="32"/>
      <c r="Q224" s="32"/>
      <c r="R224" s="32" t="n">
        <f aca="false">($G224*R$1)/$K224</f>
        <v>0.136457100223242</v>
      </c>
      <c r="S224" s="32" t="n">
        <f aca="false">($G224*S$1)/$K224</f>
        <v>0.140721384605218</v>
      </c>
      <c r="T224" s="32" t="n">
        <f aca="false">($G224*T$1)/$K224</f>
        <v>0.144985668987195</v>
      </c>
      <c r="U224" s="32" t="n">
        <f aca="false">($G224*U$1)/$K224</f>
        <v>0.149249953369171</v>
      </c>
      <c r="V224" s="33" t="n">
        <f aca="false">($H224*V$1)/$K224</f>
        <v>0.163288100948675</v>
      </c>
      <c r="W224" s="33" t="n">
        <f aca="false">($H224*W$1)/$K224</f>
        <v>0.167823881530582</v>
      </c>
      <c r="X224" s="33" t="n">
        <f aca="false">($H224*X$1)/$K224</f>
        <v>0.17235966211249</v>
      </c>
      <c r="Y224" s="33" t="n">
        <f aca="false">($H224*Y$1)/$K224</f>
        <v>0.176895442694398</v>
      </c>
      <c r="Z224" s="34" t="n">
        <f aca="false">($I224*Z$1)/$K224</f>
        <v>0.192291071273558</v>
      </c>
      <c r="AA224" s="34" t="n">
        <f aca="false">($I224*AA$1)/$K224</f>
        <v>0.197098348055397</v>
      </c>
      <c r="AB224" s="34" t="n">
        <f aca="false">($I224*AB$1)/$K224</f>
        <v>0.201905624837236</v>
      </c>
      <c r="AC224" s="34" t="n">
        <f aca="false">($I224*AC$1)/$K224</f>
        <v>0.206712901619075</v>
      </c>
      <c r="AD224" s="35" t="n">
        <f aca="false">($J224*AD$1)/$K224</f>
        <v>0.189921701038172</v>
      </c>
      <c r="AE224" s="35" t="n">
        <f aca="false">($J224*AE$1)/$K224</f>
        <v>0.194238103334494</v>
      </c>
      <c r="AF224" s="35" t="n">
        <f aca="false">($J224*AF$1)/$K224</f>
        <v>0.198554505630816</v>
      </c>
      <c r="AG224" s="35" t="n">
        <f aca="false">($J224*AG$1)/$K224</f>
        <v>0.202870907927138</v>
      </c>
      <c r="AH224" s="35" t="n">
        <f aca="false">($J224*AH$1)/$K224</f>
        <v>0.20718731022346</v>
      </c>
      <c r="AI224" s="35" t="n">
        <f aca="false">($J224*AI$1)/$K224</f>
        <v>0.211503712519782</v>
      </c>
      <c r="AJ224" s="35" t="n">
        <f aca="false">($J224*AJ$1)/$K224</f>
        <v>0.215820114816105</v>
      </c>
      <c r="AK224" s="35" t="n">
        <f aca="false">($J224*AK$1)/$K224</f>
        <v>0.220136517112427</v>
      </c>
      <c r="AL224" s="35" t="n">
        <f aca="false">($J224*AL$1)/$K224</f>
        <v>0.224452919408749</v>
      </c>
    </row>
    <row r="225" customFormat="false" ht="15" hidden="false" customHeight="false" outlineLevel="0" collapsed="false">
      <c r="A225" s="5" t="s">
        <v>22</v>
      </c>
      <c r="B225" s="0" t="s">
        <v>296</v>
      </c>
      <c r="C225" s="16" t="s">
        <v>297</v>
      </c>
      <c r="D225" s="45" t="n">
        <v>15</v>
      </c>
      <c r="E225" s="45"/>
      <c r="F225" s="44" t="n">
        <v>0.22742850037207</v>
      </c>
      <c r="G225" s="44" t="n">
        <v>0.22742850037207</v>
      </c>
      <c r="H225" s="44" t="n">
        <f aca="false">+(I225+G225)/2</f>
        <v>0.24190829770174</v>
      </c>
      <c r="I225" s="44" t="n">
        <v>0.256388095031411</v>
      </c>
      <c r="J225" s="44" t="n">
        <v>0.230208122470512</v>
      </c>
      <c r="K225" s="31" t="n">
        <v>2</v>
      </c>
      <c r="L225" s="32"/>
      <c r="M225" s="32"/>
      <c r="N225" s="32"/>
      <c r="O225" s="32"/>
      <c r="P225" s="32"/>
      <c r="Q225" s="32"/>
      <c r="R225" s="32" t="n">
        <f aca="false">($G225*R$1)/$K225</f>
        <v>0.136457100223242</v>
      </c>
      <c r="S225" s="32" t="n">
        <f aca="false">($G225*S$1)/$K225</f>
        <v>0.140721384605218</v>
      </c>
      <c r="T225" s="32" t="n">
        <f aca="false">($G225*T$1)/$K225</f>
        <v>0.144985668987195</v>
      </c>
      <c r="U225" s="32" t="n">
        <f aca="false">($G225*U$1)/$K225</f>
        <v>0.149249953369171</v>
      </c>
      <c r="V225" s="33" t="n">
        <f aca="false">($H225*V$1)/$K225</f>
        <v>0.163288100948675</v>
      </c>
      <c r="W225" s="33" t="n">
        <f aca="false">($H225*W$1)/$K225</f>
        <v>0.167823881530582</v>
      </c>
      <c r="X225" s="33" t="n">
        <f aca="false">($H225*X$1)/$K225</f>
        <v>0.17235966211249</v>
      </c>
      <c r="Y225" s="33" t="n">
        <f aca="false">($H225*Y$1)/$K225</f>
        <v>0.176895442694398</v>
      </c>
      <c r="Z225" s="34" t="n">
        <f aca="false">($I225*Z$1)/$K225</f>
        <v>0.192291071273558</v>
      </c>
      <c r="AA225" s="34" t="n">
        <f aca="false">($I225*AA$1)/$K225</f>
        <v>0.197098348055397</v>
      </c>
      <c r="AB225" s="34" t="n">
        <f aca="false">($I225*AB$1)/$K225</f>
        <v>0.201905624837236</v>
      </c>
      <c r="AC225" s="34" t="n">
        <f aca="false">($I225*AC$1)/$K225</f>
        <v>0.206712901619075</v>
      </c>
      <c r="AD225" s="35" t="n">
        <f aca="false">($J225*AD$1)/$K225</f>
        <v>0.189921701038172</v>
      </c>
      <c r="AE225" s="35" t="n">
        <f aca="false">($J225*AE$1)/$K225</f>
        <v>0.194238103334494</v>
      </c>
      <c r="AF225" s="35" t="n">
        <f aca="false">($J225*AF$1)/$K225</f>
        <v>0.198554505630816</v>
      </c>
      <c r="AG225" s="35" t="n">
        <f aca="false">($J225*AG$1)/$K225</f>
        <v>0.202870907927138</v>
      </c>
      <c r="AH225" s="35" t="n">
        <f aca="false">($J225*AH$1)/$K225</f>
        <v>0.20718731022346</v>
      </c>
      <c r="AI225" s="35" t="n">
        <f aca="false">($J225*AI$1)/$K225</f>
        <v>0.211503712519782</v>
      </c>
      <c r="AJ225" s="35" t="n">
        <f aca="false">($J225*AJ$1)/$K225</f>
        <v>0.215820114816105</v>
      </c>
      <c r="AK225" s="35" t="n">
        <f aca="false">($J225*AK$1)/$K225</f>
        <v>0.220136517112427</v>
      </c>
      <c r="AL225" s="35" t="n">
        <f aca="false">($J225*AL$1)/$K225</f>
        <v>0.224452919408749</v>
      </c>
    </row>
    <row r="226" customFormat="false" ht="15" hidden="false" customHeight="false" outlineLevel="0" collapsed="false">
      <c r="A226" s="5" t="s">
        <v>22</v>
      </c>
      <c r="B226" s="0" t="s">
        <v>294</v>
      </c>
      <c r="C226" s="16" t="s">
        <v>295</v>
      </c>
      <c r="D226" s="45" t="n">
        <v>22</v>
      </c>
      <c r="E226" s="45"/>
      <c r="F226" s="44" t="n">
        <v>0.22742850037207</v>
      </c>
      <c r="G226" s="44" t="n">
        <v>0.22742850037207</v>
      </c>
      <c r="H226" s="44" t="n">
        <f aca="false">+(I226+G226)/2</f>
        <v>0.24190829770174</v>
      </c>
      <c r="I226" s="44" t="n">
        <v>0.256388095031411</v>
      </c>
      <c r="J226" s="44" t="n">
        <v>0.230208122470512</v>
      </c>
      <c r="K226" s="31" t="n">
        <v>2</v>
      </c>
      <c r="L226" s="32"/>
      <c r="M226" s="32"/>
      <c r="N226" s="32"/>
      <c r="O226" s="32"/>
      <c r="P226" s="32"/>
      <c r="Q226" s="32"/>
      <c r="R226" s="32" t="n">
        <f aca="false">($G226*R$1)/$K226</f>
        <v>0.136457100223242</v>
      </c>
      <c r="S226" s="32" t="n">
        <f aca="false">($G226*S$1)/$K226</f>
        <v>0.140721384605218</v>
      </c>
      <c r="T226" s="32" t="n">
        <f aca="false">($G226*T$1)/$K226</f>
        <v>0.144985668987195</v>
      </c>
      <c r="U226" s="32" t="n">
        <f aca="false">($G226*U$1)/$K226</f>
        <v>0.149249953369171</v>
      </c>
      <c r="V226" s="33" t="n">
        <f aca="false">($H226*V$1)/$K226</f>
        <v>0.163288100948675</v>
      </c>
      <c r="W226" s="33" t="n">
        <f aca="false">($H226*W$1)/$K226</f>
        <v>0.167823881530582</v>
      </c>
      <c r="X226" s="33" t="n">
        <f aca="false">($H226*X$1)/$K226</f>
        <v>0.17235966211249</v>
      </c>
      <c r="Y226" s="33" t="n">
        <f aca="false">($H226*Y$1)/$K226</f>
        <v>0.176895442694398</v>
      </c>
      <c r="Z226" s="34" t="n">
        <f aca="false">($I226*Z$1)/$K226</f>
        <v>0.192291071273558</v>
      </c>
      <c r="AA226" s="34" t="n">
        <f aca="false">($I226*AA$1)/$K226</f>
        <v>0.197098348055397</v>
      </c>
      <c r="AB226" s="34" t="n">
        <f aca="false">($I226*AB$1)/$K226</f>
        <v>0.201905624837236</v>
      </c>
      <c r="AC226" s="34" t="n">
        <f aca="false">($I226*AC$1)/$K226</f>
        <v>0.206712901619075</v>
      </c>
      <c r="AD226" s="35" t="n">
        <f aca="false">($J226*AD$1)/$K226</f>
        <v>0.189921701038172</v>
      </c>
      <c r="AE226" s="35" t="n">
        <f aca="false">($J226*AE$1)/$K226</f>
        <v>0.194238103334494</v>
      </c>
      <c r="AF226" s="35" t="n">
        <f aca="false">($J226*AF$1)/$K226</f>
        <v>0.198554505630816</v>
      </c>
      <c r="AG226" s="35" t="n">
        <f aca="false">($J226*AG$1)/$K226</f>
        <v>0.202870907927138</v>
      </c>
      <c r="AH226" s="35" t="n">
        <f aca="false">($J226*AH$1)/$K226</f>
        <v>0.20718731022346</v>
      </c>
      <c r="AI226" s="35" t="n">
        <f aca="false">($J226*AI$1)/$K226</f>
        <v>0.211503712519782</v>
      </c>
      <c r="AJ226" s="35" t="n">
        <f aca="false">($J226*AJ$1)/$K226</f>
        <v>0.215820114816105</v>
      </c>
      <c r="AK226" s="35" t="n">
        <f aca="false">($J226*AK$1)/$K226</f>
        <v>0.220136517112427</v>
      </c>
      <c r="AL226" s="35" t="n">
        <f aca="false">($J226*AL$1)/$K226</f>
        <v>0.224452919408749</v>
      </c>
    </row>
    <row r="227" customFormat="false" ht="15" hidden="false" customHeight="false" outlineLevel="0" collapsed="false">
      <c r="A227" s="5" t="s">
        <v>22</v>
      </c>
      <c r="B227" s="0" t="s">
        <v>296</v>
      </c>
      <c r="C227" s="16" t="s">
        <v>297</v>
      </c>
      <c r="D227" s="45" t="n">
        <v>22</v>
      </c>
      <c r="E227" s="45"/>
      <c r="F227" s="44" t="n">
        <v>0.22742850037207</v>
      </c>
      <c r="G227" s="44" t="n">
        <v>0.22742850037207</v>
      </c>
      <c r="H227" s="44" t="n">
        <f aca="false">+(I227+G227)/2</f>
        <v>0.24190829770174</v>
      </c>
      <c r="I227" s="44" t="n">
        <v>0.256388095031411</v>
      </c>
      <c r="J227" s="44" t="n">
        <v>0.230208122470512</v>
      </c>
      <c r="K227" s="31" t="n">
        <v>2</v>
      </c>
      <c r="L227" s="32"/>
      <c r="M227" s="32"/>
      <c r="N227" s="32"/>
      <c r="O227" s="32"/>
      <c r="P227" s="32"/>
      <c r="Q227" s="32"/>
      <c r="R227" s="32" t="n">
        <f aca="false">($G227*R$1)/$K227</f>
        <v>0.136457100223242</v>
      </c>
      <c r="S227" s="32" t="n">
        <f aca="false">($G227*S$1)/$K227</f>
        <v>0.140721384605218</v>
      </c>
      <c r="T227" s="32" t="n">
        <f aca="false">($G227*T$1)/$K227</f>
        <v>0.144985668987195</v>
      </c>
      <c r="U227" s="32" t="n">
        <f aca="false">($G227*U$1)/$K227</f>
        <v>0.149249953369171</v>
      </c>
      <c r="V227" s="33" t="n">
        <f aca="false">($H227*V$1)/$K227</f>
        <v>0.163288100948675</v>
      </c>
      <c r="W227" s="33" t="n">
        <f aca="false">($H227*W$1)/$K227</f>
        <v>0.167823881530582</v>
      </c>
      <c r="X227" s="33" t="n">
        <f aca="false">($H227*X$1)/$K227</f>
        <v>0.17235966211249</v>
      </c>
      <c r="Y227" s="33" t="n">
        <f aca="false">($H227*Y$1)/$K227</f>
        <v>0.176895442694398</v>
      </c>
      <c r="Z227" s="34" t="n">
        <f aca="false">($I227*Z$1)/$K227</f>
        <v>0.192291071273558</v>
      </c>
      <c r="AA227" s="34" t="n">
        <f aca="false">($I227*AA$1)/$K227</f>
        <v>0.197098348055397</v>
      </c>
      <c r="AB227" s="34" t="n">
        <f aca="false">($I227*AB$1)/$K227</f>
        <v>0.201905624837236</v>
      </c>
      <c r="AC227" s="34" t="n">
        <f aca="false">($I227*AC$1)/$K227</f>
        <v>0.206712901619075</v>
      </c>
      <c r="AD227" s="35" t="n">
        <f aca="false">($J227*AD$1)/$K227</f>
        <v>0.189921701038172</v>
      </c>
      <c r="AE227" s="35" t="n">
        <f aca="false">($J227*AE$1)/$K227</f>
        <v>0.194238103334494</v>
      </c>
      <c r="AF227" s="35" t="n">
        <f aca="false">($J227*AF$1)/$K227</f>
        <v>0.198554505630816</v>
      </c>
      <c r="AG227" s="35" t="n">
        <f aca="false">($J227*AG$1)/$K227</f>
        <v>0.202870907927138</v>
      </c>
      <c r="AH227" s="35" t="n">
        <f aca="false">($J227*AH$1)/$K227</f>
        <v>0.20718731022346</v>
      </c>
      <c r="AI227" s="35" t="n">
        <f aca="false">($J227*AI$1)/$K227</f>
        <v>0.211503712519782</v>
      </c>
      <c r="AJ227" s="35" t="n">
        <f aca="false">($J227*AJ$1)/$K227</f>
        <v>0.215820114816105</v>
      </c>
      <c r="AK227" s="35" t="n">
        <f aca="false">($J227*AK$1)/$K227</f>
        <v>0.220136517112427</v>
      </c>
      <c r="AL227" s="35" t="n">
        <f aca="false">($J227*AL$1)/$K227</f>
        <v>0.224452919408749</v>
      </c>
    </row>
    <row r="228" customFormat="false" ht="15" hidden="false" customHeight="false" outlineLevel="0" collapsed="false">
      <c r="A228" s="5" t="s">
        <v>29</v>
      </c>
      <c r="B228" s="0" t="s">
        <v>298</v>
      </c>
      <c r="C228" s="16" t="s">
        <v>299</v>
      </c>
      <c r="D228" s="45" t="n">
        <v>6</v>
      </c>
      <c r="E228" s="45"/>
      <c r="F228" s="47" t="n">
        <v>0.106687620516358</v>
      </c>
      <c r="G228" s="47" t="n">
        <v>0.106687620516358</v>
      </c>
      <c r="H228" s="44" t="n">
        <f aca="false">+(I228+G228)/2</f>
        <v>0.103966445594156</v>
      </c>
      <c r="I228" s="47" t="n">
        <v>0.101245270671954</v>
      </c>
      <c r="J228" s="47" t="n">
        <v>0.102259213446914</v>
      </c>
      <c r="K228" s="31" t="n">
        <v>1</v>
      </c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3"/>
      <c r="W228" s="33"/>
      <c r="X228" s="33"/>
      <c r="Y228" s="33"/>
      <c r="Z228" s="34"/>
      <c r="AA228" s="34"/>
      <c r="AB228" s="34"/>
      <c r="AC228" s="34"/>
      <c r="AD228" s="35" t="n">
        <f aca="false">($J228*AD$1)/$K228</f>
        <v>0.168727702187407</v>
      </c>
      <c r="AE228" s="35" t="n">
        <f aca="false">($J228*AE$1)/$K228</f>
        <v>0.172562422691667</v>
      </c>
      <c r="AF228" s="35" t="n">
        <f aca="false">($J228*AF$1)/$K228</f>
        <v>0.176397143195926</v>
      </c>
      <c r="AG228" s="35" t="n">
        <f aca="false">($J228*AG$1)/$K228</f>
        <v>0.180231863700185</v>
      </c>
      <c r="AH228" s="35" t="n">
        <f aca="false">($J228*AH$1)/$K228</f>
        <v>0.184066584204444</v>
      </c>
      <c r="AI228" s="35" t="n">
        <f aca="false">($J228*AI$1)/$K228</f>
        <v>0.187901304708704</v>
      </c>
      <c r="AJ228" s="35" t="n">
        <f aca="false">($J228*AJ$1)/$K228</f>
        <v>0.191736025212963</v>
      </c>
      <c r="AK228" s="35" t="n">
        <f aca="false">($J228*AK$1)/$K228</f>
        <v>0.195570745717222</v>
      </c>
      <c r="AL228" s="35" t="n">
        <f aca="false">($J228*AL$1)/$K228</f>
        <v>0.199405466221481</v>
      </c>
    </row>
    <row r="229" customFormat="false" ht="15" hidden="false" customHeight="false" outlineLevel="0" collapsed="false">
      <c r="A229" s="5" t="s">
        <v>29</v>
      </c>
      <c r="B229" s="0" t="s">
        <v>300</v>
      </c>
      <c r="C229" s="16" t="s">
        <v>301</v>
      </c>
      <c r="D229" s="45" t="n">
        <v>6</v>
      </c>
      <c r="E229" s="45"/>
      <c r="F229" s="47" t="n">
        <v>0.106687620516358</v>
      </c>
      <c r="G229" s="47" t="n">
        <v>0.106687620516358</v>
      </c>
      <c r="H229" s="44" t="n">
        <f aca="false">+(I229+G229)/2</f>
        <v>0.103966445594156</v>
      </c>
      <c r="I229" s="47" t="n">
        <v>0.101245270671954</v>
      </c>
      <c r="J229" s="47" t="n">
        <v>0.102259213446914</v>
      </c>
      <c r="K229" s="31" t="n">
        <v>1</v>
      </c>
      <c r="L229" s="32"/>
      <c r="M229" s="32"/>
      <c r="N229" s="32"/>
      <c r="O229" s="32"/>
      <c r="P229" s="32"/>
      <c r="Q229" s="32"/>
      <c r="R229" s="32" t="n">
        <f aca="false">($G229*R$1)/$K229</f>
        <v>0.128025144619629</v>
      </c>
      <c r="S229" s="32" t="n">
        <f aca="false">($G229*S$1)/$K229</f>
        <v>0.132025930388993</v>
      </c>
      <c r="T229" s="32" t="n">
        <f aca="false">($G229*T$1)/$K229</f>
        <v>0.136026716158356</v>
      </c>
      <c r="U229" s="32" t="n">
        <f aca="false">($G229*U$1)/$K229</f>
        <v>0.14002750192772</v>
      </c>
      <c r="V229" s="33" t="n">
        <f aca="false">($H229*V$1)/$K229</f>
        <v>0.14035470155211</v>
      </c>
      <c r="W229" s="33" t="n">
        <f aca="false">($H229*W$1)/$K229</f>
        <v>0.144253443261891</v>
      </c>
      <c r="X229" s="33" t="n">
        <f aca="false">($H229*X$1)/$K229</f>
        <v>0.148152184971672</v>
      </c>
      <c r="Y229" s="33" t="n">
        <f aca="false">($H229*Y$1)/$K229</f>
        <v>0.152050926681453</v>
      </c>
      <c r="Z229" s="34" t="n">
        <f aca="false">($I229*Z$1)/$K229</f>
        <v>0.151867906007931</v>
      </c>
      <c r="AA229" s="34" t="n">
        <f aca="false">($I229*AA$1)/$K229</f>
        <v>0.155664603658129</v>
      </c>
      <c r="AB229" s="34" t="n">
        <f aca="false">($I229*AB$1)/$K229</f>
        <v>0.159461301308327</v>
      </c>
      <c r="AC229" s="34" t="n">
        <f aca="false">($I229*AC$1)/$K229</f>
        <v>0.163257998958525</v>
      </c>
      <c r="AD229" s="35" t="n">
        <f aca="false">($J229*AD$1)/$K229</f>
        <v>0.168727702187407</v>
      </c>
      <c r="AE229" s="35" t="n">
        <f aca="false">($J229*AE$1)/$K229</f>
        <v>0.172562422691667</v>
      </c>
      <c r="AF229" s="35" t="n">
        <f aca="false">($J229*AF$1)/$K229</f>
        <v>0.176397143195926</v>
      </c>
      <c r="AG229" s="35" t="n">
        <f aca="false">($J229*AG$1)/$K229</f>
        <v>0.180231863700185</v>
      </c>
      <c r="AH229" s="35"/>
      <c r="AI229" s="35"/>
      <c r="AJ229" s="35"/>
      <c r="AK229" s="35"/>
      <c r="AL229" s="35"/>
    </row>
    <row r="230" customFormat="false" ht="15" hidden="false" customHeight="false" outlineLevel="0" collapsed="false">
      <c r="A230" s="5" t="s">
        <v>29</v>
      </c>
      <c r="B230" s="0" t="s">
        <v>302</v>
      </c>
      <c r="C230" s="16" t="s">
        <v>303</v>
      </c>
      <c r="D230" s="45" t="n">
        <v>6</v>
      </c>
      <c r="E230" s="45"/>
      <c r="F230" s="47" t="n">
        <v>0.106687620516358</v>
      </c>
      <c r="G230" s="47" t="n">
        <v>0.106687620516358</v>
      </c>
      <c r="H230" s="44" t="n">
        <f aca="false">+(I230+G230)/2</f>
        <v>0.103966445594156</v>
      </c>
      <c r="I230" s="47" t="n">
        <v>0.101245270671954</v>
      </c>
      <c r="J230" s="47" t="n">
        <v>0.102259213446914</v>
      </c>
      <c r="K230" s="31" t="n">
        <v>1</v>
      </c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3"/>
      <c r="W230" s="33" t="n">
        <f aca="false">($H230*W$1)/$K230</f>
        <v>0.144253443261891</v>
      </c>
      <c r="X230" s="33" t="n">
        <f aca="false">($H230*X$1)/$K230</f>
        <v>0.148152184971672</v>
      </c>
      <c r="Y230" s="33" t="n">
        <f aca="false">($H230*Y$1)/$K230</f>
        <v>0.152050926681453</v>
      </c>
      <c r="Z230" s="34" t="n">
        <f aca="false">($I230*Z$1)/$K230</f>
        <v>0.151867906007931</v>
      </c>
      <c r="AA230" s="34" t="n">
        <f aca="false">($I230*AA$1)/$K230</f>
        <v>0.155664603658129</v>
      </c>
      <c r="AB230" s="34" t="n">
        <f aca="false">($I230*AB$1)/$K230</f>
        <v>0.159461301308327</v>
      </c>
      <c r="AC230" s="34" t="n">
        <f aca="false">($I230*AC$1)/$K230</f>
        <v>0.163257998958525</v>
      </c>
      <c r="AD230" s="35" t="n">
        <f aca="false">($J230*AD$1)/$K230</f>
        <v>0.168727702187407</v>
      </c>
      <c r="AE230" s="35" t="n">
        <f aca="false">($J230*AE$1)/$K230</f>
        <v>0.172562422691667</v>
      </c>
      <c r="AF230" s="35" t="n">
        <f aca="false">($J230*AF$1)/$K230</f>
        <v>0.176397143195926</v>
      </c>
      <c r="AG230" s="35" t="n">
        <f aca="false">($J230*AG$1)/$K230</f>
        <v>0.180231863700185</v>
      </c>
      <c r="AH230" s="35"/>
      <c r="AI230" s="35"/>
      <c r="AJ230" s="35"/>
      <c r="AK230" s="35"/>
      <c r="AL230" s="35"/>
    </row>
    <row r="231" customFormat="false" ht="15" hidden="false" customHeight="false" outlineLevel="0" collapsed="false">
      <c r="A231" s="5" t="s">
        <v>29</v>
      </c>
      <c r="B231" s="0" t="s">
        <v>304</v>
      </c>
      <c r="C231" s="16" t="s">
        <v>305</v>
      </c>
      <c r="D231" s="45" t="n">
        <v>6</v>
      </c>
      <c r="E231" s="45"/>
      <c r="F231" s="47" t="n">
        <v>0.106687620516358</v>
      </c>
      <c r="G231" s="47" t="n">
        <v>0.106687620516358</v>
      </c>
      <c r="H231" s="44" t="n">
        <f aca="false">+(I231+G231)/2</f>
        <v>0.103966445594156</v>
      </c>
      <c r="I231" s="47" t="n">
        <v>0.101245270671954</v>
      </c>
      <c r="J231" s="47" t="n">
        <v>0.102259213446914</v>
      </c>
      <c r="K231" s="31" t="n">
        <v>1</v>
      </c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3"/>
      <c r="W231" s="33" t="n">
        <f aca="false">($H231*W$1)/$K231</f>
        <v>0.144253443261891</v>
      </c>
      <c r="X231" s="33" t="n">
        <f aca="false">($H231*X$1)/$K231</f>
        <v>0.148152184971672</v>
      </c>
      <c r="Y231" s="33" t="n">
        <f aca="false">($H231*Y$1)/$K231</f>
        <v>0.152050926681453</v>
      </c>
      <c r="Z231" s="34" t="n">
        <f aca="false">($I231*Z$1)/$K231</f>
        <v>0.151867906007931</v>
      </c>
      <c r="AA231" s="34" t="n">
        <f aca="false">($I231*AA$1)/$K231</f>
        <v>0.155664603658129</v>
      </c>
      <c r="AB231" s="34" t="n">
        <f aca="false">($I231*AB$1)/$K231</f>
        <v>0.159461301308327</v>
      </c>
      <c r="AC231" s="34" t="n">
        <f aca="false">($I231*AC$1)/$K231</f>
        <v>0.163257998958525</v>
      </c>
      <c r="AD231" s="35" t="n">
        <f aca="false">($J231*AD$1)/$K231</f>
        <v>0.168727702187407</v>
      </c>
      <c r="AE231" s="35" t="n">
        <f aca="false">($J231*AE$1)/$K231</f>
        <v>0.172562422691667</v>
      </c>
      <c r="AF231" s="35" t="n">
        <f aca="false">($J231*AF$1)/$K231</f>
        <v>0.176397143195926</v>
      </c>
      <c r="AG231" s="35" t="n">
        <f aca="false">($J231*AG$1)/$K231</f>
        <v>0.180231863700185</v>
      </c>
      <c r="AH231" s="35"/>
      <c r="AI231" s="35"/>
      <c r="AJ231" s="35"/>
      <c r="AK231" s="35"/>
      <c r="AL231" s="35"/>
    </row>
    <row r="232" customFormat="false" ht="15" hidden="false" customHeight="false" outlineLevel="0" collapsed="false">
      <c r="A232" s="5" t="s">
        <v>29</v>
      </c>
      <c r="B232" s="0" t="s">
        <v>306</v>
      </c>
      <c r="C232" s="16" t="s">
        <v>307</v>
      </c>
      <c r="D232" s="45" t="n">
        <v>6</v>
      </c>
      <c r="E232" s="45"/>
      <c r="F232" s="47" t="n">
        <v>0.106687620516358</v>
      </c>
      <c r="G232" s="47" t="n">
        <v>0.106687620516358</v>
      </c>
      <c r="H232" s="44" t="n">
        <f aca="false">+(I232+G232)/2</f>
        <v>0.103966445594156</v>
      </c>
      <c r="I232" s="47" t="n">
        <v>0.101245270671954</v>
      </c>
      <c r="J232" s="47" t="n">
        <v>0.102259213446914</v>
      </c>
      <c r="K232" s="31" t="n">
        <v>1</v>
      </c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3"/>
      <c r="W232" s="33"/>
      <c r="X232" s="33"/>
      <c r="Y232" s="33"/>
      <c r="Z232" s="34"/>
      <c r="AA232" s="34" t="n">
        <f aca="false">($I232*AA$1)/$K232</f>
        <v>0.155664603658129</v>
      </c>
      <c r="AB232" s="34" t="n">
        <f aca="false">($I232*AB$1)/$K232</f>
        <v>0.159461301308327</v>
      </c>
      <c r="AC232" s="34" t="n">
        <f aca="false">($I232*AC$1)/$K232</f>
        <v>0.163257998958525</v>
      </c>
      <c r="AD232" s="35" t="n">
        <f aca="false">($J232*AD$1)/$K232</f>
        <v>0.168727702187407</v>
      </c>
      <c r="AE232" s="35" t="n">
        <f aca="false">($J232*AE$1)/$K232</f>
        <v>0.172562422691667</v>
      </c>
      <c r="AF232" s="35" t="n">
        <f aca="false">($J232*AF$1)/$K232</f>
        <v>0.176397143195926</v>
      </c>
      <c r="AG232" s="35" t="n">
        <f aca="false">($J232*AG$1)/$K232</f>
        <v>0.180231863700185</v>
      </c>
      <c r="AH232" s="35" t="n">
        <f aca="false">($J232*AH$1)/$K232</f>
        <v>0.184066584204444</v>
      </c>
      <c r="AI232" s="35" t="n">
        <f aca="false">($J232*AI$1)/$K232</f>
        <v>0.187901304708704</v>
      </c>
      <c r="AJ232" s="35" t="n">
        <f aca="false">($J232*AJ$1)/$K232</f>
        <v>0.191736025212963</v>
      </c>
      <c r="AK232" s="35" t="n">
        <f aca="false">($J232*AK$1)/$K232</f>
        <v>0.195570745717222</v>
      </c>
      <c r="AL232" s="35" t="n">
        <f aca="false">($J232*AL$1)/$K232</f>
        <v>0.199405466221481</v>
      </c>
    </row>
    <row r="233" customFormat="false" ht="15" hidden="false" customHeight="false" outlineLevel="0" collapsed="false">
      <c r="A233" s="5" t="s">
        <v>29</v>
      </c>
      <c r="B233" s="0" t="s">
        <v>308</v>
      </c>
      <c r="C233" s="16" t="s">
        <v>309</v>
      </c>
      <c r="D233" s="45" t="n">
        <v>6</v>
      </c>
      <c r="E233" s="45"/>
      <c r="F233" s="47" t="n">
        <v>0.106687620516358</v>
      </c>
      <c r="G233" s="47" t="n">
        <v>0.106687620516358</v>
      </c>
      <c r="H233" s="44" t="n">
        <f aca="false">+(I233+G233)/2</f>
        <v>0.103966445594156</v>
      </c>
      <c r="I233" s="47" t="n">
        <v>0.101245270671954</v>
      </c>
      <c r="J233" s="47" t="n">
        <v>0.102259213446914</v>
      </c>
      <c r="K233" s="31" t="n">
        <v>1</v>
      </c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3"/>
      <c r="W233" s="33"/>
      <c r="X233" s="33"/>
      <c r="Y233" s="33"/>
      <c r="Z233" s="34"/>
      <c r="AA233" s="34" t="n">
        <f aca="false">($I233*AA$1)/$K233</f>
        <v>0.155664603658129</v>
      </c>
      <c r="AB233" s="34" t="n">
        <f aca="false">($I233*AB$1)/$K233</f>
        <v>0.159461301308327</v>
      </c>
      <c r="AC233" s="34" t="n">
        <f aca="false">($I233*AC$1)/$K233</f>
        <v>0.163257998958525</v>
      </c>
      <c r="AD233" s="35" t="n">
        <f aca="false">($J233*AD$1)/$K233</f>
        <v>0.168727702187407</v>
      </c>
      <c r="AE233" s="35" t="n">
        <f aca="false">($J233*AE$1)/$K233</f>
        <v>0.172562422691667</v>
      </c>
      <c r="AF233" s="35" t="n">
        <f aca="false">($J233*AF$1)/$K233</f>
        <v>0.176397143195926</v>
      </c>
      <c r="AG233" s="35" t="n">
        <f aca="false">($J233*AG$1)/$K233</f>
        <v>0.180231863700185</v>
      </c>
      <c r="AH233" s="35" t="n">
        <f aca="false">($J233*AH$1)/$K233</f>
        <v>0.184066584204444</v>
      </c>
      <c r="AI233" s="35" t="n">
        <f aca="false">($J233*AI$1)/$K233</f>
        <v>0.187901304708704</v>
      </c>
      <c r="AJ233" s="35" t="n">
        <f aca="false">($J233*AJ$1)/$K233</f>
        <v>0.191736025212963</v>
      </c>
      <c r="AK233" s="35" t="n">
        <f aca="false">($J233*AK$1)/$K233</f>
        <v>0.195570745717222</v>
      </c>
      <c r="AL233" s="35" t="n">
        <f aca="false">($J233*AL$1)/$K233</f>
        <v>0.199405466221481</v>
      </c>
    </row>
    <row r="234" customFormat="false" ht="15" hidden="false" customHeight="false" outlineLevel="0" collapsed="false">
      <c r="A234" s="5" t="s">
        <v>29</v>
      </c>
      <c r="B234" s="0" t="s">
        <v>310</v>
      </c>
      <c r="C234" s="16" t="s">
        <v>311</v>
      </c>
      <c r="D234" s="45" t="n">
        <v>6</v>
      </c>
      <c r="E234" s="45"/>
      <c r="F234" s="47" t="n">
        <v>0.106687620516358</v>
      </c>
      <c r="G234" s="47" t="n">
        <v>0.106687620516358</v>
      </c>
      <c r="H234" s="44" t="n">
        <f aca="false">+(I234+G234)/2</f>
        <v>0.103966445594156</v>
      </c>
      <c r="I234" s="47" t="n">
        <v>0.101245270671954</v>
      </c>
      <c r="J234" s="47" t="n">
        <v>0.102259213446914</v>
      </c>
      <c r="K234" s="31" t="n">
        <v>1</v>
      </c>
      <c r="L234" s="32"/>
      <c r="M234" s="32"/>
      <c r="N234" s="32"/>
      <c r="O234" s="32"/>
      <c r="P234" s="32"/>
      <c r="Q234" s="32"/>
      <c r="R234" s="32" t="n">
        <f aca="false">($G234*R$1)/$K234</f>
        <v>0.128025144619629</v>
      </c>
      <c r="S234" s="32" t="n">
        <f aca="false">($G234*S$1)/$K234</f>
        <v>0.132025930388993</v>
      </c>
      <c r="T234" s="32" t="n">
        <f aca="false">($G234*T$1)/$K234</f>
        <v>0.136026716158356</v>
      </c>
      <c r="U234" s="32" t="n">
        <f aca="false">($G234*U$1)/$K234</f>
        <v>0.14002750192772</v>
      </c>
      <c r="V234" s="33"/>
      <c r="W234" s="33"/>
      <c r="X234" s="33"/>
      <c r="Y234" s="33"/>
      <c r="Z234" s="34"/>
      <c r="AA234" s="34"/>
      <c r="AB234" s="34"/>
      <c r="AC234" s="34"/>
      <c r="AD234" s="35"/>
      <c r="AE234" s="35"/>
      <c r="AF234" s="35"/>
      <c r="AG234" s="35"/>
      <c r="AH234" s="35"/>
      <c r="AI234" s="35"/>
      <c r="AJ234" s="35"/>
      <c r="AK234" s="35"/>
      <c r="AL234" s="35"/>
    </row>
    <row r="235" customFormat="false" ht="15" hidden="false" customHeight="false" outlineLevel="0" collapsed="false">
      <c r="A235" s="5" t="s">
        <v>29</v>
      </c>
      <c r="B235" s="0" t="s">
        <v>312</v>
      </c>
      <c r="C235" s="16" t="s">
        <v>313</v>
      </c>
      <c r="D235" s="45" t="n">
        <v>6</v>
      </c>
      <c r="E235" s="45"/>
      <c r="F235" s="47" t="n">
        <v>0.106687620516358</v>
      </c>
      <c r="G235" s="47" t="n">
        <v>0.106687620516358</v>
      </c>
      <c r="H235" s="44" t="n">
        <f aca="false">+(I235+G235)/2</f>
        <v>0.103966445594156</v>
      </c>
      <c r="I235" s="47" t="n">
        <v>0.101245270671954</v>
      </c>
      <c r="J235" s="47" t="n">
        <v>0.102259213446914</v>
      </c>
      <c r="K235" s="31" t="n">
        <v>1</v>
      </c>
      <c r="L235" s="32"/>
      <c r="M235" s="32"/>
      <c r="N235" s="32"/>
      <c r="O235" s="32"/>
      <c r="P235" s="32"/>
      <c r="Q235" s="32"/>
      <c r="R235" s="32" t="n">
        <f aca="false">($G235*R$1)/$K235</f>
        <v>0.128025144619629</v>
      </c>
      <c r="S235" s="32" t="n">
        <f aca="false">($G235*S$1)/$K235</f>
        <v>0.132025930388993</v>
      </c>
      <c r="T235" s="32" t="n">
        <f aca="false">($G235*T$1)/$K235</f>
        <v>0.136026716158356</v>
      </c>
      <c r="U235" s="32" t="n">
        <f aca="false">($G235*U$1)/$K235</f>
        <v>0.14002750192772</v>
      </c>
      <c r="V235" s="33"/>
      <c r="W235" s="33"/>
      <c r="X235" s="33"/>
      <c r="Y235" s="33"/>
      <c r="Z235" s="34"/>
      <c r="AA235" s="34"/>
      <c r="AB235" s="34"/>
      <c r="AC235" s="34"/>
      <c r="AD235" s="35"/>
      <c r="AE235" s="35"/>
      <c r="AF235" s="35"/>
      <c r="AG235" s="35"/>
      <c r="AH235" s="35"/>
      <c r="AI235" s="35"/>
      <c r="AJ235" s="35"/>
      <c r="AK235" s="35"/>
      <c r="AL235" s="35"/>
    </row>
    <row r="236" customFormat="false" ht="15" hidden="false" customHeight="false" outlineLevel="0" collapsed="false">
      <c r="A236" s="5" t="s">
        <v>29</v>
      </c>
      <c r="B236" s="0" t="s">
        <v>314</v>
      </c>
      <c r="C236" s="16" t="s">
        <v>315</v>
      </c>
      <c r="D236" s="45" t="n">
        <v>6</v>
      </c>
      <c r="E236" s="45"/>
      <c r="F236" s="47" t="n">
        <v>0.106687620516358</v>
      </c>
      <c r="G236" s="47" t="n">
        <v>0.106687620516358</v>
      </c>
      <c r="H236" s="44" t="n">
        <f aca="false">+(I236+G236)/2</f>
        <v>0.103966445594156</v>
      </c>
      <c r="I236" s="47" t="n">
        <v>0.101245270671954</v>
      </c>
      <c r="J236" s="47" t="n">
        <v>0.102259213446914</v>
      </c>
      <c r="K236" s="31" t="n">
        <v>2</v>
      </c>
      <c r="L236" s="32"/>
      <c r="M236" s="32"/>
      <c r="N236" s="32"/>
      <c r="O236" s="32"/>
      <c r="P236" s="32"/>
      <c r="Q236" s="32"/>
      <c r="R236" s="32" t="n">
        <f aca="false">($G236*R$1)/$K236</f>
        <v>0.0640125723098147</v>
      </c>
      <c r="S236" s="32" t="n">
        <f aca="false">($G236*S$1)/$K236</f>
        <v>0.0660129651944965</v>
      </c>
      <c r="T236" s="32" t="n">
        <f aca="false">($G236*T$1)/$K236</f>
        <v>0.0680133580791782</v>
      </c>
      <c r="U236" s="32" t="n">
        <f aca="false">($G236*U$1)/$K236</f>
        <v>0.0700137509638599</v>
      </c>
      <c r="V236" s="33" t="n">
        <f aca="false">($H236*V$1)/$K236</f>
        <v>0.0701773507760552</v>
      </c>
      <c r="W236" s="33" t="n">
        <f aca="false">($H236*W$1)/$K236</f>
        <v>0.0721267216309456</v>
      </c>
      <c r="X236" s="33" t="n">
        <f aca="false">($H236*X$1)/$K236</f>
        <v>0.074076092485836</v>
      </c>
      <c r="Y236" s="33" t="n">
        <f aca="false">($H236*Y$1)/$K236</f>
        <v>0.0760254633407264</v>
      </c>
      <c r="Z236" s="34" t="n">
        <f aca="false">($I236*Z$1)/$K236</f>
        <v>0.0759339530039653</v>
      </c>
      <c r="AA236" s="34" t="n">
        <f aca="false">($I236*AA$1)/$K236</f>
        <v>0.0778323018290644</v>
      </c>
      <c r="AB236" s="34" t="n">
        <f aca="false">($I236*AB$1)/$K236</f>
        <v>0.0797306506541635</v>
      </c>
      <c r="AC236" s="34" t="n">
        <f aca="false">($I236*AC$1)/$K236</f>
        <v>0.0816289994792626</v>
      </c>
      <c r="AD236" s="35" t="n">
        <f aca="false">($J236*AD$1)/$K236</f>
        <v>0.0843638510937037</v>
      </c>
      <c r="AE236" s="35" t="n">
        <f aca="false">($J236*AE$1)/$K236</f>
        <v>0.0862812113458334</v>
      </c>
      <c r="AF236" s="35" t="n">
        <f aca="false">($J236*AF$1)/$K236</f>
        <v>0.088198571597963</v>
      </c>
      <c r="AG236" s="35" t="n">
        <f aca="false">($J236*AG$1)/$K236</f>
        <v>0.0901159318500926</v>
      </c>
      <c r="AH236" s="35" t="n">
        <f aca="false">($J236*AH$1)/$K236</f>
        <v>0.0920332921022222</v>
      </c>
      <c r="AI236" s="35" t="n">
        <f aca="false">($J236*AI$1)/$K236</f>
        <v>0.0939506523543519</v>
      </c>
      <c r="AJ236" s="35" t="n">
        <f aca="false">($J236*AJ$1)/$K236</f>
        <v>0.0958680126064815</v>
      </c>
      <c r="AK236" s="35" t="n">
        <f aca="false">($J236*AK$1)/$K236</f>
        <v>0.0977853728586111</v>
      </c>
      <c r="AL236" s="35" t="n">
        <f aca="false">($J236*AL$1)/$K236</f>
        <v>0.0997027331107407</v>
      </c>
    </row>
    <row r="237" customFormat="false" ht="15" hidden="false" customHeight="false" outlineLevel="0" collapsed="false">
      <c r="A237" s="5" t="s">
        <v>29</v>
      </c>
      <c r="B237" s="0" t="s">
        <v>316</v>
      </c>
      <c r="C237" s="16" t="s">
        <v>317</v>
      </c>
      <c r="D237" s="45" t="n">
        <v>6</v>
      </c>
      <c r="E237" s="45"/>
      <c r="F237" s="47" t="n">
        <v>0.106687620516358</v>
      </c>
      <c r="G237" s="47" t="n">
        <v>0.106687620516358</v>
      </c>
      <c r="H237" s="44" t="n">
        <f aca="false">+(I237+G237)/2</f>
        <v>0.103966445594156</v>
      </c>
      <c r="I237" s="47" t="n">
        <v>0.101245270671954</v>
      </c>
      <c r="J237" s="47" t="n">
        <v>0.102259213446914</v>
      </c>
      <c r="K237" s="31" t="n">
        <v>2</v>
      </c>
      <c r="L237" s="32"/>
      <c r="M237" s="32"/>
      <c r="N237" s="32"/>
      <c r="O237" s="32"/>
      <c r="P237" s="32"/>
      <c r="Q237" s="32"/>
      <c r="R237" s="32" t="n">
        <f aca="false">($G237*R$1)/$K237</f>
        <v>0.0640125723098147</v>
      </c>
      <c r="S237" s="32" t="n">
        <f aca="false">($G237*S$1)/$K237</f>
        <v>0.0660129651944965</v>
      </c>
      <c r="T237" s="32" t="n">
        <f aca="false">($G237*T$1)/$K237</f>
        <v>0.0680133580791782</v>
      </c>
      <c r="U237" s="32" t="n">
        <f aca="false">($G237*U$1)/$K237</f>
        <v>0.0700137509638599</v>
      </c>
      <c r="V237" s="33" t="n">
        <f aca="false">($H237*V$1)/$K237</f>
        <v>0.0701773507760552</v>
      </c>
      <c r="W237" s="33" t="n">
        <f aca="false">($H237*W$1)/$K237</f>
        <v>0.0721267216309456</v>
      </c>
      <c r="X237" s="33" t="n">
        <f aca="false">($H237*X$1)/$K237</f>
        <v>0.074076092485836</v>
      </c>
      <c r="Y237" s="33" t="n">
        <f aca="false">($H237*Y$1)/$K237</f>
        <v>0.0760254633407264</v>
      </c>
      <c r="Z237" s="34" t="n">
        <f aca="false">($I237*Z$1)/$K237</f>
        <v>0.0759339530039653</v>
      </c>
      <c r="AA237" s="34" t="n">
        <f aca="false">($I237*AA$1)/$K237</f>
        <v>0.0778323018290644</v>
      </c>
      <c r="AB237" s="34" t="n">
        <f aca="false">($I237*AB$1)/$K237</f>
        <v>0.0797306506541635</v>
      </c>
      <c r="AC237" s="34" t="n">
        <f aca="false">($I237*AC$1)/$K237</f>
        <v>0.0816289994792626</v>
      </c>
      <c r="AD237" s="35" t="n">
        <f aca="false">($J237*AD$1)/$K237</f>
        <v>0.0843638510937037</v>
      </c>
      <c r="AE237" s="35" t="n">
        <f aca="false">($J237*AE$1)/$K237</f>
        <v>0.0862812113458334</v>
      </c>
      <c r="AF237" s="35" t="n">
        <f aca="false">($J237*AF$1)/$K237</f>
        <v>0.088198571597963</v>
      </c>
      <c r="AG237" s="35" t="n">
        <f aca="false">($J237*AG$1)/$K237</f>
        <v>0.0901159318500926</v>
      </c>
      <c r="AH237" s="35" t="n">
        <f aca="false">($J237*AH$1)/$K237</f>
        <v>0.0920332921022222</v>
      </c>
      <c r="AI237" s="35" t="n">
        <f aca="false">($J237*AI$1)/$K237</f>
        <v>0.0939506523543519</v>
      </c>
      <c r="AJ237" s="35" t="n">
        <f aca="false">($J237*AJ$1)/$K237</f>
        <v>0.0958680126064815</v>
      </c>
      <c r="AK237" s="35" t="n">
        <f aca="false">($J237*AK$1)/$K237</f>
        <v>0.0977853728586111</v>
      </c>
      <c r="AL237" s="35" t="n">
        <f aca="false">($J237*AL$1)/$K237</f>
        <v>0.0997027331107407</v>
      </c>
    </row>
    <row r="238" customFormat="false" ht="15" hidden="false" customHeight="false" outlineLevel="0" collapsed="false">
      <c r="A238" s="5" t="s">
        <v>29</v>
      </c>
      <c r="B238" s="0" t="s">
        <v>318</v>
      </c>
      <c r="C238" s="16" t="s">
        <v>319</v>
      </c>
      <c r="D238" s="45" t="n">
        <v>6</v>
      </c>
      <c r="E238" s="45"/>
      <c r="F238" s="47" t="n">
        <v>0.106687620516358</v>
      </c>
      <c r="G238" s="47" t="n">
        <v>0.106687620516358</v>
      </c>
      <c r="H238" s="44" t="n">
        <f aca="false">+(I238+G238)/2</f>
        <v>0.103966445594156</v>
      </c>
      <c r="I238" s="47" t="n">
        <v>0.101245270671954</v>
      </c>
      <c r="J238" s="47" t="n">
        <v>0.102259213446914</v>
      </c>
      <c r="K238" s="31" t="n">
        <v>2</v>
      </c>
      <c r="L238" s="32"/>
      <c r="M238" s="32"/>
      <c r="N238" s="32"/>
      <c r="O238" s="32"/>
      <c r="P238" s="32"/>
      <c r="Q238" s="32"/>
      <c r="R238" s="32" t="n">
        <f aca="false">($G238*R$1)/$K238</f>
        <v>0.0640125723098147</v>
      </c>
      <c r="S238" s="32" t="n">
        <f aca="false">($G238*S$1)/$K238</f>
        <v>0.0660129651944965</v>
      </c>
      <c r="T238" s="32" t="n">
        <f aca="false">($G238*T$1)/$K238</f>
        <v>0.0680133580791782</v>
      </c>
      <c r="U238" s="32" t="n">
        <f aca="false">($G238*U$1)/$K238</f>
        <v>0.0700137509638599</v>
      </c>
      <c r="V238" s="33" t="n">
        <f aca="false">($H238*V$1)/$K238</f>
        <v>0.0701773507760552</v>
      </c>
      <c r="W238" s="33" t="n">
        <f aca="false">($H238*W$1)/$K238</f>
        <v>0.0721267216309456</v>
      </c>
      <c r="X238" s="33" t="n">
        <f aca="false">($H238*X$1)/$K238</f>
        <v>0.074076092485836</v>
      </c>
      <c r="Y238" s="33" t="n">
        <f aca="false">($H238*Y$1)/$K238</f>
        <v>0.0760254633407264</v>
      </c>
      <c r="Z238" s="34" t="n">
        <f aca="false">($I238*Z$1)/$K238</f>
        <v>0.0759339530039653</v>
      </c>
      <c r="AA238" s="34" t="n">
        <f aca="false">($I238*AA$1)/$K238</f>
        <v>0.0778323018290644</v>
      </c>
      <c r="AB238" s="34" t="n">
        <f aca="false">($I238*AB$1)/$K238</f>
        <v>0.0797306506541635</v>
      </c>
      <c r="AC238" s="34" t="n">
        <f aca="false">($I238*AC$1)/$K238</f>
        <v>0.0816289994792626</v>
      </c>
      <c r="AD238" s="35" t="n">
        <f aca="false">($J238*AD$1)/$K238</f>
        <v>0.0843638510937037</v>
      </c>
      <c r="AE238" s="35" t="n">
        <f aca="false">($J238*AE$1)/$K238</f>
        <v>0.0862812113458334</v>
      </c>
      <c r="AF238" s="35" t="n">
        <f aca="false">($J238*AF$1)/$K238</f>
        <v>0.088198571597963</v>
      </c>
      <c r="AG238" s="35" t="n">
        <f aca="false">($J238*AG$1)/$K238</f>
        <v>0.0901159318500926</v>
      </c>
      <c r="AH238" s="35" t="n">
        <f aca="false">($J238*AH$1)/$K238</f>
        <v>0.0920332921022222</v>
      </c>
      <c r="AI238" s="35" t="n">
        <f aca="false">($J238*AI$1)/$K238</f>
        <v>0.0939506523543519</v>
      </c>
      <c r="AJ238" s="35" t="n">
        <f aca="false">($J238*AJ$1)/$K238</f>
        <v>0.0958680126064815</v>
      </c>
      <c r="AK238" s="35" t="n">
        <f aca="false">($J238*AK$1)/$K238</f>
        <v>0.0977853728586111</v>
      </c>
      <c r="AL238" s="35" t="n">
        <f aca="false">($J238*AL$1)/$K238</f>
        <v>0.0997027331107407</v>
      </c>
    </row>
    <row r="239" customFormat="false" ht="15" hidden="false" customHeight="false" outlineLevel="0" collapsed="false">
      <c r="A239" s="5" t="s">
        <v>29</v>
      </c>
      <c r="B239" s="0" t="s">
        <v>320</v>
      </c>
      <c r="C239" s="16" t="s">
        <v>321</v>
      </c>
      <c r="D239" s="45" t="n">
        <v>6</v>
      </c>
      <c r="E239" s="45"/>
      <c r="F239" s="47" t="n">
        <v>0.106687620516358</v>
      </c>
      <c r="G239" s="47" t="n">
        <v>0.106687620516358</v>
      </c>
      <c r="H239" s="44" t="n">
        <f aca="false">+(I239+G239)/2</f>
        <v>0.103966445594156</v>
      </c>
      <c r="I239" s="47" t="n">
        <v>0.101245270671954</v>
      </c>
      <c r="J239" s="47" t="n">
        <v>0.102259213446914</v>
      </c>
      <c r="K239" s="31" t="n">
        <v>2</v>
      </c>
      <c r="L239" s="32"/>
      <c r="M239" s="32"/>
      <c r="N239" s="32"/>
      <c r="O239" s="32"/>
      <c r="P239" s="32"/>
      <c r="Q239" s="32"/>
      <c r="R239" s="32" t="n">
        <f aca="false">($G239*R$1)/$K239</f>
        <v>0.0640125723098147</v>
      </c>
      <c r="S239" s="32" t="n">
        <f aca="false">($G239*S$1)/$K239</f>
        <v>0.0660129651944965</v>
      </c>
      <c r="T239" s="32" t="n">
        <f aca="false">($G239*T$1)/$K239</f>
        <v>0.0680133580791782</v>
      </c>
      <c r="U239" s="32" t="n">
        <f aca="false">($G239*U$1)/$K239</f>
        <v>0.0700137509638599</v>
      </c>
      <c r="V239" s="33" t="n">
        <f aca="false">($H239*V$1)/$K239</f>
        <v>0.0701773507760552</v>
      </c>
      <c r="W239" s="33" t="n">
        <f aca="false">($H239*W$1)/$K239</f>
        <v>0.0721267216309456</v>
      </c>
      <c r="X239" s="33" t="n">
        <f aca="false">($H239*X$1)/$K239</f>
        <v>0.074076092485836</v>
      </c>
      <c r="Y239" s="33" t="n">
        <f aca="false">($H239*Y$1)/$K239</f>
        <v>0.0760254633407264</v>
      </c>
      <c r="Z239" s="34" t="n">
        <f aca="false">($I239*Z$1)/$K239</f>
        <v>0.0759339530039653</v>
      </c>
      <c r="AA239" s="34" t="n">
        <f aca="false">($I239*AA$1)/$K239</f>
        <v>0.0778323018290644</v>
      </c>
      <c r="AB239" s="34" t="n">
        <f aca="false">($I239*AB$1)/$K239</f>
        <v>0.0797306506541635</v>
      </c>
      <c r="AC239" s="34" t="n">
        <f aca="false">($I239*AC$1)/$K239</f>
        <v>0.0816289994792626</v>
      </c>
      <c r="AD239" s="35" t="n">
        <f aca="false">($J239*AD$1)/$K239</f>
        <v>0.0843638510937037</v>
      </c>
      <c r="AE239" s="35" t="n">
        <f aca="false">($J239*AE$1)/$K239</f>
        <v>0.0862812113458334</v>
      </c>
      <c r="AF239" s="35" t="n">
        <f aca="false">($J239*AF$1)/$K239</f>
        <v>0.088198571597963</v>
      </c>
      <c r="AG239" s="35" t="n">
        <f aca="false">($J239*AG$1)/$K239</f>
        <v>0.0901159318500926</v>
      </c>
      <c r="AH239" s="35" t="n">
        <f aca="false">($J239*AH$1)/$K239</f>
        <v>0.0920332921022222</v>
      </c>
      <c r="AI239" s="35" t="n">
        <f aca="false">($J239*AI$1)/$K239</f>
        <v>0.0939506523543519</v>
      </c>
      <c r="AJ239" s="35" t="n">
        <f aca="false">($J239*AJ$1)/$K239</f>
        <v>0.0958680126064815</v>
      </c>
      <c r="AK239" s="35" t="n">
        <f aca="false">($J239*AK$1)/$K239</f>
        <v>0.0977853728586111</v>
      </c>
      <c r="AL239" s="35" t="n">
        <f aca="false">($J239*AL$1)/$K239</f>
        <v>0.0997027331107407</v>
      </c>
    </row>
    <row r="240" customFormat="false" ht="15" hidden="false" customHeight="false" outlineLevel="0" collapsed="false">
      <c r="A240" s="5" t="s">
        <v>31</v>
      </c>
      <c r="B240" s="0" t="s">
        <v>322</v>
      </c>
      <c r="C240" s="16" t="s">
        <v>323</v>
      </c>
      <c r="D240" s="45" t="n">
        <v>7</v>
      </c>
      <c r="E240" s="45"/>
      <c r="F240" s="49" t="n">
        <v>0.048</v>
      </c>
      <c r="G240" s="49" t="n">
        <v>0.048</v>
      </c>
      <c r="H240" s="44" t="n">
        <f aca="false">+(I240+G240)/2</f>
        <v>0.0475</v>
      </c>
      <c r="I240" s="49" t="n">
        <v>0.047</v>
      </c>
      <c r="J240" s="49" t="n">
        <v>0.046</v>
      </c>
      <c r="K240" s="31" t="n">
        <v>1</v>
      </c>
      <c r="L240" s="32"/>
      <c r="M240" s="32"/>
      <c r="N240" s="32"/>
      <c r="O240" s="32"/>
      <c r="P240" s="32"/>
      <c r="Q240" s="32"/>
      <c r="R240" s="32" t="n">
        <f aca="false">($G240*R$1)/$K240</f>
        <v>0.0576</v>
      </c>
      <c r="S240" s="32" t="n">
        <f aca="false">($G240*S$1)/$K240</f>
        <v>0.0594</v>
      </c>
      <c r="T240" s="32" t="n">
        <f aca="false">($G240*T$1)/$K240</f>
        <v>0.0612</v>
      </c>
      <c r="U240" s="32" t="n">
        <f aca="false">($G240*U$1)/$K240</f>
        <v>0.063</v>
      </c>
      <c r="V240" s="33" t="n">
        <f aca="false">($H240*V$1)/$K240</f>
        <v>0.064125</v>
      </c>
      <c r="W240" s="33" t="n">
        <f aca="false">($H240*W$1)/$K240</f>
        <v>0.06590625</v>
      </c>
      <c r="X240" s="33" t="n">
        <f aca="false">($H240*X$1)/$K240</f>
        <v>0.0676875</v>
      </c>
      <c r="Y240" s="33" t="n">
        <f aca="false">($H240*Y$1)/$K240</f>
        <v>0.06946875</v>
      </c>
    </row>
    <row r="241" customFormat="false" ht="15" hidden="false" customHeight="false" outlineLevel="0" collapsed="false">
      <c r="A241" s="5" t="s">
        <v>31</v>
      </c>
      <c r="B241" s="0" t="s">
        <v>324</v>
      </c>
      <c r="C241" s="16" t="s">
        <v>325</v>
      </c>
      <c r="D241" s="45" t="n">
        <v>7</v>
      </c>
      <c r="E241" s="45"/>
      <c r="F241" s="49" t="n">
        <v>0.048</v>
      </c>
      <c r="G241" s="49" t="n">
        <v>0.048</v>
      </c>
      <c r="H241" s="44" t="n">
        <f aca="false">+(I241+G241)/2</f>
        <v>0.0475</v>
      </c>
      <c r="I241" s="49" t="n">
        <v>0.047</v>
      </c>
      <c r="J241" s="49" t="n">
        <v>0.046</v>
      </c>
      <c r="K241" s="31" t="n">
        <v>1</v>
      </c>
      <c r="L241" s="32"/>
      <c r="M241" s="32"/>
      <c r="N241" s="32"/>
      <c r="O241" s="32"/>
      <c r="P241" s="32"/>
      <c r="Q241" s="32"/>
      <c r="R241" s="32" t="n">
        <f aca="false">($G241*R$1)/$K241</f>
        <v>0.0576</v>
      </c>
      <c r="S241" s="32" t="n">
        <f aca="false">($G241*S$1)/$K241</f>
        <v>0.0594</v>
      </c>
      <c r="T241" s="32" t="n">
        <f aca="false">($G241*T$1)/$K241</f>
        <v>0.0612</v>
      </c>
      <c r="U241" s="32" t="n">
        <f aca="false">($G241*U$1)/$K241</f>
        <v>0.063</v>
      </c>
      <c r="V241" s="33" t="n">
        <f aca="false">($H241*V$1)/$K241</f>
        <v>0.064125</v>
      </c>
      <c r="W241" s="33" t="n">
        <f aca="false">($H241*W$1)/$K241</f>
        <v>0.06590625</v>
      </c>
      <c r="X241" s="33" t="n">
        <f aca="false">($H241*X$1)/$K241</f>
        <v>0.0676875</v>
      </c>
      <c r="Y241" s="33" t="n">
        <f aca="false">($H241*Y$1)/$K241</f>
        <v>0.06946875</v>
      </c>
    </row>
    <row r="242" customFormat="false" ht="15" hidden="false" customHeight="false" outlineLevel="0" collapsed="false">
      <c r="A242" s="5" t="s">
        <v>31</v>
      </c>
      <c r="B242" s="0" t="s">
        <v>326</v>
      </c>
      <c r="C242" s="16" t="s">
        <v>327</v>
      </c>
      <c r="D242" s="45" t="n">
        <v>7</v>
      </c>
      <c r="E242" s="45"/>
      <c r="F242" s="49" t="n">
        <v>0.048</v>
      </c>
      <c r="G242" s="49" t="n">
        <v>0.048</v>
      </c>
      <c r="H242" s="44" t="n">
        <f aca="false">+(I242+G242)/2</f>
        <v>0.0475</v>
      </c>
      <c r="I242" s="49" t="n">
        <v>0.047</v>
      </c>
      <c r="J242" s="49" t="n">
        <v>0.046</v>
      </c>
      <c r="K242" s="31" t="n">
        <v>1</v>
      </c>
      <c r="L242" s="32"/>
      <c r="M242" s="32"/>
      <c r="N242" s="32"/>
      <c r="O242" s="32"/>
      <c r="P242" s="32"/>
      <c r="Q242" s="32"/>
      <c r="R242" s="32" t="n">
        <f aca="false">($G242*R$1)/$K242</f>
        <v>0.0576</v>
      </c>
      <c r="S242" s="32" t="n">
        <f aca="false">($G242*S$1)/$K242</f>
        <v>0.0594</v>
      </c>
      <c r="T242" s="32" t="n">
        <f aca="false">($G242*T$1)/$K242</f>
        <v>0.0612</v>
      </c>
      <c r="U242" s="32" t="n">
        <f aca="false">($G242*U$1)/$K242</f>
        <v>0.063</v>
      </c>
      <c r="V242" s="33" t="n">
        <f aca="false">($H242*V$1)/$K242</f>
        <v>0.064125</v>
      </c>
      <c r="W242" s="33" t="n">
        <f aca="false">($H242*W$1)/$K242</f>
        <v>0.06590625</v>
      </c>
      <c r="X242" s="33" t="n">
        <f aca="false">($H242*X$1)/$K242</f>
        <v>0.0676875</v>
      </c>
      <c r="Y242" s="33" t="n">
        <f aca="false">($H242*Y$1)/$K242</f>
        <v>0.06946875</v>
      </c>
    </row>
    <row r="243" customFormat="false" ht="15" hidden="false" customHeight="false" outlineLevel="0" collapsed="false">
      <c r="A243" s="5" t="s">
        <v>30</v>
      </c>
      <c r="B243" s="0" t="s">
        <v>328</v>
      </c>
      <c r="C243" s="16" t="s">
        <v>329</v>
      </c>
      <c r="D243" s="45" t="n">
        <v>7</v>
      </c>
      <c r="E243" s="45"/>
      <c r="F243" s="44" t="n">
        <v>0.0581503454291415</v>
      </c>
      <c r="G243" s="44" t="n">
        <v>0.0581503454291415</v>
      </c>
      <c r="H243" s="44" t="n">
        <f aca="false">+(I243+G243)/2</f>
        <v>0.0562894274528054</v>
      </c>
      <c r="I243" s="44" t="n">
        <v>0.0544285094764693</v>
      </c>
      <c r="J243" s="44" t="n">
        <v>0.0555481286485601</v>
      </c>
      <c r="K243" s="31" t="n">
        <v>2</v>
      </c>
      <c r="L243" s="32"/>
      <c r="M243" s="32"/>
      <c r="N243" s="32"/>
      <c r="O243" s="32"/>
      <c r="P243" s="32"/>
      <c r="Q243" s="32"/>
      <c r="R243" s="32" t="n">
        <f aca="false">($G243*R$1)/$K243</f>
        <v>0.0348902072574849</v>
      </c>
      <c r="S243" s="32" t="n">
        <f aca="false">($G243*S$1)/$K243</f>
        <v>0.0359805262342813</v>
      </c>
      <c r="T243" s="32" t="n">
        <f aca="false">($G243*T$1)/$K243</f>
        <v>0.0370708452110777</v>
      </c>
      <c r="U243" s="32" t="n">
        <f aca="false">($G243*U$1)/$K243</f>
        <v>0.0381611641878741</v>
      </c>
      <c r="V243" s="33" t="n">
        <f aca="false">($H243*V$1)/$K243</f>
        <v>0.0379953635306436</v>
      </c>
      <c r="W243" s="33" t="n">
        <f aca="false">($H243*W$1)/$K243</f>
        <v>0.0390507902953838</v>
      </c>
      <c r="X243" s="33" t="n">
        <f aca="false">($H243*X$1)/$K243</f>
        <v>0.0401062170601239</v>
      </c>
      <c r="Y243" s="33" t="n">
        <f aca="false">($H243*Y$1)/$K243</f>
        <v>0.041161643824864</v>
      </c>
      <c r="Z243" s="34" t="n">
        <f aca="false">($I243*Z$1)/$K243</f>
        <v>0.040821382107352</v>
      </c>
      <c r="AA243" s="34" t="n">
        <f aca="false">($I243*AA$1)/$K243</f>
        <v>0.0418419166600357</v>
      </c>
      <c r="AB243" s="34" t="n">
        <f aca="false">($I243*AB$1)/$K243</f>
        <v>0.0428624512127196</v>
      </c>
      <c r="AC243" s="34" t="n">
        <f aca="false">($I243*AC$1)/$K243</f>
        <v>0.0438829857654033</v>
      </c>
      <c r="AD243" s="35" t="n">
        <f aca="false">($J243*AD$1)/$K243</f>
        <v>0.0458272061350621</v>
      </c>
      <c r="AE243" s="35" t="n">
        <f aca="false">($J243*AE$1)/$K243</f>
        <v>0.0468687335472226</v>
      </c>
      <c r="AF243" s="35" t="n">
        <f aca="false">($J243*AF$1)/$K243</f>
        <v>0.0479102609593831</v>
      </c>
      <c r="AG243" s="35" t="n">
        <f aca="false">($J243*AG$1)/$K243</f>
        <v>0.0489517883715436</v>
      </c>
      <c r="AH243" s="35" t="n">
        <f aca="false">($J243*AH$1)/$K243</f>
        <v>0.049993315783704</v>
      </c>
      <c r="AI243" s="35" t="n">
        <f aca="false">($J243*AI$1)/$K243</f>
        <v>0.0510348431958645</v>
      </c>
      <c r="AJ243" s="35" t="n">
        <f aca="false">($J243*AJ$1)/$K243</f>
        <v>0.052076370608025</v>
      </c>
      <c r="AK243" s="35" t="n">
        <f aca="false">($J243*AK$1)/$K243</f>
        <v>0.0531178980201855</v>
      </c>
      <c r="AL243" s="35" t="n">
        <f aca="false">($J243*AL$1)/$K243</f>
        <v>0.054159425432346</v>
      </c>
    </row>
    <row r="244" customFormat="false" ht="15" hidden="false" customHeight="false" outlineLevel="0" collapsed="false">
      <c r="A244" s="5" t="s">
        <v>30</v>
      </c>
      <c r="B244" s="0" t="s">
        <v>330</v>
      </c>
      <c r="C244" s="16" t="s">
        <v>331</v>
      </c>
      <c r="D244" s="45" t="n">
        <v>7</v>
      </c>
      <c r="E244" s="45"/>
      <c r="F244" s="44" t="n">
        <v>0.0581503454291415</v>
      </c>
      <c r="G244" s="44" t="n">
        <v>0.0581503454291415</v>
      </c>
      <c r="H244" s="44" t="n">
        <f aca="false">+(I244+G244)/2</f>
        <v>0.0562894274528054</v>
      </c>
      <c r="I244" s="44" t="n">
        <v>0.0544285094764693</v>
      </c>
      <c r="J244" s="44" t="n">
        <v>0.0555481286485601</v>
      </c>
      <c r="K244" s="31" t="n">
        <v>2</v>
      </c>
      <c r="L244" s="32"/>
      <c r="M244" s="32"/>
      <c r="N244" s="32"/>
      <c r="O244" s="32"/>
      <c r="P244" s="32"/>
      <c r="Q244" s="32"/>
      <c r="R244" s="32" t="n">
        <f aca="false">($G244*R$1)/$K244</f>
        <v>0.0348902072574849</v>
      </c>
      <c r="S244" s="32" t="n">
        <f aca="false">($G244*S$1)/$K244</f>
        <v>0.0359805262342813</v>
      </c>
      <c r="T244" s="32" t="n">
        <f aca="false">($G244*T$1)/$K244</f>
        <v>0.0370708452110777</v>
      </c>
      <c r="U244" s="32" t="n">
        <f aca="false">($G244*U$1)/$K244</f>
        <v>0.0381611641878741</v>
      </c>
      <c r="V244" s="33" t="n">
        <f aca="false">($H244*V$1)/$K244</f>
        <v>0.0379953635306436</v>
      </c>
      <c r="W244" s="33" t="n">
        <f aca="false">($H244*W$1)/$K244</f>
        <v>0.0390507902953838</v>
      </c>
      <c r="X244" s="33" t="n">
        <f aca="false">($H244*X$1)/$K244</f>
        <v>0.0401062170601239</v>
      </c>
      <c r="Y244" s="33" t="n">
        <f aca="false">($H244*Y$1)/$K244</f>
        <v>0.041161643824864</v>
      </c>
      <c r="Z244" s="34" t="n">
        <f aca="false">($I244*Z$1)/$K244</f>
        <v>0.040821382107352</v>
      </c>
      <c r="AA244" s="34" t="n">
        <f aca="false">($I244*AA$1)/$K244</f>
        <v>0.0418419166600357</v>
      </c>
      <c r="AB244" s="34" t="n">
        <f aca="false">($I244*AB$1)/$K244</f>
        <v>0.0428624512127196</v>
      </c>
      <c r="AC244" s="34" t="n">
        <f aca="false">($I244*AC$1)/$K244</f>
        <v>0.0438829857654033</v>
      </c>
      <c r="AD244" s="35" t="n">
        <f aca="false">($J244*AD$1)/$K244</f>
        <v>0.0458272061350621</v>
      </c>
      <c r="AE244" s="35" t="n">
        <f aca="false">($J244*AE$1)/$K244</f>
        <v>0.0468687335472226</v>
      </c>
      <c r="AF244" s="35" t="n">
        <f aca="false">($J244*AF$1)/$K244</f>
        <v>0.0479102609593831</v>
      </c>
      <c r="AG244" s="35" t="n">
        <f aca="false">($J244*AG$1)/$K244</f>
        <v>0.0489517883715436</v>
      </c>
      <c r="AH244" s="35" t="n">
        <f aca="false">($J244*AH$1)/$K244</f>
        <v>0.049993315783704</v>
      </c>
      <c r="AI244" s="35" t="n">
        <f aca="false">($J244*AI$1)/$K244</f>
        <v>0.0510348431958645</v>
      </c>
      <c r="AJ244" s="35" t="n">
        <f aca="false">($J244*AJ$1)/$K244</f>
        <v>0.052076370608025</v>
      </c>
      <c r="AK244" s="35" t="n">
        <f aca="false">($J244*AK$1)/$K244</f>
        <v>0.0531178980201855</v>
      </c>
      <c r="AL244" s="35" t="n">
        <f aca="false">($J244*AL$1)/$K244</f>
        <v>0.054159425432346</v>
      </c>
    </row>
    <row r="245" customFormat="false" ht="15" hidden="false" customHeight="false" outlineLevel="0" collapsed="false">
      <c r="A245" s="5" t="s">
        <v>30</v>
      </c>
      <c r="B245" s="0" t="s">
        <v>332</v>
      </c>
      <c r="C245" s="16" t="s">
        <v>333</v>
      </c>
      <c r="D245" s="45" t="n">
        <v>7</v>
      </c>
      <c r="E245" s="45"/>
      <c r="F245" s="44" t="n">
        <v>0.0581503454291415</v>
      </c>
      <c r="G245" s="44" t="n">
        <v>0.0581503454291415</v>
      </c>
      <c r="H245" s="44" t="n">
        <f aca="false">+(I245+G245)/2</f>
        <v>0.0562894274528054</v>
      </c>
      <c r="I245" s="44" t="n">
        <v>0.0544285094764693</v>
      </c>
      <c r="J245" s="44" t="n">
        <v>0.0555481286485601</v>
      </c>
      <c r="K245" s="31" t="n">
        <v>1</v>
      </c>
      <c r="L245" s="32"/>
      <c r="M245" s="32"/>
      <c r="N245" s="32"/>
      <c r="O245" s="32"/>
      <c r="P245" s="32"/>
      <c r="Q245" s="32"/>
      <c r="R245" s="32" t="n">
        <f aca="false">($G245*R$1)/$K245</f>
        <v>0.0697804145149699</v>
      </c>
      <c r="S245" s="32" t="n">
        <f aca="false">($G245*S$1)/$K245</f>
        <v>0.0719610524685627</v>
      </c>
      <c r="T245" s="32" t="n">
        <f aca="false">($G245*T$1)/$K245</f>
        <v>0.0741416904221555</v>
      </c>
      <c r="U245" s="32" t="n">
        <f aca="false">($G245*U$1)/$K245</f>
        <v>0.0763223283757483</v>
      </c>
      <c r="V245" s="33" t="n">
        <f aca="false">($H245*V$1)/$K245</f>
        <v>0.0759907270612873</v>
      </c>
      <c r="W245" s="33" t="n">
        <f aca="false">($H245*W$1)/$K245</f>
        <v>0.0781015805907675</v>
      </c>
      <c r="X245" s="33" t="n">
        <f aca="false">($H245*X$1)/$K245</f>
        <v>0.0802124341202477</v>
      </c>
      <c r="Y245" s="33" t="n">
        <f aca="false">($H245*Y$1)/$K245</f>
        <v>0.0823232876497279</v>
      </c>
      <c r="Z245" s="34" t="n">
        <f aca="false">($I245*Z$1)/$K245</f>
        <v>0.0816427642147039</v>
      </c>
      <c r="AA245" s="34" t="n">
        <f aca="false">($I245*AA$1)/$K245</f>
        <v>0.0836838333200715</v>
      </c>
      <c r="AB245" s="34" t="n">
        <f aca="false">($I245*AB$1)/$K245</f>
        <v>0.0857249024254391</v>
      </c>
      <c r="AC245" s="34" t="n">
        <f aca="false">($I245*AC$1)/$K245</f>
        <v>0.0877659715308067</v>
      </c>
      <c r="AD245" s="35" t="n">
        <f aca="false">($J245*AD$1)/$K245</f>
        <v>0.0916544122701241</v>
      </c>
      <c r="AE245" s="35"/>
      <c r="AF245" s="35"/>
      <c r="AG245" s="35"/>
      <c r="AH245" s="35"/>
      <c r="AI245" s="35"/>
      <c r="AJ245" s="35"/>
      <c r="AK245" s="35"/>
      <c r="AL245" s="35"/>
    </row>
    <row r="246" customFormat="false" ht="15" hidden="false" customHeight="false" outlineLevel="0" collapsed="false">
      <c r="A246" s="5" t="s">
        <v>30</v>
      </c>
      <c r="B246" s="0" t="s">
        <v>334</v>
      </c>
      <c r="C246" s="16" t="s">
        <v>335</v>
      </c>
      <c r="D246" s="45" t="n">
        <v>7</v>
      </c>
      <c r="E246" s="45"/>
      <c r="F246" s="44" t="n">
        <v>0.0581503454291415</v>
      </c>
      <c r="G246" s="44" t="n">
        <v>0.0581503454291415</v>
      </c>
      <c r="H246" s="44" t="n">
        <f aca="false">+(I246+G246)/2</f>
        <v>0.0562894274528054</v>
      </c>
      <c r="I246" s="44" t="n">
        <v>0.0544285094764693</v>
      </c>
      <c r="J246" s="44" t="n">
        <v>0.0555481286485601</v>
      </c>
      <c r="K246" s="31" t="n">
        <v>1</v>
      </c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3"/>
      <c r="W246" s="33"/>
      <c r="X246" s="33" t="n">
        <f aca="false">($H246*X$1)/$K246</f>
        <v>0.0802124341202477</v>
      </c>
      <c r="Y246" s="33" t="n">
        <f aca="false">($H246*Y$1)/$K246</f>
        <v>0.0823232876497279</v>
      </c>
      <c r="Z246" s="34" t="n">
        <f aca="false">($I246*Z$1)/$K246</f>
        <v>0.0816427642147039</v>
      </c>
      <c r="AA246" s="34" t="n">
        <f aca="false">($I246*AA$1)/$K246</f>
        <v>0.0836838333200715</v>
      </c>
      <c r="AB246" s="34" t="n">
        <f aca="false">($I246*AB$1)/$K246</f>
        <v>0.0857249024254391</v>
      </c>
      <c r="AC246" s="34" t="n">
        <f aca="false">($I246*AC$1)/$K246</f>
        <v>0.0877659715308067</v>
      </c>
      <c r="AD246" s="35" t="n">
        <f aca="false">($J246*AD$1)/$K246</f>
        <v>0.0916544122701241</v>
      </c>
      <c r="AE246" s="35" t="n">
        <f aca="false">($J246*AE$1)/$K246</f>
        <v>0.0937374670944451</v>
      </c>
      <c r="AF246" s="35" t="n">
        <f aca="false">($J246*AF$1)/$K246</f>
        <v>0.0958205219187661</v>
      </c>
      <c r="AG246" s="35" t="n">
        <f aca="false">($J246*AG$1)/$K246</f>
        <v>0.0979035767430871</v>
      </c>
      <c r="AH246" s="35" t="n">
        <f aca="false">($J246*AH$1)/$K246</f>
        <v>0.0999866315674081</v>
      </c>
      <c r="AI246" s="35" t="n">
        <f aca="false">($J246*AI$1)/$K246</f>
        <v>0.102069686391729</v>
      </c>
      <c r="AJ246" s="35" t="n">
        <f aca="false">($J246*AJ$1)/$K246</f>
        <v>0.10415274121605</v>
      </c>
      <c r="AK246" s="35" t="n">
        <f aca="false">($J246*AK$1)/$K246</f>
        <v>0.106235796040371</v>
      </c>
      <c r="AL246" s="35" t="n">
        <f aca="false">($J246*AL$1)/$K246</f>
        <v>0.108318850864692</v>
      </c>
    </row>
    <row r="247" customFormat="false" ht="15" hidden="false" customHeight="false" outlineLevel="0" collapsed="false">
      <c r="A247" s="5" t="s">
        <v>30</v>
      </c>
      <c r="B247" s="0" t="s">
        <v>336</v>
      </c>
      <c r="C247" s="16" t="s">
        <v>337</v>
      </c>
      <c r="D247" s="45" t="n">
        <v>7</v>
      </c>
      <c r="E247" s="45"/>
      <c r="F247" s="44" t="n">
        <v>0.0581503454291415</v>
      </c>
      <c r="G247" s="44" t="n">
        <v>0.0581503454291415</v>
      </c>
      <c r="H247" s="44" t="n">
        <f aca="false">+(I247+G247)/2</f>
        <v>0.0562894274528054</v>
      </c>
      <c r="I247" s="44" t="n">
        <v>0.0544285094764693</v>
      </c>
      <c r="J247" s="44" t="n">
        <v>0.0555481286485601</v>
      </c>
      <c r="K247" s="31" t="n">
        <v>2</v>
      </c>
      <c r="L247" s="32"/>
      <c r="M247" s="32"/>
      <c r="N247" s="32"/>
      <c r="O247" s="32"/>
      <c r="P247" s="32"/>
      <c r="Q247" s="32"/>
      <c r="R247" s="32" t="n">
        <f aca="false">($G247*R$1)/$K247</f>
        <v>0.0348902072574849</v>
      </c>
      <c r="S247" s="32" t="n">
        <f aca="false">($G247*S$1)/$K247</f>
        <v>0.0359805262342813</v>
      </c>
      <c r="T247" s="32" t="n">
        <f aca="false">($G247*T$1)/$K247</f>
        <v>0.0370708452110777</v>
      </c>
      <c r="U247" s="32" t="n">
        <f aca="false">($G247*U$1)/$K247</f>
        <v>0.0381611641878741</v>
      </c>
      <c r="V247" s="33" t="n">
        <f aca="false">($H247*V$1)/$K247</f>
        <v>0.0379953635306436</v>
      </c>
      <c r="W247" s="33" t="n">
        <f aca="false">($H247*W$1)/$K247</f>
        <v>0.0390507902953838</v>
      </c>
      <c r="X247" s="33" t="n">
        <f aca="false">($H247*X$1)/$K247</f>
        <v>0.0401062170601239</v>
      </c>
      <c r="Y247" s="33" t="n">
        <f aca="false">($H247*Y$1)/$K247</f>
        <v>0.041161643824864</v>
      </c>
      <c r="Z247" s="34" t="n">
        <f aca="false">($I247*Z$1)/$K247</f>
        <v>0.040821382107352</v>
      </c>
      <c r="AA247" s="34" t="n">
        <f aca="false">($I247*AA$1)/$K247</f>
        <v>0.0418419166600357</v>
      </c>
      <c r="AB247" s="34" t="n">
        <f aca="false">($I247*AB$1)/$K247</f>
        <v>0.0428624512127196</v>
      </c>
      <c r="AC247" s="34" t="n">
        <f aca="false">($I247*AC$1)/$K247</f>
        <v>0.0438829857654033</v>
      </c>
      <c r="AD247" s="35" t="n">
        <f aca="false">($J247*AD$1)/$K247</f>
        <v>0.0458272061350621</v>
      </c>
      <c r="AE247" s="35" t="n">
        <f aca="false">($J247*AE$1)/$K247</f>
        <v>0.0468687335472226</v>
      </c>
      <c r="AF247" s="35" t="n">
        <f aca="false">($J247*AF$1)/$K247</f>
        <v>0.0479102609593831</v>
      </c>
      <c r="AG247" s="35" t="n">
        <f aca="false">($J247*AG$1)/$K247</f>
        <v>0.0489517883715436</v>
      </c>
      <c r="AH247" s="35" t="n">
        <f aca="false">($J247*AH$1)/$K247</f>
        <v>0.049993315783704</v>
      </c>
      <c r="AI247" s="35" t="n">
        <f aca="false">($J247*AI$1)/$K247</f>
        <v>0.0510348431958645</v>
      </c>
      <c r="AJ247" s="35" t="n">
        <f aca="false">($J247*AJ$1)/$K247</f>
        <v>0.052076370608025</v>
      </c>
      <c r="AK247" s="35" t="n">
        <f aca="false">($J247*AK$1)/$K247</f>
        <v>0.0531178980201855</v>
      </c>
      <c r="AL247" s="35" t="n">
        <f aca="false">($J247*AL$1)/$K247</f>
        <v>0.054159425432346</v>
      </c>
    </row>
    <row r="248" customFormat="false" ht="15" hidden="false" customHeight="false" outlineLevel="0" collapsed="false">
      <c r="A248" s="5" t="s">
        <v>30</v>
      </c>
      <c r="B248" s="0" t="s">
        <v>338</v>
      </c>
      <c r="C248" s="16" t="s">
        <v>339</v>
      </c>
      <c r="D248" s="45" t="n">
        <v>7</v>
      </c>
      <c r="E248" s="45"/>
      <c r="F248" s="44" t="n">
        <v>0.0581503454291415</v>
      </c>
      <c r="G248" s="44" t="n">
        <v>0.0581503454291415</v>
      </c>
      <c r="H248" s="44" t="n">
        <f aca="false">+(I248+G248)/2</f>
        <v>0.0562894274528054</v>
      </c>
      <c r="I248" s="44" t="n">
        <v>0.0544285094764693</v>
      </c>
      <c r="J248" s="44" t="n">
        <v>0.0555481286485601</v>
      </c>
      <c r="K248" s="31" t="n">
        <v>1</v>
      </c>
      <c r="L248" s="32"/>
      <c r="M248" s="32"/>
      <c r="N248" s="32"/>
      <c r="O248" s="32"/>
      <c r="P248" s="32"/>
      <c r="Q248" s="32"/>
      <c r="R248" s="32" t="n">
        <f aca="false">($G248*R$1)/$K248</f>
        <v>0.0697804145149699</v>
      </c>
      <c r="S248" s="32" t="n">
        <f aca="false">($G248*S$1)/$K248</f>
        <v>0.0719610524685627</v>
      </c>
      <c r="T248" s="32" t="n">
        <f aca="false">($G248*T$1)/$K248</f>
        <v>0.0741416904221555</v>
      </c>
      <c r="U248" s="32" t="n">
        <f aca="false">($G248*U$1)/$K248</f>
        <v>0.0763223283757483</v>
      </c>
      <c r="V248" s="33"/>
      <c r="W248" s="33"/>
      <c r="X248" s="33"/>
      <c r="Y248" s="33"/>
      <c r="Z248" s="34"/>
      <c r="AA248" s="34"/>
      <c r="AB248" s="34"/>
      <c r="AC248" s="34"/>
      <c r="AD248" s="35"/>
      <c r="AE248" s="35"/>
      <c r="AF248" s="35"/>
      <c r="AG248" s="35"/>
      <c r="AH248" s="35"/>
      <c r="AI248" s="35"/>
      <c r="AJ248" s="35"/>
      <c r="AK248" s="35"/>
      <c r="AL248" s="35"/>
    </row>
    <row r="249" customFormat="false" ht="15" hidden="false" customHeight="false" outlineLevel="0" collapsed="false">
      <c r="A249" s="5" t="s">
        <v>30</v>
      </c>
      <c r="B249" s="0" t="s">
        <v>340</v>
      </c>
      <c r="C249" s="16" t="s">
        <v>341</v>
      </c>
      <c r="D249" s="45" t="n">
        <v>7</v>
      </c>
      <c r="E249" s="45"/>
      <c r="F249" s="44" t="n">
        <v>0.0581503454291415</v>
      </c>
      <c r="G249" s="44" t="n">
        <v>0.0581503454291415</v>
      </c>
      <c r="H249" s="44" t="n">
        <f aca="false">+(I249+G249)/2</f>
        <v>0.0562894274528054</v>
      </c>
      <c r="I249" s="44" t="n">
        <v>0.0544285094764693</v>
      </c>
      <c r="J249" s="44" t="n">
        <v>0.0555481286485601</v>
      </c>
      <c r="K249" s="31" t="n">
        <v>2</v>
      </c>
      <c r="L249" s="32"/>
      <c r="M249" s="32"/>
      <c r="N249" s="32"/>
      <c r="O249" s="32"/>
      <c r="P249" s="32"/>
      <c r="Q249" s="32"/>
      <c r="R249" s="32" t="n">
        <f aca="false">($G249*R$1)/$K249</f>
        <v>0.0348902072574849</v>
      </c>
      <c r="S249" s="32" t="n">
        <f aca="false">($G249*S$1)/$K249</f>
        <v>0.0359805262342813</v>
      </c>
      <c r="T249" s="32" t="n">
        <f aca="false">($G249*T$1)/$K249</f>
        <v>0.0370708452110777</v>
      </c>
      <c r="U249" s="32" t="n">
        <f aca="false">($G249*U$1)/$K249</f>
        <v>0.0381611641878741</v>
      </c>
      <c r="V249" s="33" t="n">
        <f aca="false">($H249*V$1)/$K249</f>
        <v>0.0379953635306436</v>
      </c>
      <c r="W249" s="33" t="n">
        <f aca="false">($H249*W$1)/$K249</f>
        <v>0.0390507902953838</v>
      </c>
      <c r="X249" s="33" t="n">
        <f aca="false">($H249*X$1)/$K249</f>
        <v>0.0401062170601239</v>
      </c>
      <c r="Y249" s="33" t="n">
        <f aca="false">($H249*Y$1)/$K249</f>
        <v>0.041161643824864</v>
      </c>
      <c r="Z249" s="34" t="n">
        <f aca="false">($I249*Z$1)/$K249</f>
        <v>0.040821382107352</v>
      </c>
      <c r="AA249" s="34" t="n">
        <f aca="false">($I249*AA$1)/$K249</f>
        <v>0.0418419166600357</v>
      </c>
      <c r="AB249" s="34" t="n">
        <f aca="false">($I249*AB$1)/$K249</f>
        <v>0.0428624512127196</v>
      </c>
      <c r="AC249" s="34" t="n">
        <f aca="false">($I249*AC$1)/$K249</f>
        <v>0.0438829857654033</v>
      </c>
      <c r="AD249" s="35" t="n">
        <f aca="false">($J249*AD$1)/$K249</f>
        <v>0.0458272061350621</v>
      </c>
      <c r="AE249" s="35" t="n">
        <f aca="false">($J249*AE$1)/$K249</f>
        <v>0.0468687335472226</v>
      </c>
      <c r="AF249" s="35" t="n">
        <f aca="false">($J249*AF$1)/$K249</f>
        <v>0.0479102609593831</v>
      </c>
      <c r="AG249" s="35" t="n">
        <f aca="false">($J249*AG$1)/$K249</f>
        <v>0.0489517883715436</v>
      </c>
      <c r="AH249" s="35" t="n">
        <f aca="false">($J249*AH$1)/$K249</f>
        <v>0.049993315783704</v>
      </c>
      <c r="AI249" s="35" t="n">
        <f aca="false">($J249*AI$1)/$K249</f>
        <v>0.0510348431958645</v>
      </c>
      <c r="AJ249" s="35" t="n">
        <f aca="false">($J249*AJ$1)/$K249</f>
        <v>0.052076370608025</v>
      </c>
      <c r="AK249" s="35" t="n">
        <f aca="false">($J249*AK$1)/$K249</f>
        <v>0.0531178980201855</v>
      </c>
      <c r="AL249" s="35" t="n">
        <f aca="false">($J249*AL$1)/$K249</f>
        <v>0.054159425432346</v>
      </c>
    </row>
    <row r="250" customFormat="false" ht="15" hidden="false" customHeight="false" outlineLevel="0" collapsed="false">
      <c r="A250" s="5" t="s">
        <v>30</v>
      </c>
      <c r="B250" s="0" t="s">
        <v>342</v>
      </c>
      <c r="C250" s="16" t="s">
        <v>343</v>
      </c>
      <c r="D250" s="45" t="n">
        <v>7</v>
      </c>
      <c r="E250" s="45"/>
      <c r="F250" s="44" t="n">
        <v>0.0581503454291415</v>
      </c>
      <c r="G250" s="44" t="n">
        <v>0.0581503454291415</v>
      </c>
      <c r="H250" s="44" t="n">
        <f aca="false">+(I250+G250)/2</f>
        <v>0.0562894274528054</v>
      </c>
      <c r="I250" s="44" t="n">
        <v>0.0544285094764693</v>
      </c>
      <c r="J250" s="44" t="n">
        <v>0.0555481286485601</v>
      </c>
      <c r="K250" s="31" t="n">
        <v>2</v>
      </c>
      <c r="L250" s="32"/>
      <c r="M250" s="32"/>
      <c r="N250" s="32"/>
      <c r="O250" s="32"/>
      <c r="P250" s="32"/>
      <c r="Q250" s="32"/>
      <c r="R250" s="32" t="n">
        <f aca="false">($G250*R$1)/$K250</f>
        <v>0.0348902072574849</v>
      </c>
      <c r="S250" s="32" t="n">
        <f aca="false">($G250*S$1)/$K250</f>
        <v>0.0359805262342813</v>
      </c>
      <c r="T250" s="32" t="n">
        <f aca="false">($G250*T$1)/$K250</f>
        <v>0.0370708452110777</v>
      </c>
      <c r="U250" s="32" t="n">
        <f aca="false">($G250*U$1)/$K250</f>
        <v>0.0381611641878741</v>
      </c>
      <c r="V250" s="33" t="n">
        <f aca="false">($H250*V$1)/$K250</f>
        <v>0.0379953635306436</v>
      </c>
      <c r="W250" s="33" t="n">
        <f aca="false">($H250*W$1)/$K250</f>
        <v>0.0390507902953838</v>
      </c>
      <c r="X250" s="33" t="n">
        <f aca="false">($H250*X$1)/$K250</f>
        <v>0.0401062170601239</v>
      </c>
      <c r="Y250" s="33" t="n">
        <f aca="false">($H250*Y$1)/$K250</f>
        <v>0.041161643824864</v>
      </c>
      <c r="Z250" s="34" t="n">
        <f aca="false">($I250*Z$1)/$K250</f>
        <v>0.040821382107352</v>
      </c>
      <c r="AA250" s="34" t="n">
        <f aca="false">($I250*AA$1)/$K250</f>
        <v>0.0418419166600357</v>
      </c>
      <c r="AB250" s="34" t="n">
        <f aca="false">($I250*AB$1)/$K250</f>
        <v>0.0428624512127196</v>
      </c>
      <c r="AC250" s="34" t="n">
        <f aca="false">($I250*AC$1)/$K250</f>
        <v>0.0438829857654033</v>
      </c>
      <c r="AD250" s="35" t="n">
        <f aca="false">($J250*AD$1)/$K250</f>
        <v>0.0458272061350621</v>
      </c>
      <c r="AE250" s="35" t="n">
        <f aca="false">($J250*AE$1)/$K250</f>
        <v>0.0468687335472226</v>
      </c>
      <c r="AF250" s="35" t="n">
        <f aca="false">($J250*AF$1)/$K250</f>
        <v>0.0479102609593831</v>
      </c>
      <c r="AG250" s="35" t="n">
        <f aca="false">($J250*AG$1)/$K250</f>
        <v>0.0489517883715436</v>
      </c>
      <c r="AH250" s="35" t="n">
        <f aca="false">($J250*AH$1)/$K250</f>
        <v>0.049993315783704</v>
      </c>
      <c r="AI250" s="35" t="n">
        <f aca="false">($J250*AI$1)/$K250</f>
        <v>0.0510348431958645</v>
      </c>
      <c r="AJ250" s="35" t="n">
        <f aca="false">($J250*AJ$1)/$K250</f>
        <v>0.052076370608025</v>
      </c>
      <c r="AK250" s="35" t="n">
        <f aca="false">($J250*AK$1)/$K250</f>
        <v>0.0531178980201855</v>
      </c>
      <c r="AL250" s="35" t="n">
        <f aca="false">($J250*AL$1)/$K250</f>
        <v>0.054159425432346</v>
      </c>
    </row>
    <row r="251" customFormat="false" ht="15" hidden="false" customHeight="false" outlineLevel="0" collapsed="false">
      <c r="A251" s="5" t="s">
        <v>30</v>
      </c>
      <c r="B251" s="0" t="s">
        <v>344</v>
      </c>
      <c r="C251" s="16" t="s">
        <v>345</v>
      </c>
      <c r="D251" s="45" t="n">
        <v>7</v>
      </c>
      <c r="E251" s="45"/>
      <c r="F251" s="44" t="n">
        <v>0.0581503454291415</v>
      </c>
      <c r="G251" s="44" t="n">
        <v>0.0581503454291415</v>
      </c>
      <c r="H251" s="44" t="n">
        <f aca="false">+(I251+G251)/2</f>
        <v>0.0562894274528054</v>
      </c>
      <c r="I251" s="44" t="n">
        <v>0.0544285094764693</v>
      </c>
      <c r="J251" s="44" t="n">
        <v>0.0555481286485601</v>
      </c>
      <c r="K251" s="31" t="n">
        <v>1</v>
      </c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3"/>
      <c r="W251" s="33"/>
      <c r="X251" s="33"/>
      <c r="Y251" s="33"/>
      <c r="Z251" s="34"/>
      <c r="AA251" s="34" t="n">
        <f aca="false">($I251*AA$1)/$K251</f>
        <v>0.0836838333200715</v>
      </c>
      <c r="AB251" s="34" t="n">
        <f aca="false">($I251*AB$1)/$K251</f>
        <v>0.0857249024254391</v>
      </c>
      <c r="AC251" s="34" t="n">
        <f aca="false">($I251*AC$1)/$K251</f>
        <v>0.0877659715308067</v>
      </c>
      <c r="AD251" s="35" t="n">
        <f aca="false">($J251*AD$1)/$K251</f>
        <v>0.0916544122701241</v>
      </c>
      <c r="AE251" s="35" t="n">
        <f aca="false">($J251*AE$1)/$K251</f>
        <v>0.0937374670944451</v>
      </c>
      <c r="AF251" s="35" t="n">
        <f aca="false">($J251*AF$1)/$K251</f>
        <v>0.0958205219187661</v>
      </c>
      <c r="AG251" s="35" t="n">
        <f aca="false">($J251*AG$1)/$K251</f>
        <v>0.0979035767430871</v>
      </c>
      <c r="AH251" s="35" t="n">
        <f aca="false">($J251*AH$1)/$K251</f>
        <v>0.0999866315674081</v>
      </c>
      <c r="AI251" s="35" t="n">
        <f aca="false">($J251*AI$1)/$K251</f>
        <v>0.102069686391729</v>
      </c>
      <c r="AJ251" s="35" t="n">
        <f aca="false">($J251*AJ$1)/$K251</f>
        <v>0.10415274121605</v>
      </c>
      <c r="AK251" s="35" t="n">
        <f aca="false">($J251*AK$1)/$K251</f>
        <v>0.106235796040371</v>
      </c>
      <c r="AL251" s="35" t="n">
        <f aca="false">($J251*AL$1)/$K251</f>
        <v>0.108318850864692</v>
      </c>
    </row>
    <row r="252" customFormat="false" ht="15" hidden="false" customHeight="false" outlineLevel="0" collapsed="false">
      <c r="A252" s="5" t="s">
        <v>30</v>
      </c>
      <c r="B252" s="0" t="s">
        <v>346</v>
      </c>
      <c r="C252" s="16" t="s">
        <v>347</v>
      </c>
      <c r="D252" s="45" t="n">
        <v>7</v>
      </c>
      <c r="E252" s="45"/>
      <c r="F252" s="44" t="n">
        <v>0.0581503454291415</v>
      </c>
      <c r="G252" s="44" t="n">
        <v>0.0581503454291415</v>
      </c>
      <c r="H252" s="44" t="n">
        <f aca="false">+(I252+G252)/2</f>
        <v>0.0562894274528054</v>
      </c>
      <c r="I252" s="44" t="n">
        <v>0.0544285094764693</v>
      </c>
      <c r="J252" s="44" t="n">
        <v>0.0555481286485601</v>
      </c>
      <c r="K252" s="31" t="n">
        <v>1</v>
      </c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3"/>
      <c r="W252" s="33"/>
      <c r="X252" s="33"/>
      <c r="Y252" s="33"/>
      <c r="Z252" s="34"/>
      <c r="AA252" s="34" t="n">
        <f aca="false">($I252*AA$1)/$K252</f>
        <v>0.0836838333200715</v>
      </c>
      <c r="AB252" s="34" t="n">
        <f aca="false">($I252*AB$1)/$K252</f>
        <v>0.0857249024254391</v>
      </c>
      <c r="AC252" s="34" t="n">
        <f aca="false">($I252*AC$1)/$K252</f>
        <v>0.0877659715308067</v>
      </c>
      <c r="AD252" s="35" t="n">
        <f aca="false">($J252*AD$1)/$K252</f>
        <v>0.0916544122701241</v>
      </c>
      <c r="AE252" s="35" t="n">
        <f aca="false">($J252*AE$1)/$K252</f>
        <v>0.0937374670944451</v>
      </c>
      <c r="AF252" s="35" t="n">
        <f aca="false">($J252*AF$1)/$K252</f>
        <v>0.0958205219187661</v>
      </c>
      <c r="AG252" s="35" t="n">
        <f aca="false">($J252*AG$1)/$K252</f>
        <v>0.0979035767430871</v>
      </c>
      <c r="AH252" s="35" t="n">
        <f aca="false">($J252*AH$1)/$K252</f>
        <v>0.0999866315674081</v>
      </c>
      <c r="AI252" s="35" t="n">
        <f aca="false">($J252*AI$1)/$K252</f>
        <v>0.102069686391729</v>
      </c>
      <c r="AJ252" s="35" t="n">
        <f aca="false">($J252*AJ$1)/$K252</f>
        <v>0.10415274121605</v>
      </c>
      <c r="AK252" s="35" t="n">
        <f aca="false">($J252*AK$1)/$K252</f>
        <v>0.106235796040371</v>
      </c>
      <c r="AL252" s="35" t="n">
        <f aca="false">($J252*AL$1)/$K252</f>
        <v>0.108318850864692</v>
      </c>
    </row>
    <row r="253" customFormat="false" ht="15" hidden="false" customHeight="false" outlineLevel="0" collapsed="false">
      <c r="A253" s="5" t="s">
        <v>30</v>
      </c>
      <c r="B253" s="0" t="s">
        <v>348</v>
      </c>
      <c r="C253" s="16" t="s">
        <v>349</v>
      </c>
      <c r="D253" s="45" t="n">
        <v>7</v>
      </c>
      <c r="E253" s="45"/>
      <c r="F253" s="44" t="n">
        <v>0.0581503454291415</v>
      </c>
      <c r="G253" s="44" t="n">
        <v>0.0581503454291415</v>
      </c>
      <c r="H253" s="44" t="n">
        <f aca="false">+(I253+G253)/2</f>
        <v>0.0562894274528054</v>
      </c>
      <c r="I253" s="44" t="n">
        <v>0.0544285094764693</v>
      </c>
      <c r="J253" s="44" t="n">
        <v>0.0555481286485601</v>
      </c>
      <c r="K253" s="31" t="n">
        <v>2</v>
      </c>
      <c r="L253" s="32"/>
      <c r="M253" s="32"/>
      <c r="N253" s="32"/>
      <c r="O253" s="32"/>
      <c r="P253" s="32"/>
      <c r="Q253" s="32"/>
      <c r="R253" s="32" t="n">
        <f aca="false">($G253*R$1)/$K253</f>
        <v>0.0348902072574849</v>
      </c>
      <c r="S253" s="32" t="n">
        <f aca="false">($G253*S$1)/$K253</f>
        <v>0.0359805262342813</v>
      </c>
      <c r="T253" s="32" t="n">
        <f aca="false">($G253*T$1)/$K253</f>
        <v>0.0370708452110777</v>
      </c>
      <c r="U253" s="32" t="n">
        <f aca="false">($G253*U$1)/$K253</f>
        <v>0.0381611641878741</v>
      </c>
      <c r="V253" s="33" t="n">
        <f aca="false">($H253*V$1)/$K253</f>
        <v>0.0379953635306436</v>
      </c>
      <c r="W253" s="33" t="n">
        <f aca="false">($H253*W$1)/$K253</f>
        <v>0.0390507902953838</v>
      </c>
      <c r="X253" s="33" t="n">
        <f aca="false">($H253*X$1)/$K253</f>
        <v>0.0401062170601239</v>
      </c>
      <c r="Y253" s="33" t="n">
        <f aca="false">($H253*Y$1)/$K253</f>
        <v>0.041161643824864</v>
      </c>
      <c r="Z253" s="34" t="n">
        <f aca="false">($I253*Z$1)/$K253</f>
        <v>0.040821382107352</v>
      </c>
      <c r="AA253" s="34" t="n">
        <f aca="false">($I253*AA$1)/$K253</f>
        <v>0.0418419166600357</v>
      </c>
      <c r="AB253" s="34" t="n">
        <f aca="false">($I253*AB$1)/$K253</f>
        <v>0.0428624512127196</v>
      </c>
      <c r="AC253" s="34" t="n">
        <f aca="false">($I253*AC$1)/$K253</f>
        <v>0.0438829857654033</v>
      </c>
      <c r="AD253" s="35" t="n">
        <f aca="false">($J253*AD$1)/$K253</f>
        <v>0.0458272061350621</v>
      </c>
      <c r="AE253" s="35" t="n">
        <f aca="false">($J253*AE$1)/$K253</f>
        <v>0.0468687335472226</v>
      </c>
      <c r="AF253" s="35" t="n">
        <f aca="false">($J253*AF$1)/$K253</f>
        <v>0.0479102609593831</v>
      </c>
      <c r="AG253" s="35" t="n">
        <f aca="false">($J253*AG$1)/$K253</f>
        <v>0.0489517883715436</v>
      </c>
      <c r="AH253" s="35" t="n">
        <f aca="false">($J253*AH$1)/$K253</f>
        <v>0.049993315783704</v>
      </c>
      <c r="AI253" s="35" t="n">
        <f aca="false">($J253*AI$1)/$K253</f>
        <v>0.0510348431958645</v>
      </c>
      <c r="AJ253" s="35" t="n">
        <f aca="false">($J253*AJ$1)/$K253</f>
        <v>0.052076370608025</v>
      </c>
      <c r="AK253" s="35" t="n">
        <f aca="false">($J253*AK$1)/$K253</f>
        <v>0.0531178980201855</v>
      </c>
      <c r="AL253" s="35" t="n">
        <f aca="false">($J253*AL$1)/$K253</f>
        <v>0.054159425432346</v>
      </c>
    </row>
    <row r="254" customFormat="false" ht="15" hidden="false" customHeight="false" outlineLevel="0" collapsed="false">
      <c r="A254" s="5" t="s">
        <v>30</v>
      </c>
      <c r="B254" s="0" t="s">
        <v>328</v>
      </c>
      <c r="C254" s="16" t="s">
        <v>329</v>
      </c>
      <c r="D254" s="45" t="n">
        <v>8</v>
      </c>
      <c r="E254" s="45"/>
      <c r="F254" s="44" t="n">
        <v>0.0581503454291415</v>
      </c>
      <c r="G254" s="44" t="n">
        <v>0.0581503454291415</v>
      </c>
      <c r="H254" s="44" t="n">
        <f aca="false">+(I254+G254)/2</f>
        <v>0.0562894274528054</v>
      </c>
      <c r="I254" s="44" t="n">
        <v>0.0544285094764693</v>
      </c>
      <c r="J254" s="44" t="n">
        <v>0.0555481286485601</v>
      </c>
      <c r="K254" s="31" t="n">
        <v>2</v>
      </c>
      <c r="L254" s="32"/>
      <c r="M254" s="32"/>
      <c r="N254" s="32"/>
      <c r="O254" s="32"/>
      <c r="P254" s="32"/>
      <c r="Q254" s="32"/>
      <c r="R254" s="32" t="n">
        <f aca="false">($G254*R$1)/$K254</f>
        <v>0.0348902072574849</v>
      </c>
      <c r="S254" s="32" t="n">
        <f aca="false">($G254*S$1)/$K254</f>
        <v>0.0359805262342813</v>
      </c>
      <c r="T254" s="32" t="n">
        <f aca="false">($G254*T$1)/$K254</f>
        <v>0.0370708452110777</v>
      </c>
      <c r="U254" s="32" t="n">
        <f aca="false">($G254*U$1)/$K254</f>
        <v>0.0381611641878741</v>
      </c>
      <c r="V254" s="33" t="n">
        <f aca="false">($H254*V$1)/$K254</f>
        <v>0.0379953635306436</v>
      </c>
      <c r="W254" s="33" t="n">
        <f aca="false">($H254*W$1)/$K254</f>
        <v>0.0390507902953838</v>
      </c>
      <c r="X254" s="33" t="n">
        <f aca="false">($H254*X$1)/$K254</f>
        <v>0.0401062170601239</v>
      </c>
      <c r="Y254" s="33" t="n">
        <f aca="false">($H254*Y$1)/$K254</f>
        <v>0.041161643824864</v>
      </c>
      <c r="Z254" s="34" t="n">
        <f aca="false">($I254*Z$1)/$K254</f>
        <v>0.040821382107352</v>
      </c>
      <c r="AA254" s="34" t="n">
        <f aca="false">($I254*AA$1)/$K254</f>
        <v>0.0418419166600357</v>
      </c>
      <c r="AB254" s="34" t="n">
        <f aca="false">($I254*AB$1)/$K254</f>
        <v>0.0428624512127196</v>
      </c>
      <c r="AC254" s="34" t="n">
        <f aca="false">($I254*AC$1)/$K254</f>
        <v>0.0438829857654033</v>
      </c>
      <c r="AD254" s="35" t="n">
        <f aca="false">($J254*AD$1)/$K254</f>
        <v>0.0458272061350621</v>
      </c>
      <c r="AE254" s="35" t="n">
        <f aca="false">($J254*AE$1)/$K254</f>
        <v>0.0468687335472226</v>
      </c>
      <c r="AF254" s="35" t="n">
        <f aca="false">($J254*AF$1)/$K254</f>
        <v>0.0479102609593831</v>
      </c>
      <c r="AG254" s="35" t="n">
        <f aca="false">($J254*AG$1)/$K254</f>
        <v>0.0489517883715436</v>
      </c>
      <c r="AH254" s="35" t="n">
        <f aca="false">($J254*AH$1)/$K254</f>
        <v>0.049993315783704</v>
      </c>
      <c r="AI254" s="35" t="n">
        <f aca="false">($J254*AI$1)/$K254</f>
        <v>0.0510348431958645</v>
      </c>
      <c r="AJ254" s="35" t="n">
        <f aca="false">($J254*AJ$1)/$K254</f>
        <v>0.052076370608025</v>
      </c>
      <c r="AK254" s="35" t="n">
        <f aca="false">($J254*AK$1)/$K254</f>
        <v>0.0531178980201855</v>
      </c>
      <c r="AL254" s="35" t="n">
        <f aca="false">($J254*AL$1)/$K254</f>
        <v>0.054159425432346</v>
      </c>
    </row>
    <row r="255" customFormat="false" ht="15" hidden="false" customHeight="false" outlineLevel="0" collapsed="false">
      <c r="A255" s="5" t="s">
        <v>30</v>
      </c>
      <c r="B255" s="0" t="s">
        <v>330</v>
      </c>
      <c r="C255" s="16" t="s">
        <v>331</v>
      </c>
      <c r="D255" s="45" t="n">
        <v>8</v>
      </c>
      <c r="E255" s="45"/>
      <c r="F255" s="44" t="n">
        <v>0.0581503454291415</v>
      </c>
      <c r="G255" s="44" t="n">
        <v>0.0581503454291415</v>
      </c>
      <c r="H255" s="44" t="n">
        <f aca="false">+(I255+G255)/2</f>
        <v>0.0562894274528054</v>
      </c>
      <c r="I255" s="44" t="n">
        <v>0.0544285094764693</v>
      </c>
      <c r="J255" s="44" t="n">
        <v>0.0555481286485601</v>
      </c>
      <c r="K255" s="31" t="n">
        <v>2</v>
      </c>
      <c r="L255" s="32"/>
      <c r="M255" s="32"/>
      <c r="N255" s="32"/>
      <c r="O255" s="32"/>
      <c r="P255" s="32"/>
      <c r="Q255" s="32"/>
      <c r="R255" s="32" t="n">
        <f aca="false">($G255*R$1)/$K255</f>
        <v>0.0348902072574849</v>
      </c>
      <c r="S255" s="32" t="n">
        <f aca="false">($G255*S$1)/$K255</f>
        <v>0.0359805262342813</v>
      </c>
      <c r="T255" s="32" t="n">
        <f aca="false">($G255*T$1)/$K255</f>
        <v>0.0370708452110777</v>
      </c>
      <c r="U255" s="32" t="n">
        <f aca="false">($G255*U$1)/$K255</f>
        <v>0.0381611641878741</v>
      </c>
      <c r="V255" s="33" t="n">
        <f aca="false">($H255*V$1)/$K255</f>
        <v>0.0379953635306436</v>
      </c>
      <c r="W255" s="33" t="n">
        <f aca="false">($H255*W$1)/$K255</f>
        <v>0.0390507902953838</v>
      </c>
      <c r="X255" s="33" t="n">
        <f aca="false">($H255*X$1)/$K255</f>
        <v>0.0401062170601239</v>
      </c>
      <c r="Y255" s="33" t="n">
        <f aca="false">($H255*Y$1)/$K255</f>
        <v>0.041161643824864</v>
      </c>
      <c r="Z255" s="34" t="n">
        <f aca="false">($I255*Z$1)/$K255</f>
        <v>0.040821382107352</v>
      </c>
      <c r="AA255" s="34" t="n">
        <f aca="false">($I255*AA$1)/$K255</f>
        <v>0.0418419166600357</v>
      </c>
      <c r="AB255" s="34" t="n">
        <f aca="false">($I255*AB$1)/$K255</f>
        <v>0.0428624512127196</v>
      </c>
      <c r="AC255" s="34" t="n">
        <f aca="false">($I255*AC$1)/$K255</f>
        <v>0.0438829857654033</v>
      </c>
      <c r="AD255" s="35" t="n">
        <f aca="false">($J255*AD$1)/$K255</f>
        <v>0.0458272061350621</v>
      </c>
      <c r="AE255" s="35" t="n">
        <f aca="false">($J255*AE$1)/$K255</f>
        <v>0.0468687335472226</v>
      </c>
      <c r="AF255" s="35" t="n">
        <f aca="false">($J255*AF$1)/$K255</f>
        <v>0.0479102609593831</v>
      </c>
      <c r="AG255" s="35" t="n">
        <f aca="false">($J255*AG$1)/$K255</f>
        <v>0.0489517883715436</v>
      </c>
      <c r="AH255" s="35" t="n">
        <f aca="false">($J255*AH$1)/$K255</f>
        <v>0.049993315783704</v>
      </c>
      <c r="AI255" s="35" t="n">
        <f aca="false">($J255*AI$1)/$K255</f>
        <v>0.0510348431958645</v>
      </c>
      <c r="AJ255" s="35" t="n">
        <f aca="false">($J255*AJ$1)/$K255</f>
        <v>0.052076370608025</v>
      </c>
      <c r="AK255" s="35" t="n">
        <f aca="false">($J255*AK$1)/$K255</f>
        <v>0.0531178980201855</v>
      </c>
      <c r="AL255" s="35" t="n">
        <f aca="false">($J255*AL$1)/$K255</f>
        <v>0.054159425432346</v>
      </c>
    </row>
    <row r="256" customFormat="false" ht="15" hidden="false" customHeight="false" outlineLevel="0" collapsed="false">
      <c r="A256" s="5" t="s">
        <v>30</v>
      </c>
      <c r="B256" s="0" t="s">
        <v>332</v>
      </c>
      <c r="C256" s="16" t="s">
        <v>333</v>
      </c>
      <c r="D256" s="45" t="n">
        <v>8</v>
      </c>
      <c r="E256" s="45"/>
      <c r="F256" s="44" t="n">
        <v>0.0581503454291415</v>
      </c>
      <c r="G256" s="44" t="n">
        <v>0.0581503454291415</v>
      </c>
      <c r="H256" s="44" t="n">
        <f aca="false">+(I256+G256)/2</f>
        <v>0.0562894274528054</v>
      </c>
      <c r="I256" s="44" t="n">
        <v>0.0544285094764693</v>
      </c>
      <c r="J256" s="44" t="n">
        <v>0.0555481286485601</v>
      </c>
      <c r="K256" s="31" t="n">
        <v>1</v>
      </c>
      <c r="L256" s="32"/>
      <c r="M256" s="32"/>
      <c r="N256" s="32"/>
      <c r="O256" s="32"/>
      <c r="P256" s="32"/>
      <c r="Q256" s="32"/>
      <c r="R256" s="32" t="n">
        <f aca="false">($G256*R$1)/$K256</f>
        <v>0.0697804145149699</v>
      </c>
      <c r="S256" s="32" t="n">
        <f aca="false">($G256*S$1)/$K256</f>
        <v>0.0719610524685627</v>
      </c>
      <c r="T256" s="32" t="n">
        <f aca="false">($G256*T$1)/$K256</f>
        <v>0.0741416904221555</v>
      </c>
      <c r="U256" s="32" t="n">
        <f aca="false">($G256*U$1)/$K256</f>
        <v>0.0763223283757483</v>
      </c>
      <c r="V256" s="33" t="n">
        <f aca="false">($H256*V$1)/$K256</f>
        <v>0.0759907270612873</v>
      </c>
      <c r="W256" s="33" t="n">
        <f aca="false">($H256*W$1)/$K256</f>
        <v>0.0781015805907675</v>
      </c>
      <c r="X256" s="33" t="n">
        <f aca="false">($H256*X$1)/$K256</f>
        <v>0.0802124341202477</v>
      </c>
      <c r="Y256" s="33" t="n">
        <f aca="false">($H256*Y$1)/$K256</f>
        <v>0.0823232876497279</v>
      </c>
      <c r="Z256" s="34" t="n">
        <f aca="false">($I256*Z$1)/$K256</f>
        <v>0.0816427642147039</v>
      </c>
      <c r="AA256" s="34" t="n">
        <f aca="false">($I256*AA$1)/$K256</f>
        <v>0.0836838333200715</v>
      </c>
      <c r="AB256" s="34" t="n">
        <f aca="false">($I256*AB$1)/$K256</f>
        <v>0.0857249024254391</v>
      </c>
      <c r="AC256" s="34" t="n">
        <f aca="false">($I256*AC$1)/$K256</f>
        <v>0.0877659715308067</v>
      </c>
      <c r="AD256" s="35" t="n">
        <f aca="false">($J256*AD$1)/$K256</f>
        <v>0.0916544122701241</v>
      </c>
      <c r="AE256" s="35"/>
      <c r="AF256" s="35"/>
      <c r="AG256" s="35"/>
      <c r="AH256" s="35"/>
      <c r="AI256" s="35"/>
      <c r="AJ256" s="35"/>
      <c r="AK256" s="35"/>
      <c r="AL256" s="35"/>
    </row>
    <row r="257" customFormat="false" ht="15" hidden="false" customHeight="false" outlineLevel="0" collapsed="false">
      <c r="A257" s="5" t="s">
        <v>30</v>
      </c>
      <c r="B257" s="0" t="s">
        <v>334</v>
      </c>
      <c r="C257" s="16" t="s">
        <v>335</v>
      </c>
      <c r="D257" s="45" t="n">
        <v>8</v>
      </c>
      <c r="E257" s="45"/>
      <c r="F257" s="44" t="n">
        <v>0.0581503454291415</v>
      </c>
      <c r="G257" s="44" t="n">
        <v>0.0581503454291415</v>
      </c>
      <c r="H257" s="44" t="n">
        <f aca="false">+(I257+G257)/2</f>
        <v>0.0562894274528054</v>
      </c>
      <c r="I257" s="44" t="n">
        <v>0.0544285094764693</v>
      </c>
      <c r="J257" s="44" t="n">
        <v>0.0555481286485601</v>
      </c>
      <c r="K257" s="31" t="n">
        <v>1</v>
      </c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3"/>
      <c r="W257" s="33"/>
      <c r="X257" s="33" t="n">
        <f aca="false">($H257*X$1)/$K257</f>
        <v>0.0802124341202477</v>
      </c>
      <c r="Y257" s="33" t="n">
        <f aca="false">($H257*Y$1)/$K257</f>
        <v>0.0823232876497279</v>
      </c>
      <c r="Z257" s="34" t="n">
        <f aca="false">($I257*Z$1)/$K257</f>
        <v>0.0816427642147039</v>
      </c>
      <c r="AA257" s="34" t="n">
        <f aca="false">($I257*AA$1)/$K257</f>
        <v>0.0836838333200715</v>
      </c>
      <c r="AB257" s="34" t="n">
        <f aca="false">($I257*AB$1)/$K257</f>
        <v>0.0857249024254391</v>
      </c>
      <c r="AC257" s="34" t="n">
        <f aca="false">($I257*AC$1)/$K257</f>
        <v>0.0877659715308067</v>
      </c>
      <c r="AD257" s="35" t="n">
        <f aca="false">($J257*AD$1)/$K257</f>
        <v>0.0916544122701241</v>
      </c>
      <c r="AE257" s="35" t="n">
        <f aca="false">($J257*AE$1)/$K257</f>
        <v>0.0937374670944451</v>
      </c>
      <c r="AF257" s="35" t="n">
        <f aca="false">($J257*AF$1)/$K257</f>
        <v>0.0958205219187661</v>
      </c>
      <c r="AG257" s="35" t="n">
        <f aca="false">($J257*AG$1)/$K257</f>
        <v>0.0979035767430871</v>
      </c>
      <c r="AH257" s="35" t="n">
        <f aca="false">($J257*AH$1)/$K257</f>
        <v>0.0999866315674081</v>
      </c>
      <c r="AI257" s="35" t="n">
        <f aca="false">($J257*AI$1)/$K257</f>
        <v>0.102069686391729</v>
      </c>
      <c r="AJ257" s="35" t="n">
        <f aca="false">($J257*AJ$1)/$K257</f>
        <v>0.10415274121605</v>
      </c>
      <c r="AK257" s="35" t="n">
        <f aca="false">($J257*AK$1)/$K257</f>
        <v>0.106235796040371</v>
      </c>
      <c r="AL257" s="35" t="n">
        <f aca="false">($J257*AL$1)/$K257</f>
        <v>0.108318850864692</v>
      </c>
    </row>
    <row r="258" customFormat="false" ht="15" hidden="false" customHeight="false" outlineLevel="0" collapsed="false">
      <c r="A258" s="5" t="s">
        <v>30</v>
      </c>
      <c r="B258" s="0" t="s">
        <v>336</v>
      </c>
      <c r="C258" s="16" t="s">
        <v>337</v>
      </c>
      <c r="D258" s="45" t="n">
        <v>8</v>
      </c>
      <c r="E258" s="45"/>
      <c r="F258" s="44" t="n">
        <v>0.0581503454291415</v>
      </c>
      <c r="G258" s="44" t="n">
        <v>0.0581503454291415</v>
      </c>
      <c r="H258" s="44" t="n">
        <f aca="false">+(I258+G258)/2</f>
        <v>0.0562894274528054</v>
      </c>
      <c r="I258" s="44" t="n">
        <v>0.0544285094764693</v>
      </c>
      <c r="J258" s="44" t="n">
        <v>0.0555481286485601</v>
      </c>
      <c r="K258" s="31" t="n">
        <v>2</v>
      </c>
      <c r="L258" s="32"/>
      <c r="M258" s="32"/>
      <c r="N258" s="32"/>
      <c r="O258" s="32"/>
      <c r="P258" s="32"/>
      <c r="Q258" s="32"/>
      <c r="R258" s="32" t="n">
        <f aca="false">($G258*R$1)/$K258</f>
        <v>0.0348902072574849</v>
      </c>
      <c r="S258" s="32" t="n">
        <f aca="false">($G258*S$1)/$K258</f>
        <v>0.0359805262342813</v>
      </c>
      <c r="T258" s="32" t="n">
        <f aca="false">($G258*T$1)/$K258</f>
        <v>0.0370708452110777</v>
      </c>
      <c r="U258" s="32" t="n">
        <f aca="false">($G258*U$1)/$K258</f>
        <v>0.0381611641878741</v>
      </c>
      <c r="V258" s="33" t="n">
        <f aca="false">($H258*V$1)/$K258</f>
        <v>0.0379953635306436</v>
      </c>
      <c r="W258" s="33" t="n">
        <f aca="false">($H258*W$1)/$K258</f>
        <v>0.0390507902953838</v>
      </c>
      <c r="X258" s="33" t="n">
        <f aca="false">($H258*X$1)/$K258</f>
        <v>0.0401062170601239</v>
      </c>
      <c r="Y258" s="33" t="n">
        <f aca="false">($H258*Y$1)/$K258</f>
        <v>0.041161643824864</v>
      </c>
      <c r="Z258" s="34" t="n">
        <f aca="false">($I258*Z$1)/$K258</f>
        <v>0.040821382107352</v>
      </c>
      <c r="AA258" s="34" t="n">
        <f aca="false">($I258*AA$1)/$K258</f>
        <v>0.0418419166600357</v>
      </c>
      <c r="AB258" s="34" t="n">
        <f aca="false">($I258*AB$1)/$K258</f>
        <v>0.0428624512127196</v>
      </c>
      <c r="AC258" s="34" t="n">
        <f aca="false">($I258*AC$1)/$K258</f>
        <v>0.0438829857654033</v>
      </c>
      <c r="AD258" s="35" t="n">
        <f aca="false">($J258*AD$1)/$K258</f>
        <v>0.0458272061350621</v>
      </c>
      <c r="AE258" s="35" t="n">
        <f aca="false">($J258*AE$1)/$K258</f>
        <v>0.0468687335472226</v>
      </c>
      <c r="AF258" s="35" t="n">
        <f aca="false">($J258*AF$1)/$K258</f>
        <v>0.0479102609593831</v>
      </c>
      <c r="AG258" s="35" t="n">
        <f aca="false">($J258*AG$1)/$K258</f>
        <v>0.0489517883715436</v>
      </c>
      <c r="AH258" s="35" t="n">
        <f aca="false">($J258*AH$1)/$K258</f>
        <v>0.049993315783704</v>
      </c>
      <c r="AI258" s="35" t="n">
        <f aca="false">($J258*AI$1)/$K258</f>
        <v>0.0510348431958645</v>
      </c>
      <c r="AJ258" s="35" t="n">
        <f aca="false">($J258*AJ$1)/$K258</f>
        <v>0.052076370608025</v>
      </c>
      <c r="AK258" s="35" t="n">
        <f aca="false">($J258*AK$1)/$K258</f>
        <v>0.0531178980201855</v>
      </c>
      <c r="AL258" s="35" t="n">
        <f aca="false">($J258*AL$1)/$K258</f>
        <v>0.054159425432346</v>
      </c>
    </row>
    <row r="259" customFormat="false" ht="15" hidden="false" customHeight="false" outlineLevel="0" collapsed="false">
      <c r="A259" s="5" t="s">
        <v>30</v>
      </c>
      <c r="B259" s="0" t="s">
        <v>338</v>
      </c>
      <c r="C259" s="16" t="s">
        <v>339</v>
      </c>
      <c r="D259" s="45" t="n">
        <v>8</v>
      </c>
      <c r="E259" s="45"/>
      <c r="F259" s="44" t="n">
        <v>0.0581503454291415</v>
      </c>
      <c r="G259" s="44" t="n">
        <v>0.0581503454291415</v>
      </c>
      <c r="H259" s="44" t="n">
        <f aca="false">+(I259+G259)/2</f>
        <v>0.0562894274528054</v>
      </c>
      <c r="I259" s="44" t="n">
        <v>0.0544285094764693</v>
      </c>
      <c r="J259" s="44" t="n">
        <v>0.0555481286485601</v>
      </c>
      <c r="K259" s="31" t="n">
        <v>1</v>
      </c>
      <c r="L259" s="32"/>
      <c r="M259" s="32"/>
      <c r="N259" s="32"/>
      <c r="O259" s="32"/>
      <c r="P259" s="32"/>
      <c r="Q259" s="32"/>
      <c r="R259" s="32" t="n">
        <f aca="false">($G259*R$1)/$K259</f>
        <v>0.0697804145149699</v>
      </c>
      <c r="S259" s="32" t="n">
        <f aca="false">($G259*S$1)/$K259</f>
        <v>0.0719610524685627</v>
      </c>
      <c r="T259" s="32" t="n">
        <f aca="false">($G259*T$1)/$K259</f>
        <v>0.0741416904221555</v>
      </c>
      <c r="U259" s="32" t="n">
        <f aca="false">($G259*U$1)/$K259</f>
        <v>0.0763223283757483</v>
      </c>
      <c r="V259" s="33"/>
      <c r="W259" s="33"/>
      <c r="X259" s="33"/>
      <c r="Y259" s="33"/>
      <c r="Z259" s="34"/>
      <c r="AA259" s="34"/>
      <c r="AB259" s="34"/>
      <c r="AC259" s="34"/>
      <c r="AD259" s="35"/>
      <c r="AE259" s="35"/>
      <c r="AF259" s="35"/>
      <c r="AG259" s="35"/>
      <c r="AH259" s="35"/>
      <c r="AI259" s="35"/>
      <c r="AJ259" s="35"/>
      <c r="AK259" s="35"/>
      <c r="AL259" s="35"/>
    </row>
    <row r="260" customFormat="false" ht="15" hidden="false" customHeight="false" outlineLevel="0" collapsed="false">
      <c r="A260" s="5" t="s">
        <v>30</v>
      </c>
      <c r="B260" s="0" t="s">
        <v>340</v>
      </c>
      <c r="C260" s="16" t="s">
        <v>341</v>
      </c>
      <c r="D260" s="45" t="n">
        <v>8</v>
      </c>
      <c r="E260" s="45"/>
      <c r="F260" s="44" t="n">
        <v>0.0581503454291415</v>
      </c>
      <c r="G260" s="44" t="n">
        <v>0.0581503454291415</v>
      </c>
      <c r="H260" s="44" t="n">
        <f aca="false">+(I260+G260)/2</f>
        <v>0.0562894274528054</v>
      </c>
      <c r="I260" s="44" t="n">
        <v>0.0544285094764693</v>
      </c>
      <c r="J260" s="44" t="n">
        <v>0.0555481286485601</v>
      </c>
      <c r="K260" s="31" t="n">
        <v>2</v>
      </c>
      <c r="L260" s="32"/>
      <c r="M260" s="32"/>
      <c r="N260" s="32"/>
      <c r="O260" s="32"/>
      <c r="P260" s="32"/>
      <c r="Q260" s="32"/>
      <c r="R260" s="32" t="n">
        <f aca="false">($G260*R$1)/$K260</f>
        <v>0.0348902072574849</v>
      </c>
      <c r="S260" s="32" t="n">
        <f aca="false">($G260*S$1)/$K260</f>
        <v>0.0359805262342813</v>
      </c>
      <c r="T260" s="32" t="n">
        <f aca="false">($G260*T$1)/$K260</f>
        <v>0.0370708452110777</v>
      </c>
      <c r="U260" s="32" t="n">
        <f aca="false">($G260*U$1)/$K260</f>
        <v>0.0381611641878741</v>
      </c>
      <c r="V260" s="33" t="n">
        <f aca="false">($H260*V$1)/$K260</f>
        <v>0.0379953635306436</v>
      </c>
      <c r="W260" s="33" t="n">
        <f aca="false">($H260*W$1)/$K260</f>
        <v>0.0390507902953838</v>
      </c>
      <c r="X260" s="33" t="n">
        <f aca="false">($H260*X$1)/$K260</f>
        <v>0.0401062170601239</v>
      </c>
      <c r="Y260" s="33" t="n">
        <f aca="false">($H260*Y$1)/$K260</f>
        <v>0.041161643824864</v>
      </c>
      <c r="Z260" s="34" t="n">
        <f aca="false">($I260*Z$1)/$K260</f>
        <v>0.040821382107352</v>
      </c>
      <c r="AA260" s="34" t="n">
        <f aca="false">($I260*AA$1)/$K260</f>
        <v>0.0418419166600357</v>
      </c>
      <c r="AB260" s="34" t="n">
        <f aca="false">($I260*AB$1)/$K260</f>
        <v>0.0428624512127196</v>
      </c>
      <c r="AC260" s="34" t="n">
        <f aca="false">($I260*AC$1)/$K260</f>
        <v>0.0438829857654033</v>
      </c>
      <c r="AD260" s="35" t="n">
        <f aca="false">($J260*AD$1)/$K260</f>
        <v>0.0458272061350621</v>
      </c>
      <c r="AE260" s="35" t="n">
        <f aca="false">($J260*AE$1)/$K260</f>
        <v>0.0468687335472226</v>
      </c>
      <c r="AF260" s="35" t="n">
        <f aca="false">($J260*AF$1)/$K260</f>
        <v>0.0479102609593831</v>
      </c>
      <c r="AG260" s="35" t="n">
        <f aca="false">($J260*AG$1)/$K260</f>
        <v>0.0489517883715436</v>
      </c>
      <c r="AH260" s="35" t="n">
        <f aca="false">($J260*AH$1)/$K260</f>
        <v>0.049993315783704</v>
      </c>
      <c r="AI260" s="35" t="n">
        <f aca="false">($J260*AI$1)/$K260</f>
        <v>0.0510348431958645</v>
      </c>
      <c r="AJ260" s="35" t="n">
        <f aca="false">($J260*AJ$1)/$K260</f>
        <v>0.052076370608025</v>
      </c>
      <c r="AK260" s="35" t="n">
        <f aca="false">($J260*AK$1)/$K260</f>
        <v>0.0531178980201855</v>
      </c>
      <c r="AL260" s="35" t="n">
        <f aca="false">($J260*AL$1)/$K260</f>
        <v>0.054159425432346</v>
      </c>
    </row>
    <row r="261" customFormat="false" ht="15" hidden="false" customHeight="false" outlineLevel="0" collapsed="false">
      <c r="A261" s="5" t="s">
        <v>30</v>
      </c>
      <c r="B261" s="0" t="s">
        <v>342</v>
      </c>
      <c r="C261" s="16" t="s">
        <v>343</v>
      </c>
      <c r="D261" s="45" t="n">
        <v>8</v>
      </c>
      <c r="E261" s="45"/>
      <c r="F261" s="44" t="n">
        <v>0.0581503454291415</v>
      </c>
      <c r="G261" s="44" t="n">
        <v>0.0581503454291415</v>
      </c>
      <c r="H261" s="44" t="n">
        <f aca="false">+(I261+G261)/2</f>
        <v>0.0562894274528054</v>
      </c>
      <c r="I261" s="44" t="n">
        <v>0.0544285094764693</v>
      </c>
      <c r="J261" s="44" t="n">
        <v>0.0555481286485601</v>
      </c>
      <c r="K261" s="31" t="n">
        <v>2</v>
      </c>
      <c r="L261" s="32"/>
      <c r="M261" s="32"/>
      <c r="N261" s="32"/>
      <c r="O261" s="32"/>
      <c r="P261" s="32"/>
      <c r="Q261" s="32"/>
      <c r="R261" s="32" t="n">
        <f aca="false">($G261*R$1)/$K261</f>
        <v>0.0348902072574849</v>
      </c>
      <c r="S261" s="32" t="n">
        <f aca="false">($G261*S$1)/$K261</f>
        <v>0.0359805262342813</v>
      </c>
      <c r="T261" s="32" t="n">
        <f aca="false">($G261*T$1)/$K261</f>
        <v>0.0370708452110777</v>
      </c>
      <c r="U261" s="32" t="n">
        <f aca="false">($G261*U$1)/$K261</f>
        <v>0.0381611641878741</v>
      </c>
      <c r="V261" s="33" t="n">
        <f aca="false">($H261*V$1)/$K261</f>
        <v>0.0379953635306436</v>
      </c>
      <c r="W261" s="33" t="n">
        <f aca="false">($H261*W$1)/$K261</f>
        <v>0.0390507902953838</v>
      </c>
      <c r="X261" s="33" t="n">
        <f aca="false">($H261*X$1)/$K261</f>
        <v>0.0401062170601239</v>
      </c>
      <c r="Y261" s="33" t="n">
        <f aca="false">($H261*Y$1)/$K261</f>
        <v>0.041161643824864</v>
      </c>
      <c r="Z261" s="34" t="n">
        <f aca="false">($I261*Z$1)/$K261</f>
        <v>0.040821382107352</v>
      </c>
      <c r="AA261" s="34" t="n">
        <f aca="false">($I261*AA$1)/$K261</f>
        <v>0.0418419166600357</v>
      </c>
      <c r="AB261" s="34" t="n">
        <f aca="false">($I261*AB$1)/$K261</f>
        <v>0.0428624512127196</v>
      </c>
      <c r="AC261" s="34" t="n">
        <f aca="false">($I261*AC$1)/$K261</f>
        <v>0.0438829857654033</v>
      </c>
      <c r="AD261" s="35" t="n">
        <f aca="false">($J261*AD$1)/$K261</f>
        <v>0.0458272061350621</v>
      </c>
      <c r="AE261" s="35" t="n">
        <f aca="false">($J261*AE$1)/$K261</f>
        <v>0.0468687335472226</v>
      </c>
      <c r="AF261" s="35" t="n">
        <f aca="false">($J261*AF$1)/$K261</f>
        <v>0.0479102609593831</v>
      </c>
      <c r="AG261" s="35" t="n">
        <f aca="false">($J261*AG$1)/$K261</f>
        <v>0.0489517883715436</v>
      </c>
      <c r="AH261" s="35" t="n">
        <f aca="false">($J261*AH$1)/$K261</f>
        <v>0.049993315783704</v>
      </c>
      <c r="AI261" s="35" t="n">
        <f aca="false">($J261*AI$1)/$K261</f>
        <v>0.0510348431958645</v>
      </c>
      <c r="AJ261" s="35" t="n">
        <f aca="false">($J261*AJ$1)/$K261</f>
        <v>0.052076370608025</v>
      </c>
      <c r="AK261" s="35" t="n">
        <f aca="false">($J261*AK$1)/$K261</f>
        <v>0.0531178980201855</v>
      </c>
      <c r="AL261" s="35" t="n">
        <f aca="false">($J261*AL$1)/$K261</f>
        <v>0.054159425432346</v>
      </c>
    </row>
    <row r="262" customFormat="false" ht="15" hidden="false" customHeight="false" outlineLevel="0" collapsed="false">
      <c r="A262" s="5" t="s">
        <v>30</v>
      </c>
      <c r="B262" s="0" t="s">
        <v>344</v>
      </c>
      <c r="C262" s="16" t="s">
        <v>345</v>
      </c>
      <c r="D262" s="45" t="n">
        <v>8</v>
      </c>
      <c r="E262" s="45"/>
      <c r="F262" s="44" t="n">
        <v>0.0581503454291415</v>
      </c>
      <c r="G262" s="44" t="n">
        <v>0.0581503454291415</v>
      </c>
      <c r="H262" s="44" t="n">
        <f aca="false">+(I262+G262)/2</f>
        <v>0.0562894274528054</v>
      </c>
      <c r="I262" s="44" t="n">
        <v>0.0544285094764693</v>
      </c>
      <c r="J262" s="44" t="n">
        <v>0.0555481286485601</v>
      </c>
      <c r="K262" s="31" t="n">
        <v>1</v>
      </c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3"/>
      <c r="W262" s="33"/>
      <c r="X262" s="33"/>
      <c r="Y262" s="33"/>
      <c r="Z262" s="34"/>
      <c r="AA262" s="34" t="n">
        <f aca="false">($I262*AA$1)/$K262</f>
        <v>0.0836838333200715</v>
      </c>
      <c r="AB262" s="34" t="n">
        <f aca="false">($I262*AB$1)/$K262</f>
        <v>0.0857249024254391</v>
      </c>
      <c r="AC262" s="34" t="n">
        <f aca="false">($I262*AC$1)/$K262</f>
        <v>0.0877659715308067</v>
      </c>
      <c r="AD262" s="35" t="n">
        <f aca="false">($J262*AD$1)/$K262</f>
        <v>0.0916544122701241</v>
      </c>
      <c r="AE262" s="35" t="n">
        <f aca="false">($J262*AE$1)/$K262</f>
        <v>0.0937374670944451</v>
      </c>
      <c r="AF262" s="35" t="n">
        <f aca="false">($J262*AF$1)/$K262</f>
        <v>0.0958205219187661</v>
      </c>
      <c r="AG262" s="35" t="n">
        <f aca="false">($J262*AG$1)/$K262</f>
        <v>0.0979035767430871</v>
      </c>
      <c r="AH262" s="35" t="n">
        <f aca="false">($J262*AH$1)/$K262</f>
        <v>0.0999866315674081</v>
      </c>
      <c r="AI262" s="35" t="n">
        <f aca="false">($J262*AI$1)/$K262</f>
        <v>0.102069686391729</v>
      </c>
      <c r="AJ262" s="35" t="n">
        <f aca="false">($J262*AJ$1)/$K262</f>
        <v>0.10415274121605</v>
      </c>
      <c r="AK262" s="35" t="n">
        <f aca="false">($J262*AK$1)/$K262</f>
        <v>0.106235796040371</v>
      </c>
      <c r="AL262" s="35" t="n">
        <f aca="false">($J262*AL$1)/$K262</f>
        <v>0.108318850864692</v>
      </c>
    </row>
    <row r="263" customFormat="false" ht="15" hidden="false" customHeight="false" outlineLevel="0" collapsed="false">
      <c r="A263" s="5" t="s">
        <v>30</v>
      </c>
      <c r="B263" s="0" t="s">
        <v>346</v>
      </c>
      <c r="C263" s="16" t="s">
        <v>347</v>
      </c>
      <c r="D263" s="45" t="n">
        <v>8</v>
      </c>
      <c r="E263" s="45"/>
      <c r="F263" s="44" t="n">
        <v>0.0581503454291415</v>
      </c>
      <c r="G263" s="44" t="n">
        <v>0.0581503454291415</v>
      </c>
      <c r="H263" s="44" t="n">
        <f aca="false">+(I263+G263)/2</f>
        <v>0.0562894274528054</v>
      </c>
      <c r="I263" s="44" t="n">
        <v>0.0544285094764693</v>
      </c>
      <c r="J263" s="44" t="n">
        <v>0.0555481286485601</v>
      </c>
      <c r="K263" s="31" t="n">
        <v>1</v>
      </c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3"/>
      <c r="W263" s="33"/>
      <c r="X263" s="33"/>
      <c r="Y263" s="33"/>
      <c r="Z263" s="34"/>
      <c r="AA263" s="34" t="n">
        <f aca="false">($I263*AA$1)/$K263</f>
        <v>0.0836838333200715</v>
      </c>
      <c r="AB263" s="34" t="n">
        <f aca="false">($I263*AB$1)/$K263</f>
        <v>0.0857249024254391</v>
      </c>
      <c r="AC263" s="34" t="n">
        <f aca="false">($I263*AC$1)/$K263</f>
        <v>0.0877659715308067</v>
      </c>
      <c r="AD263" s="35" t="n">
        <f aca="false">($J263*AD$1)/$K263</f>
        <v>0.0916544122701241</v>
      </c>
      <c r="AE263" s="35" t="n">
        <f aca="false">($J263*AE$1)/$K263</f>
        <v>0.0937374670944451</v>
      </c>
      <c r="AF263" s="35" t="n">
        <f aca="false">($J263*AF$1)/$K263</f>
        <v>0.0958205219187661</v>
      </c>
      <c r="AG263" s="35" t="n">
        <f aca="false">($J263*AG$1)/$K263</f>
        <v>0.0979035767430871</v>
      </c>
      <c r="AH263" s="35" t="n">
        <f aca="false">($J263*AH$1)/$K263</f>
        <v>0.0999866315674081</v>
      </c>
      <c r="AI263" s="35" t="n">
        <f aca="false">($J263*AI$1)/$K263</f>
        <v>0.102069686391729</v>
      </c>
      <c r="AJ263" s="35" t="n">
        <f aca="false">($J263*AJ$1)/$K263</f>
        <v>0.10415274121605</v>
      </c>
      <c r="AK263" s="35" t="n">
        <f aca="false">($J263*AK$1)/$K263</f>
        <v>0.106235796040371</v>
      </c>
      <c r="AL263" s="35" t="n">
        <f aca="false">($J263*AL$1)/$K263</f>
        <v>0.108318850864692</v>
      </c>
    </row>
    <row r="264" customFormat="false" ht="15" hidden="false" customHeight="false" outlineLevel="0" collapsed="false">
      <c r="A264" s="5" t="s">
        <v>30</v>
      </c>
      <c r="B264" s="0" t="s">
        <v>348</v>
      </c>
      <c r="C264" s="16" t="s">
        <v>349</v>
      </c>
      <c r="D264" s="45" t="n">
        <v>8</v>
      </c>
      <c r="E264" s="45"/>
      <c r="F264" s="44" t="n">
        <v>0.0581503454291415</v>
      </c>
      <c r="G264" s="44" t="n">
        <v>0.0581503454291415</v>
      </c>
      <c r="H264" s="44" t="n">
        <f aca="false">+(I264+G264)/2</f>
        <v>0.0562894274528054</v>
      </c>
      <c r="I264" s="44" t="n">
        <v>0.0544285094764693</v>
      </c>
      <c r="J264" s="44" t="n">
        <v>0.0555481286485601</v>
      </c>
      <c r="K264" s="31" t="n">
        <v>2</v>
      </c>
      <c r="L264" s="32"/>
      <c r="M264" s="32"/>
      <c r="N264" s="32"/>
      <c r="O264" s="32"/>
      <c r="P264" s="32"/>
      <c r="Q264" s="32"/>
      <c r="R264" s="32" t="n">
        <f aca="false">($G264*R$1)/$K264</f>
        <v>0.0348902072574849</v>
      </c>
      <c r="S264" s="32" t="n">
        <f aca="false">($G264*S$1)/$K264</f>
        <v>0.0359805262342813</v>
      </c>
      <c r="T264" s="32" t="n">
        <f aca="false">($G264*T$1)/$K264</f>
        <v>0.0370708452110777</v>
      </c>
      <c r="U264" s="32" t="n">
        <f aca="false">($G264*U$1)/$K264</f>
        <v>0.0381611641878741</v>
      </c>
      <c r="V264" s="33" t="n">
        <f aca="false">($H264*V$1)/$K264</f>
        <v>0.0379953635306436</v>
      </c>
      <c r="W264" s="33" t="n">
        <f aca="false">($H264*W$1)/$K264</f>
        <v>0.0390507902953838</v>
      </c>
      <c r="X264" s="33" t="n">
        <f aca="false">($H264*X$1)/$K264</f>
        <v>0.0401062170601239</v>
      </c>
      <c r="Y264" s="33" t="n">
        <f aca="false">($H264*Y$1)/$K264</f>
        <v>0.041161643824864</v>
      </c>
      <c r="Z264" s="34" t="n">
        <f aca="false">($I264*Z$1)/$K264</f>
        <v>0.040821382107352</v>
      </c>
      <c r="AA264" s="34" t="n">
        <f aca="false">($I264*AA$1)/$K264</f>
        <v>0.0418419166600357</v>
      </c>
      <c r="AB264" s="34" t="n">
        <f aca="false">($I264*AB$1)/$K264</f>
        <v>0.0428624512127196</v>
      </c>
      <c r="AC264" s="34" t="n">
        <f aca="false">($I264*AC$1)/$K264</f>
        <v>0.0438829857654033</v>
      </c>
      <c r="AD264" s="35" t="n">
        <f aca="false">($J264*AD$1)/$K264</f>
        <v>0.0458272061350621</v>
      </c>
      <c r="AE264" s="35" t="n">
        <f aca="false">($J264*AE$1)/$K264</f>
        <v>0.0468687335472226</v>
      </c>
      <c r="AF264" s="35" t="n">
        <f aca="false">($J264*AF$1)/$K264</f>
        <v>0.0479102609593831</v>
      </c>
      <c r="AG264" s="35" t="n">
        <f aca="false">($J264*AG$1)/$K264</f>
        <v>0.0489517883715436</v>
      </c>
      <c r="AH264" s="35" t="n">
        <f aca="false">($J264*AH$1)/$K264</f>
        <v>0.049993315783704</v>
      </c>
      <c r="AI264" s="35" t="n">
        <f aca="false">($J264*AI$1)/$K264</f>
        <v>0.0510348431958645</v>
      </c>
      <c r="AJ264" s="35" t="n">
        <f aca="false">($J264*AJ$1)/$K264</f>
        <v>0.052076370608025</v>
      </c>
      <c r="AK264" s="35" t="n">
        <f aca="false">($J264*AK$1)/$K264</f>
        <v>0.0531178980201855</v>
      </c>
      <c r="AL264" s="35" t="n">
        <f aca="false">($J264*AL$1)/$K264</f>
        <v>0.054159425432346</v>
      </c>
    </row>
    <row r="265" customFormat="false" ht="15" hidden="false" customHeight="false" outlineLevel="0" collapsed="false">
      <c r="A265" s="5" t="s">
        <v>33</v>
      </c>
      <c r="B265" s="0" t="s">
        <v>350</v>
      </c>
      <c r="C265" s="16" t="s">
        <v>351</v>
      </c>
      <c r="D265" s="45" t="n">
        <v>8</v>
      </c>
      <c r="E265" s="45"/>
      <c r="F265" s="44" t="n">
        <v>0.0348902228389165</v>
      </c>
      <c r="G265" s="44" t="n">
        <v>0.0348902228389165</v>
      </c>
      <c r="H265" s="44" t="n">
        <f aca="false">+(I265+G265)/2</f>
        <v>0.0342887375100485</v>
      </c>
      <c r="I265" s="44" t="n">
        <v>0.0336872521811804</v>
      </c>
      <c r="J265" s="44" t="n">
        <v>0.0344058354486358</v>
      </c>
      <c r="K265" s="31" t="n">
        <v>2</v>
      </c>
      <c r="L265" s="32"/>
      <c r="M265" s="32"/>
      <c r="N265" s="32"/>
      <c r="O265" s="32"/>
      <c r="P265" s="32"/>
      <c r="Q265" s="32"/>
      <c r="R265" s="32" t="n">
        <f aca="false">($G265*R$1)/$K265</f>
        <v>0.0209341337033499</v>
      </c>
      <c r="S265" s="32" t="n">
        <f aca="false">($G265*S$1)/$K265</f>
        <v>0.0215883253815796</v>
      </c>
      <c r="T265" s="32" t="n">
        <f aca="false">($G265*T$1)/$K265</f>
        <v>0.0222425170598093</v>
      </c>
      <c r="U265" s="32" t="n">
        <f aca="false">($G265*U$1)/$K265</f>
        <v>0.022896708738039</v>
      </c>
      <c r="V265" s="33" t="n">
        <f aca="false">($H265*V$1)/$K265</f>
        <v>0.0231448978192827</v>
      </c>
      <c r="W265" s="33" t="n">
        <f aca="false">($H265*W$1)/$K265</f>
        <v>0.0237878116475961</v>
      </c>
      <c r="X265" s="33" t="n">
        <f aca="false">($H265*X$1)/$K265</f>
        <v>0.0244307254759095</v>
      </c>
      <c r="Y265" s="33" t="n">
        <f aca="false">($H265*Y$1)/$K265</f>
        <v>0.0250736393042229</v>
      </c>
      <c r="Z265" s="34" t="n">
        <f aca="false">($I265*Z$1)/$K265</f>
        <v>0.0252654391358853</v>
      </c>
      <c r="AA265" s="34" t="n">
        <f aca="false">($I265*AA$1)/$K265</f>
        <v>0.0258970751142824</v>
      </c>
      <c r="AB265" s="34" t="n">
        <f aca="false">($I265*AB$1)/$K265</f>
        <v>0.0265287110926796</v>
      </c>
      <c r="AC265" s="34" t="n">
        <f aca="false">($I265*AC$1)/$K265</f>
        <v>0.0271603470710767</v>
      </c>
      <c r="AD265" s="35" t="n">
        <f aca="false">($J265*AD$1)/$K265</f>
        <v>0.0283848142451245</v>
      </c>
      <c r="AE265" s="35" t="n">
        <f aca="false">($J265*AE$1)/$K265</f>
        <v>0.0290299236597865</v>
      </c>
      <c r="AF265" s="35" t="n">
        <f aca="false">($J265*AF$1)/$K265</f>
        <v>0.0296750330744484</v>
      </c>
      <c r="AG265" s="35" t="n">
        <f aca="false">($J265*AG$1)/$K265</f>
        <v>0.0303201424891103</v>
      </c>
      <c r="AH265" s="35" t="n">
        <f aca="false">($J265*AH$1)/$K265</f>
        <v>0.0309652519037722</v>
      </c>
      <c r="AI265" s="35" t="n">
        <f aca="false">($J265*AI$1)/$K265</f>
        <v>0.0316103613184341</v>
      </c>
      <c r="AJ265" s="35" t="n">
        <f aca="false">($J265*AJ$1)/$K265</f>
        <v>0.032255470733096</v>
      </c>
      <c r="AK265" s="35" t="n">
        <f aca="false">($J265*AK$1)/$K265</f>
        <v>0.032900580147758</v>
      </c>
      <c r="AL265" s="35" t="n">
        <f aca="false">($J265*AL$1)/$K265</f>
        <v>0.0335456895624199</v>
      </c>
    </row>
    <row r="266" customFormat="false" ht="15" hidden="false" customHeight="false" outlineLevel="0" collapsed="false">
      <c r="A266" s="5" t="s">
        <v>33</v>
      </c>
      <c r="B266" s="0" t="s">
        <v>352</v>
      </c>
      <c r="C266" s="16" t="s">
        <v>353</v>
      </c>
      <c r="D266" s="45" t="n">
        <v>8</v>
      </c>
      <c r="E266" s="45"/>
      <c r="F266" s="44" t="n">
        <v>0.0348902228389165</v>
      </c>
      <c r="G266" s="44" t="n">
        <v>0.0348902228389165</v>
      </c>
      <c r="H266" s="44" t="n">
        <f aca="false">+(I266+G266)/2</f>
        <v>0.0342887375100485</v>
      </c>
      <c r="I266" s="44" t="n">
        <v>0.0336872521811804</v>
      </c>
      <c r="J266" s="44" t="n">
        <v>0.0344058354486358</v>
      </c>
      <c r="K266" s="31" t="n">
        <v>2</v>
      </c>
      <c r="L266" s="32"/>
      <c r="M266" s="32"/>
      <c r="N266" s="32"/>
      <c r="O266" s="32"/>
      <c r="P266" s="32"/>
      <c r="Q266" s="32"/>
      <c r="R266" s="32" t="n">
        <f aca="false">($G266*R$1)/$K266</f>
        <v>0.0209341337033499</v>
      </c>
      <c r="S266" s="32" t="n">
        <f aca="false">($G266*S$1)/$K266</f>
        <v>0.0215883253815796</v>
      </c>
      <c r="T266" s="32" t="n">
        <f aca="false">($G266*T$1)/$K266</f>
        <v>0.0222425170598093</v>
      </c>
      <c r="U266" s="32" t="n">
        <f aca="false">($G266*U$1)/$K266</f>
        <v>0.022896708738039</v>
      </c>
      <c r="V266" s="33" t="n">
        <f aca="false">($H266*V$1)/$K266</f>
        <v>0.0231448978192827</v>
      </c>
      <c r="W266" s="33" t="n">
        <f aca="false">($H266*W$1)/$K266</f>
        <v>0.0237878116475961</v>
      </c>
      <c r="X266" s="33" t="n">
        <f aca="false">($H266*X$1)/$K266</f>
        <v>0.0244307254759095</v>
      </c>
      <c r="Y266" s="33" t="n">
        <f aca="false">($H266*Y$1)/$K266</f>
        <v>0.0250736393042229</v>
      </c>
      <c r="Z266" s="34" t="n">
        <f aca="false">($I266*Z$1)/$K266</f>
        <v>0.0252654391358853</v>
      </c>
      <c r="AA266" s="34" t="n">
        <f aca="false">($I266*AA$1)/$K266</f>
        <v>0.0258970751142824</v>
      </c>
      <c r="AB266" s="34" t="n">
        <f aca="false">($I266*AB$1)/$K266</f>
        <v>0.0265287110926796</v>
      </c>
      <c r="AC266" s="34" t="n">
        <f aca="false">($I266*AC$1)/$K266</f>
        <v>0.0271603470710767</v>
      </c>
      <c r="AD266" s="35" t="n">
        <f aca="false">($J266*AD$1)/$K266</f>
        <v>0.0283848142451245</v>
      </c>
      <c r="AE266" s="35" t="n">
        <f aca="false">($J266*AE$1)/$K266</f>
        <v>0.0290299236597865</v>
      </c>
      <c r="AF266" s="35" t="n">
        <f aca="false">($J266*AF$1)/$K266</f>
        <v>0.0296750330744484</v>
      </c>
      <c r="AG266" s="35" t="n">
        <f aca="false">($J266*AG$1)/$K266</f>
        <v>0.0303201424891103</v>
      </c>
      <c r="AH266" s="35" t="n">
        <f aca="false">($J266*AH$1)/$K266</f>
        <v>0.0309652519037722</v>
      </c>
      <c r="AI266" s="35" t="n">
        <f aca="false">($J266*AI$1)/$K266</f>
        <v>0.0316103613184341</v>
      </c>
      <c r="AJ266" s="35" t="n">
        <f aca="false">($J266*AJ$1)/$K266</f>
        <v>0.032255470733096</v>
      </c>
      <c r="AK266" s="35" t="n">
        <f aca="false">($J266*AK$1)/$K266</f>
        <v>0.032900580147758</v>
      </c>
      <c r="AL266" s="35" t="n">
        <f aca="false">($J266*AL$1)/$K266</f>
        <v>0.0335456895624199</v>
      </c>
    </row>
    <row r="267" customFormat="false" ht="15" hidden="false" customHeight="false" outlineLevel="0" collapsed="false">
      <c r="A267" s="5" t="s">
        <v>33</v>
      </c>
      <c r="B267" s="0" t="s">
        <v>354</v>
      </c>
      <c r="C267" s="16" t="s">
        <v>355</v>
      </c>
      <c r="D267" s="45" t="n">
        <v>8</v>
      </c>
      <c r="E267" s="45"/>
      <c r="F267" s="44" t="n">
        <v>0.0348902228389165</v>
      </c>
      <c r="G267" s="44" t="n">
        <v>0.0348902228389165</v>
      </c>
      <c r="H267" s="44" t="n">
        <f aca="false">+(I267+G267)/2</f>
        <v>0.0342887375100485</v>
      </c>
      <c r="I267" s="44" t="n">
        <v>0.0336872521811804</v>
      </c>
      <c r="J267" s="44" t="n">
        <v>0.0344058354486358</v>
      </c>
      <c r="K267" s="31" t="n">
        <v>1</v>
      </c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3"/>
      <c r="W267" s="33"/>
      <c r="X267" s="33"/>
      <c r="Y267" s="33"/>
      <c r="Z267" s="34"/>
      <c r="AA267" s="34" t="n">
        <f aca="false">($I267*AA$1)/$K267</f>
        <v>0.0517941502285648</v>
      </c>
      <c r="AB267" s="34" t="n">
        <f aca="false">($I267*AB$1)/$K267</f>
        <v>0.0530574221853591</v>
      </c>
      <c r="AC267" s="34" t="n">
        <f aca="false">($I267*AC$1)/$K267</f>
        <v>0.0543206941421534</v>
      </c>
      <c r="AD267" s="35" t="n">
        <f aca="false">($J267*AD$1)/$K267</f>
        <v>0.0567696284902491</v>
      </c>
      <c r="AE267" s="35" t="n">
        <f aca="false">($J267*AE$1)/$K267</f>
        <v>0.0580598473195729</v>
      </c>
      <c r="AF267" s="35" t="n">
        <f aca="false">($J267*AF$1)/$K267</f>
        <v>0.0593500661488968</v>
      </c>
      <c r="AG267" s="35" t="n">
        <f aca="false">($J267*AG$1)/$K267</f>
        <v>0.0606402849782206</v>
      </c>
      <c r="AH267" s="35" t="n">
        <f aca="false">($J267*AH$1)/$K267</f>
        <v>0.0619305038075444</v>
      </c>
      <c r="AI267" s="35" t="n">
        <f aca="false">($J267*AI$1)/$K267</f>
        <v>0.0632207226368683</v>
      </c>
      <c r="AJ267" s="35" t="n">
        <f aca="false">($J267*AJ$1)/$K267</f>
        <v>0.0645109414661921</v>
      </c>
      <c r="AK267" s="35" t="n">
        <f aca="false">($J267*AK$1)/$K267</f>
        <v>0.0658011602955159</v>
      </c>
      <c r="AL267" s="35" t="n">
        <f aca="false">($J267*AL$1)/$K267</f>
        <v>0.0670913791248398</v>
      </c>
    </row>
    <row r="268" customFormat="false" ht="15" hidden="false" customHeight="false" outlineLevel="0" collapsed="false">
      <c r="A268" s="5" t="s">
        <v>33</v>
      </c>
      <c r="B268" s="0" t="s">
        <v>356</v>
      </c>
      <c r="C268" s="16" t="s">
        <v>357</v>
      </c>
      <c r="D268" s="45" t="n">
        <v>8</v>
      </c>
      <c r="E268" s="45"/>
      <c r="F268" s="44" t="n">
        <v>0.0348902228389165</v>
      </c>
      <c r="G268" s="44" t="n">
        <v>0.0348902228389165</v>
      </c>
      <c r="H268" s="44" t="n">
        <f aca="false">+(I268+G268)/2</f>
        <v>0.0342887375100485</v>
      </c>
      <c r="I268" s="44" t="n">
        <v>0.0336872521811804</v>
      </c>
      <c r="J268" s="44" t="n">
        <v>0.0344058354486358</v>
      </c>
      <c r="K268" s="31" t="n">
        <v>2</v>
      </c>
      <c r="L268" s="32"/>
      <c r="M268" s="32"/>
      <c r="N268" s="32"/>
      <c r="O268" s="32"/>
      <c r="P268" s="32"/>
      <c r="Q268" s="32"/>
      <c r="R268" s="32" t="n">
        <f aca="false">($G268*R$1)/$K268</f>
        <v>0.0209341337033499</v>
      </c>
      <c r="S268" s="32" t="n">
        <f aca="false">($G268*S$1)/$K268</f>
        <v>0.0215883253815796</v>
      </c>
      <c r="T268" s="32" t="n">
        <f aca="false">($G268*T$1)/$K268</f>
        <v>0.0222425170598093</v>
      </c>
      <c r="U268" s="32" t="n">
        <f aca="false">($G268*U$1)/$K268</f>
        <v>0.022896708738039</v>
      </c>
      <c r="V268" s="33" t="n">
        <f aca="false">($H268*V$1)/$K268</f>
        <v>0.0231448978192827</v>
      </c>
      <c r="W268" s="33" t="n">
        <f aca="false">($H268*W$1)/$K268</f>
        <v>0.0237878116475961</v>
      </c>
      <c r="X268" s="33" t="n">
        <f aca="false">($H268*X$1)/$K268</f>
        <v>0.0244307254759095</v>
      </c>
      <c r="Y268" s="33" t="n">
        <f aca="false">($H268*Y$1)/$K268</f>
        <v>0.0250736393042229</v>
      </c>
      <c r="Z268" s="34" t="n">
        <f aca="false">($I268*Z$1)/$K268</f>
        <v>0.0252654391358853</v>
      </c>
      <c r="AA268" s="34" t="n">
        <f aca="false">($I268*AA$1)/$K268</f>
        <v>0.0258970751142824</v>
      </c>
      <c r="AB268" s="34" t="n">
        <f aca="false">($I268*AB$1)/$K268</f>
        <v>0.0265287110926796</v>
      </c>
      <c r="AC268" s="34" t="n">
        <f aca="false">($I268*AC$1)/$K268</f>
        <v>0.0271603470710767</v>
      </c>
      <c r="AD268" s="35" t="n">
        <f aca="false">($J268*AD$1)/$K268</f>
        <v>0.0283848142451245</v>
      </c>
      <c r="AE268" s="35" t="n">
        <f aca="false">($J268*AE$1)/$K268</f>
        <v>0.0290299236597865</v>
      </c>
      <c r="AF268" s="35" t="n">
        <f aca="false">($J268*AF$1)/$K268</f>
        <v>0.0296750330744484</v>
      </c>
      <c r="AG268" s="35" t="n">
        <f aca="false">($J268*AG$1)/$K268</f>
        <v>0.0303201424891103</v>
      </c>
      <c r="AH268" s="35" t="n">
        <f aca="false">($J268*AH$1)/$K268</f>
        <v>0.0309652519037722</v>
      </c>
      <c r="AI268" s="35" t="n">
        <f aca="false">($J268*AI$1)/$K268</f>
        <v>0.0316103613184341</v>
      </c>
      <c r="AJ268" s="35" t="n">
        <f aca="false">($J268*AJ$1)/$K268</f>
        <v>0.032255470733096</v>
      </c>
      <c r="AK268" s="35" t="n">
        <f aca="false">($J268*AK$1)/$K268</f>
        <v>0.032900580147758</v>
      </c>
      <c r="AL268" s="35" t="n">
        <f aca="false">($J268*AL$1)/$K268</f>
        <v>0.0335456895624199</v>
      </c>
    </row>
    <row r="269" customFormat="false" ht="15" hidden="false" customHeight="false" outlineLevel="0" collapsed="false">
      <c r="A269" s="5" t="s">
        <v>33</v>
      </c>
      <c r="B269" s="0" t="s">
        <v>358</v>
      </c>
      <c r="C269" s="16" t="s">
        <v>359</v>
      </c>
      <c r="D269" s="45" t="n">
        <v>8</v>
      </c>
      <c r="E269" s="45"/>
      <c r="F269" s="44" t="n">
        <v>0.0348902228389165</v>
      </c>
      <c r="G269" s="44" t="n">
        <v>0.0348902228389165</v>
      </c>
      <c r="H269" s="44" t="n">
        <f aca="false">+(I269+G269)/2</f>
        <v>0.0342887375100485</v>
      </c>
      <c r="I269" s="44" t="n">
        <v>0.0336872521811804</v>
      </c>
      <c r="J269" s="44" t="n">
        <v>0.0344058354486358</v>
      </c>
      <c r="K269" s="31" t="n">
        <v>2</v>
      </c>
      <c r="L269" s="32"/>
      <c r="M269" s="32"/>
      <c r="N269" s="32"/>
      <c r="O269" s="32"/>
      <c r="P269" s="32"/>
      <c r="Q269" s="32"/>
      <c r="R269" s="32" t="n">
        <f aca="false">($G269*R$1)/$K269</f>
        <v>0.0209341337033499</v>
      </c>
      <c r="S269" s="32" t="n">
        <f aca="false">($G269*S$1)/$K269</f>
        <v>0.0215883253815796</v>
      </c>
      <c r="T269" s="32" t="n">
        <f aca="false">($G269*T$1)/$K269</f>
        <v>0.0222425170598093</v>
      </c>
      <c r="U269" s="32" t="n">
        <f aca="false">($G269*U$1)/$K269</f>
        <v>0.022896708738039</v>
      </c>
      <c r="V269" s="33" t="n">
        <f aca="false">($H269*V$1)/$K269</f>
        <v>0.0231448978192827</v>
      </c>
      <c r="W269" s="33" t="n">
        <f aca="false">($H269*W$1)/$K269</f>
        <v>0.0237878116475961</v>
      </c>
      <c r="X269" s="33" t="n">
        <f aca="false">($H269*X$1)/$K269</f>
        <v>0.0244307254759095</v>
      </c>
      <c r="Y269" s="33" t="n">
        <f aca="false">($H269*Y$1)/$K269</f>
        <v>0.0250736393042229</v>
      </c>
      <c r="Z269" s="34" t="n">
        <f aca="false">($I269*Z$1)/$K269</f>
        <v>0.0252654391358853</v>
      </c>
      <c r="AA269" s="34" t="n">
        <f aca="false">($I269*AA$1)/$K269</f>
        <v>0.0258970751142824</v>
      </c>
      <c r="AB269" s="34" t="n">
        <f aca="false">($I269*AB$1)/$K269</f>
        <v>0.0265287110926796</v>
      </c>
      <c r="AC269" s="34" t="n">
        <f aca="false">($I269*AC$1)/$K269</f>
        <v>0.0271603470710767</v>
      </c>
      <c r="AD269" s="35" t="n">
        <f aca="false">($J269*AD$1)/$K269</f>
        <v>0.0283848142451245</v>
      </c>
      <c r="AE269" s="35" t="n">
        <f aca="false">($J269*AE$1)/$K269</f>
        <v>0.0290299236597865</v>
      </c>
      <c r="AF269" s="35" t="n">
        <f aca="false">($J269*AF$1)/$K269</f>
        <v>0.0296750330744484</v>
      </c>
      <c r="AG269" s="35" t="n">
        <f aca="false">($J269*AG$1)/$K269</f>
        <v>0.0303201424891103</v>
      </c>
      <c r="AH269" s="35" t="n">
        <f aca="false">($J269*AH$1)/$K269</f>
        <v>0.0309652519037722</v>
      </c>
      <c r="AI269" s="35" t="n">
        <f aca="false">($J269*AI$1)/$K269</f>
        <v>0.0316103613184341</v>
      </c>
      <c r="AJ269" s="35" t="n">
        <f aca="false">($J269*AJ$1)/$K269</f>
        <v>0.032255470733096</v>
      </c>
      <c r="AK269" s="35" t="n">
        <f aca="false">($J269*AK$1)/$K269</f>
        <v>0.032900580147758</v>
      </c>
      <c r="AL269" s="35" t="n">
        <f aca="false">($J269*AL$1)/$K269</f>
        <v>0.0335456895624199</v>
      </c>
    </row>
    <row r="270" customFormat="false" ht="15" hidden="false" customHeight="false" outlineLevel="0" collapsed="false">
      <c r="A270" s="5" t="s">
        <v>33</v>
      </c>
      <c r="B270" s="0" t="s">
        <v>360</v>
      </c>
      <c r="C270" s="16" t="s">
        <v>361</v>
      </c>
      <c r="D270" s="45" t="n">
        <v>8</v>
      </c>
      <c r="E270" s="45"/>
      <c r="F270" s="44" t="n">
        <v>0.0348902228389165</v>
      </c>
      <c r="G270" s="44" t="n">
        <v>0.0348902228389165</v>
      </c>
      <c r="H270" s="44" t="n">
        <f aca="false">+(I270+G270)/2</f>
        <v>0.0342887375100485</v>
      </c>
      <c r="I270" s="44" t="n">
        <v>0.0336872521811804</v>
      </c>
      <c r="J270" s="44" t="n">
        <v>0.0344058354486358</v>
      </c>
      <c r="K270" s="31" t="n">
        <v>2</v>
      </c>
      <c r="L270" s="32"/>
      <c r="M270" s="32"/>
      <c r="N270" s="32"/>
      <c r="O270" s="32"/>
      <c r="P270" s="32"/>
      <c r="Q270" s="32"/>
      <c r="R270" s="32" t="n">
        <f aca="false">($G270*R$1)/$K270</f>
        <v>0.0209341337033499</v>
      </c>
      <c r="S270" s="32" t="n">
        <f aca="false">($G270*S$1)/$K270</f>
        <v>0.0215883253815796</v>
      </c>
      <c r="T270" s="32" t="n">
        <f aca="false">($G270*T$1)/$K270</f>
        <v>0.0222425170598093</v>
      </c>
      <c r="U270" s="32" t="n">
        <f aca="false">($G270*U$1)/$K270</f>
        <v>0.022896708738039</v>
      </c>
      <c r="V270" s="33" t="n">
        <f aca="false">($H270*V$1)/$K270</f>
        <v>0.0231448978192827</v>
      </c>
      <c r="W270" s="33" t="n">
        <f aca="false">($H270*W$1)/$K270</f>
        <v>0.0237878116475961</v>
      </c>
      <c r="X270" s="33" t="n">
        <f aca="false">($H270*X$1)/$K270</f>
        <v>0.0244307254759095</v>
      </c>
      <c r="Y270" s="33" t="n">
        <f aca="false">($H270*Y$1)/$K270</f>
        <v>0.0250736393042229</v>
      </c>
      <c r="Z270" s="34" t="n">
        <f aca="false">($I270*Z$1)/$K270</f>
        <v>0.0252654391358853</v>
      </c>
      <c r="AA270" s="34" t="n">
        <f aca="false">($I270*AA$1)/$K270</f>
        <v>0.0258970751142824</v>
      </c>
      <c r="AB270" s="34" t="n">
        <f aca="false">($I270*AB$1)/$K270</f>
        <v>0.0265287110926796</v>
      </c>
      <c r="AC270" s="34" t="n">
        <f aca="false">($I270*AC$1)/$K270</f>
        <v>0.0271603470710767</v>
      </c>
      <c r="AD270" s="35" t="n">
        <f aca="false">($J270*AD$1)/$K270</f>
        <v>0.0283848142451245</v>
      </c>
      <c r="AE270" s="35" t="n">
        <f aca="false">($J270*AE$1)/$K270</f>
        <v>0.0290299236597865</v>
      </c>
      <c r="AF270" s="35" t="n">
        <f aca="false">($J270*AF$1)/$K270</f>
        <v>0.0296750330744484</v>
      </c>
      <c r="AG270" s="35" t="n">
        <f aca="false">($J270*AG$1)/$K270</f>
        <v>0.0303201424891103</v>
      </c>
      <c r="AH270" s="35" t="n">
        <f aca="false">($J270*AH$1)/$K270</f>
        <v>0.0309652519037722</v>
      </c>
      <c r="AI270" s="35" t="n">
        <f aca="false">($J270*AI$1)/$K270</f>
        <v>0.0316103613184341</v>
      </c>
      <c r="AJ270" s="35" t="n">
        <f aca="false">($J270*AJ$1)/$K270</f>
        <v>0.032255470733096</v>
      </c>
      <c r="AK270" s="35" t="n">
        <f aca="false">($J270*AK$1)/$K270</f>
        <v>0.032900580147758</v>
      </c>
      <c r="AL270" s="35" t="n">
        <f aca="false">($J270*AL$1)/$K270</f>
        <v>0.0335456895624199</v>
      </c>
    </row>
    <row r="271" customFormat="false" ht="15" hidden="false" customHeight="false" outlineLevel="0" collapsed="false">
      <c r="A271" s="5" t="s">
        <v>33</v>
      </c>
      <c r="B271" s="0" t="s">
        <v>362</v>
      </c>
      <c r="C271" s="16" t="s">
        <v>363</v>
      </c>
      <c r="D271" s="45" t="n">
        <v>8</v>
      </c>
      <c r="E271" s="45"/>
      <c r="F271" s="44" t="n">
        <v>0.0348902228389165</v>
      </c>
      <c r="G271" s="44" t="n">
        <v>0.0348902228389165</v>
      </c>
      <c r="H271" s="44" t="n">
        <f aca="false">+(I271+G271)/2</f>
        <v>0.0342887375100485</v>
      </c>
      <c r="I271" s="44" t="n">
        <v>0.0336872521811804</v>
      </c>
      <c r="J271" s="44" t="n">
        <v>0.0344058354486358</v>
      </c>
      <c r="K271" s="31" t="n">
        <v>2</v>
      </c>
      <c r="L271" s="32"/>
      <c r="M271" s="32"/>
      <c r="N271" s="32"/>
      <c r="O271" s="32"/>
      <c r="P271" s="32"/>
      <c r="Q271" s="32"/>
      <c r="R271" s="32" t="n">
        <f aca="false">($G271*R$1)/$K271</f>
        <v>0.0209341337033499</v>
      </c>
      <c r="S271" s="32" t="n">
        <f aca="false">($G271*S$1)/$K271</f>
        <v>0.0215883253815796</v>
      </c>
      <c r="T271" s="32" t="n">
        <f aca="false">($G271*T$1)/$K271</f>
        <v>0.0222425170598093</v>
      </c>
      <c r="U271" s="32" t="n">
        <f aca="false">($G271*U$1)/$K271</f>
        <v>0.022896708738039</v>
      </c>
      <c r="V271" s="33" t="n">
        <f aca="false">($H271*V$1)/$K271</f>
        <v>0.0231448978192827</v>
      </c>
      <c r="W271" s="33" t="n">
        <f aca="false">($H271*W$1)/$K271</f>
        <v>0.0237878116475961</v>
      </c>
      <c r="X271" s="33" t="n">
        <f aca="false">($H271*X$1)/$K271</f>
        <v>0.0244307254759095</v>
      </c>
      <c r="Y271" s="33" t="n">
        <f aca="false">($H271*Y$1)/$K271</f>
        <v>0.0250736393042229</v>
      </c>
      <c r="Z271" s="34" t="n">
        <f aca="false">($I271*Z$1)/$K271</f>
        <v>0.0252654391358853</v>
      </c>
      <c r="AA271" s="34" t="n">
        <f aca="false">($I271*AA$1)/$K271</f>
        <v>0.0258970751142824</v>
      </c>
      <c r="AB271" s="34" t="n">
        <f aca="false">($I271*AB$1)/$K271</f>
        <v>0.0265287110926796</v>
      </c>
      <c r="AC271" s="34" t="n">
        <f aca="false">($I271*AC$1)/$K271</f>
        <v>0.0271603470710767</v>
      </c>
      <c r="AD271" s="35" t="n">
        <f aca="false">($J271*AD$1)/$K271</f>
        <v>0.0283848142451245</v>
      </c>
      <c r="AE271" s="35" t="n">
        <f aca="false">($J271*AE$1)/$K271</f>
        <v>0.0290299236597865</v>
      </c>
      <c r="AF271" s="35" t="n">
        <f aca="false">($J271*AF$1)/$K271</f>
        <v>0.0296750330744484</v>
      </c>
      <c r="AG271" s="35" t="n">
        <f aca="false">($J271*AG$1)/$K271</f>
        <v>0.0303201424891103</v>
      </c>
      <c r="AH271" s="35" t="n">
        <f aca="false">($J271*AH$1)/$K271</f>
        <v>0.0309652519037722</v>
      </c>
      <c r="AI271" s="35" t="n">
        <f aca="false">($J271*AI$1)/$K271</f>
        <v>0.0316103613184341</v>
      </c>
      <c r="AJ271" s="35" t="n">
        <f aca="false">($J271*AJ$1)/$K271</f>
        <v>0.032255470733096</v>
      </c>
      <c r="AK271" s="35" t="n">
        <f aca="false">($J271*AK$1)/$K271</f>
        <v>0.032900580147758</v>
      </c>
      <c r="AL271" s="35" t="n">
        <f aca="false">($J271*AL$1)/$K271</f>
        <v>0.0335456895624199</v>
      </c>
    </row>
    <row r="272" customFormat="false" ht="15" hidden="false" customHeight="false" outlineLevel="0" collapsed="false">
      <c r="A272" s="5" t="s">
        <v>33</v>
      </c>
      <c r="B272" s="0" t="s">
        <v>364</v>
      </c>
      <c r="C272" s="16" t="s">
        <v>365</v>
      </c>
      <c r="D272" s="45" t="n">
        <v>8</v>
      </c>
      <c r="E272" s="45"/>
      <c r="F272" s="44" t="n">
        <v>0.0348902228389165</v>
      </c>
      <c r="G272" s="44" t="n">
        <v>0.0348902228389165</v>
      </c>
      <c r="H272" s="44" t="n">
        <f aca="false">+(I272+G272)/2</f>
        <v>0.0342887375100485</v>
      </c>
      <c r="I272" s="44" t="n">
        <v>0.0336872521811804</v>
      </c>
      <c r="J272" s="44" t="n">
        <v>0.0344058354486358</v>
      </c>
      <c r="K272" s="31" t="n">
        <v>1</v>
      </c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3"/>
      <c r="W272" s="33"/>
      <c r="X272" s="33"/>
      <c r="Y272" s="33"/>
      <c r="Z272" s="34"/>
      <c r="AA272" s="34"/>
      <c r="AB272" s="34"/>
      <c r="AC272" s="34"/>
      <c r="AD272" s="35" t="n">
        <f aca="false">($J272*AD$1)/$K272</f>
        <v>0.0567696284902491</v>
      </c>
      <c r="AE272" s="35" t="n">
        <f aca="false">($J272*AE$1)/$K272</f>
        <v>0.0580598473195729</v>
      </c>
      <c r="AF272" s="35" t="n">
        <f aca="false">($J272*AF$1)/$K272</f>
        <v>0.0593500661488968</v>
      </c>
      <c r="AG272" s="35" t="n">
        <f aca="false">($J272*AG$1)/$K272</f>
        <v>0.0606402849782206</v>
      </c>
      <c r="AH272" s="35" t="n">
        <f aca="false">($J272*AH$1)/$K272</f>
        <v>0.0619305038075444</v>
      </c>
      <c r="AI272" s="35" t="n">
        <f aca="false">($J272*AI$1)/$K272</f>
        <v>0.0632207226368683</v>
      </c>
      <c r="AJ272" s="35" t="n">
        <f aca="false">($J272*AJ$1)/$K272</f>
        <v>0.0645109414661921</v>
      </c>
      <c r="AK272" s="35" t="n">
        <f aca="false">($J272*AK$1)/$K272</f>
        <v>0.0658011602955159</v>
      </c>
      <c r="AL272" s="35" t="n">
        <f aca="false">($J272*AL$1)/$K272</f>
        <v>0.0670913791248398</v>
      </c>
    </row>
    <row r="273" customFormat="false" ht="15" hidden="false" customHeight="false" outlineLevel="0" collapsed="false">
      <c r="A273" s="5" t="s">
        <v>33</v>
      </c>
      <c r="B273" s="0" t="s">
        <v>366</v>
      </c>
      <c r="C273" s="16" t="s">
        <v>367</v>
      </c>
      <c r="D273" s="45" t="n">
        <v>8</v>
      </c>
      <c r="E273" s="45"/>
      <c r="F273" s="44" t="n">
        <v>0.0348902228389165</v>
      </c>
      <c r="G273" s="44" t="n">
        <v>0.0348902228389165</v>
      </c>
      <c r="H273" s="44" t="n">
        <f aca="false">+(I273+G273)/2</f>
        <v>0.0342887375100485</v>
      </c>
      <c r="I273" s="44" t="n">
        <v>0.0336872521811804</v>
      </c>
      <c r="J273" s="44" t="n">
        <v>0.0344058354486358</v>
      </c>
      <c r="K273" s="31" t="n">
        <v>1</v>
      </c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3"/>
      <c r="W273" s="33"/>
      <c r="X273" s="33"/>
      <c r="Y273" s="33"/>
      <c r="Z273" s="34"/>
      <c r="AA273" s="34"/>
      <c r="AB273" s="34"/>
      <c r="AC273" s="34"/>
      <c r="AD273" s="35" t="n">
        <f aca="false">($J273*AD$1)/$K273</f>
        <v>0.0567696284902491</v>
      </c>
      <c r="AE273" s="35" t="n">
        <f aca="false">($J273*AE$1)/$K273</f>
        <v>0.0580598473195729</v>
      </c>
      <c r="AF273" s="35" t="n">
        <f aca="false">($J273*AF$1)/$K273</f>
        <v>0.0593500661488968</v>
      </c>
      <c r="AG273" s="35" t="n">
        <f aca="false">($J273*AG$1)/$K273</f>
        <v>0.0606402849782206</v>
      </c>
      <c r="AH273" s="35" t="n">
        <f aca="false">($J273*AH$1)/$K273</f>
        <v>0.0619305038075444</v>
      </c>
      <c r="AI273" s="35" t="n">
        <f aca="false">($J273*AI$1)/$K273</f>
        <v>0.0632207226368683</v>
      </c>
      <c r="AJ273" s="35" t="n">
        <f aca="false">($J273*AJ$1)/$K273</f>
        <v>0.0645109414661921</v>
      </c>
      <c r="AK273" s="35" t="n">
        <f aca="false">($J273*AK$1)/$K273</f>
        <v>0.0658011602955159</v>
      </c>
      <c r="AL273" s="35" t="n">
        <f aca="false">($J273*AL$1)/$K273</f>
        <v>0.0670913791248398</v>
      </c>
    </row>
    <row r="274" customFormat="false" ht="15" hidden="false" customHeight="false" outlineLevel="0" collapsed="false">
      <c r="A274" s="5" t="s">
        <v>33</v>
      </c>
      <c r="B274" s="0" t="s">
        <v>368</v>
      </c>
      <c r="C274" s="16" t="s">
        <v>369</v>
      </c>
      <c r="D274" s="45" t="n">
        <v>8</v>
      </c>
      <c r="E274" s="45"/>
      <c r="F274" s="44" t="n">
        <v>0.0348902228389165</v>
      </c>
      <c r="G274" s="44" t="n">
        <v>0.0348902228389165</v>
      </c>
      <c r="H274" s="44" t="n">
        <f aca="false">+(I274+G274)/2</f>
        <v>0.0342887375100485</v>
      </c>
      <c r="I274" s="44" t="n">
        <v>0.0336872521811804</v>
      </c>
      <c r="J274" s="44" t="n">
        <v>0.0344058354486358</v>
      </c>
      <c r="K274" s="31" t="n">
        <v>2</v>
      </c>
      <c r="L274" s="32"/>
      <c r="M274" s="32"/>
      <c r="N274" s="32"/>
      <c r="O274" s="32"/>
      <c r="P274" s="32"/>
      <c r="Q274" s="32"/>
      <c r="R274" s="32" t="n">
        <f aca="false">($G274*R$1)/$K274</f>
        <v>0.0209341337033499</v>
      </c>
      <c r="S274" s="32" t="n">
        <f aca="false">($G274*S$1)/$K274</f>
        <v>0.0215883253815796</v>
      </c>
      <c r="T274" s="32" t="n">
        <f aca="false">($G274*T$1)/$K274</f>
        <v>0.0222425170598093</v>
      </c>
      <c r="U274" s="32" t="n">
        <f aca="false">($G274*U$1)/$K274</f>
        <v>0.022896708738039</v>
      </c>
      <c r="V274" s="33" t="n">
        <f aca="false">($H274*V$1)/$K274</f>
        <v>0.0231448978192827</v>
      </c>
      <c r="W274" s="33" t="n">
        <f aca="false">($H274*W$1)/$K274</f>
        <v>0.0237878116475961</v>
      </c>
      <c r="X274" s="33" t="n">
        <f aca="false">($H274*X$1)/$K274</f>
        <v>0.0244307254759095</v>
      </c>
      <c r="Y274" s="33" t="n">
        <f aca="false">($H274*Y$1)/$K274</f>
        <v>0.0250736393042229</v>
      </c>
      <c r="Z274" s="34" t="n">
        <f aca="false">($I274*Z$1)/$K274</f>
        <v>0.0252654391358853</v>
      </c>
      <c r="AA274" s="34" t="n">
        <f aca="false">($I274*AA$1)/$K274</f>
        <v>0.0258970751142824</v>
      </c>
      <c r="AB274" s="34" t="n">
        <f aca="false">($I274*AB$1)/$K274</f>
        <v>0.0265287110926796</v>
      </c>
      <c r="AC274" s="34" t="n">
        <f aca="false">($I274*AC$1)/$K274</f>
        <v>0.0271603470710767</v>
      </c>
      <c r="AD274" s="35" t="n">
        <f aca="false">($J274*AD$1)/$K274</f>
        <v>0.0283848142451245</v>
      </c>
      <c r="AE274" s="35" t="n">
        <f aca="false">($J274*AE$1)/$K274</f>
        <v>0.0290299236597865</v>
      </c>
      <c r="AF274" s="35" t="n">
        <f aca="false">($J274*AF$1)/$K274</f>
        <v>0.0296750330744484</v>
      </c>
      <c r="AG274" s="35" t="n">
        <f aca="false">($J274*AG$1)/$K274</f>
        <v>0.0303201424891103</v>
      </c>
      <c r="AH274" s="35" t="n">
        <f aca="false">($J274*AH$1)/$K274</f>
        <v>0.0309652519037722</v>
      </c>
      <c r="AI274" s="35" t="n">
        <f aca="false">($J274*AI$1)/$K274</f>
        <v>0.0316103613184341</v>
      </c>
      <c r="AJ274" s="35" t="n">
        <f aca="false">($J274*AJ$1)/$K274</f>
        <v>0.032255470733096</v>
      </c>
      <c r="AK274" s="35" t="n">
        <f aca="false">($J274*AK$1)/$K274</f>
        <v>0.032900580147758</v>
      </c>
      <c r="AL274" s="35" t="n">
        <f aca="false">($J274*AL$1)/$K274</f>
        <v>0.0335456895624199</v>
      </c>
    </row>
    <row r="275" customFormat="false" ht="15" hidden="false" customHeight="false" outlineLevel="0" collapsed="false">
      <c r="A275" s="5" t="s">
        <v>35</v>
      </c>
      <c r="B275" s="0" t="s">
        <v>370</v>
      </c>
      <c r="C275" s="16" t="s">
        <v>371</v>
      </c>
      <c r="D275" s="45" t="n">
        <v>9</v>
      </c>
      <c r="E275" s="45"/>
      <c r="F275" s="44" t="n">
        <v>0.0470666077564446</v>
      </c>
      <c r="G275" s="44" t="n">
        <v>0.0470666077564446</v>
      </c>
      <c r="H275" s="44" t="n">
        <f aca="false">+(I275+G275)/2</f>
        <v>0.0499110033670852</v>
      </c>
      <c r="I275" s="44" t="n">
        <v>0.0527553989777259</v>
      </c>
      <c r="J275" s="44" t="n">
        <v>0.0501600633427114</v>
      </c>
      <c r="K275" s="31" t="n">
        <v>2</v>
      </c>
      <c r="L275" s="32"/>
      <c r="M275" s="32"/>
      <c r="N275" s="32"/>
      <c r="O275" s="32"/>
      <c r="P275" s="32"/>
      <c r="Q275" s="32"/>
      <c r="R275" s="32" t="n">
        <f aca="false">($G275*R$1)/$K275</f>
        <v>0.0282399646538668</v>
      </c>
      <c r="S275" s="32" t="n">
        <f aca="false">($G275*S$1)/$K275</f>
        <v>0.0291224635493001</v>
      </c>
      <c r="T275" s="32" t="n">
        <f aca="false">($G275*T$1)/$K275</f>
        <v>0.0300049624447335</v>
      </c>
      <c r="U275" s="32" t="n">
        <f aca="false">($G275*U$1)/$K275</f>
        <v>0.0308874613401668</v>
      </c>
      <c r="V275" s="33" t="n">
        <f aca="false">($H275*V$1)/$K275</f>
        <v>0.0336899272727825</v>
      </c>
      <c r="W275" s="33" t="n">
        <f aca="false">($H275*W$1)/$K275</f>
        <v>0.0346257585859154</v>
      </c>
      <c r="X275" s="33" t="n">
        <f aca="false">($H275*X$1)/$K275</f>
        <v>0.0355615898990483</v>
      </c>
      <c r="Y275" s="33" t="n">
        <f aca="false">($H275*Y$1)/$K275</f>
        <v>0.0364974212121811</v>
      </c>
      <c r="Z275" s="34" t="n">
        <f aca="false">($I275*Z$1)/$K275</f>
        <v>0.0395665492332944</v>
      </c>
      <c r="AA275" s="34" t="n">
        <f aca="false">($I275*AA$1)/$K275</f>
        <v>0.0405557129641268</v>
      </c>
      <c r="AB275" s="34" t="n">
        <f aca="false">($I275*AB$1)/$K275</f>
        <v>0.0415448766949591</v>
      </c>
      <c r="AC275" s="34" t="n">
        <f aca="false">($I275*AC$1)/$K275</f>
        <v>0.0425340404257915</v>
      </c>
      <c r="AD275" s="35" t="n">
        <f aca="false">($J275*AD$1)/$K275</f>
        <v>0.0413820522577369</v>
      </c>
      <c r="AE275" s="35" t="n">
        <f aca="false">($J275*AE$1)/$K275</f>
        <v>0.0423225534454127</v>
      </c>
      <c r="AF275" s="35" t="n">
        <f aca="false">($J275*AF$1)/$K275</f>
        <v>0.0432630546330886</v>
      </c>
      <c r="AG275" s="35" t="n">
        <f aca="false">($J275*AG$1)/$K275</f>
        <v>0.0442035558207644</v>
      </c>
      <c r="AH275" s="35" t="n">
        <f aca="false">($J275*AH$1)/$K275</f>
        <v>0.0451440570084403</v>
      </c>
      <c r="AI275" s="35" t="n">
        <f aca="false">($J275*AI$1)/$K275</f>
        <v>0.0460845581961161</v>
      </c>
      <c r="AJ275" s="35" t="n">
        <f aca="false">($J275*AJ$1)/$K275</f>
        <v>0.0470250593837919</v>
      </c>
      <c r="AK275" s="35" t="n">
        <f aca="false">($J275*AK$1)/$K275</f>
        <v>0.0479655605714678</v>
      </c>
      <c r="AL275" s="35" t="n">
        <f aca="false">($J275*AL$1)/$K275</f>
        <v>0.0489060617591436</v>
      </c>
    </row>
    <row r="276" customFormat="false" ht="15" hidden="false" customHeight="false" outlineLevel="0" collapsed="false">
      <c r="A276" s="5" t="s">
        <v>35</v>
      </c>
      <c r="B276" s="0" t="s">
        <v>372</v>
      </c>
      <c r="C276" s="16" t="s">
        <v>373</v>
      </c>
      <c r="D276" s="45" t="n">
        <v>9</v>
      </c>
      <c r="E276" s="45"/>
      <c r="F276" s="44" t="n">
        <v>0.0470666077564446</v>
      </c>
      <c r="G276" s="44" t="n">
        <v>0.0470666077564446</v>
      </c>
      <c r="H276" s="44" t="n">
        <f aca="false">+(I276+G276)/2</f>
        <v>0.0499110033670852</v>
      </c>
      <c r="I276" s="44" t="n">
        <v>0.0527553989777259</v>
      </c>
      <c r="J276" s="44" t="n">
        <v>0.0501600633427114</v>
      </c>
      <c r="K276" s="31" t="n">
        <v>2</v>
      </c>
      <c r="L276" s="32"/>
      <c r="M276" s="32"/>
      <c r="N276" s="32"/>
      <c r="O276" s="32"/>
      <c r="P276" s="32"/>
      <c r="Q276" s="32"/>
      <c r="R276" s="32" t="n">
        <f aca="false">($G276*R$1)/$K276</f>
        <v>0.0282399646538668</v>
      </c>
      <c r="S276" s="32" t="n">
        <f aca="false">($G276*S$1)/$K276</f>
        <v>0.0291224635493001</v>
      </c>
      <c r="T276" s="32" t="n">
        <f aca="false">($G276*T$1)/$K276</f>
        <v>0.0300049624447335</v>
      </c>
      <c r="U276" s="32" t="n">
        <f aca="false">($G276*U$1)/$K276</f>
        <v>0.0308874613401668</v>
      </c>
      <c r="V276" s="33" t="n">
        <f aca="false">($H276*V$1)/$K276</f>
        <v>0.0336899272727825</v>
      </c>
      <c r="W276" s="33" t="n">
        <f aca="false">($H276*W$1)/$K276</f>
        <v>0.0346257585859154</v>
      </c>
      <c r="X276" s="33" t="n">
        <f aca="false">($H276*X$1)/$K276</f>
        <v>0.0355615898990483</v>
      </c>
      <c r="Y276" s="33" t="n">
        <f aca="false">($H276*Y$1)/$K276</f>
        <v>0.0364974212121811</v>
      </c>
      <c r="Z276" s="34" t="n">
        <f aca="false">($I276*Z$1)/$K276</f>
        <v>0.0395665492332944</v>
      </c>
      <c r="AA276" s="34" t="n">
        <f aca="false">($I276*AA$1)/$K276</f>
        <v>0.0405557129641268</v>
      </c>
      <c r="AB276" s="34" t="n">
        <f aca="false">($I276*AB$1)/$K276</f>
        <v>0.0415448766949591</v>
      </c>
      <c r="AC276" s="34" t="n">
        <f aca="false">($I276*AC$1)/$K276</f>
        <v>0.0425340404257915</v>
      </c>
      <c r="AD276" s="35" t="n">
        <f aca="false">($J276*AD$1)/$K276</f>
        <v>0.0413820522577369</v>
      </c>
      <c r="AE276" s="35" t="n">
        <f aca="false">($J276*AE$1)/$K276</f>
        <v>0.0423225534454127</v>
      </c>
      <c r="AF276" s="35" t="n">
        <f aca="false">($J276*AF$1)/$K276</f>
        <v>0.0432630546330886</v>
      </c>
      <c r="AG276" s="35" t="n">
        <f aca="false">($J276*AG$1)/$K276</f>
        <v>0.0442035558207644</v>
      </c>
      <c r="AH276" s="35" t="n">
        <f aca="false">($J276*AH$1)/$K276</f>
        <v>0.0451440570084403</v>
      </c>
      <c r="AI276" s="35" t="n">
        <f aca="false">($J276*AI$1)/$K276</f>
        <v>0.0460845581961161</v>
      </c>
      <c r="AJ276" s="35" t="n">
        <f aca="false">($J276*AJ$1)/$K276</f>
        <v>0.0470250593837919</v>
      </c>
      <c r="AK276" s="35" t="n">
        <f aca="false">($J276*AK$1)/$K276</f>
        <v>0.0479655605714678</v>
      </c>
      <c r="AL276" s="35" t="n">
        <f aca="false">($J276*AL$1)/$K276</f>
        <v>0.0489060617591436</v>
      </c>
    </row>
    <row r="277" customFormat="false" ht="15" hidden="false" customHeight="false" outlineLevel="0" collapsed="false">
      <c r="A277" s="5" t="s">
        <v>35</v>
      </c>
      <c r="B277" s="0" t="s">
        <v>374</v>
      </c>
      <c r="C277" s="16" t="s">
        <v>375</v>
      </c>
      <c r="D277" s="45" t="n">
        <v>9</v>
      </c>
      <c r="E277" s="45"/>
      <c r="F277" s="44" t="n">
        <v>0.0470666077564446</v>
      </c>
      <c r="G277" s="44" t="n">
        <v>0.0470666077564446</v>
      </c>
      <c r="H277" s="44" t="n">
        <f aca="false">+(I277+G277)/2</f>
        <v>0.0499110033670852</v>
      </c>
      <c r="I277" s="44" t="n">
        <v>0.0527553989777259</v>
      </c>
      <c r="J277" s="44" t="n">
        <v>0.0501600633427114</v>
      </c>
      <c r="K277" s="31" t="n">
        <v>2</v>
      </c>
      <c r="L277" s="32"/>
      <c r="M277" s="32"/>
      <c r="N277" s="32"/>
      <c r="O277" s="32"/>
      <c r="P277" s="32"/>
      <c r="Q277" s="32"/>
      <c r="R277" s="32" t="n">
        <f aca="false">($G277*R$1)/$K277</f>
        <v>0.0282399646538668</v>
      </c>
      <c r="S277" s="32" t="n">
        <f aca="false">($G277*S$1)/$K277</f>
        <v>0.0291224635493001</v>
      </c>
      <c r="T277" s="32" t="n">
        <f aca="false">($G277*T$1)/$K277</f>
        <v>0.0300049624447335</v>
      </c>
      <c r="U277" s="32" t="n">
        <f aca="false">($G277*U$1)/$K277</f>
        <v>0.0308874613401668</v>
      </c>
      <c r="V277" s="33" t="n">
        <f aca="false">($H277*V$1)/$K277</f>
        <v>0.0336899272727825</v>
      </c>
      <c r="W277" s="33" t="n">
        <f aca="false">($H277*W$1)/$K277</f>
        <v>0.0346257585859154</v>
      </c>
      <c r="X277" s="33" t="n">
        <f aca="false">($H277*X$1)/$K277</f>
        <v>0.0355615898990483</v>
      </c>
      <c r="Y277" s="33" t="n">
        <f aca="false">($H277*Y$1)/$K277</f>
        <v>0.0364974212121811</v>
      </c>
      <c r="Z277" s="34" t="n">
        <f aca="false">($I277*Z$1)/$K277</f>
        <v>0.0395665492332944</v>
      </c>
      <c r="AA277" s="34" t="n">
        <f aca="false">($I277*AA$1)/$K277</f>
        <v>0.0405557129641268</v>
      </c>
      <c r="AB277" s="34" t="n">
        <f aca="false">($I277*AB$1)/$K277</f>
        <v>0.0415448766949591</v>
      </c>
      <c r="AC277" s="34" t="n">
        <f aca="false">($I277*AC$1)/$K277</f>
        <v>0.0425340404257915</v>
      </c>
      <c r="AD277" s="35" t="n">
        <f aca="false">($J277*AD$1)/$K277</f>
        <v>0.0413820522577369</v>
      </c>
      <c r="AE277" s="35" t="n">
        <f aca="false">($J277*AE$1)/$K277</f>
        <v>0.0423225534454127</v>
      </c>
      <c r="AF277" s="35" t="n">
        <f aca="false">($J277*AF$1)/$K277</f>
        <v>0.0432630546330886</v>
      </c>
      <c r="AG277" s="35" t="n">
        <f aca="false">($J277*AG$1)/$K277</f>
        <v>0.0442035558207644</v>
      </c>
      <c r="AH277" s="35" t="n">
        <f aca="false">($J277*AH$1)/$K277</f>
        <v>0.0451440570084403</v>
      </c>
      <c r="AI277" s="35" t="n">
        <f aca="false">($J277*AI$1)/$K277</f>
        <v>0.0460845581961161</v>
      </c>
      <c r="AJ277" s="35" t="n">
        <f aca="false">($J277*AJ$1)/$K277</f>
        <v>0.0470250593837919</v>
      </c>
      <c r="AK277" s="35" t="n">
        <f aca="false">($J277*AK$1)/$K277</f>
        <v>0.0479655605714678</v>
      </c>
      <c r="AL277" s="35" t="n">
        <f aca="false">($J277*AL$1)/$K277</f>
        <v>0.0489060617591436</v>
      </c>
    </row>
    <row r="278" customFormat="false" ht="15" hidden="false" customHeight="false" outlineLevel="0" collapsed="false">
      <c r="A278" s="5" t="s">
        <v>35</v>
      </c>
      <c r="B278" s="0" t="s">
        <v>376</v>
      </c>
      <c r="C278" s="16" t="s">
        <v>377</v>
      </c>
      <c r="D278" s="45" t="n">
        <v>9</v>
      </c>
      <c r="E278" s="45"/>
      <c r="F278" s="44" t="n">
        <v>0.0470666077564446</v>
      </c>
      <c r="G278" s="44" t="n">
        <v>0.0470666077564446</v>
      </c>
      <c r="H278" s="44" t="n">
        <f aca="false">+(I278+G278)/2</f>
        <v>0.0499110033670852</v>
      </c>
      <c r="I278" s="44" t="n">
        <v>0.0527553989777259</v>
      </c>
      <c r="J278" s="44" t="n">
        <v>0.0501600633427114</v>
      </c>
      <c r="K278" s="31" t="n">
        <v>1</v>
      </c>
      <c r="L278" s="32"/>
      <c r="M278" s="32"/>
      <c r="N278" s="32"/>
      <c r="O278" s="32"/>
      <c r="P278" s="32"/>
      <c r="Q278" s="32"/>
      <c r="R278" s="32" t="n">
        <f aca="false">($G278*R$1)/$K278</f>
        <v>0.0564799293077336</v>
      </c>
      <c r="S278" s="32" t="n">
        <f aca="false">($G278*S$1)/$K278</f>
        <v>0.0582449270986003</v>
      </c>
      <c r="T278" s="32" t="n">
        <f aca="false">($G278*T$1)/$K278</f>
        <v>0.0600099248894669</v>
      </c>
      <c r="U278" s="32" t="n">
        <f aca="false">($G278*U$1)/$K278</f>
        <v>0.0617749226803336</v>
      </c>
      <c r="V278" s="33" t="n">
        <f aca="false">($H278*V$1)/$K278</f>
        <v>0.0673798545455651</v>
      </c>
      <c r="W278" s="33"/>
      <c r="X278" s="33"/>
      <c r="Y278" s="33"/>
      <c r="Z278" s="34"/>
      <c r="AA278" s="34"/>
      <c r="AB278" s="34"/>
      <c r="AC278" s="34"/>
      <c r="AD278" s="35"/>
      <c r="AE278" s="35"/>
      <c r="AF278" s="35"/>
      <c r="AG278" s="35"/>
      <c r="AH278" s="35"/>
      <c r="AI278" s="35"/>
      <c r="AJ278" s="35"/>
      <c r="AK278" s="35"/>
      <c r="AL278" s="35"/>
    </row>
    <row r="279" customFormat="false" ht="15" hidden="false" customHeight="false" outlineLevel="0" collapsed="false">
      <c r="A279" s="5" t="s">
        <v>35</v>
      </c>
      <c r="B279" s="0" t="s">
        <v>378</v>
      </c>
      <c r="C279" s="16" t="s">
        <v>379</v>
      </c>
      <c r="D279" s="45" t="n">
        <v>9</v>
      </c>
      <c r="E279" s="45"/>
      <c r="F279" s="44" t="n">
        <v>0.0470666077564446</v>
      </c>
      <c r="G279" s="44" t="n">
        <v>0.0470666077564446</v>
      </c>
      <c r="H279" s="44" t="n">
        <f aca="false">+(I279+G279)/2</f>
        <v>0.0499110033670852</v>
      </c>
      <c r="I279" s="44" t="n">
        <v>0.0527553989777259</v>
      </c>
      <c r="J279" s="44" t="n">
        <v>0.0501600633427114</v>
      </c>
      <c r="K279" s="31" t="n">
        <v>2</v>
      </c>
      <c r="L279" s="32"/>
      <c r="M279" s="32"/>
      <c r="N279" s="32"/>
      <c r="O279" s="32"/>
      <c r="P279" s="32"/>
      <c r="Q279" s="32"/>
      <c r="R279" s="32" t="n">
        <f aca="false">($G279*R$1)/$K279</f>
        <v>0.0282399646538668</v>
      </c>
      <c r="S279" s="32" t="n">
        <f aca="false">($G279*S$1)/$K279</f>
        <v>0.0291224635493001</v>
      </c>
      <c r="T279" s="32" t="n">
        <f aca="false">($G279*T$1)/$K279</f>
        <v>0.0300049624447335</v>
      </c>
      <c r="U279" s="32" t="n">
        <f aca="false">($G279*U$1)/$K279</f>
        <v>0.0308874613401668</v>
      </c>
      <c r="V279" s="33" t="n">
        <f aca="false">($H279*V$1)/$K279</f>
        <v>0.0336899272727825</v>
      </c>
      <c r="W279" s="33" t="n">
        <f aca="false">($H279*W$1)/$K279</f>
        <v>0.0346257585859154</v>
      </c>
      <c r="X279" s="33" t="n">
        <f aca="false">($H279*X$1)/$K279</f>
        <v>0.0355615898990483</v>
      </c>
      <c r="Y279" s="33" t="n">
        <f aca="false">($H279*Y$1)/$K279</f>
        <v>0.0364974212121811</v>
      </c>
      <c r="Z279" s="34" t="n">
        <f aca="false">($I279*Z$1)/$K279</f>
        <v>0.0395665492332944</v>
      </c>
      <c r="AA279" s="34" t="n">
        <f aca="false">($I279*AA$1)/$K279</f>
        <v>0.0405557129641268</v>
      </c>
      <c r="AB279" s="34" t="n">
        <f aca="false">($I279*AB$1)/$K279</f>
        <v>0.0415448766949591</v>
      </c>
      <c r="AC279" s="34" t="n">
        <f aca="false">($I279*AC$1)/$K279</f>
        <v>0.0425340404257915</v>
      </c>
      <c r="AD279" s="35" t="n">
        <f aca="false">($J279*AD$1)/$K279</f>
        <v>0.0413820522577369</v>
      </c>
      <c r="AE279" s="35" t="n">
        <f aca="false">($J279*AE$1)/$K279</f>
        <v>0.0423225534454127</v>
      </c>
      <c r="AF279" s="35" t="n">
        <f aca="false">($J279*AF$1)/$K279</f>
        <v>0.0432630546330886</v>
      </c>
      <c r="AG279" s="35" t="n">
        <f aca="false">($J279*AG$1)/$K279</f>
        <v>0.0442035558207644</v>
      </c>
      <c r="AH279" s="35" t="n">
        <f aca="false">($J279*AH$1)/$K279</f>
        <v>0.0451440570084403</v>
      </c>
      <c r="AI279" s="35" t="n">
        <f aca="false">($J279*AI$1)/$K279</f>
        <v>0.0460845581961161</v>
      </c>
      <c r="AJ279" s="35" t="n">
        <f aca="false">($J279*AJ$1)/$K279</f>
        <v>0.0470250593837919</v>
      </c>
      <c r="AK279" s="35" t="n">
        <f aca="false">($J279*AK$1)/$K279</f>
        <v>0.0479655605714678</v>
      </c>
      <c r="AL279" s="35" t="n">
        <f aca="false">($J279*AL$1)/$K279</f>
        <v>0.0489060617591436</v>
      </c>
    </row>
    <row r="280" customFormat="false" ht="15" hidden="false" customHeight="false" outlineLevel="0" collapsed="false">
      <c r="A280" s="5" t="s">
        <v>35</v>
      </c>
      <c r="B280" s="0" t="s">
        <v>370</v>
      </c>
      <c r="C280" s="16" t="s">
        <v>371</v>
      </c>
      <c r="D280" s="45" t="n">
        <v>10</v>
      </c>
      <c r="E280" s="45"/>
      <c r="F280" s="44" t="n">
        <v>0.0470666077564446</v>
      </c>
      <c r="G280" s="44" t="n">
        <v>0.0470666077564446</v>
      </c>
      <c r="H280" s="44" t="n">
        <f aca="false">+(I280+G280)/2</f>
        <v>0.0499110033670852</v>
      </c>
      <c r="I280" s="44" t="n">
        <v>0.0527553989777259</v>
      </c>
      <c r="J280" s="44" t="n">
        <v>0.0501600633427114</v>
      </c>
      <c r="K280" s="31" t="n">
        <v>2</v>
      </c>
      <c r="L280" s="32"/>
      <c r="M280" s="32"/>
      <c r="N280" s="32"/>
      <c r="O280" s="32"/>
      <c r="P280" s="32"/>
      <c r="Q280" s="32"/>
      <c r="R280" s="32" t="n">
        <f aca="false">($G280*R$1)/$K280</f>
        <v>0.0282399646538668</v>
      </c>
      <c r="S280" s="32" t="n">
        <f aca="false">($G280*S$1)/$K280</f>
        <v>0.0291224635493001</v>
      </c>
      <c r="T280" s="32" t="n">
        <f aca="false">($G280*T$1)/$K280</f>
        <v>0.0300049624447335</v>
      </c>
      <c r="U280" s="32" t="n">
        <f aca="false">($G280*U$1)/$K280</f>
        <v>0.0308874613401668</v>
      </c>
      <c r="V280" s="33" t="n">
        <f aca="false">($H280*V$1)/$K280</f>
        <v>0.0336899272727825</v>
      </c>
      <c r="W280" s="33" t="n">
        <f aca="false">($H280*W$1)/$K280</f>
        <v>0.0346257585859154</v>
      </c>
      <c r="X280" s="33" t="n">
        <f aca="false">($H280*X$1)/$K280</f>
        <v>0.0355615898990483</v>
      </c>
      <c r="Y280" s="33" t="n">
        <f aca="false">($H280*Y$1)/$K280</f>
        <v>0.0364974212121811</v>
      </c>
      <c r="Z280" s="34" t="n">
        <f aca="false">($I280*Z$1)/$K280</f>
        <v>0.0395665492332944</v>
      </c>
      <c r="AA280" s="34" t="n">
        <f aca="false">($I280*AA$1)/$K280</f>
        <v>0.0405557129641268</v>
      </c>
      <c r="AB280" s="34" t="n">
        <f aca="false">($I280*AB$1)/$K280</f>
        <v>0.0415448766949591</v>
      </c>
      <c r="AC280" s="34" t="n">
        <f aca="false">($I280*AC$1)/$K280</f>
        <v>0.0425340404257915</v>
      </c>
      <c r="AD280" s="35" t="n">
        <f aca="false">($J280*AD$1)/$K280</f>
        <v>0.0413820522577369</v>
      </c>
      <c r="AE280" s="35" t="n">
        <f aca="false">($J280*AE$1)/$K280</f>
        <v>0.0423225534454127</v>
      </c>
      <c r="AF280" s="35" t="n">
        <f aca="false">($J280*AF$1)/$K280</f>
        <v>0.0432630546330886</v>
      </c>
      <c r="AG280" s="35" t="n">
        <f aca="false">($J280*AG$1)/$K280</f>
        <v>0.0442035558207644</v>
      </c>
      <c r="AH280" s="35" t="n">
        <f aca="false">($J280*AH$1)/$K280</f>
        <v>0.0451440570084403</v>
      </c>
      <c r="AI280" s="35" t="n">
        <f aca="false">($J280*AI$1)/$K280</f>
        <v>0.0460845581961161</v>
      </c>
      <c r="AJ280" s="35" t="n">
        <f aca="false">($J280*AJ$1)/$K280</f>
        <v>0.0470250593837919</v>
      </c>
      <c r="AK280" s="35" t="n">
        <f aca="false">($J280*AK$1)/$K280</f>
        <v>0.0479655605714678</v>
      </c>
      <c r="AL280" s="35" t="n">
        <f aca="false">($J280*AL$1)/$K280</f>
        <v>0.0489060617591436</v>
      </c>
    </row>
    <row r="281" customFormat="false" ht="15" hidden="false" customHeight="false" outlineLevel="0" collapsed="false">
      <c r="A281" s="5" t="s">
        <v>35</v>
      </c>
      <c r="B281" s="0" t="s">
        <v>372</v>
      </c>
      <c r="C281" s="16" t="s">
        <v>373</v>
      </c>
      <c r="D281" s="45" t="n">
        <v>10</v>
      </c>
      <c r="E281" s="45"/>
      <c r="F281" s="44" t="n">
        <v>0.0470666077564446</v>
      </c>
      <c r="G281" s="44" t="n">
        <v>0.0470666077564446</v>
      </c>
      <c r="H281" s="44" t="n">
        <f aca="false">+(I281+G281)/2</f>
        <v>0.0499110033670852</v>
      </c>
      <c r="I281" s="44" t="n">
        <v>0.0527553989777259</v>
      </c>
      <c r="J281" s="44" t="n">
        <v>0.0501600633427114</v>
      </c>
      <c r="K281" s="31" t="n">
        <v>2</v>
      </c>
      <c r="L281" s="32"/>
      <c r="M281" s="32"/>
      <c r="N281" s="32"/>
      <c r="O281" s="32"/>
      <c r="P281" s="32"/>
      <c r="Q281" s="32"/>
      <c r="R281" s="32" t="n">
        <f aca="false">($G281*R$1)/$K281</f>
        <v>0.0282399646538668</v>
      </c>
      <c r="S281" s="32" t="n">
        <f aca="false">($G281*S$1)/$K281</f>
        <v>0.0291224635493001</v>
      </c>
      <c r="T281" s="32" t="n">
        <f aca="false">($G281*T$1)/$K281</f>
        <v>0.0300049624447335</v>
      </c>
      <c r="U281" s="32" t="n">
        <f aca="false">($G281*U$1)/$K281</f>
        <v>0.0308874613401668</v>
      </c>
      <c r="V281" s="33" t="n">
        <f aca="false">($H281*V$1)/$K281</f>
        <v>0.0336899272727825</v>
      </c>
      <c r="W281" s="33" t="n">
        <f aca="false">($H281*W$1)/$K281</f>
        <v>0.0346257585859154</v>
      </c>
      <c r="X281" s="33" t="n">
        <f aca="false">($H281*X$1)/$K281</f>
        <v>0.0355615898990483</v>
      </c>
      <c r="Y281" s="33" t="n">
        <f aca="false">($H281*Y$1)/$K281</f>
        <v>0.0364974212121811</v>
      </c>
      <c r="Z281" s="34" t="n">
        <f aca="false">($I281*Z$1)/$K281</f>
        <v>0.0395665492332944</v>
      </c>
      <c r="AA281" s="34" t="n">
        <f aca="false">($I281*AA$1)/$K281</f>
        <v>0.0405557129641268</v>
      </c>
      <c r="AB281" s="34" t="n">
        <f aca="false">($I281*AB$1)/$K281</f>
        <v>0.0415448766949591</v>
      </c>
      <c r="AC281" s="34" t="n">
        <f aca="false">($I281*AC$1)/$K281</f>
        <v>0.0425340404257915</v>
      </c>
      <c r="AD281" s="35" t="n">
        <f aca="false">($J281*AD$1)/$K281</f>
        <v>0.0413820522577369</v>
      </c>
      <c r="AE281" s="35" t="n">
        <f aca="false">($J281*AE$1)/$K281</f>
        <v>0.0423225534454127</v>
      </c>
      <c r="AF281" s="35" t="n">
        <f aca="false">($J281*AF$1)/$K281</f>
        <v>0.0432630546330886</v>
      </c>
      <c r="AG281" s="35" t="n">
        <f aca="false">($J281*AG$1)/$K281</f>
        <v>0.0442035558207644</v>
      </c>
      <c r="AH281" s="35" t="n">
        <f aca="false">($J281*AH$1)/$K281</f>
        <v>0.0451440570084403</v>
      </c>
      <c r="AI281" s="35" t="n">
        <f aca="false">($J281*AI$1)/$K281</f>
        <v>0.0460845581961161</v>
      </c>
      <c r="AJ281" s="35" t="n">
        <f aca="false">($J281*AJ$1)/$K281</f>
        <v>0.0470250593837919</v>
      </c>
      <c r="AK281" s="35" t="n">
        <f aca="false">($J281*AK$1)/$K281</f>
        <v>0.0479655605714678</v>
      </c>
      <c r="AL281" s="35" t="n">
        <f aca="false">($J281*AL$1)/$K281</f>
        <v>0.0489060617591436</v>
      </c>
    </row>
    <row r="282" customFormat="false" ht="15" hidden="false" customHeight="false" outlineLevel="0" collapsed="false">
      <c r="A282" s="5" t="s">
        <v>35</v>
      </c>
      <c r="B282" s="0" t="s">
        <v>374</v>
      </c>
      <c r="C282" s="16" t="s">
        <v>375</v>
      </c>
      <c r="D282" s="45" t="n">
        <v>10</v>
      </c>
      <c r="E282" s="45"/>
      <c r="F282" s="44" t="n">
        <v>0.0470666077564446</v>
      </c>
      <c r="G282" s="44" t="n">
        <v>0.0470666077564446</v>
      </c>
      <c r="H282" s="44" t="n">
        <f aca="false">+(I282+G282)/2</f>
        <v>0.0499110033670852</v>
      </c>
      <c r="I282" s="44" t="n">
        <v>0.0527553989777259</v>
      </c>
      <c r="J282" s="44" t="n">
        <v>0.0501600633427114</v>
      </c>
      <c r="K282" s="31" t="n">
        <v>2</v>
      </c>
      <c r="L282" s="32"/>
      <c r="M282" s="32"/>
      <c r="N282" s="32"/>
      <c r="O282" s="32"/>
      <c r="P282" s="32"/>
      <c r="Q282" s="32"/>
      <c r="R282" s="32" t="n">
        <f aca="false">($G282*R$1)/$K282</f>
        <v>0.0282399646538668</v>
      </c>
      <c r="S282" s="32" t="n">
        <f aca="false">($G282*S$1)/$K282</f>
        <v>0.0291224635493001</v>
      </c>
      <c r="T282" s="32" t="n">
        <f aca="false">($G282*T$1)/$K282</f>
        <v>0.0300049624447335</v>
      </c>
      <c r="U282" s="32" t="n">
        <f aca="false">($G282*U$1)/$K282</f>
        <v>0.0308874613401668</v>
      </c>
      <c r="V282" s="33" t="n">
        <f aca="false">($H282*V$1)/$K282</f>
        <v>0.0336899272727825</v>
      </c>
      <c r="W282" s="33" t="n">
        <f aca="false">($H282*W$1)/$K282</f>
        <v>0.0346257585859154</v>
      </c>
      <c r="X282" s="33" t="n">
        <f aca="false">($H282*X$1)/$K282</f>
        <v>0.0355615898990483</v>
      </c>
      <c r="Y282" s="33" t="n">
        <f aca="false">($H282*Y$1)/$K282</f>
        <v>0.0364974212121811</v>
      </c>
      <c r="Z282" s="34" t="n">
        <f aca="false">($I282*Z$1)/$K282</f>
        <v>0.0395665492332944</v>
      </c>
      <c r="AA282" s="34" t="n">
        <f aca="false">($I282*AA$1)/$K282</f>
        <v>0.0405557129641268</v>
      </c>
      <c r="AB282" s="34" t="n">
        <f aca="false">($I282*AB$1)/$K282</f>
        <v>0.0415448766949591</v>
      </c>
      <c r="AC282" s="34" t="n">
        <f aca="false">($I282*AC$1)/$K282</f>
        <v>0.0425340404257915</v>
      </c>
      <c r="AD282" s="35" t="n">
        <f aca="false">($J282*AD$1)/$K282</f>
        <v>0.0413820522577369</v>
      </c>
      <c r="AE282" s="35" t="n">
        <f aca="false">($J282*AE$1)/$K282</f>
        <v>0.0423225534454127</v>
      </c>
      <c r="AF282" s="35" t="n">
        <f aca="false">($J282*AF$1)/$K282</f>
        <v>0.0432630546330886</v>
      </c>
      <c r="AG282" s="35" t="n">
        <f aca="false">($J282*AG$1)/$K282</f>
        <v>0.0442035558207644</v>
      </c>
      <c r="AH282" s="35" t="n">
        <f aca="false">($J282*AH$1)/$K282</f>
        <v>0.0451440570084403</v>
      </c>
      <c r="AI282" s="35" t="n">
        <f aca="false">($J282*AI$1)/$K282</f>
        <v>0.0460845581961161</v>
      </c>
      <c r="AJ282" s="35" t="n">
        <f aca="false">($J282*AJ$1)/$K282</f>
        <v>0.0470250593837919</v>
      </c>
      <c r="AK282" s="35" t="n">
        <f aca="false">($J282*AK$1)/$K282</f>
        <v>0.0479655605714678</v>
      </c>
      <c r="AL282" s="35" t="n">
        <f aca="false">($J282*AL$1)/$K282</f>
        <v>0.0489060617591436</v>
      </c>
    </row>
    <row r="283" customFormat="false" ht="15" hidden="false" customHeight="false" outlineLevel="0" collapsed="false">
      <c r="A283" s="5" t="s">
        <v>35</v>
      </c>
      <c r="B283" s="0" t="s">
        <v>376</v>
      </c>
      <c r="C283" s="16" t="s">
        <v>377</v>
      </c>
      <c r="D283" s="45" t="n">
        <v>10</v>
      </c>
      <c r="E283" s="45"/>
      <c r="F283" s="44" t="n">
        <v>0.0470666077564446</v>
      </c>
      <c r="G283" s="44" t="n">
        <v>0.0470666077564446</v>
      </c>
      <c r="H283" s="44" t="n">
        <f aca="false">+(I283+G283)/2</f>
        <v>0.0499110033670852</v>
      </c>
      <c r="I283" s="44" t="n">
        <v>0.0527553989777259</v>
      </c>
      <c r="J283" s="44" t="n">
        <v>0.0501600633427114</v>
      </c>
      <c r="K283" s="31" t="n">
        <v>1</v>
      </c>
      <c r="L283" s="32"/>
      <c r="M283" s="32"/>
      <c r="N283" s="32"/>
      <c r="O283" s="32"/>
      <c r="P283" s="32"/>
      <c r="Q283" s="32"/>
      <c r="R283" s="32" t="n">
        <f aca="false">($G283*R$1)/$K283</f>
        <v>0.0564799293077336</v>
      </c>
      <c r="S283" s="32" t="n">
        <f aca="false">($G283*S$1)/$K283</f>
        <v>0.0582449270986003</v>
      </c>
      <c r="T283" s="32" t="n">
        <f aca="false">($G283*T$1)/$K283</f>
        <v>0.0600099248894669</v>
      </c>
      <c r="U283" s="32" t="n">
        <f aca="false">($G283*U$1)/$K283</f>
        <v>0.0617749226803336</v>
      </c>
      <c r="V283" s="33" t="n">
        <f aca="false">($H283*V$1)/$K283</f>
        <v>0.0673798545455651</v>
      </c>
      <c r="W283" s="33"/>
      <c r="X283" s="33"/>
      <c r="Y283" s="33"/>
      <c r="Z283" s="34"/>
      <c r="AA283" s="34"/>
      <c r="AB283" s="34"/>
      <c r="AC283" s="34"/>
      <c r="AD283" s="35"/>
      <c r="AE283" s="35"/>
      <c r="AF283" s="35"/>
      <c r="AG283" s="35"/>
      <c r="AH283" s="35"/>
      <c r="AI283" s="35"/>
      <c r="AJ283" s="35"/>
      <c r="AK283" s="35"/>
      <c r="AL283" s="35"/>
    </row>
    <row r="284" customFormat="false" ht="15" hidden="false" customHeight="false" outlineLevel="0" collapsed="false">
      <c r="A284" s="5" t="s">
        <v>35</v>
      </c>
      <c r="B284" s="0" t="s">
        <v>378</v>
      </c>
      <c r="C284" s="16" t="s">
        <v>379</v>
      </c>
      <c r="D284" s="45" t="n">
        <v>10</v>
      </c>
      <c r="E284" s="45"/>
      <c r="F284" s="44" t="n">
        <v>0.0470666077564446</v>
      </c>
      <c r="G284" s="44" t="n">
        <v>0.0470666077564446</v>
      </c>
      <c r="H284" s="44" t="n">
        <f aca="false">+(I284+G284)/2</f>
        <v>0.0499110033670852</v>
      </c>
      <c r="I284" s="44" t="n">
        <v>0.0527553989777259</v>
      </c>
      <c r="J284" s="44" t="n">
        <v>0.0501600633427114</v>
      </c>
      <c r="K284" s="31" t="n">
        <v>2</v>
      </c>
      <c r="L284" s="32"/>
      <c r="M284" s="32"/>
      <c r="N284" s="32"/>
      <c r="O284" s="32"/>
      <c r="P284" s="32"/>
      <c r="Q284" s="32"/>
      <c r="R284" s="32" t="n">
        <f aca="false">($G284*R$1)/$K284</f>
        <v>0.0282399646538668</v>
      </c>
      <c r="S284" s="32" t="n">
        <f aca="false">($G284*S$1)/$K284</f>
        <v>0.0291224635493001</v>
      </c>
      <c r="T284" s="32" t="n">
        <f aca="false">($G284*T$1)/$K284</f>
        <v>0.0300049624447335</v>
      </c>
      <c r="U284" s="32" t="n">
        <f aca="false">($G284*U$1)/$K284</f>
        <v>0.0308874613401668</v>
      </c>
      <c r="V284" s="33" t="n">
        <f aca="false">($H284*V$1)/$K284</f>
        <v>0.0336899272727825</v>
      </c>
      <c r="W284" s="33" t="n">
        <f aca="false">($H284*W$1)/$K284</f>
        <v>0.0346257585859154</v>
      </c>
      <c r="X284" s="33" t="n">
        <f aca="false">($H284*X$1)/$K284</f>
        <v>0.0355615898990483</v>
      </c>
      <c r="Y284" s="33" t="n">
        <f aca="false">($H284*Y$1)/$K284</f>
        <v>0.0364974212121811</v>
      </c>
      <c r="Z284" s="34" t="n">
        <f aca="false">($I284*Z$1)/$K284</f>
        <v>0.0395665492332944</v>
      </c>
      <c r="AA284" s="34" t="n">
        <f aca="false">($I284*AA$1)/$K284</f>
        <v>0.0405557129641268</v>
      </c>
      <c r="AB284" s="34" t="n">
        <f aca="false">($I284*AB$1)/$K284</f>
        <v>0.0415448766949591</v>
      </c>
      <c r="AC284" s="34" t="n">
        <f aca="false">($I284*AC$1)/$K284</f>
        <v>0.0425340404257915</v>
      </c>
      <c r="AD284" s="35" t="n">
        <f aca="false">($J284*AD$1)/$K284</f>
        <v>0.0413820522577369</v>
      </c>
      <c r="AE284" s="35" t="n">
        <f aca="false">($J284*AE$1)/$K284</f>
        <v>0.0423225534454127</v>
      </c>
      <c r="AF284" s="35" t="n">
        <f aca="false">($J284*AF$1)/$K284</f>
        <v>0.0432630546330886</v>
      </c>
      <c r="AG284" s="35" t="n">
        <f aca="false">($J284*AG$1)/$K284</f>
        <v>0.0442035558207644</v>
      </c>
      <c r="AH284" s="35" t="n">
        <f aca="false">($J284*AH$1)/$K284</f>
        <v>0.0451440570084403</v>
      </c>
      <c r="AI284" s="35" t="n">
        <f aca="false">($J284*AI$1)/$K284</f>
        <v>0.0460845581961161</v>
      </c>
      <c r="AJ284" s="35" t="n">
        <f aca="false">($J284*AJ$1)/$K284</f>
        <v>0.0470250593837919</v>
      </c>
      <c r="AK284" s="35" t="n">
        <f aca="false">($J284*AK$1)/$K284</f>
        <v>0.0479655605714678</v>
      </c>
      <c r="AL284" s="35" t="n">
        <f aca="false">($J284*AL$1)/$K284</f>
        <v>0.0489060617591436</v>
      </c>
    </row>
    <row r="285" customFormat="false" ht="15" hidden="false" customHeight="false" outlineLevel="0" collapsed="false">
      <c r="A285" s="5" t="s">
        <v>35</v>
      </c>
      <c r="B285" s="0" t="s">
        <v>370</v>
      </c>
      <c r="C285" s="16" t="s">
        <v>371</v>
      </c>
      <c r="D285" s="45" t="n">
        <v>11</v>
      </c>
      <c r="E285" s="45"/>
      <c r="F285" s="44" t="n">
        <v>0.0470666077564446</v>
      </c>
      <c r="G285" s="44" t="n">
        <v>0.0470666077564446</v>
      </c>
      <c r="H285" s="44" t="n">
        <f aca="false">+(I285+G285)/2</f>
        <v>0.0499110033670852</v>
      </c>
      <c r="I285" s="44" t="n">
        <v>0.0527553989777259</v>
      </c>
      <c r="J285" s="44" t="n">
        <v>0.0501600633427114</v>
      </c>
      <c r="K285" s="31" t="n">
        <v>2</v>
      </c>
      <c r="L285" s="32"/>
      <c r="M285" s="32"/>
      <c r="N285" s="32"/>
      <c r="O285" s="32"/>
      <c r="P285" s="32"/>
      <c r="Q285" s="32"/>
      <c r="R285" s="32" t="n">
        <f aca="false">($G285*R$1)/$K285</f>
        <v>0.0282399646538668</v>
      </c>
      <c r="S285" s="32" t="n">
        <f aca="false">($G285*S$1)/$K285</f>
        <v>0.0291224635493001</v>
      </c>
      <c r="T285" s="32" t="n">
        <f aca="false">($G285*T$1)/$K285</f>
        <v>0.0300049624447335</v>
      </c>
      <c r="U285" s="32" t="n">
        <f aca="false">($G285*U$1)/$K285</f>
        <v>0.0308874613401668</v>
      </c>
      <c r="V285" s="33" t="n">
        <f aca="false">($H285*V$1)/$K285</f>
        <v>0.0336899272727825</v>
      </c>
      <c r="W285" s="33" t="n">
        <f aca="false">($H285*W$1)/$K285</f>
        <v>0.0346257585859154</v>
      </c>
      <c r="X285" s="33" t="n">
        <f aca="false">($H285*X$1)/$K285</f>
        <v>0.0355615898990483</v>
      </c>
      <c r="Y285" s="33" t="n">
        <f aca="false">($H285*Y$1)/$K285</f>
        <v>0.0364974212121811</v>
      </c>
      <c r="Z285" s="34" t="n">
        <f aca="false">($I285*Z$1)/$K285</f>
        <v>0.0395665492332944</v>
      </c>
      <c r="AA285" s="34" t="n">
        <f aca="false">($I285*AA$1)/$K285</f>
        <v>0.0405557129641268</v>
      </c>
      <c r="AB285" s="34" t="n">
        <f aca="false">($I285*AB$1)/$K285</f>
        <v>0.0415448766949591</v>
      </c>
      <c r="AC285" s="34" t="n">
        <f aca="false">($I285*AC$1)/$K285</f>
        <v>0.0425340404257915</v>
      </c>
      <c r="AD285" s="35" t="n">
        <f aca="false">($J285*AD$1)/$K285</f>
        <v>0.0413820522577369</v>
      </c>
      <c r="AE285" s="35" t="n">
        <f aca="false">($J285*AE$1)/$K285</f>
        <v>0.0423225534454127</v>
      </c>
      <c r="AF285" s="35" t="n">
        <f aca="false">($J285*AF$1)/$K285</f>
        <v>0.0432630546330886</v>
      </c>
      <c r="AG285" s="35" t="n">
        <f aca="false">($J285*AG$1)/$K285</f>
        <v>0.0442035558207644</v>
      </c>
      <c r="AH285" s="35" t="n">
        <f aca="false">($J285*AH$1)/$K285</f>
        <v>0.0451440570084403</v>
      </c>
      <c r="AI285" s="35" t="n">
        <f aca="false">($J285*AI$1)/$K285</f>
        <v>0.0460845581961161</v>
      </c>
      <c r="AJ285" s="35" t="n">
        <f aca="false">($J285*AJ$1)/$K285</f>
        <v>0.0470250593837919</v>
      </c>
      <c r="AK285" s="35" t="n">
        <f aca="false">($J285*AK$1)/$K285</f>
        <v>0.0479655605714678</v>
      </c>
      <c r="AL285" s="35" t="n">
        <f aca="false">($J285*AL$1)/$K285</f>
        <v>0.0489060617591436</v>
      </c>
    </row>
    <row r="286" customFormat="false" ht="15" hidden="false" customHeight="false" outlineLevel="0" collapsed="false">
      <c r="A286" s="5" t="s">
        <v>35</v>
      </c>
      <c r="B286" s="0" t="s">
        <v>372</v>
      </c>
      <c r="C286" s="16" t="s">
        <v>373</v>
      </c>
      <c r="D286" s="45" t="n">
        <v>11</v>
      </c>
      <c r="E286" s="45"/>
      <c r="F286" s="44" t="n">
        <v>0.0470666077564446</v>
      </c>
      <c r="G286" s="44" t="n">
        <v>0.0470666077564446</v>
      </c>
      <c r="H286" s="44" t="n">
        <f aca="false">+(I286+G286)/2</f>
        <v>0.0499110033670852</v>
      </c>
      <c r="I286" s="44" t="n">
        <v>0.0527553989777259</v>
      </c>
      <c r="J286" s="44" t="n">
        <v>0.0501600633427114</v>
      </c>
      <c r="K286" s="31" t="n">
        <v>2</v>
      </c>
      <c r="L286" s="32"/>
      <c r="M286" s="32"/>
      <c r="N286" s="32"/>
      <c r="O286" s="32"/>
      <c r="P286" s="32"/>
      <c r="Q286" s="32"/>
      <c r="R286" s="32" t="n">
        <f aca="false">($G286*R$1)/$K286</f>
        <v>0.0282399646538668</v>
      </c>
      <c r="S286" s="32" t="n">
        <f aca="false">($G286*S$1)/$K286</f>
        <v>0.0291224635493001</v>
      </c>
      <c r="T286" s="32" t="n">
        <f aca="false">($G286*T$1)/$K286</f>
        <v>0.0300049624447335</v>
      </c>
      <c r="U286" s="32" t="n">
        <f aca="false">($G286*U$1)/$K286</f>
        <v>0.0308874613401668</v>
      </c>
      <c r="V286" s="33" t="n">
        <f aca="false">($H286*V$1)/$K286</f>
        <v>0.0336899272727825</v>
      </c>
      <c r="W286" s="33" t="n">
        <f aca="false">($H286*W$1)/$K286</f>
        <v>0.0346257585859154</v>
      </c>
      <c r="X286" s="33" t="n">
        <f aca="false">($H286*X$1)/$K286</f>
        <v>0.0355615898990483</v>
      </c>
      <c r="Y286" s="33" t="n">
        <f aca="false">($H286*Y$1)/$K286</f>
        <v>0.0364974212121811</v>
      </c>
      <c r="Z286" s="34" t="n">
        <f aca="false">($I286*Z$1)/$K286</f>
        <v>0.0395665492332944</v>
      </c>
      <c r="AA286" s="34" t="n">
        <f aca="false">($I286*AA$1)/$K286</f>
        <v>0.0405557129641268</v>
      </c>
      <c r="AB286" s="34" t="n">
        <f aca="false">($I286*AB$1)/$K286</f>
        <v>0.0415448766949591</v>
      </c>
      <c r="AC286" s="34" t="n">
        <f aca="false">($I286*AC$1)/$K286</f>
        <v>0.0425340404257915</v>
      </c>
      <c r="AD286" s="35" t="n">
        <f aca="false">($J286*AD$1)/$K286</f>
        <v>0.0413820522577369</v>
      </c>
      <c r="AE286" s="35" t="n">
        <f aca="false">($J286*AE$1)/$K286</f>
        <v>0.0423225534454127</v>
      </c>
      <c r="AF286" s="35" t="n">
        <f aca="false">($J286*AF$1)/$K286</f>
        <v>0.0432630546330886</v>
      </c>
      <c r="AG286" s="35" t="n">
        <f aca="false">($J286*AG$1)/$K286</f>
        <v>0.0442035558207644</v>
      </c>
      <c r="AH286" s="35" t="n">
        <f aca="false">($J286*AH$1)/$K286</f>
        <v>0.0451440570084403</v>
      </c>
      <c r="AI286" s="35" t="n">
        <f aca="false">($J286*AI$1)/$K286</f>
        <v>0.0460845581961161</v>
      </c>
      <c r="AJ286" s="35" t="n">
        <f aca="false">($J286*AJ$1)/$K286</f>
        <v>0.0470250593837919</v>
      </c>
      <c r="AK286" s="35" t="n">
        <f aca="false">($J286*AK$1)/$K286</f>
        <v>0.0479655605714678</v>
      </c>
      <c r="AL286" s="35" t="n">
        <f aca="false">($J286*AL$1)/$K286</f>
        <v>0.0489060617591436</v>
      </c>
    </row>
    <row r="287" customFormat="false" ht="15" hidden="false" customHeight="false" outlineLevel="0" collapsed="false">
      <c r="A287" s="5" t="s">
        <v>35</v>
      </c>
      <c r="B287" s="0" t="s">
        <v>374</v>
      </c>
      <c r="C287" s="16" t="s">
        <v>375</v>
      </c>
      <c r="D287" s="45" t="n">
        <v>11</v>
      </c>
      <c r="E287" s="45"/>
      <c r="F287" s="44" t="n">
        <v>0.0470666077564446</v>
      </c>
      <c r="G287" s="44" t="n">
        <v>0.0470666077564446</v>
      </c>
      <c r="H287" s="44" t="n">
        <f aca="false">+(I287+G287)/2</f>
        <v>0.0499110033670852</v>
      </c>
      <c r="I287" s="44" t="n">
        <v>0.0527553989777259</v>
      </c>
      <c r="J287" s="44" t="n">
        <v>0.0501600633427114</v>
      </c>
      <c r="K287" s="31" t="n">
        <v>2</v>
      </c>
      <c r="L287" s="32"/>
      <c r="M287" s="32"/>
      <c r="N287" s="32"/>
      <c r="O287" s="32"/>
      <c r="P287" s="32"/>
      <c r="Q287" s="32"/>
      <c r="R287" s="32" t="n">
        <f aca="false">($G287*R$1)/$K287</f>
        <v>0.0282399646538668</v>
      </c>
      <c r="S287" s="32" t="n">
        <f aca="false">($G287*S$1)/$K287</f>
        <v>0.0291224635493001</v>
      </c>
      <c r="T287" s="32" t="n">
        <f aca="false">($G287*T$1)/$K287</f>
        <v>0.0300049624447335</v>
      </c>
      <c r="U287" s="32" t="n">
        <f aca="false">($G287*U$1)/$K287</f>
        <v>0.0308874613401668</v>
      </c>
      <c r="V287" s="33" t="n">
        <f aca="false">($H287*V$1)/$K287</f>
        <v>0.0336899272727825</v>
      </c>
      <c r="W287" s="33" t="n">
        <f aca="false">($H287*W$1)/$K287</f>
        <v>0.0346257585859154</v>
      </c>
      <c r="X287" s="33" t="n">
        <f aca="false">($H287*X$1)/$K287</f>
        <v>0.0355615898990483</v>
      </c>
      <c r="Y287" s="33" t="n">
        <f aca="false">($H287*Y$1)/$K287</f>
        <v>0.0364974212121811</v>
      </c>
      <c r="Z287" s="34" t="n">
        <f aca="false">($I287*Z$1)/$K287</f>
        <v>0.0395665492332944</v>
      </c>
      <c r="AA287" s="34" t="n">
        <f aca="false">($I287*AA$1)/$K287</f>
        <v>0.0405557129641268</v>
      </c>
      <c r="AB287" s="34" t="n">
        <f aca="false">($I287*AB$1)/$K287</f>
        <v>0.0415448766949591</v>
      </c>
      <c r="AC287" s="34" t="n">
        <f aca="false">($I287*AC$1)/$K287</f>
        <v>0.0425340404257915</v>
      </c>
      <c r="AD287" s="35" t="n">
        <f aca="false">($J287*AD$1)/$K287</f>
        <v>0.0413820522577369</v>
      </c>
      <c r="AE287" s="35" t="n">
        <f aca="false">($J287*AE$1)/$K287</f>
        <v>0.0423225534454127</v>
      </c>
      <c r="AF287" s="35" t="n">
        <f aca="false">($J287*AF$1)/$K287</f>
        <v>0.0432630546330886</v>
      </c>
      <c r="AG287" s="35" t="n">
        <f aca="false">($J287*AG$1)/$K287</f>
        <v>0.0442035558207644</v>
      </c>
      <c r="AH287" s="35" t="n">
        <f aca="false">($J287*AH$1)/$K287</f>
        <v>0.0451440570084403</v>
      </c>
      <c r="AI287" s="35" t="n">
        <f aca="false">($J287*AI$1)/$K287</f>
        <v>0.0460845581961161</v>
      </c>
      <c r="AJ287" s="35" t="n">
        <f aca="false">($J287*AJ$1)/$K287</f>
        <v>0.0470250593837919</v>
      </c>
      <c r="AK287" s="35" t="n">
        <f aca="false">($J287*AK$1)/$K287</f>
        <v>0.0479655605714678</v>
      </c>
      <c r="AL287" s="35" t="n">
        <f aca="false">($J287*AL$1)/$K287</f>
        <v>0.0489060617591436</v>
      </c>
    </row>
    <row r="288" customFormat="false" ht="15" hidden="false" customHeight="false" outlineLevel="0" collapsed="false">
      <c r="A288" s="5" t="s">
        <v>35</v>
      </c>
      <c r="B288" s="0" t="s">
        <v>376</v>
      </c>
      <c r="C288" s="16" t="s">
        <v>377</v>
      </c>
      <c r="D288" s="45" t="n">
        <v>11</v>
      </c>
      <c r="E288" s="45"/>
      <c r="F288" s="44" t="n">
        <v>0.0470666077564446</v>
      </c>
      <c r="G288" s="44" t="n">
        <v>0.0470666077564446</v>
      </c>
      <c r="H288" s="44" t="n">
        <f aca="false">+(I288+G288)/2</f>
        <v>0.0499110033670852</v>
      </c>
      <c r="I288" s="44" t="n">
        <v>0.0527553989777259</v>
      </c>
      <c r="J288" s="44" t="n">
        <v>0.0501600633427114</v>
      </c>
      <c r="K288" s="31" t="n">
        <v>1</v>
      </c>
      <c r="L288" s="32"/>
      <c r="M288" s="32"/>
      <c r="N288" s="32"/>
      <c r="O288" s="32"/>
      <c r="P288" s="32"/>
      <c r="Q288" s="32"/>
      <c r="R288" s="32" t="n">
        <f aca="false">($G288*R$1)/$K288</f>
        <v>0.0564799293077336</v>
      </c>
      <c r="S288" s="32" t="n">
        <f aca="false">($G288*S$1)/$K288</f>
        <v>0.0582449270986003</v>
      </c>
      <c r="T288" s="32" t="n">
        <f aca="false">($G288*T$1)/$K288</f>
        <v>0.0600099248894669</v>
      </c>
      <c r="U288" s="32" t="n">
        <f aca="false">($G288*U$1)/$K288</f>
        <v>0.0617749226803336</v>
      </c>
      <c r="V288" s="33" t="n">
        <f aca="false">($H288*V$1)/$K288</f>
        <v>0.0673798545455651</v>
      </c>
      <c r="W288" s="33"/>
      <c r="X288" s="33"/>
      <c r="Y288" s="33"/>
      <c r="Z288" s="34"/>
      <c r="AA288" s="34"/>
      <c r="AB288" s="34"/>
      <c r="AC288" s="34"/>
      <c r="AD288" s="35"/>
      <c r="AE288" s="35"/>
      <c r="AF288" s="35"/>
      <c r="AG288" s="35"/>
      <c r="AH288" s="35"/>
      <c r="AI288" s="35"/>
      <c r="AJ288" s="35"/>
      <c r="AK288" s="35"/>
      <c r="AL288" s="35"/>
    </row>
    <row r="289" customFormat="false" ht="15" hidden="false" customHeight="false" outlineLevel="0" collapsed="false">
      <c r="A289" s="5" t="s">
        <v>35</v>
      </c>
      <c r="B289" s="0" t="s">
        <v>378</v>
      </c>
      <c r="C289" s="16" t="s">
        <v>379</v>
      </c>
      <c r="D289" s="45" t="n">
        <v>11</v>
      </c>
      <c r="E289" s="45"/>
      <c r="F289" s="44" t="n">
        <v>0.0470666077564446</v>
      </c>
      <c r="G289" s="44" t="n">
        <v>0.0470666077564446</v>
      </c>
      <c r="H289" s="44" t="n">
        <f aca="false">+(I289+G289)/2</f>
        <v>0.0499110033670852</v>
      </c>
      <c r="I289" s="44" t="n">
        <v>0.0527553989777259</v>
      </c>
      <c r="J289" s="44" t="n">
        <v>0.0501600633427114</v>
      </c>
      <c r="K289" s="31" t="n">
        <v>2</v>
      </c>
      <c r="L289" s="32"/>
      <c r="M289" s="32"/>
      <c r="N289" s="32"/>
      <c r="O289" s="32"/>
      <c r="P289" s="32"/>
      <c r="Q289" s="32"/>
      <c r="R289" s="32" t="n">
        <f aca="false">($G289*R$1)/$K289</f>
        <v>0.0282399646538668</v>
      </c>
      <c r="S289" s="32" t="n">
        <f aca="false">($G289*S$1)/$K289</f>
        <v>0.0291224635493001</v>
      </c>
      <c r="T289" s="32" t="n">
        <f aca="false">($G289*T$1)/$K289</f>
        <v>0.0300049624447335</v>
      </c>
      <c r="U289" s="32" t="n">
        <f aca="false">($G289*U$1)/$K289</f>
        <v>0.0308874613401668</v>
      </c>
      <c r="V289" s="33" t="n">
        <f aca="false">($H289*V$1)/$K289</f>
        <v>0.0336899272727825</v>
      </c>
      <c r="W289" s="33" t="n">
        <f aca="false">($H289*W$1)/$K289</f>
        <v>0.0346257585859154</v>
      </c>
      <c r="X289" s="33" t="n">
        <f aca="false">($H289*X$1)/$K289</f>
        <v>0.0355615898990483</v>
      </c>
      <c r="Y289" s="33" t="n">
        <f aca="false">($H289*Y$1)/$K289</f>
        <v>0.0364974212121811</v>
      </c>
      <c r="Z289" s="34" t="n">
        <f aca="false">($I289*Z$1)/$K289</f>
        <v>0.0395665492332944</v>
      </c>
      <c r="AA289" s="34" t="n">
        <f aca="false">($I289*AA$1)/$K289</f>
        <v>0.0405557129641268</v>
      </c>
      <c r="AB289" s="34" t="n">
        <f aca="false">($I289*AB$1)/$K289</f>
        <v>0.0415448766949591</v>
      </c>
      <c r="AC289" s="34" t="n">
        <f aca="false">($I289*AC$1)/$K289</f>
        <v>0.0425340404257915</v>
      </c>
      <c r="AD289" s="35" t="n">
        <f aca="false">($J289*AD$1)/$K289</f>
        <v>0.0413820522577369</v>
      </c>
      <c r="AE289" s="35" t="n">
        <f aca="false">($J289*AE$1)/$K289</f>
        <v>0.0423225534454127</v>
      </c>
      <c r="AF289" s="35" t="n">
        <f aca="false">($J289*AF$1)/$K289</f>
        <v>0.0432630546330886</v>
      </c>
      <c r="AG289" s="35" t="n">
        <f aca="false">($J289*AG$1)/$K289</f>
        <v>0.0442035558207644</v>
      </c>
      <c r="AH289" s="35" t="n">
        <f aca="false">($J289*AH$1)/$K289</f>
        <v>0.0451440570084403</v>
      </c>
      <c r="AI289" s="35" t="n">
        <f aca="false">($J289*AI$1)/$K289</f>
        <v>0.0460845581961161</v>
      </c>
      <c r="AJ289" s="35" t="n">
        <f aca="false">($J289*AJ$1)/$K289</f>
        <v>0.0470250593837919</v>
      </c>
      <c r="AK289" s="35" t="n">
        <f aca="false">($J289*AK$1)/$K289</f>
        <v>0.0479655605714678</v>
      </c>
      <c r="AL289" s="35" t="n">
        <f aca="false">($J289*AL$1)/$K289</f>
        <v>0.0489060617591436</v>
      </c>
    </row>
    <row r="290" customFormat="false" ht="15" hidden="false" customHeight="false" outlineLevel="0" collapsed="false">
      <c r="A290" s="5" t="s">
        <v>35</v>
      </c>
      <c r="B290" s="0" t="s">
        <v>370</v>
      </c>
      <c r="C290" s="16" t="s">
        <v>371</v>
      </c>
      <c r="D290" s="45" t="n">
        <v>12</v>
      </c>
      <c r="E290" s="45"/>
      <c r="F290" s="44" t="n">
        <v>0.0470666077564446</v>
      </c>
      <c r="G290" s="44" t="n">
        <v>0.0470666077564446</v>
      </c>
      <c r="H290" s="44" t="n">
        <f aca="false">+(I290+G290)/2</f>
        <v>0.0499110033670852</v>
      </c>
      <c r="I290" s="44" t="n">
        <v>0.0527553989777259</v>
      </c>
      <c r="J290" s="44" t="n">
        <v>0.0501600633427114</v>
      </c>
      <c r="K290" s="31" t="n">
        <v>2</v>
      </c>
      <c r="L290" s="32"/>
      <c r="M290" s="32"/>
      <c r="N290" s="32"/>
      <c r="O290" s="32"/>
      <c r="P290" s="32"/>
      <c r="Q290" s="32"/>
      <c r="R290" s="32" t="n">
        <f aca="false">($G290*R$1)/$K290</f>
        <v>0.0282399646538668</v>
      </c>
      <c r="S290" s="32" t="n">
        <f aca="false">($G290*S$1)/$K290</f>
        <v>0.0291224635493001</v>
      </c>
      <c r="T290" s="32" t="n">
        <f aca="false">($G290*T$1)/$K290</f>
        <v>0.0300049624447335</v>
      </c>
      <c r="U290" s="32" t="n">
        <f aca="false">($G290*U$1)/$K290</f>
        <v>0.0308874613401668</v>
      </c>
      <c r="V290" s="33" t="n">
        <f aca="false">($H290*V$1)/$K290</f>
        <v>0.0336899272727825</v>
      </c>
      <c r="W290" s="33" t="n">
        <f aca="false">($H290*W$1)/$K290</f>
        <v>0.0346257585859154</v>
      </c>
      <c r="X290" s="33" t="n">
        <f aca="false">($H290*X$1)/$K290</f>
        <v>0.0355615898990483</v>
      </c>
      <c r="Y290" s="33" t="n">
        <f aca="false">($H290*Y$1)/$K290</f>
        <v>0.0364974212121811</v>
      </c>
      <c r="Z290" s="34" t="n">
        <f aca="false">($I290*Z$1)/$K290</f>
        <v>0.0395665492332944</v>
      </c>
      <c r="AA290" s="34" t="n">
        <f aca="false">($I290*AA$1)/$K290</f>
        <v>0.0405557129641268</v>
      </c>
      <c r="AB290" s="34" t="n">
        <f aca="false">($I290*AB$1)/$K290</f>
        <v>0.0415448766949591</v>
      </c>
      <c r="AC290" s="34" t="n">
        <f aca="false">($I290*AC$1)/$K290</f>
        <v>0.0425340404257915</v>
      </c>
      <c r="AD290" s="35" t="n">
        <f aca="false">($J290*AD$1)/$K290</f>
        <v>0.0413820522577369</v>
      </c>
      <c r="AE290" s="35" t="n">
        <f aca="false">($J290*AE$1)/$K290</f>
        <v>0.0423225534454127</v>
      </c>
      <c r="AF290" s="35" t="n">
        <f aca="false">($J290*AF$1)/$K290</f>
        <v>0.0432630546330886</v>
      </c>
      <c r="AG290" s="35" t="n">
        <f aca="false">($J290*AG$1)/$K290</f>
        <v>0.0442035558207644</v>
      </c>
      <c r="AH290" s="35" t="n">
        <f aca="false">($J290*AH$1)/$K290</f>
        <v>0.0451440570084403</v>
      </c>
      <c r="AI290" s="35" t="n">
        <f aca="false">($J290*AI$1)/$K290</f>
        <v>0.0460845581961161</v>
      </c>
      <c r="AJ290" s="35" t="n">
        <f aca="false">($J290*AJ$1)/$K290</f>
        <v>0.0470250593837919</v>
      </c>
      <c r="AK290" s="35" t="n">
        <f aca="false">($J290*AK$1)/$K290</f>
        <v>0.0479655605714678</v>
      </c>
      <c r="AL290" s="35" t="n">
        <f aca="false">($J290*AL$1)/$K290</f>
        <v>0.0489060617591436</v>
      </c>
    </row>
    <row r="291" customFormat="false" ht="15" hidden="false" customHeight="false" outlineLevel="0" collapsed="false">
      <c r="A291" s="5" t="s">
        <v>35</v>
      </c>
      <c r="B291" s="0" t="s">
        <v>372</v>
      </c>
      <c r="C291" s="16" t="s">
        <v>373</v>
      </c>
      <c r="D291" s="45" t="n">
        <v>12</v>
      </c>
      <c r="E291" s="45"/>
      <c r="F291" s="44" t="n">
        <v>0.0470666077564446</v>
      </c>
      <c r="G291" s="44" t="n">
        <v>0.0470666077564446</v>
      </c>
      <c r="H291" s="44" t="n">
        <f aca="false">+(I291+G291)/2</f>
        <v>0.0499110033670852</v>
      </c>
      <c r="I291" s="44" t="n">
        <v>0.0527553989777259</v>
      </c>
      <c r="J291" s="44" t="n">
        <v>0.0501600633427114</v>
      </c>
      <c r="K291" s="31" t="n">
        <v>2</v>
      </c>
      <c r="L291" s="32"/>
      <c r="M291" s="32"/>
      <c r="N291" s="32"/>
      <c r="O291" s="32"/>
      <c r="P291" s="32"/>
      <c r="Q291" s="32"/>
      <c r="R291" s="32" t="n">
        <f aca="false">($G291*R$1)/$K291</f>
        <v>0.0282399646538668</v>
      </c>
      <c r="S291" s="32" t="n">
        <f aca="false">($G291*S$1)/$K291</f>
        <v>0.0291224635493001</v>
      </c>
      <c r="T291" s="32" t="n">
        <f aca="false">($G291*T$1)/$K291</f>
        <v>0.0300049624447335</v>
      </c>
      <c r="U291" s="32" t="n">
        <f aca="false">($G291*U$1)/$K291</f>
        <v>0.0308874613401668</v>
      </c>
      <c r="V291" s="33" t="n">
        <f aca="false">($H291*V$1)/$K291</f>
        <v>0.0336899272727825</v>
      </c>
      <c r="W291" s="33" t="n">
        <f aca="false">($H291*W$1)/$K291</f>
        <v>0.0346257585859154</v>
      </c>
      <c r="X291" s="33" t="n">
        <f aca="false">($H291*X$1)/$K291</f>
        <v>0.0355615898990483</v>
      </c>
      <c r="Y291" s="33" t="n">
        <f aca="false">($H291*Y$1)/$K291</f>
        <v>0.0364974212121811</v>
      </c>
      <c r="Z291" s="34" t="n">
        <f aca="false">($I291*Z$1)/$K291</f>
        <v>0.0395665492332944</v>
      </c>
      <c r="AA291" s="34" t="n">
        <f aca="false">($I291*AA$1)/$K291</f>
        <v>0.0405557129641268</v>
      </c>
      <c r="AB291" s="34" t="n">
        <f aca="false">($I291*AB$1)/$K291</f>
        <v>0.0415448766949591</v>
      </c>
      <c r="AC291" s="34" t="n">
        <f aca="false">($I291*AC$1)/$K291</f>
        <v>0.0425340404257915</v>
      </c>
      <c r="AD291" s="35" t="n">
        <f aca="false">($J291*AD$1)/$K291</f>
        <v>0.0413820522577369</v>
      </c>
      <c r="AE291" s="35" t="n">
        <f aca="false">($J291*AE$1)/$K291</f>
        <v>0.0423225534454127</v>
      </c>
      <c r="AF291" s="35" t="n">
        <f aca="false">($J291*AF$1)/$K291</f>
        <v>0.0432630546330886</v>
      </c>
      <c r="AG291" s="35" t="n">
        <f aca="false">($J291*AG$1)/$K291</f>
        <v>0.0442035558207644</v>
      </c>
      <c r="AH291" s="35" t="n">
        <f aca="false">($J291*AH$1)/$K291</f>
        <v>0.0451440570084403</v>
      </c>
      <c r="AI291" s="35" t="n">
        <f aca="false">($J291*AI$1)/$K291</f>
        <v>0.0460845581961161</v>
      </c>
      <c r="AJ291" s="35" t="n">
        <f aca="false">($J291*AJ$1)/$K291</f>
        <v>0.0470250593837919</v>
      </c>
      <c r="AK291" s="35" t="n">
        <f aca="false">($J291*AK$1)/$K291</f>
        <v>0.0479655605714678</v>
      </c>
      <c r="AL291" s="35" t="n">
        <f aca="false">($J291*AL$1)/$K291</f>
        <v>0.0489060617591436</v>
      </c>
    </row>
    <row r="292" customFormat="false" ht="15" hidden="false" customHeight="false" outlineLevel="0" collapsed="false">
      <c r="A292" s="5" t="s">
        <v>35</v>
      </c>
      <c r="B292" s="0" t="s">
        <v>374</v>
      </c>
      <c r="C292" s="16" t="s">
        <v>375</v>
      </c>
      <c r="D292" s="45" t="n">
        <v>12</v>
      </c>
      <c r="E292" s="45"/>
      <c r="F292" s="44" t="n">
        <v>0.0470666077564446</v>
      </c>
      <c r="G292" s="44" t="n">
        <v>0.0470666077564446</v>
      </c>
      <c r="H292" s="44" t="n">
        <f aca="false">+(I292+G292)/2</f>
        <v>0.0499110033670852</v>
      </c>
      <c r="I292" s="44" t="n">
        <v>0.0527553989777259</v>
      </c>
      <c r="J292" s="44" t="n">
        <v>0.0501600633427114</v>
      </c>
      <c r="K292" s="31" t="n">
        <v>2</v>
      </c>
      <c r="L292" s="32"/>
      <c r="M292" s="32"/>
      <c r="N292" s="32"/>
      <c r="O292" s="32"/>
      <c r="P292" s="32"/>
      <c r="Q292" s="32"/>
      <c r="R292" s="32" t="n">
        <f aca="false">($G292*R$1)/$K292</f>
        <v>0.0282399646538668</v>
      </c>
      <c r="S292" s="32" t="n">
        <f aca="false">($G292*S$1)/$K292</f>
        <v>0.0291224635493001</v>
      </c>
      <c r="T292" s="32" t="n">
        <f aca="false">($G292*T$1)/$K292</f>
        <v>0.0300049624447335</v>
      </c>
      <c r="U292" s="32" t="n">
        <f aca="false">($G292*U$1)/$K292</f>
        <v>0.0308874613401668</v>
      </c>
      <c r="V292" s="33" t="n">
        <f aca="false">($H292*V$1)/$K292</f>
        <v>0.0336899272727825</v>
      </c>
      <c r="W292" s="33" t="n">
        <f aca="false">($H292*W$1)/$K292</f>
        <v>0.0346257585859154</v>
      </c>
      <c r="X292" s="33" t="n">
        <f aca="false">($H292*X$1)/$K292</f>
        <v>0.0355615898990483</v>
      </c>
      <c r="Y292" s="33" t="n">
        <f aca="false">($H292*Y$1)/$K292</f>
        <v>0.0364974212121811</v>
      </c>
      <c r="Z292" s="34" t="n">
        <f aca="false">($I292*Z$1)/$K292</f>
        <v>0.0395665492332944</v>
      </c>
      <c r="AA292" s="34" t="n">
        <f aca="false">($I292*AA$1)/$K292</f>
        <v>0.0405557129641268</v>
      </c>
      <c r="AB292" s="34" t="n">
        <f aca="false">($I292*AB$1)/$K292</f>
        <v>0.0415448766949591</v>
      </c>
      <c r="AC292" s="34" t="n">
        <f aca="false">($I292*AC$1)/$K292</f>
        <v>0.0425340404257915</v>
      </c>
      <c r="AD292" s="35" t="n">
        <f aca="false">($J292*AD$1)/$K292</f>
        <v>0.0413820522577369</v>
      </c>
      <c r="AE292" s="35" t="n">
        <f aca="false">($J292*AE$1)/$K292</f>
        <v>0.0423225534454127</v>
      </c>
      <c r="AF292" s="35" t="n">
        <f aca="false">($J292*AF$1)/$K292</f>
        <v>0.0432630546330886</v>
      </c>
      <c r="AG292" s="35" t="n">
        <f aca="false">($J292*AG$1)/$K292</f>
        <v>0.0442035558207644</v>
      </c>
      <c r="AH292" s="35" t="n">
        <f aca="false">($J292*AH$1)/$K292</f>
        <v>0.0451440570084403</v>
      </c>
      <c r="AI292" s="35" t="n">
        <f aca="false">($J292*AI$1)/$K292</f>
        <v>0.0460845581961161</v>
      </c>
      <c r="AJ292" s="35" t="n">
        <f aca="false">($J292*AJ$1)/$K292</f>
        <v>0.0470250593837919</v>
      </c>
      <c r="AK292" s="35" t="n">
        <f aca="false">($J292*AK$1)/$K292</f>
        <v>0.0479655605714678</v>
      </c>
      <c r="AL292" s="35" t="n">
        <f aca="false">($J292*AL$1)/$K292</f>
        <v>0.0489060617591436</v>
      </c>
    </row>
    <row r="293" customFormat="false" ht="15" hidden="false" customHeight="false" outlineLevel="0" collapsed="false">
      <c r="A293" s="5" t="s">
        <v>35</v>
      </c>
      <c r="B293" s="0" t="s">
        <v>376</v>
      </c>
      <c r="C293" s="16" t="s">
        <v>377</v>
      </c>
      <c r="D293" s="45" t="n">
        <v>12</v>
      </c>
      <c r="E293" s="45"/>
      <c r="F293" s="44" t="n">
        <v>0.0470666077564446</v>
      </c>
      <c r="G293" s="44" t="n">
        <v>0.0470666077564446</v>
      </c>
      <c r="H293" s="44" t="n">
        <f aca="false">+(I293+G293)/2</f>
        <v>0.0499110033670852</v>
      </c>
      <c r="I293" s="44" t="n">
        <v>0.0527553989777259</v>
      </c>
      <c r="J293" s="44" t="n">
        <v>0.0501600633427114</v>
      </c>
      <c r="K293" s="31" t="n">
        <v>1</v>
      </c>
      <c r="L293" s="32"/>
      <c r="M293" s="32"/>
      <c r="N293" s="32"/>
      <c r="O293" s="32"/>
      <c r="P293" s="32"/>
      <c r="Q293" s="32"/>
      <c r="R293" s="32" t="n">
        <f aca="false">($G293*R$1)/$K293</f>
        <v>0.0564799293077336</v>
      </c>
      <c r="S293" s="32" t="n">
        <f aca="false">($G293*S$1)/$K293</f>
        <v>0.0582449270986003</v>
      </c>
      <c r="T293" s="32" t="n">
        <f aca="false">($G293*T$1)/$K293</f>
        <v>0.0600099248894669</v>
      </c>
      <c r="U293" s="32" t="n">
        <f aca="false">($G293*U$1)/$K293</f>
        <v>0.0617749226803336</v>
      </c>
      <c r="V293" s="33" t="n">
        <f aca="false">($H293*V$1)/$K293</f>
        <v>0.0673798545455651</v>
      </c>
      <c r="W293" s="33"/>
      <c r="X293" s="33"/>
      <c r="Y293" s="33"/>
      <c r="Z293" s="34"/>
      <c r="AA293" s="34"/>
      <c r="AB293" s="34"/>
      <c r="AC293" s="34"/>
      <c r="AD293" s="35"/>
      <c r="AE293" s="35"/>
      <c r="AF293" s="35"/>
      <c r="AG293" s="35"/>
      <c r="AH293" s="35"/>
      <c r="AI293" s="35"/>
      <c r="AJ293" s="35"/>
      <c r="AK293" s="35"/>
      <c r="AL293" s="35"/>
    </row>
    <row r="294" customFormat="false" ht="15" hidden="false" customHeight="false" outlineLevel="0" collapsed="false">
      <c r="A294" s="5" t="s">
        <v>35</v>
      </c>
      <c r="B294" s="0" t="s">
        <v>378</v>
      </c>
      <c r="C294" s="16" t="s">
        <v>379</v>
      </c>
      <c r="D294" s="45" t="n">
        <v>12</v>
      </c>
      <c r="E294" s="45"/>
      <c r="F294" s="44" t="n">
        <v>0.0470666077564446</v>
      </c>
      <c r="G294" s="44" t="n">
        <v>0.0470666077564446</v>
      </c>
      <c r="H294" s="44" t="n">
        <f aca="false">+(I294+G294)/2</f>
        <v>0.0499110033670852</v>
      </c>
      <c r="I294" s="44" t="n">
        <v>0.0527553989777259</v>
      </c>
      <c r="J294" s="44" t="n">
        <v>0.0501600633427114</v>
      </c>
      <c r="K294" s="31" t="n">
        <v>2</v>
      </c>
      <c r="L294" s="32"/>
      <c r="M294" s="32"/>
      <c r="N294" s="32"/>
      <c r="O294" s="32"/>
      <c r="P294" s="32"/>
      <c r="Q294" s="32"/>
      <c r="R294" s="32" t="n">
        <f aca="false">($G294*R$1)/$K294</f>
        <v>0.0282399646538668</v>
      </c>
      <c r="S294" s="32" t="n">
        <f aca="false">($G294*S$1)/$K294</f>
        <v>0.0291224635493001</v>
      </c>
      <c r="T294" s="32" t="n">
        <f aca="false">($G294*T$1)/$K294</f>
        <v>0.0300049624447335</v>
      </c>
      <c r="U294" s="32" t="n">
        <f aca="false">($G294*U$1)/$K294</f>
        <v>0.0308874613401668</v>
      </c>
      <c r="V294" s="33" t="n">
        <f aca="false">($H294*V$1)/$K294</f>
        <v>0.0336899272727825</v>
      </c>
      <c r="W294" s="33" t="n">
        <f aca="false">($H294*W$1)/$K294</f>
        <v>0.0346257585859154</v>
      </c>
      <c r="X294" s="33" t="n">
        <f aca="false">($H294*X$1)/$K294</f>
        <v>0.0355615898990483</v>
      </c>
      <c r="Y294" s="33" t="n">
        <f aca="false">($H294*Y$1)/$K294</f>
        <v>0.0364974212121811</v>
      </c>
      <c r="Z294" s="34" t="n">
        <f aca="false">($I294*Z$1)/$K294</f>
        <v>0.0395665492332944</v>
      </c>
      <c r="AA294" s="34" t="n">
        <f aca="false">($I294*AA$1)/$K294</f>
        <v>0.0405557129641268</v>
      </c>
      <c r="AB294" s="34" t="n">
        <f aca="false">($I294*AB$1)/$K294</f>
        <v>0.0415448766949591</v>
      </c>
      <c r="AC294" s="34" t="n">
        <f aca="false">($I294*AC$1)/$K294</f>
        <v>0.0425340404257915</v>
      </c>
      <c r="AD294" s="35" t="n">
        <f aca="false">($J294*AD$1)/$K294</f>
        <v>0.0413820522577369</v>
      </c>
      <c r="AE294" s="35" t="n">
        <f aca="false">($J294*AE$1)/$K294</f>
        <v>0.0423225534454127</v>
      </c>
      <c r="AF294" s="35" t="n">
        <f aca="false">($J294*AF$1)/$K294</f>
        <v>0.0432630546330886</v>
      </c>
      <c r="AG294" s="35" t="n">
        <f aca="false">($J294*AG$1)/$K294</f>
        <v>0.0442035558207644</v>
      </c>
      <c r="AH294" s="35" t="n">
        <f aca="false">($J294*AH$1)/$K294</f>
        <v>0.0451440570084403</v>
      </c>
      <c r="AI294" s="35" t="n">
        <f aca="false">($J294*AI$1)/$K294</f>
        <v>0.0460845581961161</v>
      </c>
      <c r="AJ294" s="35" t="n">
        <f aca="false">($J294*AJ$1)/$K294</f>
        <v>0.0470250593837919</v>
      </c>
      <c r="AK294" s="35" t="n">
        <f aca="false">($J294*AK$1)/$K294</f>
        <v>0.0479655605714678</v>
      </c>
      <c r="AL294" s="35" t="n">
        <f aca="false">($J294*AL$1)/$K294</f>
        <v>0.0489060617591436</v>
      </c>
    </row>
    <row r="295" customFormat="false" ht="15" hidden="false" customHeight="false" outlineLevel="0" collapsed="false">
      <c r="A295" s="5" t="s">
        <v>35</v>
      </c>
      <c r="B295" s="0" t="s">
        <v>370</v>
      </c>
      <c r="C295" s="16" t="s">
        <v>371</v>
      </c>
      <c r="D295" s="45" t="n">
        <v>13</v>
      </c>
      <c r="E295" s="45"/>
      <c r="F295" s="44" t="n">
        <v>0.0470666077564446</v>
      </c>
      <c r="G295" s="44" t="n">
        <v>0.0470666077564446</v>
      </c>
      <c r="H295" s="44" t="n">
        <f aca="false">+(I295+G295)/2</f>
        <v>0.0499110033670852</v>
      </c>
      <c r="I295" s="44" t="n">
        <v>0.0527553989777259</v>
      </c>
      <c r="J295" s="44" t="n">
        <v>0.0501600633427114</v>
      </c>
      <c r="K295" s="31" t="n">
        <v>2</v>
      </c>
      <c r="L295" s="32"/>
      <c r="M295" s="32"/>
      <c r="N295" s="32"/>
      <c r="O295" s="32"/>
      <c r="P295" s="32"/>
      <c r="Q295" s="32"/>
      <c r="R295" s="32" t="n">
        <f aca="false">($G295*R$1)/$K295</f>
        <v>0.0282399646538668</v>
      </c>
      <c r="S295" s="32" t="n">
        <f aca="false">($G295*S$1)/$K295</f>
        <v>0.0291224635493001</v>
      </c>
      <c r="T295" s="32" t="n">
        <f aca="false">($G295*T$1)/$K295</f>
        <v>0.0300049624447335</v>
      </c>
      <c r="U295" s="32" t="n">
        <f aca="false">($G295*U$1)/$K295</f>
        <v>0.0308874613401668</v>
      </c>
      <c r="V295" s="33" t="n">
        <f aca="false">($H295*V$1)/$K295</f>
        <v>0.0336899272727825</v>
      </c>
      <c r="W295" s="33" t="n">
        <f aca="false">($H295*W$1)/$K295</f>
        <v>0.0346257585859154</v>
      </c>
      <c r="X295" s="33" t="n">
        <f aca="false">($H295*X$1)/$K295</f>
        <v>0.0355615898990483</v>
      </c>
      <c r="Y295" s="33" t="n">
        <f aca="false">($H295*Y$1)/$K295</f>
        <v>0.0364974212121811</v>
      </c>
      <c r="Z295" s="34" t="n">
        <f aca="false">($I295*Z$1)/$K295</f>
        <v>0.0395665492332944</v>
      </c>
      <c r="AA295" s="34" t="n">
        <f aca="false">($I295*AA$1)/$K295</f>
        <v>0.0405557129641268</v>
      </c>
      <c r="AB295" s="34" t="n">
        <f aca="false">($I295*AB$1)/$K295</f>
        <v>0.0415448766949591</v>
      </c>
      <c r="AC295" s="34" t="n">
        <f aca="false">($I295*AC$1)/$K295</f>
        <v>0.0425340404257915</v>
      </c>
      <c r="AD295" s="35" t="n">
        <f aca="false">($J295*AD$1)/$K295</f>
        <v>0.0413820522577369</v>
      </c>
      <c r="AE295" s="35" t="n">
        <f aca="false">($J295*AE$1)/$K295</f>
        <v>0.0423225534454127</v>
      </c>
      <c r="AF295" s="35" t="n">
        <f aca="false">($J295*AF$1)/$K295</f>
        <v>0.0432630546330886</v>
      </c>
      <c r="AG295" s="35" t="n">
        <f aca="false">($J295*AG$1)/$K295</f>
        <v>0.0442035558207644</v>
      </c>
      <c r="AH295" s="35" t="n">
        <f aca="false">($J295*AH$1)/$K295</f>
        <v>0.0451440570084403</v>
      </c>
      <c r="AI295" s="35" t="n">
        <f aca="false">($J295*AI$1)/$K295</f>
        <v>0.0460845581961161</v>
      </c>
      <c r="AJ295" s="35" t="n">
        <f aca="false">($J295*AJ$1)/$K295</f>
        <v>0.0470250593837919</v>
      </c>
      <c r="AK295" s="35" t="n">
        <f aca="false">($J295*AK$1)/$K295</f>
        <v>0.0479655605714678</v>
      </c>
      <c r="AL295" s="35" t="n">
        <f aca="false">($J295*AL$1)/$K295</f>
        <v>0.0489060617591436</v>
      </c>
    </row>
    <row r="296" customFormat="false" ht="15" hidden="false" customHeight="false" outlineLevel="0" collapsed="false">
      <c r="A296" s="5" t="s">
        <v>35</v>
      </c>
      <c r="B296" s="0" t="s">
        <v>372</v>
      </c>
      <c r="C296" s="16" t="s">
        <v>373</v>
      </c>
      <c r="D296" s="45" t="n">
        <v>13</v>
      </c>
      <c r="E296" s="45"/>
      <c r="F296" s="44" t="n">
        <v>0.0470666077564446</v>
      </c>
      <c r="G296" s="44" t="n">
        <v>0.0470666077564446</v>
      </c>
      <c r="H296" s="44" t="n">
        <f aca="false">+(I296+G296)/2</f>
        <v>0.0499110033670852</v>
      </c>
      <c r="I296" s="44" t="n">
        <v>0.0527553989777259</v>
      </c>
      <c r="J296" s="44" t="n">
        <v>0.0501600633427114</v>
      </c>
      <c r="K296" s="31" t="n">
        <v>2</v>
      </c>
      <c r="L296" s="32"/>
      <c r="M296" s="32"/>
      <c r="N296" s="32"/>
      <c r="O296" s="32"/>
      <c r="P296" s="32"/>
      <c r="Q296" s="32"/>
      <c r="R296" s="32" t="n">
        <f aca="false">($G296*R$1)/$K296</f>
        <v>0.0282399646538668</v>
      </c>
      <c r="S296" s="32" t="n">
        <f aca="false">($G296*S$1)/$K296</f>
        <v>0.0291224635493001</v>
      </c>
      <c r="T296" s="32" t="n">
        <f aca="false">($G296*T$1)/$K296</f>
        <v>0.0300049624447335</v>
      </c>
      <c r="U296" s="32" t="n">
        <f aca="false">($G296*U$1)/$K296</f>
        <v>0.0308874613401668</v>
      </c>
      <c r="V296" s="33" t="n">
        <f aca="false">($H296*V$1)/$K296</f>
        <v>0.0336899272727825</v>
      </c>
      <c r="W296" s="33" t="n">
        <f aca="false">($H296*W$1)/$K296</f>
        <v>0.0346257585859154</v>
      </c>
      <c r="X296" s="33" t="n">
        <f aca="false">($H296*X$1)/$K296</f>
        <v>0.0355615898990483</v>
      </c>
      <c r="Y296" s="33" t="n">
        <f aca="false">($H296*Y$1)/$K296</f>
        <v>0.0364974212121811</v>
      </c>
      <c r="Z296" s="34" t="n">
        <f aca="false">($I296*Z$1)/$K296</f>
        <v>0.0395665492332944</v>
      </c>
      <c r="AA296" s="34" t="n">
        <f aca="false">($I296*AA$1)/$K296</f>
        <v>0.0405557129641268</v>
      </c>
      <c r="AB296" s="34" t="n">
        <f aca="false">($I296*AB$1)/$K296</f>
        <v>0.0415448766949591</v>
      </c>
      <c r="AC296" s="34" t="n">
        <f aca="false">($I296*AC$1)/$K296</f>
        <v>0.0425340404257915</v>
      </c>
      <c r="AD296" s="35" t="n">
        <f aca="false">($J296*AD$1)/$K296</f>
        <v>0.0413820522577369</v>
      </c>
      <c r="AE296" s="35" t="n">
        <f aca="false">($J296*AE$1)/$K296</f>
        <v>0.0423225534454127</v>
      </c>
      <c r="AF296" s="35" t="n">
        <f aca="false">($J296*AF$1)/$K296</f>
        <v>0.0432630546330886</v>
      </c>
      <c r="AG296" s="35" t="n">
        <f aca="false">($J296*AG$1)/$K296</f>
        <v>0.0442035558207644</v>
      </c>
      <c r="AH296" s="35" t="n">
        <f aca="false">($J296*AH$1)/$K296</f>
        <v>0.0451440570084403</v>
      </c>
      <c r="AI296" s="35" t="n">
        <f aca="false">($J296*AI$1)/$K296</f>
        <v>0.0460845581961161</v>
      </c>
      <c r="AJ296" s="35" t="n">
        <f aca="false">($J296*AJ$1)/$K296</f>
        <v>0.0470250593837919</v>
      </c>
      <c r="AK296" s="35" t="n">
        <f aca="false">($J296*AK$1)/$K296</f>
        <v>0.0479655605714678</v>
      </c>
      <c r="AL296" s="35" t="n">
        <f aca="false">($J296*AL$1)/$K296</f>
        <v>0.0489060617591436</v>
      </c>
    </row>
    <row r="297" customFormat="false" ht="15" hidden="false" customHeight="false" outlineLevel="0" collapsed="false">
      <c r="A297" s="5" t="s">
        <v>35</v>
      </c>
      <c r="B297" s="0" t="s">
        <v>374</v>
      </c>
      <c r="C297" s="16" t="s">
        <v>375</v>
      </c>
      <c r="D297" s="45" t="n">
        <v>13</v>
      </c>
      <c r="E297" s="45"/>
      <c r="F297" s="44" t="n">
        <v>0.0470666077564446</v>
      </c>
      <c r="G297" s="44" t="n">
        <v>0.0470666077564446</v>
      </c>
      <c r="H297" s="44" t="n">
        <f aca="false">+(I297+G297)/2</f>
        <v>0.0499110033670852</v>
      </c>
      <c r="I297" s="44" t="n">
        <v>0.0527553989777259</v>
      </c>
      <c r="J297" s="44" t="n">
        <v>0.0501600633427114</v>
      </c>
      <c r="K297" s="31" t="n">
        <v>2</v>
      </c>
      <c r="L297" s="32"/>
      <c r="M297" s="32"/>
      <c r="N297" s="32"/>
      <c r="O297" s="32"/>
      <c r="P297" s="32"/>
      <c r="Q297" s="32"/>
      <c r="R297" s="32" t="n">
        <f aca="false">($G297*R$1)/$K297</f>
        <v>0.0282399646538668</v>
      </c>
      <c r="S297" s="32" t="n">
        <f aca="false">($G297*S$1)/$K297</f>
        <v>0.0291224635493001</v>
      </c>
      <c r="T297" s="32" t="n">
        <f aca="false">($G297*T$1)/$K297</f>
        <v>0.0300049624447335</v>
      </c>
      <c r="U297" s="32" t="n">
        <f aca="false">($G297*U$1)/$K297</f>
        <v>0.0308874613401668</v>
      </c>
      <c r="V297" s="33" t="n">
        <f aca="false">($H297*V$1)/$K297</f>
        <v>0.0336899272727825</v>
      </c>
      <c r="W297" s="33" t="n">
        <f aca="false">($H297*W$1)/$K297</f>
        <v>0.0346257585859154</v>
      </c>
      <c r="X297" s="33" t="n">
        <f aca="false">($H297*X$1)/$K297</f>
        <v>0.0355615898990483</v>
      </c>
      <c r="Y297" s="33" t="n">
        <f aca="false">($H297*Y$1)/$K297</f>
        <v>0.0364974212121811</v>
      </c>
      <c r="Z297" s="34" t="n">
        <f aca="false">($I297*Z$1)/$K297</f>
        <v>0.0395665492332944</v>
      </c>
      <c r="AA297" s="34" t="n">
        <f aca="false">($I297*AA$1)/$K297</f>
        <v>0.0405557129641268</v>
      </c>
      <c r="AB297" s="34" t="n">
        <f aca="false">($I297*AB$1)/$K297</f>
        <v>0.0415448766949591</v>
      </c>
      <c r="AC297" s="34" t="n">
        <f aca="false">($I297*AC$1)/$K297</f>
        <v>0.0425340404257915</v>
      </c>
      <c r="AD297" s="35" t="n">
        <f aca="false">($J297*AD$1)/$K297</f>
        <v>0.0413820522577369</v>
      </c>
      <c r="AE297" s="35" t="n">
        <f aca="false">($J297*AE$1)/$K297</f>
        <v>0.0423225534454127</v>
      </c>
      <c r="AF297" s="35" t="n">
        <f aca="false">($J297*AF$1)/$K297</f>
        <v>0.0432630546330886</v>
      </c>
      <c r="AG297" s="35" t="n">
        <f aca="false">($J297*AG$1)/$K297</f>
        <v>0.0442035558207644</v>
      </c>
      <c r="AH297" s="35" t="n">
        <f aca="false">($J297*AH$1)/$K297</f>
        <v>0.0451440570084403</v>
      </c>
      <c r="AI297" s="35" t="n">
        <f aca="false">($J297*AI$1)/$K297</f>
        <v>0.0460845581961161</v>
      </c>
      <c r="AJ297" s="35" t="n">
        <f aca="false">($J297*AJ$1)/$K297</f>
        <v>0.0470250593837919</v>
      </c>
      <c r="AK297" s="35" t="n">
        <f aca="false">($J297*AK$1)/$K297</f>
        <v>0.0479655605714678</v>
      </c>
      <c r="AL297" s="35" t="n">
        <f aca="false">($J297*AL$1)/$K297</f>
        <v>0.0489060617591436</v>
      </c>
    </row>
    <row r="298" customFormat="false" ht="15" hidden="false" customHeight="false" outlineLevel="0" collapsed="false">
      <c r="A298" s="5" t="s">
        <v>35</v>
      </c>
      <c r="B298" s="0" t="s">
        <v>376</v>
      </c>
      <c r="C298" s="16" t="s">
        <v>377</v>
      </c>
      <c r="D298" s="45" t="n">
        <v>13</v>
      </c>
      <c r="E298" s="45"/>
      <c r="F298" s="44" t="n">
        <v>0.0470666077564446</v>
      </c>
      <c r="G298" s="44" t="n">
        <v>0.0470666077564446</v>
      </c>
      <c r="H298" s="44" t="n">
        <f aca="false">+(I298+G298)/2</f>
        <v>0.0499110033670852</v>
      </c>
      <c r="I298" s="44" t="n">
        <v>0.0527553989777259</v>
      </c>
      <c r="J298" s="44" t="n">
        <v>0.0501600633427114</v>
      </c>
      <c r="K298" s="31" t="n">
        <v>1</v>
      </c>
      <c r="L298" s="32"/>
      <c r="M298" s="32"/>
      <c r="N298" s="32"/>
      <c r="O298" s="32"/>
      <c r="P298" s="32"/>
      <c r="Q298" s="32"/>
      <c r="R298" s="32" t="n">
        <f aca="false">($G298*R$1)/$K298</f>
        <v>0.0564799293077336</v>
      </c>
      <c r="S298" s="32" t="n">
        <f aca="false">($G298*S$1)/$K298</f>
        <v>0.0582449270986003</v>
      </c>
      <c r="T298" s="32" t="n">
        <f aca="false">($G298*T$1)/$K298</f>
        <v>0.0600099248894669</v>
      </c>
      <c r="U298" s="32" t="n">
        <f aca="false">($G298*U$1)/$K298</f>
        <v>0.0617749226803336</v>
      </c>
      <c r="V298" s="33" t="n">
        <f aca="false">($H298*V$1)/$K298</f>
        <v>0.0673798545455651</v>
      </c>
      <c r="W298" s="33"/>
      <c r="X298" s="33"/>
      <c r="Y298" s="33"/>
      <c r="Z298" s="34"/>
      <c r="AA298" s="34"/>
      <c r="AB298" s="34"/>
      <c r="AC298" s="34"/>
      <c r="AD298" s="35"/>
      <c r="AE298" s="35"/>
      <c r="AF298" s="35"/>
      <c r="AG298" s="35"/>
      <c r="AH298" s="35"/>
      <c r="AI298" s="35"/>
      <c r="AJ298" s="35"/>
      <c r="AK298" s="35"/>
      <c r="AL298" s="35"/>
    </row>
    <row r="299" customFormat="false" ht="15" hidden="false" customHeight="false" outlineLevel="0" collapsed="false">
      <c r="A299" s="5" t="s">
        <v>35</v>
      </c>
      <c r="B299" s="0" t="s">
        <v>378</v>
      </c>
      <c r="C299" s="16" t="s">
        <v>379</v>
      </c>
      <c r="D299" s="45" t="n">
        <v>13</v>
      </c>
      <c r="E299" s="45"/>
      <c r="F299" s="44" t="n">
        <v>0.0470666077564446</v>
      </c>
      <c r="G299" s="44" t="n">
        <v>0.0470666077564446</v>
      </c>
      <c r="H299" s="44" t="n">
        <f aca="false">+(I299+G299)/2</f>
        <v>0.0499110033670852</v>
      </c>
      <c r="I299" s="44" t="n">
        <v>0.0527553989777259</v>
      </c>
      <c r="J299" s="44" t="n">
        <v>0.0501600633427114</v>
      </c>
      <c r="K299" s="31" t="n">
        <v>2</v>
      </c>
      <c r="L299" s="32"/>
      <c r="M299" s="32"/>
      <c r="N299" s="32"/>
      <c r="O299" s="32"/>
      <c r="P299" s="32"/>
      <c r="Q299" s="32"/>
      <c r="R299" s="32" t="n">
        <f aca="false">($G299*R$1)/$K299</f>
        <v>0.0282399646538668</v>
      </c>
      <c r="S299" s="32" t="n">
        <f aca="false">($G299*S$1)/$K299</f>
        <v>0.0291224635493001</v>
      </c>
      <c r="T299" s="32" t="n">
        <f aca="false">($G299*T$1)/$K299</f>
        <v>0.0300049624447335</v>
      </c>
      <c r="U299" s="32" t="n">
        <f aca="false">($G299*U$1)/$K299</f>
        <v>0.0308874613401668</v>
      </c>
      <c r="V299" s="33" t="n">
        <f aca="false">($H299*V$1)/$K299</f>
        <v>0.0336899272727825</v>
      </c>
      <c r="W299" s="33" t="n">
        <f aca="false">($H299*W$1)/$K299</f>
        <v>0.0346257585859154</v>
      </c>
      <c r="X299" s="33" t="n">
        <f aca="false">($H299*X$1)/$K299</f>
        <v>0.0355615898990483</v>
      </c>
      <c r="Y299" s="33" t="n">
        <f aca="false">($H299*Y$1)/$K299</f>
        <v>0.0364974212121811</v>
      </c>
      <c r="Z299" s="34" t="n">
        <f aca="false">($I299*Z$1)/$K299</f>
        <v>0.0395665492332944</v>
      </c>
      <c r="AA299" s="34" t="n">
        <f aca="false">($I299*AA$1)/$K299</f>
        <v>0.0405557129641268</v>
      </c>
      <c r="AB299" s="34" t="n">
        <f aca="false">($I299*AB$1)/$K299</f>
        <v>0.0415448766949591</v>
      </c>
      <c r="AC299" s="34" t="n">
        <f aca="false">($I299*AC$1)/$K299</f>
        <v>0.0425340404257915</v>
      </c>
      <c r="AD299" s="35" t="n">
        <f aca="false">($J299*AD$1)/$K299</f>
        <v>0.0413820522577369</v>
      </c>
      <c r="AE299" s="35" t="n">
        <f aca="false">($J299*AE$1)/$K299</f>
        <v>0.0423225534454127</v>
      </c>
      <c r="AF299" s="35" t="n">
        <f aca="false">($J299*AF$1)/$K299</f>
        <v>0.0432630546330886</v>
      </c>
      <c r="AG299" s="35" t="n">
        <f aca="false">($J299*AG$1)/$K299</f>
        <v>0.0442035558207644</v>
      </c>
      <c r="AH299" s="35" t="n">
        <f aca="false">($J299*AH$1)/$K299</f>
        <v>0.0451440570084403</v>
      </c>
      <c r="AI299" s="35" t="n">
        <f aca="false">($J299*AI$1)/$K299</f>
        <v>0.0460845581961161</v>
      </c>
      <c r="AJ299" s="35" t="n">
        <f aca="false">($J299*AJ$1)/$K299</f>
        <v>0.0470250593837919</v>
      </c>
      <c r="AK299" s="35" t="n">
        <f aca="false">($J299*AK$1)/$K299</f>
        <v>0.0479655605714678</v>
      </c>
      <c r="AL299" s="35" t="n">
        <f aca="false">($J299*AL$1)/$K299</f>
        <v>0.0489060617591436</v>
      </c>
    </row>
    <row r="300" customFormat="false" ht="15" hidden="false" customHeight="false" outlineLevel="0" collapsed="false">
      <c r="A300" s="5" t="s">
        <v>35</v>
      </c>
      <c r="B300" s="0" t="s">
        <v>370</v>
      </c>
      <c r="C300" s="16" t="s">
        <v>371</v>
      </c>
      <c r="D300" s="45" t="n">
        <v>14</v>
      </c>
      <c r="E300" s="45"/>
      <c r="F300" s="44" t="n">
        <v>0.0470666077564446</v>
      </c>
      <c r="G300" s="44" t="n">
        <v>0.0470666077564446</v>
      </c>
      <c r="H300" s="44" t="n">
        <f aca="false">+(I300+G300)/2</f>
        <v>0.0499110033670852</v>
      </c>
      <c r="I300" s="44" t="n">
        <v>0.0527553989777259</v>
      </c>
      <c r="J300" s="44" t="n">
        <v>0.0501600633427114</v>
      </c>
      <c r="K300" s="31" t="n">
        <v>2</v>
      </c>
      <c r="L300" s="32"/>
      <c r="M300" s="32"/>
      <c r="N300" s="32"/>
      <c r="O300" s="32"/>
      <c r="P300" s="32"/>
      <c r="Q300" s="32"/>
      <c r="R300" s="32" t="n">
        <f aca="false">($G300*R$1)/$K300</f>
        <v>0.0282399646538668</v>
      </c>
      <c r="S300" s="32" t="n">
        <f aca="false">($G300*S$1)/$K300</f>
        <v>0.0291224635493001</v>
      </c>
      <c r="T300" s="32" t="n">
        <f aca="false">($G300*T$1)/$K300</f>
        <v>0.0300049624447335</v>
      </c>
      <c r="U300" s="32" t="n">
        <f aca="false">($G300*U$1)/$K300</f>
        <v>0.0308874613401668</v>
      </c>
      <c r="V300" s="33" t="n">
        <f aca="false">($H300*V$1)/$K300</f>
        <v>0.0336899272727825</v>
      </c>
      <c r="W300" s="33" t="n">
        <f aca="false">($H300*W$1)/$K300</f>
        <v>0.0346257585859154</v>
      </c>
      <c r="X300" s="33" t="n">
        <f aca="false">($H300*X$1)/$K300</f>
        <v>0.0355615898990483</v>
      </c>
      <c r="Y300" s="33" t="n">
        <f aca="false">($H300*Y$1)/$K300</f>
        <v>0.0364974212121811</v>
      </c>
      <c r="Z300" s="34" t="n">
        <f aca="false">($I300*Z$1)/$K300</f>
        <v>0.0395665492332944</v>
      </c>
      <c r="AA300" s="34" t="n">
        <f aca="false">($I300*AA$1)/$K300</f>
        <v>0.0405557129641268</v>
      </c>
      <c r="AB300" s="34" t="n">
        <f aca="false">($I300*AB$1)/$K300</f>
        <v>0.0415448766949591</v>
      </c>
      <c r="AC300" s="34" t="n">
        <f aca="false">($I300*AC$1)/$K300</f>
        <v>0.0425340404257915</v>
      </c>
      <c r="AD300" s="35" t="n">
        <f aca="false">($J300*AD$1)/$K300</f>
        <v>0.0413820522577369</v>
      </c>
      <c r="AE300" s="35" t="n">
        <f aca="false">($J300*AE$1)/$K300</f>
        <v>0.0423225534454127</v>
      </c>
      <c r="AF300" s="35" t="n">
        <f aca="false">($J300*AF$1)/$K300</f>
        <v>0.0432630546330886</v>
      </c>
      <c r="AG300" s="35" t="n">
        <f aca="false">($J300*AG$1)/$K300</f>
        <v>0.0442035558207644</v>
      </c>
      <c r="AH300" s="35" t="n">
        <f aca="false">($J300*AH$1)/$K300</f>
        <v>0.0451440570084403</v>
      </c>
      <c r="AI300" s="35" t="n">
        <f aca="false">($J300*AI$1)/$K300</f>
        <v>0.0460845581961161</v>
      </c>
      <c r="AJ300" s="35" t="n">
        <f aca="false">($J300*AJ$1)/$K300</f>
        <v>0.0470250593837919</v>
      </c>
      <c r="AK300" s="35" t="n">
        <f aca="false">($J300*AK$1)/$K300</f>
        <v>0.0479655605714678</v>
      </c>
      <c r="AL300" s="35" t="n">
        <f aca="false">($J300*AL$1)/$K300</f>
        <v>0.0489060617591436</v>
      </c>
    </row>
    <row r="301" customFormat="false" ht="15" hidden="false" customHeight="false" outlineLevel="0" collapsed="false">
      <c r="A301" s="5" t="s">
        <v>35</v>
      </c>
      <c r="B301" s="0" t="s">
        <v>372</v>
      </c>
      <c r="C301" s="16" t="s">
        <v>373</v>
      </c>
      <c r="D301" s="45" t="n">
        <v>14</v>
      </c>
      <c r="E301" s="45"/>
      <c r="F301" s="44" t="n">
        <v>0.0470666077564446</v>
      </c>
      <c r="G301" s="44" t="n">
        <v>0.0470666077564446</v>
      </c>
      <c r="H301" s="44" t="n">
        <f aca="false">+(I301+G301)/2</f>
        <v>0.0499110033670852</v>
      </c>
      <c r="I301" s="44" t="n">
        <v>0.0527553989777259</v>
      </c>
      <c r="J301" s="44" t="n">
        <v>0.0501600633427114</v>
      </c>
      <c r="K301" s="31" t="n">
        <v>2</v>
      </c>
      <c r="L301" s="32"/>
      <c r="M301" s="32"/>
      <c r="N301" s="32"/>
      <c r="O301" s="32"/>
      <c r="P301" s="32"/>
      <c r="Q301" s="32"/>
      <c r="R301" s="32" t="n">
        <f aca="false">($G301*R$1)/$K301</f>
        <v>0.0282399646538668</v>
      </c>
      <c r="S301" s="32" t="n">
        <f aca="false">($G301*S$1)/$K301</f>
        <v>0.0291224635493001</v>
      </c>
      <c r="T301" s="32" t="n">
        <f aca="false">($G301*T$1)/$K301</f>
        <v>0.0300049624447335</v>
      </c>
      <c r="U301" s="32" t="n">
        <f aca="false">($G301*U$1)/$K301</f>
        <v>0.0308874613401668</v>
      </c>
      <c r="V301" s="33" t="n">
        <f aca="false">($H301*V$1)/$K301</f>
        <v>0.0336899272727825</v>
      </c>
      <c r="W301" s="33" t="n">
        <f aca="false">($H301*W$1)/$K301</f>
        <v>0.0346257585859154</v>
      </c>
      <c r="X301" s="33" t="n">
        <f aca="false">($H301*X$1)/$K301</f>
        <v>0.0355615898990483</v>
      </c>
      <c r="Y301" s="33" t="n">
        <f aca="false">($H301*Y$1)/$K301</f>
        <v>0.0364974212121811</v>
      </c>
      <c r="Z301" s="34" t="n">
        <f aca="false">($I301*Z$1)/$K301</f>
        <v>0.0395665492332944</v>
      </c>
      <c r="AA301" s="34" t="n">
        <f aca="false">($I301*AA$1)/$K301</f>
        <v>0.0405557129641268</v>
      </c>
      <c r="AB301" s="34" t="n">
        <f aca="false">($I301*AB$1)/$K301</f>
        <v>0.0415448766949591</v>
      </c>
      <c r="AC301" s="34" t="n">
        <f aca="false">($I301*AC$1)/$K301</f>
        <v>0.0425340404257915</v>
      </c>
      <c r="AD301" s="35" t="n">
        <f aca="false">($J301*AD$1)/$K301</f>
        <v>0.0413820522577369</v>
      </c>
      <c r="AE301" s="35" t="n">
        <f aca="false">($J301*AE$1)/$K301</f>
        <v>0.0423225534454127</v>
      </c>
      <c r="AF301" s="35" t="n">
        <f aca="false">($J301*AF$1)/$K301</f>
        <v>0.0432630546330886</v>
      </c>
      <c r="AG301" s="35" t="n">
        <f aca="false">($J301*AG$1)/$K301</f>
        <v>0.0442035558207644</v>
      </c>
      <c r="AH301" s="35" t="n">
        <f aca="false">($J301*AH$1)/$K301</f>
        <v>0.0451440570084403</v>
      </c>
      <c r="AI301" s="35" t="n">
        <f aca="false">($J301*AI$1)/$K301</f>
        <v>0.0460845581961161</v>
      </c>
      <c r="AJ301" s="35" t="n">
        <f aca="false">($J301*AJ$1)/$K301</f>
        <v>0.0470250593837919</v>
      </c>
      <c r="AK301" s="35" t="n">
        <f aca="false">($J301*AK$1)/$K301</f>
        <v>0.0479655605714678</v>
      </c>
      <c r="AL301" s="35" t="n">
        <f aca="false">($J301*AL$1)/$K301</f>
        <v>0.0489060617591436</v>
      </c>
    </row>
    <row r="302" customFormat="false" ht="15" hidden="false" customHeight="false" outlineLevel="0" collapsed="false">
      <c r="A302" s="5" t="s">
        <v>35</v>
      </c>
      <c r="B302" s="0" t="s">
        <v>374</v>
      </c>
      <c r="C302" s="16" t="s">
        <v>375</v>
      </c>
      <c r="D302" s="45" t="n">
        <v>14</v>
      </c>
      <c r="E302" s="45"/>
      <c r="F302" s="44" t="n">
        <v>0.0470666077564446</v>
      </c>
      <c r="G302" s="44" t="n">
        <v>0.0470666077564446</v>
      </c>
      <c r="H302" s="44" t="n">
        <f aca="false">+(I302+G302)/2</f>
        <v>0.0499110033670852</v>
      </c>
      <c r="I302" s="44" t="n">
        <v>0.0527553989777259</v>
      </c>
      <c r="J302" s="44" t="n">
        <v>0.0501600633427114</v>
      </c>
      <c r="K302" s="31" t="n">
        <v>2</v>
      </c>
      <c r="L302" s="32"/>
      <c r="M302" s="32"/>
      <c r="N302" s="32"/>
      <c r="O302" s="32"/>
      <c r="P302" s="32"/>
      <c r="Q302" s="32"/>
      <c r="R302" s="32" t="n">
        <f aca="false">($G302*R$1)/$K302</f>
        <v>0.0282399646538668</v>
      </c>
      <c r="S302" s="32" t="n">
        <f aca="false">($G302*S$1)/$K302</f>
        <v>0.0291224635493001</v>
      </c>
      <c r="T302" s="32" t="n">
        <f aca="false">($G302*T$1)/$K302</f>
        <v>0.0300049624447335</v>
      </c>
      <c r="U302" s="32" t="n">
        <f aca="false">($G302*U$1)/$K302</f>
        <v>0.0308874613401668</v>
      </c>
      <c r="V302" s="33" t="n">
        <f aca="false">($H302*V$1)/$K302</f>
        <v>0.0336899272727825</v>
      </c>
      <c r="W302" s="33" t="n">
        <f aca="false">($H302*W$1)/$K302</f>
        <v>0.0346257585859154</v>
      </c>
      <c r="X302" s="33" t="n">
        <f aca="false">($H302*X$1)/$K302</f>
        <v>0.0355615898990483</v>
      </c>
      <c r="Y302" s="33" t="n">
        <f aca="false">($H302*Y$1)/$K302</f>
        <v>0.0364974212121811</v>
      </c>
      <c r="Z302" s="34" t="n">
        <f aca="false">($I302*Z$1)/$K302</f>
        <v>0.0395665492332944</v>
      </c>
      <c r="AA302" s="34" t="n">
        <f aca="false">($I302*AA$1)/$K302</f>
        <v>0.0405557129641268</v>
      </c>
      <c r="AB302" s="34" t="n">
        <f aca="false">($I302*AB$1)/$K302</f>
        <v>0.0415448766949591</v>
      </c>
      <c r="AC302" s="34" t="n">
        <f aca="false">($I302*AC$1)/$K302</f>
        <v>0.0425340404257915</v>
      </c>
      <c r="AD302" s="35" t="n">
        <f aca="false">($J302*AD$1)/$K302</f>
        <v>0.0413820522577369</v>
      </c>
      <c r="AE302" s="35" t="n">
        <f aca="false">($J302*AE$1)/$K302</f>
        <v>0.0423225534454127</v>
      </c>
      <c r="AF302" s="35" t="n">
        <f aca="false">($J302*AF$1)/$K302</f>
        <v>0.0432630546330886</v>
      </c>
      <c r="AG302" s="35" t="n">
        <f aca="false">($J302*AG$1)/$K302</f>
        <v>0.0442035558207644</v>
      </c>
      <c r="AH302" s="35" t="n">
        <f aca="false">($J302*AH$1)/$K302</f>
        <v>0.0451440570084403</v>
      </c>
      <c r="AI302" s="35" t="n">
        <f aca="false">($J302*AI$1)/$K302</f>
        <v>0.0460845581961161</v>
      </c>
      <c r="AJ302" s="35" t="n">
        <f aca="false">($J302*AJ$1)/$K302</f>
        <v>0.0470250593837919</v>
      </c>
      <c r="AK302" s="35" t="n">
        <f aca="false">($J302*AK$1)/$K302</f>
        <v>0.0479655605714678</v>
      </c>
      <c r="AL302" s="35" t="n">
        <f aca="false">($J302*AL$1)/$K302</f>
        <v>0.0489060617591436</v>
      </c>
    </row>
    <row r="303" customFormat="false" ht="15" hidden="false" customHeight="false" outlineLevel="0" collapsed="false">
      <c r="A303" s="5" t="s">
        <v>35</v>
      </c>
      <c r="B303" s="0" t="s">
        <v>376</v>
      </c>
      <c r="C303" s="16" t="s">
        <v>377</v>
      </c>
      <c r="D303" s="45" t="n">
        <v>14</v>
      </c>
      <c r="E303" s="45"/>
      <c r="F303" s="44" t="n">
        <v>0.0470666077564446</v>
      </c>
      <c r="G303" s="44" t="n">
        <v>0.0470666077564446</v>
      </c>
      <c r="H303" s="44" t="n">
        <f aca="false">+(I303+G303)/2</f>
        <v>0.0499110033670852</v>
      </c>
      <c r="I303" s="44" t="n">
        <v>0.0527553989777259</v>
      </c>
      <c r="J303" s="44" t="n">
        <v>0.0501600633427114</v>
      </c>
      <c r="K303" s="31" t="n">
        <v>1</v>
      </c>
      <c r="L303" s="32"/>
      <c r="M303" s="32"/>
      <c r="N303" s="32"/>
      <c r="O303" s="32"/>
      <c r="P303" s="32"/>
      <c r="Q303" s="32"/>
      <c r="R303" s="32" t="n">
        <f aca="false">($G303*R$1)/$K303</f>
        <v>0.0564799293077336</v>
      </c>
      <c r="S303" s="32" t="n">
        <f aca="false">($G303*S$1)/$K303</f>
        <v>0.0582449270986003</v>
      </c>
      <c r="T303" s="32" t="n">
        <f aca="false">($G303*T$1)/$K303</f>
        <v>0.0600099248894669</v>
      </c>
      <c r="U303" s="32" t="n">
        <f aca="false">($G303*U$1)/$K303</f>
        <v>0.0617749226803336</v>
      </c>
      <c r="V303" s="33" t="n">
        <f aca="false">($H303*V$1)/$K303</f>
        <v>0.0673798545455651</v>
      </c>
      <c r="W303" s="33"/>
      <c r="X303" s="33"/>
      <c r="Y303" s="33"/>
      <c r="Z303" s="34"/>
      <c r="AA303" s="34"/>
      <c r="AB303" s="34"/>
      <c r="AC303" s="34"/>
      <c r="AD303" s="35"/>
      <c r="AE303" s="35"/>
      <c r="AF303" s="35"/>
      <c r="AG303" s="35"/>
      <c r="AH303" s="35"/>
      <c r="AI303" s="35"/>
      <c r="AJ303" s="35"/>
      <c r="AK303" s="35"/>
      <c r="AL303" s="35"/>
    </row>
    <row r="304" customFormat="false" ht="15" hidden="false" customHeight="false" outlineLevel="0" collapsed="false">
      <c r="A304" s="5" t="s">
        <v>35</v>
      </c>
      <c r="B304" s="0" t="s">
        <v>378</v>
      </c>
      <c r="C304" s="16" t="s">
        <v>379</v>
      </c>
      <c r="D304" s="45" t="n">
        <v>14</v>
      </c>
      <c r="E304" s="45"/>
      <c r="F304" s="44" t="n">
        <v>0.0470666077564446</v>
      </c>
      <c r="G304" s="44" t="n">
        <v>0.0470666077564446</v>
      </c>
      <c r="H304" s="44" t="n">
        <f aca="false">+(I304+G304)/2</f>
        <v>0.0499110033670852</v>
      </c>
      <c r="I304" s="44" t="n">
        <v>0.0527553989777259</v>
      </c>
      <c r="J304" s="44" t="n">
        <v>0.0501600633427114</v>
      </c>
      <c r="K304" s="31" t="n">
        <v>2</v>
      </c>
      <c r="L304" s="32"/>
      <c r="M304" s="32"/>
      <c r="N304" s="32"/>
      <c r="O304" s="32"/>
      <c r="P304" s="32"/>
      <c r="Q304" s="32"/>
      <c r="R304" s="32" t="n">
        <f aca="false">($G304*R$1)/$K304</f>
        <v>0.0282399646538668</v>
      </c>
      <c r="S304" s="32" t="n">
        <f aca="false">($G304*S$1)/$K304</f>
        <v>0.0291224635493001</v>
      </c>
      <c r="T304" s="32" t="n">
        <f aca="false">($G304*T$1)/$K304</f>
        <v>0.0300049624447335</v>
      </c>
      <c r="U304" s="32" t="n">
        <f aca="false">($G304*U$1)/$K304</f>
        <v>0.0308874613401668</v>
      </c>
      <c r="V304" s="33" t="n">
        <f aca="false">($H304*V$1)/$K304</f>
        <v>0.0336899272727825</v>
      </c>
      <c r="W304" s="33" t="n">
        <f aca="false">($H304*W$1)/$K304</f>
        <v>0.0346257585859154</v>
      </c>
      <c r="X304" s="33" t="n">
        <f aca="false">($H304*X$1)/$K304</f>
        <v>0.0355615898990483</v>
      </c>
      <c r="Y304" s="33" t="n">
        <f aca="false">($H304*Y$1)/$K304</f>
        <v>0.0364974212121811</v>
      </c>
      <c r="Z304" s="34" t="n">
        <f aca="false">($I304*Z$1)/$K304</f>
        <v>0.0395665492332944</v>
      </c>
      <c r="AA304" s="34" t="n">
        <f aca="false">($I304*AA$1)/$K304</f>
        <v>0.0405557129641268</v>
      </c>
      <c r="AB304" s="34" t="n">
        <f aca="false">($I304*AB$1)/$K304</f>
        <v>0.0415448766949591</v>
      </c>
      <c r="AC304" s="34" t="n">
        <f aca="false">($I304*AC$1)/$K304</f>
        <v>0.0425340404257915</v>
      </c>
      <c r="AD304" s="35" t="n">
        <f aca="false">($J304*AD$1)/$K304</f>
        <v>0.0413820522577369</v>
      </c>
      <c r="AE304" s="35" t="n">
        <f aca="false">($J304*AE$1)/$K304</f>
        <v>0.0423225534454127</v>
      </c>
      <c r="AF304" s="35" t="n">
        <f aca="false">($J304*AF$1)/$K304</f>
        <v>0.0432630546330886</v>
      </c>
      <c r="AG304" s="35" t="n">
        <f aca="false">($J304*AG$1)/$K304</f>
        <v>0.0442035558207644</v>
      </c>
      <c r="AH304" s="35" t="n">
        <f aca="false">($J304*AH$1)/$K304</f>
        <v>0.0451440570084403</v>
      </c>
      <c r="AI304" s="35" t="n">
        <f aca="false">($J304*AI$1)/$K304</f>
        <v>0.0460845581961161</v>
      </c>
      <c r="AJ304" s="35" t="n">
        <f aca="false">($J304*AJ$1)/$K304</f>
        <v>0.0470250593837919</v>
      </c>
      <c r="AK304" s="35" t="n">
        <f aca="false">($J304*AK$1)/$K304</f>
        <v>0.0479655605714678</v>
      </c>
      <c r="AL304" s="35" t="n">
        <f aca="false">($J304*AL$1)/$K304</f>
        <v>0.0489060617591436</v>
      </c>
    </row>
    <row r="305" customFormat="false" ht="15" hidden="false" customHeight="false" outlineLevel="0" collapsed="false">
      <c r="A305" s="5" t="s">
        <v>35</v>
      </c>
      <c r="B305" s="0" t="s">
        <v>370</v>
      </c>
      <c r="C305" s="16" t="s">
        <v>371</v>
      </c>
      <c r="D305" s="45" t="n">
        <v>15</v>
      </c>
      <c r="E305" s="45"/>
      <c r="F305" s="44" t="n">
        <v>0.0470666077564446</v>
      </c>
      <c r="G305" s="44" t="n">
        <v>0.0470666077564446</v>
      </c>
      <c r="H305" s="44" t="n">
        <f aca="false">+(I305+G305)/2</f>
        <v>0.0499110033670852</v>
      </c>
      <c r="I305" s="44" t="n">
        <v>0.0527553989777259</v>
      </c>
      <c r="J305" s="44" t="n">
        <v>0.0501600633427114</v>
      </c>
      <c r="K305" s="31" t="n">
        <v>2</v>
      </c>
      <c r="L305" s="32"/>
      <c r="M305" s="32"/>
      <c r="N305" s="32"/>
      <c r="O305" s="32"/>
      <c r="P305" s="32"/>
      <c r="Q305" s="32"/>
      <c r="R305" s="32" t="n">
        <f aca="false">($G305*R$1)/$K305</f>
        <v>0.0282399646538668</v>
      </c>
      <c r="S305" s="32" t="n">
        <f aca="false">($G305*S$1)/$K305</f>
        <v>0.0291224635493001</v>
      </c>
      <c r="T305" s="32" t="n">
        <f aca="false">($G305*T$1)/$K305</f>
        <v>0.0300049624447335</v>
      </c>
      <c r="U305" s="32" t="n">
        <f aca="false">($G305*U$1)/$K305</f>
        <v>0.0308874613401668</v>
      </c>
      <c r="V305" s="33" t="n">
        <f aca="false">($H305*V$1)/$K305</f>
        <v>0.0336899272727825</v>
      </c>
      <c r="W305" s="33" t="n">
        <f aca="false">($H305*W$1)/$K305</f>
        <v>0.0346257585859154</v>
      </c>
      <c r="X305" s="33" t="n">
        <f aca="false">($H305*X$1)/$K305</f>
        <v>0.0355615898990483</v>
      </c>
      <c r="Y305" s="33" t="n">
        <f aca="false">($H305*Y$1)/$K305</f>
        <v>0.0364974212121811</v>
      </c>
      <c r="Z305" s="34" t="n">
        <f aca="false">($I305*Z$1)/$K305</f>
        <v>0.0395665492332944</v>
      </c>
      <c r="AA305" s="34" t="n">
        <f aca="false">($I305*AA$1)/$K305</f>
        <v>0.0405557129641268</v>
      </c>
      <c r="AB305" s="34" t="n">
        <f aca="false">($I305*AB$1)/$K305</f>
        <v>0.0415448766949591</v>
      </c>
      <c r="AC305" s="34" t="n">
        <f aca="false">($I305*AC$1)/$K305</f>
        <v>0.0425340404257915</v>
      </c>
      <c r="AD305" s="35" t="n">
        <f aca="false">($J305*AD$1)/$K305</f>
        <v>0.0413820522577369</v>
      </c>
      <c r="AE305" s="35" t="n">
        <f aca="false">($J305*AE$1)/$K305</f>
        <v>0.0423225534454127</v>
      </c>
      <c r="AF305" s="35" t="n">
        <f aca="false">($J305*AF$1)/$K305</f>
        <v>0.0432630546330886</v>
      </c>
      <c r="AG305" s="35" t="n">
        <f aca="false">($J305*AG$1)/$K305</f>
        <v>0.0442035558207644</v>
      </c>
      <c r="AH305" s="35" t="n">
        <f aca="false">($J305*AH$1)/$K305</f>
        <v>0.0451440570084403</v>
      </c>
      <c r="AI305" s="35" t="n">
        <f aca="false">($J305*AI$1)/$K305</f>
        <v>0.0460845581961161</v>
      </c>
      <c r="AJ305" s="35" t="n">
        <f aca="false">($J305*AJ$1)/$K305</f>
        <v>0.0470250593837919</v>
      </c>
      <c r="AK305" s="35" t="n">
        <f aca="false">($J305*AK$1)/$K305</f>
        <v>0.0479655605714678</v>
      </c>
      <c r="AL305" s="35" t="n">
        <f aca="false">($J305*AL$1)/$K305</f>
        <v>0.0489060617591436</v>
      </c>
    </row>
    <row r="306" customFormat="false" ht="15" hidden="false" customHeight="false" outlineLevel="0" collapsed="false">
      <c r="A306" s="5" t="s">
        <v>35</v>
      </c>
      <c r="B306" s="0" t="s">
        <v>372</v>
      </c>
      <c r="C306" s="16" t="s">
        <v>373</v>
      </c>
      <c r="D306" s="45" t="n">
        <v>15</v>
      </c>
      <c r="E306" s="45"/>
      <c r="F306" s="44" t="n">
        <v>0.0470666077564446</v>
      </c>
      <c r="G306" s="44" t="n">
        <v>0.0470666077564446</v>
      </c>
      <c r="H306" s="44" t="n">
        <f aca="false">+(I306+G306)/2</f>
        <v>0.0499110033670852</v>
      </c>
      <c r="I306" s="44" t="n">
        <v>0.0527553989777259</v>
      </c>
      <c r="J306" s="44" t="n">
        <v>0.0501600633427114</v>
      </c>
      <c r="K306" s="31" t="n">
        <v>2</v>
      </c>
      <c r="L306" s="32"/>
      <c r="M306" s="32"/>
      <c r="N306" s="32"/>
      <c r="O306" s="32"/>
      <c r="P306" s="32"/>
      <c r="Q306" s="32"/>
      <c r="R306" s="32" t="n">
        <f aca="false">($G306*R$1)/$K306</f>
        <v>0.0282399646538668</v>
      </c>
      <c r="S306" s="32" t="n">
        <f aca="false">($G306*S$1)/$K306</f>
        <v>0.0291224635493001</v>
      </c>
      <c r="T306" s="32" t="n">
        <f aca="false">($G306*T$1)/$K306</f>
        <v>0.0300049624447335</v>
      </c>
      <c r="U306" s="32" t="n">
        <f aca="false">($G306*U$1)/$K306</f>
        <v>0.0308874613401668</v>
      </c>
      <c r="V306" s="33" t="n">
        <f aca="false">($H306*V$1)/$K306</f>
        <v>0.0336899272727825</v>
      </c>
      <c r="W306" s="33" t="n">
        <f aca="false">($H306*W$1)/$K306</f>
        <v>0.0346257585859154</v>
      </c>
      <c r="X306" s="33" t="n">
        <f aca="false">($H306*X$1)/$K306</f>
        <v>0.0355615898990483</v>
      </c>
      <c r="Y306" s="33" t="n">
        <f aca="false">($H306*Y$1)/$K306</f>
        <v>0.0364974212121811</v>
      </c>
      <c r="Z306" s="34" t="n">
        <f aca="false">($I306*Z$1)/$K306</f>
        <v>0.0395665492332944</v>
      </c>
      <c r="AA306" s="34" t="n">
        <f aca="false">($I306*AA$1)/$K306</f>
        <v>0.0405557129641268</v>
      </c>
      <c r="AB306" s="34" t="n">
        <f aca="false">($I306*AB$1)/$K306</f>
        <v>0.0415448766949591</v>
      </c>
      <c r="AC306" s="34" t="n">
        <f aca="false">($I306*AC$1)/$K306</f>
        <v>0.0425340404257915</v>
      </c>
      <c r="AD306" s="35" t="n">
        <f aca="false">($J306*AD$1)/$K306</f>
        <v>0.0413820522577369</v>
      </c>
      <c r="AE306" s="35" t="n">
        <f aca="false">($J306*AE$1)/$K306</f>
        <v>0.0423225534454127</v>
      </c>
      <c r="AF306" s="35" t="n">
        <f aca="false">($J306*AF$1)/$K306</f>
        <v>0.0432630546330886</v>
      </c>
      <c r="AG306" s="35" t="n">
        <f aca="false">($J306*AG$1)/$K306</f>
        <v>0.0442035558207644</v>
      </c>
      <c r="AH306" s="35" t="n">
        <f aca="false">($J306*AH$1)/$K306</f>
        <v>0.0451440570084403</v>
      </c>
      <c r="AI306" s="35" t="n">
        <f aca="false">($J306*AI$1)/$K306</f>
        <v>0.0460845581961161</v>
      </c>
      <c r="AJ306" s="35" t="n">
        <f aca="false">($J306*AJ$1)/$K306</f>
        <v>0.0470250593837919</v>
      </c>
      <c r="AK306" s="35" t="n">
        <f aca="false">($J306*AK$1)/$K306</f>
        <v>0.0479655605714678</v>
      </c>
      <c r="AL306" s="35" t="n">
        <f aca="false">($J306*AL$1)/$K306</f>
        <v>0.0489060617591436</v>
      </c>
    </row>
    <row r="307" customFormat="false" ht="15" hidden="false" customHeight="false" outlineLevel="0" collapsed="false">
      <c r="A307" s="5" t="s">
        <v>35</v>
      </c>
      <c r="B307" s="0" t="s">
        <v>374</v>
      </c>
      <c r="C307" s="16" t="s">
        <v>375</v>
      </c>
      <c r="D307" s="45" t="n">
        <v>15</v>
      </c>
      <c r="E307" s="45"/>
      <c r="F307" s="44" t="n">
        <v>0.0470666077564446</v>
      </c>
      <c r="G307" s="44" t="n">
        <v>0.0470666077564446</v>
      </c>
      <c r="H307" s="44" t="n">
        <f aca="false">+(I307+G307)/2</f>
        <v>0.0499110033670852</v>
      </c>
      <c r="I307" s="44" t="n">
        <v>0.0527553989777259</v>
      </c>
      <c r="J307" s="44" t="n">
        <v>0.0501600633427114</v>
      </c>
      <c r="K307" s="31" t="n">
        <v>2</v>
      </c>
      <c r="L307" s="32"/>
      <c r="M307" s="32"/>
      <c r="N307" s="32"/>
      <c r="O307" s="32"/>
      <c r="P307" s="32"/>
      <c r="Q307" s="32"/>
      <c r="R307" s="32" t="n">
        <f aca="false">($G307*R$1)/$K307</f>
        <v>0.0282399646538668</v>
      </c>
      <c r="S307" s="32" t="n">
        <f aca="false">($G307*S$1)/$K307</f>
        <v>0.0291224635493001</v>
      </c>
      <c r="T307" s="32" t="n">
        <f aca="false">($G307*T$1)/$K307</f>
        <v>0.0300049624447335</v>
      </c>
      <c r="U307" s="32" t="n">
        <f aca="false">($G307*U$1)/$K307</f>
        <v>0.0308874613401668</v>
      </c>
      <c r="V307" s="33" t="n">
        <f aca="false">($H307*V$1)/$K307</f>
        <v>0.0336899272727825</v>
      </c>
      <c r="W307" s="33" t="n">
        <f aca="false">($H307*W$1)/$K307</f>
        <v>0.0346257585859154</v>
      </c>
      <c r="X307" s="33" t="n">
        <f aca="false">($H307*X$1)/$K307</f>
        <v>0.0355615898990483</v>
      </c>
      <c r="Y307" s="33" t="n">
        <f aca="false">($H307*Y$1)/$K307</f>
        <v>0.0364974212121811</v>
      </c>
      <c r="Z307" s="34" t="n">
        <f aca="false">($I307*Z$1)/$K307</f>
        <v>0.0395665492332944</v>
      </c>
      <c r="AA307" s="34" t="n">
        <f aca="false">($I307*AA$1)/$K307</f>
        <v>0.0405557129641268</v>
      </c>
      <c r="AB307" s="34" t="n">
        <f aca="false">($I307*AB$1)/$K307</f>
        <v>0.0415448766949591</v>
      </c>
      <c r="AC307" s="34" t="n">
        <f aca="false">($I307*AC$1)/$K307</f>
        <v>0.0425340404257915</v>
      </c>
      <c r="AD307" s="35" t="n">
        <f aca="false">($J307*AD$1)/$K307</f>
        <v>0.0413820522577369</v>
      </c>
      <c r="AE307" s="35" t="n">
        <f aca="false">($J307*AE$1)/$K307</f>
        <v>0.0423225534454127</v>
      </c>
      <c r="AF307" s="35" t="n">
        <f aca="false">($J307*AF$1)/$K307</f>
        <v>0.0432630546330886</v>
      </c>
      <c r="AG307" s="35" t="n">
        <f aca="false">($J307*AG$1)/$K307</f>
        <v>0.0442035558207644</v>
      </c>
      <c r="AH307" s="35" t="n">
        <f aca="false">($J307*AH$1)/$K307</f>
        <v>0.0451440570084403</v>
      </c>
      <c r="AI307" s="35" t="n">
        <f aca="false">($J307*AI$1)/$K307</f>
        <v>0.0460845581961161</v>
      </c>
      <c r="AJ307" s="35" t="n">
        <f aca="false">($J307*AJ$1)/$K307</f>
        <v>0.0470250593837919</v>
      </c>
      <c r="AK307" s="35" t="n">
        <f aca="false">($J307*AK$1)/$K307</f>
        <v>0.0479655605714678</v>
      </c>
      <c r="AL307" s="35" t="n">
        <f aca="false">($J307*AL$1)/$K307</f>
        <v>0.0489060617591436</v>
      </c>
    </row>
    <row r="308" customFormat="false" ht="15" hidden="false" customHeight="false" outlineLevel="0" collapsed="false">
      <c r="A308" s="5" t="s">
        <v>35</v>
      </c>
      <c r="B308" s="0" t="s">
        <v>376</v>
      </c>
      <c r="C308" s="16" t="s">
        <v>377</v>
      </c>
      <c r="D308" s="45" t="n">
        <v>15</v>
      </c>
      <c r="E308" s="45"/>
      <c r="F308" s="44" t="n">
        <v>0.0470666077564446</v>
      </c>
      <c r="G308" s="44" t="n">
        <v>0.0470666077564446</v>
      </c>
      <c r="H308" s="44" t="n">
        <f aca="false">+(I308+G308)/2</f>
        <v>0.0499110033670852</v>
      </c>
      <c r="I308" s="44" t="n">
        <v>0.0527553989777259</v>
      </c>
      <c r="J308" s="44" t="n">
        <v>0.0501600633427114</v>
      </c>
      <c r="K308" s="31" t="n">
        <v>1</v>
      </c>
      <c r="L308" s="32"/>
      <c r="M308" s="32"/>
      <c r="N308" s="32"/>
      <c r="O308" s="32"/>
      <c r="P308" s="32"/>
      <c r="Q308" s="32"/>
      <c r="R308" s="32" t="n">
        <f aca="false">($G308*R$1)/$K308</f>
        <v>0.0564799293077336</v>
      </c>
      <c r="S308" s="32" t="n">
        <f aca="false">($G308*S$1)/$K308</f>
        <v>0.0582449270986003</v>
      </c>
      <c r="T308" s="32" t="n">
        <f aca="false">($G308*T$1)/$K308</f>
        <v>0.0600099248894669</v>
      </c>
      <c r="U308" s="32" t="n">
        <f aca="false">($G308*U$1)/$K308</f>
        <v>0.0617749226803336</v>
      </c>
      <c r="V308" s="33" t="n">
        <f aca="false">($H308*V$1)/$K308</f>
        <v>0.0673798545455651</v>
      </c>
      <c r="W308" s="33"/>
      <c r="X308" s="33"/>
      <c r="Y308" s="33"/>
      <c r="Z308" s="34"/>
      <c r="AA308" s="34"/>
      <c r="AB308" s="34"/>
      <c r="AC308" s="34"/>
      <c r="AD308" s="35"/>
      <c r="AE308" s="35"/>
      <c r="AF308" s="35"/>
      <c r="AG308" s="35"/>
      <c r="AH308" s="35"/>
      <c r="AI308" s="35"/>
      <c r="AJ308" s="35"/>
      <c r="AK308" s="35"/>
      <c r="AL308" s="35"/>
    </row>
    <row r="309" customFormat="false" ht="15" hidden="false" customHeight="false" outlineLevel="0" collapsed="false">
      <c r="A309" s="5" t="s">
        <v>35</v>
      </c>
      <c r="B309" s="0" t="s">
        <v>378</v>
      </c>
      <c r="C309" s="16" t="s">
        <v>379</v>
      </c>
      <c r="D309" s="45" t="n">
        <v>15</v>
      </c>
      <c r="E309" s="45"/>
      <c r="F309" s="44" t="n">
        <v>0.0470666077564446</v>
      </c>
      <c r="G309" s="44" t="n">
        <v>0.0470666077564446</v>
      </c>
      <c r="H309" s="44" t="n">
        <f aca="false">+(I309+G309)/2</f>
        <v>0.0499110033670852</v>
      </c>
      <c r="I309" s="44" t="n">
        <v>0.0527553989777259</v>
      </c>
      <c r="J309" s="44" t="n">
        <v>0.0501600633427114</v>
      </c>
      <c r="K309" s="31" t="n">
        <v>2</v>
      </c>
      <c r="L309" s="32"/>
      <c r="M309" s="32"/>
      <c r="N309" s="32"/>
      <c r="O309" s="32"/>
      <c r="P309" s="32"/>
      <c r="Q309" s="32"/>
      <c r="R309" s="32" t="n">
        <f aca="false">($G309*R$1)/$K309</f>
        <v>0.0282399646538668</v>
      </c>
      <c r="S309" s="32" t="n">
        <f aca="false">($G309*S$1)/$K309</f>
        <v>0.0291224635493001</v>
      </c>
      <c r="T309" s="32" t="n">
        <f aca="false">($G309*T$1)/$K309</f>
        <v>0.0300049624447335</v>
      </c>
      <c r="U309" s="32" t="n">
        <f aca="false">($G309*U$1)/$K309</f>
        <v>0.0308874613401668</v>
      </c>
      <c r="V309" s="33" t="n">
        <f aca="false">($H309*V$1)/$K309</f>
        <v>0.0336899272727825</v>
      </c>
      <c r="W309" s="33" t="n">
        <f aca="false">($H309*W$1)/$K309</f>
        <v>0.0346257585859154</v>
      </c>
      <c r="X309" s="33" t="n">
        <f aca="false">($H309*X$1)/$K309</f>
        <v>0.0355615898990483</v>
      </c>
      <c r="Y309" s="33" t="n">
        <f aca="false">($H309*Y$1)/$K309</f>
        <v>0.0364974212121811</v>
      </c>
      <c r="Z309" s="34" t="n">
        <f aca="false">($I309*Z$1)/$K309</f>
        <v>0.0395665492332944</v>
      </c>
      <c r="AA309" s="34" t="n">
        <f aca="false">($I309*AA$1)/$K309</f>
        <v>0.0405557129641268</v>
      </c>
      <c r="AB309" s="34" t="n">
        <f aca="false">($I309*AB$1)/$K309</f>
        <v>0.0415448766949591</v>
      </c>
      <c r="AC309" s="34" t="n">
        <f aca="false">($I309*AC$1)/$K309</f>
        <v>0.0425340404257915</v>
      </c>
      <c r="AD309" s="35" t="n">
        <f aca="false">($J309*AD$1)/$K309</f>
        <v>0.0413820522577369</v>
      </c>
      <c r="AE309" s="35" t="n">
        <f aca="false">($J309*AE$1)/$K309</f>
        <v>0.0423225534454127</v>
      </c>
      <c r="AF309" s="35" t="n">
        <f aca="false">($J309*AF$1)/$K309</f>
        <v>0.0432630546330886</v>
      </c>
      <c r="AG309" s="35" t="n">
        <f aca="false">($J309*AG$1)/$K309</f>
        <v>0.0442035558207644</v>
      </c>
      <c r="AH309" s="35" t="n">
        <f aca="false">($J309*AH$1)/$K309</f>
        <v>0.0451440570084403</v>
      </c>
      <c r="AI309" s="35" t="n">
        <f aca="false">($J309*AI$1)/$K309</f>
        <v>0.0460845581961161</v>
      </c>
      <c r="AJ309" s="35" t="n">
        <f aca="false">($J309*AJ$1)/$K309</f>
        <v>0.0470250593837919</v>
      </c>
      <c r="AK309" s="35" t="n">
        <f aca="false">($J309*AK$1)/$K309</f>
        <v>0.0479655605714678</v>
      </c>
      <c r="AL309" s="35" t="n">
        <f aca="false">($J309*AL$1)/$K309</f>
        <v>0.0489060617591436</v>
      </c>
    </row>
    <row r="310" customFormat="false" ht="15" hidden="false" customHeight="false" outlineLevel="0" collapsed="false">
      <c r="A310" s="5" t="s">
        <v>41</v>
      </c>
      <c r="B310" s="50" t="s">
        <v>380</v>
      </c>
      <c r="C310" s="50" t="s">
        <v>381</v>
      </c>
      <c r="D310" s="45" t="n">
        <v>16</v>
      </c>
      <c r="E310" s="45"/>
      <c r="F310" s="44" t="n">
        <v>0.047920198716335</v>
      </c>
      <c r="G310" s="44" t="n">
        <v>0.047920198716335</v>
      </c>
      <c r="H310" s="44" t="n">
        <f aca="false">+(I310+G310)/2</f>
        <v>0.0497878218045477</v>
      </c>
      <c r="I310" s="44" t="n">
        <v>0.0516554448927604</v>
      </c>
      <c r="J310" s="44" t="n">
        <v>0.0483315161361219</v>
      </c>
      <c r="K310" s="31" t="n">
        <v>2</v>
      </c>
      <c r="L310" s="32"/>
      <c r="M310" s="32"/>
      <c r="N310" s="32"/>
      <c r="O310" s="32"/>
      <c r="P310" s="32"/>
      <c r="Q310" s="32"/>
      <c r="R310" s="32" t="n">
        <f aca="false">($G310*R$1)/$K310</f>
        <v>0.028752119229801</v>
      </c>
      <c r="S310" s="32" t="n">
        <f aca="false">($G310*S$1)/$K310</f>
        <v>0.0296506229557323</v>
      </c>
      <c r="T310" s="32" t="n">
        <f aca="false">($G310*T$1)/$K310</f>
        <v>0.0305491266816635</v>
      </c>
      <c r="U310" s="32" t="n">
        <f aca="false">($G310*U$1)/$K310</f>
        <v>0.0314476304075948</v>
      </c>
      <c r="V310" s="33" t="n">
        <f aca="false">($H310*V$1)/$K310</f>
        <v>0.0336067797180697</v>
      </c>
      <c r="W310" s="33" t="n">
        <f aca="false">($H310*W$1)/$K310</f>
        <v>0.034540301376905</v>
      </c>
      <c r="X310" s="33" t="n">
        <f aca="false">($H310*X$1)/$K310</f>
        <v>0.0354738230357402</v>
      </c>
      <c r="Y310" s="33" t="n">
        <f aca="false">($H310*Y$1)/$K310</f>
        <v>0.0364073446945755</v>
      </c>
      <c r="Z310" s="34" t="n">
        <f aca="false">($I310*Z$1)/$K310</f>
        <v>0.0387415836695703</v>
      </c>
      <c r="AA310" s="34" t="n">
        <f aca="false">($I310*AA$1)/$K310</f>
        <v>0.0397101232613095</v>
      </c>
      <c r="AB310" s="34" t="n">
        <f aca="false">($I310*AB$1)/$K310</f>
        <v>0.0406786628530488</v>
      </c>
      <c r="AC310" s="34" t="n">
        <f aca="false">($I310*AC$1)/$K310</f>
        <v>0.0416472024447881</v>
      </c>
      <c r="AD310" s="35" t="n">
        <f aca="false">($J310*AD$1)/$K310</f>
        <v>0.0398735008123006</v>
      </c>
      <c r="AE310" s="35" t="n">
        <f aca="false">($J310*AE$1)/$K310</f>
        <v>0.0407797167398529</v>
      </c>
      <c r="AF310" s="35" t="n">
        <f aca="false">($J310*AF$1)/$K310</f>
        <v>0.0416859326674052</v>
      </c>
      <c r="AG310" s="35" t="n">
        <f aca="false">($J310*AG$1)/$K310</f>
        <v>0.0425921485949574</v>
      </c>
      <c r="AH310" s="35" t="n">
        <f aca="false">($J310*AH$1)/$K310</f>
        <v>0.0434983645225097</v>
      </c>
      <c r="AI310" s="35" t="n">
        <f aca="false">($J310*AI$1)/$K310</f>
        <v>0.044404580450062</v>
      </c>
      <c r="AJ310" s="35" t="n">
        <f aca="false">($J310*AJ$1)/$K310</f>
        <v>0.0453107963776143</v>
      </c>
      <c r="AK310" s="35" t="n">
        <f aca="false">($J310*AK$1)/$K310</f>
        <v>0.0462170123051666</v>
      </c>
      <c r="AL310" s="35" t="n">
        <f aca="false">($J310*AL$1)/$K310</f>
        <v>0.0471232282327189</v>
      </c>
    </row>
    <row r="311" customFormat="false" ht="15" hidden="false" customHeight="false" outlineLevel="0" collapsed="false">
      <c r="A311" s="5" t="s">
        <v>41</v>
      </c>
      <c r="B311" s="50" t="s">
        <v>382</v>
      </c>
      <c r="C311" s="50" t="s">
        <v>383</v>
      </c>
      <c r="D311" s="45" t="n">
        <v>16</v>
      </c>
      <c r="E311" s="45"/>
      <c r="F311" s="44" t="n">
        <v>0.047920198716335</v>
      </c>
      <c r="G311" s="44" t="n">
        <v>0.047920198716335</v>
      </c>
      <c r="H311" s="44" t="n">
        <f aca="false">+(I311+G311)/2</f>
        <v>0.0497878218045477</v>
      </c>
      <c r="I311" s="44" t="n">
        <v>0.0516554448927604</v>
      </c>
      <c r="J311" s="44" t="n">
        <v>0.0483315161361219</v>
      </c>
      <c r="K311" s="31" t="n">
        <v>2</v>
      </c>
      <c r="L311" s="32"/>
      <c r="M311" s="32"/>
      <c r="N311" s="32"/>
      <c r="O311" s="32"/>
      <c r="P311" s="32"/>
      <c r="Q311" s="32"/>
      <c r="R311" s="32" t="n">
        <f aca="false">($G311*R$1)/$K311</f>
        <v>0.028752119229801</v>
      </c>
      <c r="S311" s="32" t="n">
        <f aca="false">($G311*S$1)/$K311</f>
        <v>0.0296506229557323</v>
      </c>
      <c r="T311" s="32" t="n">
        <f aca="false">($G311*T$1)/$K311</f>
        <v>0.0305491266816635</v>
      </c>
      <c r="U311" s="32" t="n">
        <f aca="false">($G311*U$1)/$K311</f>
        <v>0.0314476304075948</v>
      </c>
      <c r="V311" s="33" t="n">
        <f aca="false">($H311*V$1)/$K311</f>
        <v>0.0336067797180697</v>
      </c>
      <c r="W311" s="33" t="n">
        <f aca="false">($H311*W$1)/$K311</f>
        <v>0.034540301376905</v>
      </c>
      <c r="X311" s="33" t="n">
        <f aca="false">($H311*X$1)/$K311</f>
        <v>0.0354738230357402</v>
      </c>
      <c r="Y311" s="33" t="n">
        <f aca="false">($H311*Y$1)/$K311</f>
        <v>0.0364073446945755</v>
      </c>
      <c r="Z311" s="34" t="n">
        <f aca="false">($I311*Z$1)/$K311</f>
        <v>0.0387415836695703</v>
      </c>
      <c r="AA311" s="34" t="n">
        <f aca="false">($I311*AA$1)/$K311</f>
        <v>0.0397101232613095</v>
      </c>
      <c r="AB311" s="34" t="n">
        <f aca="false">($I311*AB$1)/$K311</f>
        <v>0.0406786628530488</v>
      </c>
      <c r="AC311" s="34" t="n">
        <f aca="false">($I311*AC$1)/$K311</f>
        <v>0.0416472024447881</v>
      </c>
      <c r="AD311" s="35" t="n">
        <f aca="false">($J311*AD$1)/$K311</f>
        <v>0.0398735008123006</v>
      </c>
      <c r="AE311" s="35" t="n">
        <f aca="false">($J311*AE$1)/$K311</f>
        <v>0.0407797167398529</v>
      </c>
      <c r="AF311" s="35" t="n">
        <f aca="false">($J311*AF$1)/$K311</f>
        <v>0.0416859326674052</v>
      </c>
      <c r="AG311" s="35" t="n">
        <f aca="false">($J311*AG$1)/$K311</f>
        <v>0.0425921485949574</v>
      </c>
      <c r="AH311" s="35" t="n">
        <f aca="false">($J311*AH$1)/$K311</f>
        <v>0.0434983645225097</v>
      </c>
      <c r="AI311" s="35" t="n">
        <f aca="false">($J311*AI$1)/$K311</f>
        <v>0.044404580450062</v>
      </c>
      <c r="AJ311" s="35" t="n">
        <f aca="false">($J311*AJ$1)/$K311</f>
        <v>0.0453107963776143</v>
      </c>
      <c r="AK311" s="35" t="n">
        <f aca="false">($J311*AK$1)/$K311</f>
        <v>0.0462170123051666</v>
      </c>
      <c r="AL311" s="35" t="n">
        <f aca="false">($J311*AL$1)/$K311</f>
        <v>0.0471232282327189</v>
      </c>
    </row>
    <row r="312" customFormat="false" ht="15" hidden="false" customHeight="false" outlineLevel="0" collapsed="false">
      <c r="A312" s="5" t="s">
        <v>41</v>
      </c>
      <c r="B312" s="50" t="s">
        <v>384</v>
      </c>
      <c r="C312" s="50" t="s">
        <v>385</v>
      </c>
      <c r="D312" s="45" t="n">
        <v>16</v>
      </c>
      <c r="E312" s="45"/>
      <c r="F312" s="44" t="n">
        <v>0.047920198716335</v>
      </c>
      <c r="G312" s="44" t="n">
        <v>0.047920198716335</v>
      </c>
      <c r="H312" s="44" t="n">
        <f aca="false">+(I312+G312)/2</f>
        <v>0.0497878218045477</v>
      </c>
      <c r="I312" s="44" t="n">
        <v>0.0516554448927604</v>
      </c>
      <c r="J312" s="44" t="n">
        <v>0.0483315161361219</v>
      </c>
      <c r="K312" s="31" t="n">
        <v>1</v>
      </c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3"/>
      <c r="W312" s="33" t="n">
        <f aca="false">($H312*W$1)/$K312</f>
        <v>0.0690806027538099</v>
      </c>
      <c r="X312" s="33" t="n">
        <f aca="false">($H312*X$1)/$K312</f>
        <v>0.0709476460714805</v>
      </c>
      <c r="Y312" s="33" t="n">
        <f aca="false">($H312*Y$1)/$K312</f>
        <v>0.072814689389151</v>
      </c>
      <c r="Z312" s="34" t="n">
        <f aca="false">($I312*Z$1)/$K312</f>
        <v>0.0774831673391406</v>
      </c>
      <c r="AA312" s="34" t="n">
        <f aca="false">($I312*AA$1)/$K312</f>
        <v>0.0794202465226191</v>
      </c>
      <c r="AB312" s="34" t="n">
        <f aca="false">($I312*AB$1)/$K312</f>
        <v>0.0813573257060976</v>
      </c>
      <c r="AC312" s="34" t="n">
        <f aca="false">($I312*AC$1)/$K312</f>
        <v>0.0832944048895761</v>
      </c>
      <c r="AD312" s="35" t="n">
        <f aca="false">($J312*AD$1)/$K312</f>
        <v>0.0797470016246012</v>
      </c>
      <c r="AE312" s="35" t="n">
        <f aca="false">($J312*AE$1)/$K312</f>
        <v>0.0815594334797057</v>
      </c>
      <c r="AF312" s="35" t="n">
        <f aca="false">($J312*AF$1)/$K312</f>
        <v>0.0833718653348103</v>
      </c>
      <c r="AG312" s="35"/>
      <c r="AH312" s="35"/>
      <c r="AI312" s="35"/>
      <c r="AJ312" s="35"/>
      <c r="AK312" s="35"/>
      <c r="AL312" s="35"/>
    </row>
    <row r="313" customFormat="false" ht="15" hidden="false" customHeight="false" outlineLevel="0" collapsed="false">
      <c r="A313" s="5" t="s">
        <v>41</v>
      </c>
      <c r="B313" s="50" t="s">
        <v>386</v>
      </c>
      <c r="C313" s="50" t="s">
        <v>387</v>
      </c>
      <c r="D313" s="45" t="n">
        <v>16</v>
      </c>
      <c r="E313" s="45"/>
      <c r="F313" s="44" t="n">
        <v>0.047920198716335</v>
      </c>
      <c r="G313" s="44" t="n">
        <v>0.047920198716335</v>
      </c>
      <c r="H313" s="44" t="n">
        <f aca="false">+(I313+G313)/2</f>
        <v>0.0497878218045477</v>
      </c>
      <c r="I313" s="44" t="n">
        <v>0.0516554448927604</v>
      </c>
      <c r="J313" s="44" t="n">
        <v>0.0483315161361219</v>
      </c>
      <c r="K313" s="31" t="n">
        <v>1</v>
      </c>
      <c r="L313" s="32"/>
      <c r="M313" s="32"/>
      <c r="N313" s="32"/>
      <c r="O313" s="32"/>
      <c r="P313" s="32"/>
      <c r="Q313" s="32"/>
      <c r="R313" s="32" t="n">
        <f aca="false">($G313*R$1)/$K313</f>
        <v>0.057504238459602</v>
      </c>
      <c r="S313" s="32" t="n">
        <f aca="false">($G313*S$1)/$K313</f>
        <v>0.0593012459114645</v>
      </c>
      <c r="T313" s="32" t="n">
        <f aca="false">($G313*T$1)/$K313</f>
        <v>0.0610982533633271</v>
      </c>
      <c r="U313" s="32" t="n">
        <f aca="false">($G313*U$1)/$K313</f>
        <v>0.0628952608151897</v>
      </c>
      <c r="V313" s="33" t="n">
        <f aca="false">($H313*V$1)/$K313</f>
        <v>0.0672135594361394</v>
      </c>
      <c r="W313" s="33" t="n">
        <f aca="false">($H313*W$1)/$K313</f>
        <v>0.0690806027538099</v>
      </c>
      <c r="X313" s="33" t="n">
        <f aca="false">($H313*X$1)/$K313</f>
        <v>0.0709476460714805</v>
      </c>
      <c r="Y313" s="33"/>
      <c r="Z313" s="34"/>
      <c r="AA313" s="34"/>
      <c r="AB313" s="34"/>
      <c r="AC313" s="34"/>
      <c r="AD313" s="35"/>
      <c r="AE313" s="35"/>
      <c r="AF313" s="35"/>
      <c r="AG313" s="35"/>
      <c r="AH313" s="35"/>
      <c r="AI313" s="35"/>
      <c r="AJ313" s="35"/>
      <c r="AK313" s="35"/>
      <c r="AL313" s="35"/>
    </row>
    <row r="314" customFormat="false" ht="15" hidden="false" customHeight="false" outlineLevel="0" collapsed="false">
      <c r="A314" s="5" t="s">
        <v>41</v>
      </c>
      <c r="B314" s="50" t="s">
        <v>388</v>
      </c>
      <c r="C314" s="50" t="s">
        <v>389</v>
      </c>
      <c r="D314" s="45" t="n">
        <v>16</v>
      </c>
      <c r="E314" s="45"/>
      <c r="F314" s="44" t="n">
        <v>0.047920198716335</v>
      </c>
      <c r="G314" s="44" t="n">
        <v>0.047920198716335</v>
      </c>
      <c r="H314" s="44" t="n">
        <f aca="false">+(I314+G314)/2</f>
        <v>0.0497878218045477</v>
      </c>
      <c r="I314" s="44" t="n">
        <v>0.0516554448927604</v>
      </c>
      <c r="J314" s="44" t="n">
        <v>0.0483315161361219</v>
      </c>
      <c r="K314" s="31" t="n">
        <v>1</v>
      </c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3"/>
      <c r="W314" s="33" t="n">
        <f aca="false">($H314*W$1)/$K314</f>
        <v>0.0690806027538099</v>
      </c>
      <c r="X314" s="33" t="n">
        <f aca="false">($H314*X$1)/$K314</f>
        <v>0.0709476460714805</v>
      </c>
      <c r="Y314" s="33" t="n">
        <f aca="false">($H314*Y$1)/$K314</f>
        <v>0.072814689389151</v>
      </c>
      <c r="Z314" s="34" t="n">
        <f aca="false">($I314*Z$1)/$K314</f>
        <v>0.0774831673391406</v>
      </c>
      <c r="AA314" s="34" t="n">
        <f aca="false">($I314*AA$1)/$K314</f>
        <v>0.0794202465226191</v>
      </c>
      <c r="AB314" s="34" t="n">
        <f aca="false">($I314*AB$1)/$K314</f>
        <v>0.0813573257060976</v>
      </c>
      <c r="AC314" s="34" t="n">
        <f aca="false">($I314*AC$1)/$K314</f>
        <v>0.0832944048895761</v>
      </c>
      <c r="AD314" s="35" t="n">
        <f aca="false">($J314*AD$1)/$K314</f>
        <v>0.0797470016246012</v>
      </c>
      <c r="AE314" s="35" t="n">
        <f aca="false">($J314*AE$1)/$K314</f>
        <v>0.0815594334797057</v>
      </c>
      <c r="AF314" s="35" t="n">
        <f aca="false">($J314*AF$1)/$K314</f>
        <v>0.0833718653348103</v>
      </c>
      <c r="AG314" s="35" t="n">
        <f aca="false">($J314*AG$1)/$K314</f>
        <v>0.0851842971899149</v>
      </c>
      <c r="AH314" s="35" t="n">
        <f aca="false">($J314*AH$1)/$K314</f>
        <v>0.0869967290450194</v>
      </c>
      <c r="AI314" s="35" t="n">
        <f aca="false">($J314*AI$1)/$K314</f>
        <v>0.088809160900124</v>
      </c>
      <c r="AJ314" s="35" t="n">
        <f aca="false">($J314*AJ$1)/$K314</f>
        <v>0.0906215927552286</v>
      </c>
      <c r="AK314" s="35" t="n">
        <f aca="false">($J314*AK$1)/$K314</f>
        <v>0.0924340246103331</v>
      </c>
      <c r="AL314" s="35" t="n">
        <f aca="false">($J314*AL$1)/$K314</f>
        <v>0.0942464564654377</v>
      </c>
    </row>
    <row r="315" customFormat="false" ht="15" hidden="false" customHeight="false" outlineLevel="0" collapsed="false">
      <c r="A315" s="5" t="s">
        <v>41</v>
      </c>
      <c r="B315" s="50" t="s">
        <v>380</v>
      </c>
      <c r="C315" s="50" t="s">
        <v>381</v>
      </c>
      <c r="D315" s="45" t="n">
        <v>17</v>
      </c>
      <c r="E315" s="45"/>
      <c r="F315" s="44" t="n">
        <v>0.047920198716335</v>
      </c>
      <c r="G315" s="44" t="n">
        <v>0.047920198716335</v>
      </c>
      <c r="H315" s="44" t="n">
        <f aca="false">+(I315+G315)/2</f>
        <v>0.0497878218045477</v>
      </c>
      <c r="I315" s="44" t="n">
        <v>0.0516554448927604</v>
      </c>
      <c r="J315" s="44" t="n">
        <v>0.0483315161361219</v>
      </c>
      <c r="K315" s="31" t="n">
        <v>2</v>
      </c>
      <c r="L315" s="32"/>
      <c r="M315" s="32"/>
      <c r="N315" s="32"/>
      <c r="O315" s="32"/>
      <c r="P315" s="32"/>
      <c r="Q315" s="32"/>
      <c r="R315" s="32" t="n">
        <f aca="false">($G315*R$1)/$K315</f>
        <v>0.028752119229801</v>
      </c>
      <c r="S315" s="32" t="n">
        <f aca="false">($G315*S$1)/$K315</f>
        <v>0.0296506229557323</v>
      </c>
      <c r="T315" s="32" t="n">
        <f aca="false">($G315*T$1)/$K315</f>
        <v>0.0305491266816635</v>
      </c>
      <c r="U315" s="32" t="n">
        <f aca="false">($G315*U$1)/$K315</f>
        <v>0.0314476304075948</v>
      </c>
      <c r="V315" s="33" t="n">
        <f aca="false">($H315*V$1)/$K315</f>
        <v>0.0336067797180697</v>
      </c>
      <c r="W315" s="33" t="n">
        <f aca="false">($H315*W$1)/$K315</f>
        <v>0.034540301376905</v>
      </c>
      <c r="X315" s="33" t="n">
        <f aca="false">($H315*X$1)/$K315</f>
        <v>0.0354738230357402</v>
      </c>
      <c r="Y315" s="33" t="n">
        <f aca="false">($H315*Y$1)/$K315</f>
        <v>0.0364073446945755</v>
      </c>
      <c r="Z315" s="34" t="n">
        <f aca="false">($I315*Z$1)/$K315</f>
        <v>0.0387415836695703</v>
      </c>
      <c r="AA315" s="34" t="n">
        <f aca="false">($I315*AA$1)/$K315</f>
        <v>0.0397101232613095</v>
      </c>
      <c r="AB315" s="34" t="n">
        <f aca="false">($I315*AB$1)/$K315</f>
        <v>0.0406786628530488</v>
      </c>
      <c r="AC315" s="34" t="n">
        <f aca="false">($I315*AC$1)/$K315</f>
        <v>0.0416472024447881</v>
      </c>
      <c r="AD315" s="35" t="n">
        <f aca="false">($J315*AD$1)/$K315</f>
        <v>0.0398735008123006</v>
      </c>
      <c r="AE315" s="35" t="n">
        <f aca="false">($J315*AE$1)/$K315</f>
        <v>0.0407797167398529</v>
      </c>
      <c r="AF315" s="35" t="n">
        <f aca="false">($J315*AF$1)/$K315</f>
        <v>0.0416859326674052</v>
      </c>
      <c r="AG315" s="35" t="n">
        <f aca="false">($J315*AG$1)/$K315</f>
        <v>0.0425921485949574</v>
      </c>
      <c r="AH315" s="35" t="n">
        <f aca="false">($J315*AH$1)/$K315</f>
        <v>0.0434983645225097</v>
      </c>
      <c r="AI315" s="35" t="n">
        <f aca="false">($J315*AI$1)/$K315</f>
        <v>0.044404580450062</v>
      </c>
      <c r="AJ315" s="35" t="n">
        <f aca="false">($J315*AJ$1)/$K315</f>
        <v>0.0453107963776143</v>
      </c>
      <c r="AK315" s="35" t="n">
        <f aca="false">($J315*AK$1)/$K315</f>
        <v>0.0462170123051666</v>
      </c>
      <c r="AL315" s="35" t="n">
        <f aca="false">($J315*AL$1)/$K315</f>
        <v>0.0471232282327189</v>
      </c>
    </row>
    <row r="316" customFormat="false" ht="15" hidden="false" customHeight="false" outlineLevel="0" collapsed="false">
      <c r="A316" s="5" t="s">
        <v>41</v>
      </c>
      <c r="B316" s="50" t="s">
        <v>382</v>
      </c>
      <c r="C316" s="50" t="s">
        <v>383</v>
      </c>
      <c r="D316" s="45" t="n">
        <v>17</v>
      </c>
      <c r="E316" s="45"/>
      <c r="F316" s="44" t="n">
        <v>0.047920198716335</v>
      </c>
      <c r="G316" s="44" t="n">
        <v>0.047920198716335</v>
      </c>
      <c r="H316" s="44" t="n">
        <f aca="false">+(I316+G316)/2</f>
        <v>0.0497878218045477</v>
      </c>
      <c r="I316" s="44" t="n">
        <v>0.0516554448927604</v>
      </c>
      <c r="J316" s="44" t="n">
        <v>0.0483315161361219</v>
      </c>
      <c r="K316" s="31" t="n">
        <v>2</v>
      </c>
      <c r="L316" s="32"/>
      <c r="M316" s="32"/>
      <c r="N316" s="32"/>
      <c r="O316" s="32"/>
      <c r="P316" s="32"/>
      <c r="Q316" s="32"/>
      <c r="R316" s="32" t="n">
        <f aca="false">($G316*R$1)/$K316</f>
        <v>0.028752119229801</v>
      </c>
      <c r="S316" s="32" t="n">
        <f aca="false">($G316*S$1)/$K316</f>
        <v>0.0296506229557323</v>
      </c>
      <c r="T316" s="32" t="n">
        <f aca="false">($G316*T$1)/$K316</f>
        <v>0.0305491266816635</v>
      </c>
      <c r="U316" s="32" t="n">
        <f aca="false">($G316*U$1)/$K316</f>
        <v>0.0314476304075948</v>
      </c>
      <c r="V316" s="33" t="n">
        <f aca="false">($H316*V$1)/$K316</f>
        <v>0.0336067797180697</v>
      </c>
      <c r="W316" s="33" t="n">
        <f aca="false">($H316*W$1)/$K316</f>
        <v>0.034540301376905</v>
      </c>
      <c r="X316" s="33" t="n">
        <f aca="false">($H316*X$1)/$K316</f>
        <v>0.0354738230357402</v>
      </c>
      <c r="Y316" s="33" t="n">
        <f aca="false">($H316*Y$1)/$K316</f>
        <v>0.0364073446945755</v>
      </c>
      <c r="Z316" s="34" t="n">
        <f aca="false">($I316*Z$1)/$K316</f>
        <v>0.0387415836695703</v>
      </c>
      <c r="AA316" s="34" t="n">
        <f aca="false">($I316*AA$1)/$K316</f>
        <v>0.0397101232613095</v>
      </c>
      <c r="AB316" s="34" t="n">
        <f aca="false">($I316*AB$1)/$K316</f>
        <v>0.0406786628530488</v>
      </c>
      <c r="AC316" s="34" t="n">
        <f aca="false">($I316*AC$1)/$K316</f>
        <v>0.0416472024447881</v>
      </c>
      <c r="AD316" s="35" t="n">
        <f aca="false">($J316*AD$1)/$K316</f>
        <v>0.0398735008123006</v>
      </c>
      <c r="AE316" s="35" t="n">
        <f aca="false">($J316*AE$1)/$K316</f>
        <v>0.0407797167398529</v>
      </c>
      <c r="AF316" s="35" t="n">
        <f aca="false">($J316*AF$1)/$K316</f>
        <v>0.0416859326674052</v>
      </c>
      <c r="AG316" s="35" t="n">
        <f aca="false">($J316*AG$1)/$K316</f>
        <v>0.0425921485949574</v>
      </c>
      <c r="AH316" s="35" t="n">
        <f aca="false">($J316*AH$1)/$K316</f>
        <v>0.0434983645225097</v>
      </c>
      <c r="AI316" s="35" t="n">
        <f aca="false">($J316*AI$1)/$K316</f>
        <v>0.044404580450062</v>
      </c>
      <c r="AJ316" s="35" t="n">
        <f aca="false">($J316*AJ$1)/$K316</f>
        <v>0.0453107963776143</v>
      </c>
      <c r="AK316" s="35" t="n">
        <f aca="false">($J316*AK$1)/$K316</f>
        <v>0.0462170123051666</v>
      </c>
      <c r="AL316" s="35" t="n">
        <f aca="false">($J316*AL$1)/$K316</f>
        <v>0.0471232282327189</v>
      </c>
    </row>
    <row r="317" customFormat="false" ht="15" hidden="false" customHeight="false" outlineLevel="0" collapsed="false">
      <c r="A317" s="5" t="s">
        <v>41</v>
      </c>
      <c r="B317" s="50" t="s">
        <v>384</v>
      </c>
      <c r="C317" s="50" t="s">
        <v>385</v>
      </c>
      <c r="D317" s="45" t="n">
        <v>17</v>
      </c>
      <c r="E317" s="45"/>
      <c r="F317" s="44" t="n">
        <v>0.047920198716335</v>
      </c>
      <c r="G317" s="44" t="n">
        <v>0.047920198716335</v>
      </c>
      <c r="H317" s="44" t="n">
        <f aca="false">+(I317+G317)/2</f>
        <v>0.0497878218045477</v>
      </c>
      <c r="I317" s="44" t="n">
        <v>0.0516554448927604</v>
      </c>
      <c r="J317" s="44" t="n">
        <v>0.0483315161361219</v>
      </c>
      <c r="K317" s="31" t="n">
        <v>1</v>
      </c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3"/>
      <c r="W317" s="33" t="n">
        <f aca="false">($H317*W$1)/$K317</f>
        <v>0.0690806027538099</v>
      </c>
      <c r="X317" s="33" t="n">
        <f aca="false">($H317*X$1)/$K317</f>
        <v>0.0709476460714805</v>
      </c>
      <c r="Y317" s="33" t="n">
        <f aca="false">($H317*Y$1)/$K317</f>
        <v>0.072814689389151</v>
      </c>
      <c r="Z317" s="34" t="n">
        <f aca="false">($I317*Z$1)/$K317</f>
        <v>0.0774831673391406</v>
      </c>
      <c r="AA317" s="34" t="n">
        <f aca="false">($I317*AA$1)/$K317</f>
        <v>0.0794202465226191</v>
      </c>
      <c r="AB317" s="34" t="n">
        <f aca="false">($I317*AB$1)/$K317</f>
        <v>0.0813573257060976</v>
      </c>
      <c r="AC317" s="34" t="n">
        <f aca="false">($I317*AC$1)/$K317</f>
        <v>0.0832944048895761</v>
      </c>
      <c r="AD317" s="35" t="n">
        <f aca="false">($J317*AD$1)/$K317</f>
        <v>0.0797470016246012</v>
      </c>
      <c r="AE317" s="35" t="n">
        <f aca="false">($J317*AE$1)/$K317</f>
        <v>0.0815594334797057</v>
      </c>
      <c r="AF317" s="35" t="n">
        <f aca="false">($J317*AF$1)/$K317</f>
        <v>0.0833718653348103</v>
      </c>
      <c r="AG317" s="35"/>
      <c r="AH317" s="35"/>
      <c r="AI317" s="35"/>
      <c r="AJ317" s="35"/>
      <c r="AK317" s="35"/>
      <c r="AL317" s="35"/>
    </row>
    <row r="318" customFormat="false" ht="15" hidden="false" customHeight="false" outlineLevel="0" collapsed="false">
      <c r="A318" s="5" t="s">
        <v>41</v>
      </c>
      <c r="B318" s="50" t="s">
        <v>386</v>
      </c>
      <c r="C318" s="50" t="s">
        <v>387</v>
      </c>
      <c r="D318" s="45" t="n">
        <v>17</v>
      </c>
      <c r="E318" s="45"/>
      <c r="F318" s="44" t="n">
        <v>0.047920198716335</v>
      </c>
      <c r="G318" s="44" t="n">
        <v>0.047920198716335</v>
      </c>
      <c r="H318" s="44" t="n">
        <f aca="false">+(I318+G318)/2</f>
        <v>0.0497878218045477</v>
      </c>
      <c r="I318" s="44" t="n">
        <v>0.0516554448927604</v>
      </c>
      <c r="J318" s="44" t="n">
        <v>0.0483315161361219</v>
      </c>
      <c r="K318" s="31" t="n">
        <v>1</v>
      </c>
      <c r="L318" s="32"/>
      <c r="M318" s="32"/>
      <c r="N318" s="32"/>
      <c r="O318" s="32"/>
      <c r="P318" s="32"/>
      <c r="Q318" s="32"/>
      <c r="R318" s="32" t="n">
        <f aca="false">($G318*R$1)/$K318</f>
        <v>0.057504238459602</v>
      </c>
      <c r="S318" s="32" t="n">
        <f aca="false">($G318*S$1)/$K318</f>
        <v>0.0593012459114645</v>
      </c>
      <c r="T318" s="32" t="n">
        <f aca="false">($G318*T$1)/$K318</f>
        <v>0.0610982533633271</v>
      </c>
      <c r="U318" s="32" t="n">
        <f aca="false">($G318*U$1)/$K318</f>
        <v>0.0628952608151897</v>
      </c>
      <c r="V318" s="33" t="n">
        <f aca="false">($H318*V$1)/$K318</f>
        <v>0.0672135594361394</v>
      </c>
      <c r="W318" s="33" t="n">
        <f aca="false">($H318*W$1)/$K318</f>
        <v>0.0690806027538099</v>
      </c>
      <c r="X318" s="33" t="n">
        <f aca="false">($H318*X$1)/$K318</f>
        <v>0.0709476460714805</v>
      </c>
      <c r="Y318" s="33"/>
      <c r="Z318" s="34"/>
      <c r="AA318" s="34"/>
      <c r="AB318" s="34"/>
      <c r="AC318" s="34"/>
      <c r="AD318" s="35"/>
      <c r="AE318" s="35"/>
      <c r="AF318" s="35"/>
      <c r="AG318" s="35"/>
      <c r="AH318" s="35"/>
      <c r="AI318" s="35"/>
      <c r="AJ318" s="35"/>
      <c r="AK318" s="35"/>
      <c r="AL318" s="35"/>
    </row>
    <row r="319" customFormat="false" ht="15" hidden="false" customHeight="false" outlineLevel="0" collapsed="false">
      <c r="A319" s="5" t="s">
        <v>41</v>
      </c>
      <c r="B319" s="50" t="s">
        <v>388</v>
      </c>
      <c r="C319" s="50" t="s">
        <v>389</v>
      </c>
      <c r="D319" s="45" t="n">
        <v>17</v>
      </c>
      <c r="E319" s="45"/>
      <c r="F319" s="44" t="n">
        <v>0.047920198716335</v>
      </c>
      <c r="G319" s="44" t="n">
        <v>0.047920198716335</v>
      </c>
      <c r="H319" s="44" t="n">
        <f aca="false">+(I319+G319)/2</f>
        <v>0.0497878218045477</v>
      </c>
      <c r="I319" s="44" t="n">
        <v>0.0516554448927604</v>
      </c>
      <c r="J319" s="44" t="n">
        <v>0.0483315161361219</v>
      </c>
      <c r="K319" s="31" t="n">
        <v>1</v>
      </c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3"/>
      <c r="W319" s="33" t="n">
        <f aca="false">($H319*W$1)/$K319</f>
        <v>0.0690806027538099</v>
      </c>
      <c r="X319" s="33" t="n">
        <f aca="false">($H319*X$1)/$K319</f>
        <v>0.0709476460714805</v>
      </c>
      <c r="Y319" s="33" t="n">
        <f aca="false">($H319*Y$1)/$K319</f>
        <v>0.072814689389151</v>
      </c>
      <c r="Z319" s="34" t="n">
        <f aca="false">($I319*Z$1)/$K319</f>
        <v>0.0774831673391406</v>
      </c>
      <c r="AA319" s="34" t="n">
        <f aca="false">($I319*AA$1)/$K319</f>
        <v>0.0794202465226191</v>
      </c>
      <c r="AB319" s="34" t="n">
        <f aca="false">($I319*AB$1)/$K319</f>
        <v>0.0813573257060976</v>
      </c>
      <c r="AC319" s="34" t="n">
        <f aca="false">($I319*AC$1)/$K319</f>
        <v>0.0832944048895761</v>
      </c>
      <c r="AD319" s="35" t="n">
        <f aca="false">($J319*AD$1)/$K319</f>
        <v>0.0797470016246012</v>
      </c>
      <c r="AE319" s="35" t="n">
        <f aca="false">($J319*AE$1)/$K319</f>
        <v>0.0815594334797057</v>
      </c>
      <c r="AF319" s="35" t="n">
        <f aca="false">($J319*AF$1)/$K319</f>
        <v>0.0833718653348103</v>
      </c>
      <c r="AG319" s="35" t="n">
        <f aca="false">($J319*AG$1)/$K319</f>
        <v>0.0851842971899149</v>
      </c>
      <c r="AH319" s="35" t="n">
        <f aca="false">($J319*AH$1)/$K319</f>
        <v>0.0869967290450194</v>
      </c>
      <c r="AI319" s="35" t="n">
        <f aca="false">($J319*AI$1)/$K319</f>
        <v>0.088809160900124</v>
      </c>
      <c r="AJ319" s="35" t="n">
        <f aca="false">($J319*AJ$1)/$K319</f>
        <v>0.0906215927552286</v>
      </c>
      <c r="AK319" s="35" t="n">
        <f aca="false">($J319*AK$1)/$K319</f>
        <v>0.0924340246103331</v>
      </c>
      <c r="AL319" s="35" t="n">
        <f aca="false">($J319*AL$1)/$K319</f>
        <v>0.0942464564654377</v>
      </c>
    </row>
    <row r="320" customFormat="false" ht="15" hidden="false" customHeight="false" outlineLevel="0" collapsed="false">
      <c r="A320" s="5" t="s">
        <v>41</v>
      </c>
      <c r="B320" s="50" t="s">
        <v>380</v>
      </c>
      <c r="C320" s="50" t="s">
        <v>381</v>
      </c>
      <c r="D320" s="45" t="n">
        <v>18</v>
      </c>
      <c r="E320" s="45"/>
      <c r="F320" s="44" t="n">
        <v>0.047920198716335</v>
      </c>
      <c r="G320" s="44" t="n">
        <v>0.047920198716335</v>
      </c>
      <c r="H320" s="44" t="n">
        <f aca="false">+(I320+G320)/2</f>
        <v>0.0497878218045477</v>
      </c>
      <c r="I320" s="44" t="n">
        <v>0.0516554448927604</v>
      </c>
      <c r="J320" s="44" t="n">
        <v>0.0483315161361219</v>
      </c>
      <c r="K320" s="31" t="n">
        <v>2</v>
      </c>
      <c r="L320" s="32"/>
      <c r="M320" s="32"/>
      <c r="N320" s="32"/>
      <c r="O320" s="32"/>
      <c r="P320" s="32"/>
      <c r="Q320" s="32"/>
      <c r="R320" s="32" t="n">
        <f aca="false">($G320*R$1)/$K320</f>
        <v>0.028752119229801</v>
      </c>
      <c r="S320" s="32" t="n">
        <f aca="false">($G320*S$1)/$K320</f>
        <v>0.0296506229557323</v>
      </c>
      <c r="T320" s="32" t="n">
        <f aca="false">($G320*T$1)/$K320</f>
        <v>0.0305491266816635</v>
      </c>
      <c r="U320" s="32" t="n">
        <f aca="false">($G320*U$1)/$K320</f>
        <v>0.0314476304075948</v>
      </c>
      <c r="V320" s="33" t="n">
        <f aca="false">($H320*V$1)/$K320</f>
        <v>0.0336067797180697</v>
      </c>
      <c r="W320" s="33" t="n">
        <f aca="false">($H320*W$1)/$K320</f>
        <v>0.034540301376905</v>
      </c>
      <c r="X320" s="33" t="n">
        <f aca="false">($H320*X$1)/$K320</f>
        <v>0.0354738230357402</v>
      </c>
      <c r="Y320" s="33" t="n">
        <f aca="false">($H320*Y$1)/$K320</f>
        <v>0.0364073446945755</v>
      </c>
      <c r="Z320" s="34" t="n">
        <f aca="false">($I320*Z$1)/$K320</f>
        <v>0.0387415836695703</v>
      </c>
      <c r="AA320" s="34" t="n">
        <f aca="false">($I320*AA$1)/$K320</f>
        <v>0.0397101232613095</v>
      </c>
      <c r="AB320" s="34" t="n">
        <f aca="false">($I320*AB$1)/$K320</f>
        <v>0.0406786628530488</v>
      </c>
      <c r="AC320" s="34" t="n">
        <f aca="false">($I320*AC$1)/$K320</f>
        <v>0.0416472024447881</v>
      </c>
      <c r="AD320" s="35" t="n">
        <f aca="false">($J320*AD$1)/$K320</f>
        <v>0.0398735008123006</v>
      </c>
      <c r="AE320" s="35" t="n">
        <f aca="false">($J320*AE$1)/$K320</f>
        <v>0.0407797167398529</v>
      </c>
      <c r="AF320" s="35" t="n">
        <f aca="false">($J320*AF$1)/$K320</f>
        <v>0.0416859326674052</v>
      </c>
      <c r="AG320" s="35" t="n">
        <f aca="false">($J320*AG$1)/$K320</f>
        <v>0.0425921485949574</v>
      </c>
      <c r="AH320" s="35" t="n">
        <f aca="false">($J320*AH$1)/$K320</f>
        <v>0.0434983645225097</v>
      </c>
      <c r="AI320" s="35" t="n">
        <f aca="false">($J320*AI$1)/$K320</f>
        <v>0.044404580450062</v>
      </c>
      <c r="AJ320" s="35" t="n">
        <f aca="false">($J320*AJ$1)/$K320</f>
        <v>0.0453107963776143</v>
      </c>
      <c r="AK320" s="35" t="n">
        <f aca="false">($J320*AK$1)/$K320</f>
        <v>0.0462170123051666</v>
      </c>
      <c r="AL320" s="35" t="n">
        <f aca="false">($J320*AL$1)/$K320</f>
        <v>0.0471232282327189</v>
      </c>
    </row>
    <row r="321" customFormat="false" ht="15" hidden="false" customHeight="false" outlineLevel="0" collapsed="false">
      <c r="A321" s="5" t="s">
        <v>41</v>
      </c>
      <c r="B321" s="50" t="s">
        <v>382</v>
      </c>
      <c r="C321" s="50" t="s">
        <v>383</v>
      </c>
      <c r="D321" s="45" t="n">
        <v>18</v>
      </c>
      <c r="E321" s="45"/>
      <c r="F321" s="44" t="n">
        <v>0.047920198716335</v>
      </c>
      <c r="G321" s="44" t="n">
        <v>0.047920198716335</v>
      </c>
      <c r="H321" s="44" t="n">
        <f aca="false">+(I321+G321)/2</f>
        <v>0.0497878218045477</v>
      </c>
      <c r="I321" s="44" t="n">
        <v>0.0516554448927604</v>
      </c>
      <c r="J321" s="44" t="n">
        <v>0.0483315161361219</v>
      </c>
      <c r="K321" s="31" t="n">
        <v>2</v>
      </c>
      <c r="L321" s="32"/>
      <c r="M321" s="32"/>
      <c r="N321" s="32"/>
      <c r="O321" s="32"/>
      <c r="P321" s="32"/>
      <c r="Q321" s="32"/>
      <c r="R321" s="32" t="n">
        <f aca="false">($G321*R$1)/$K321</f>
        <v>0.028752119229801</v>
      </c>
      <c r="S321" s="32" t="n">
        <f aca="false">($G321*S$1)/$K321</f>
        <v>0.0296506229557323</v>
      </c>
      <c r="T321" s="32" t="n">
        <f aca="false">($G321*T$1)/$K321</f>
        <v>0.0305491266816635</v>
      </c>
      <c r="U321" s="32" t="n">
        <f aca="false">($G321*U$1)/$K321</f>
        <v>0.0314476304075948</v>
      </c>
      <c r="V321" s="33" t="n">
        <f aca="false">($H321*V$1)/$K321</f>
        <v>0.0336067797180697</v>
      </c>
      <c r="W321" s="33" t="n">
        <f aca="false">($H321*W$1)/$K321</f>
        <v>0.034540301376905</v>
      </c>
      <c r="X321" s="33" t="n">
        <f aca="false">($H321*X$1)/$K321</f>
        <v>0.0354738230357402</v>
      </c>
      <c r="Y321" s="33" t="n">
        <f aca="false">($H321*Y$1)/$K321</f>
        <v>0.0364073446945755</v>
      </c>
      <c r="Z321" s="34" t="n">
        <f aca="false">($I321*Z$1)/$K321</f>
        <v>0.0387415836695703</v>
      </c>
      <c r="AA321" s="34" t="n">
        <f aca="false">($I321*AA$1)/$K321</f>
        <v>0.0397101232613095</v>
      </c>
      <c r="AB321" s="34" t="n">
        <f aca="false">($I321*AB$1)/$K321</f>
        <v>0.0406786628530488</v>
      </c>
      <c r="AC321" s="34" t="n">
        <f aca="false">($I321*AC$1)/$K321</f>
        <v>0.0416472024447881</v>
      </c>
      <c r="AD321" s="35" t="n">
        <f aca="false">($J321*AD$1)/$K321</f>
        <v>0.0398735008123006</v>
      </c>
      <c r="AE321" s="35" t="n">
        <f aca="false">($J321*AE$1)/$K321</f>
        <v>0.0407797167398529</v>
      </c>
      <c r="AF321" s="35" t="n">
        <f aca="false">($J321*AF$1)/$K321</f>
        <v>0.0416859326674052</v>
      </c>
      <c r="AG321" s="35" t="n">
        <f aca="false">($J321*AG$1)/$K321</f>
        <v>0.0425921485949574</v>
      </c>
      <c r="AH321" s="35" t="n">
        <f aca="false">($J321*AH$1)/$K321</f>
        <v>0.0434983645225097</v>
      </c>
      <c r="AI321" s="35" t="n">
        <f aca="false">($J321*AI$1)/$K321</f>
        <v>0.044404580450062</v>
      </c>
      <c r="AJ321" s="35" t="n">
        <f aca="false">($J321*AJ$1)/$K321</f>
        <v>0.0453107963776143</v>
      </c>
      <c r="AK321" s="35" t="n">
        <f aca="false">($J321*AK$1)/$K321</f>
        <v>0.0462170123051666</v>
      </c>
      <c r="AL321" s="35" t="n">
        <f aca="false">($J321*AL$1)/$K321</f>
        <v>0.0471232282327189</v>
      </c>
    </row>
    <row r="322" customFormat="false" ht="15" hidden="false" customHeight="false" outlineLevel="0" collapsed="false">
      <c r="A322" s="5" t="s">
        <v>41</v>
      </c>
      <c r="B322" s="50" t="s">
        <v>384</v>
      </c>
      <c r="C322" s="50" t="s">
        <v>385</v>
      </c>
      <c r="D322" s="45" t="n">
        <v>18</v>
      </c>
      <c r="E322" s="45"/>
      <c r="F322" s="44" t="n">
        <v>0.047920198716335</v>
      </c>
      <c r="G322" s="44" t="n">
        <v>0.047920198716335</v>
      </c>
      <c r="H322" s="44" t="n">
        <f aca="false">+(I322+G322)/2</f>
        <v>0.0497878218045477</v>
      </c>
      <c r="I322" s="44" t="n">
        <v>0.0516554448927604</v>
      </c>
      <c r="J322" s="44" t="n">
        <v>0.0483315161361219</v>
      </c>
      <c r="K322" s="31" t="n">
        <v>1</v>
      </c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3"/>
      <c r="W322" s="33" t="n">
        <f aca="false">($H322*W$1)/$K322</f>
        <v>0.0690806027538099</v>
      </c>
      <c r="X322" s="33" t="n">
        <f aca="false">($H322*X$1)/$K322</f>
        <v>0.0709476460714805</v>
      </c>
      <c r="Y322" s="33" t="n">
        <f aca="false">($H322*Y$1)/$K322</f>
        <v>0.072814689389151</v>
      </c>
      <c r="Z322" s="34" t="n">
        <f aca="false">($I322*Z$1)/$K322</f>
        <v>0.0774831673391406</v>
      </c>
      <c r="AA322" s="34" t="n">
        <f aca="false">($I322*AA$1)/$K322</f>
        <v>0.0794202465226191</v>
      </c>
      <c r="AB322" s="34" t="n">
        <f aca="false">($I322*AB$1)/$K322</f>
        <v>0.0813573257060976</v>
      </c>
      <c r="AC322" s="34" t="n">
        <f aca="false">($I322*AC$1)/$K322</f>
        <v>0.0832944048895761</v>
      </c>
      <c r="AD322" s="35" t="n">
        <f aca="false">($J322*AD$1)/$K322</f>
        <v>0.0797470016246012</v>
      </c>
      <c r="AE322" s="35" t="n">
        <f aca="false">($J322*AE$1)/$K322</f>
        <v>0.0815594334797057</v>
      </c>
      <c r="AF322" s="35" t="n">
        <f aca="false">($J322*AF$1)/$K322</f>
        <v>0.0833718653348103</v>
      </c>
      <c r="AG322" s="35"/>
      <c r="AH322" s="35"/>
      <c r="AI322" s="35"/>
      <c r="AJ322" s="35"/>
      <c r="AK322" s="35"/>
      <c r="AL322" s="35"/>
    </row>
    <row r="323" customFormat="false" ht="15" hidden="false" customHeight="false" outlineLevel="0" collapsed="false">
      <c r="A323" s="5" t="s">
        <v>41</v>
      </c>
      <c r="B323" s="50" t="s">
        <v>386</v>
      </c>
      <c r="C323" s="50" t="s">
        <v>387</v>
      </c>
      <c r="D323" s="45" t="n">
        <v>18</v>
      </c>
      <c r="E323" s="45"/>
      <c r="F323" s="44" t="n">
        <v>0.047920198716335</v>
      </c>
      <c r="G323" s="44" t="n">
        <v>0.047920198716335</v>
      </c>
      <c r="H323" s="44" t="n">
        <f aca="false">+(I323+G323)/2</f>
        <v>0.0497878218045477</v>
      </c>
      <c r="I323" s="44" t="n">
        <v>0.0516554448927604</v>
      </c>
      <c r="J323" s="44" t="n">
        <v>0.0483315161361219</v>
      </c>
      <c r="K323" s="31" t="n">
        <v>1</v>
      </c>
      <c r="L323" s="32"/>
      <c r="M323" s="32"/>
      <c r="N323" s="32"/>
      <c r="O323" s="32"/>
      <c r="P323" s="32"/>
      <c r="Q323" s="32"/>
      <c r="R323" s="32" t="n">
        <f aca="false">($G323*R$1)/$K323</f>
        <v>0.057504238459602</v>
      </c>
      <c r="S323" s="32" t="n">
        <f aca="false">($G323*S$1)/$K323</f>
        <v>0.0593012459114645</v>
      </c>
      <c r="T323" s="32" t="n">
        <f aca="false">($G323*T$1)/$K323</f>
        <v>0.0610982533633271</v>
      </c>
      <c r="U323" s="32" t="n">
        <f aca="false">($G323*U$1)/$K323</f>
        <v>0.0628952608151897</v>
      </c>
      <c r="V323" s="33" t="n">
        <f aca="false">($H323*V$1)/$K323</f>
        <v>0.0672135594361394</v>
      </c>
      <c r="W323" s="33" t="n">
        <f aca="false">($H323*W$1)/$K323</f>
        <v>0.0690806027538099</v>
      </c>
      <c r="X323" s="33" t="n">
        <f aca="false">($H323*X$1)/$K323</f>
        <v>0.0709476460714805</v>
      </c>
      <c r="Y323" s="33"/>
      <c r="Z323" s="34"/>
      <c r="AA323" s="34"/>
      <c r="AB323" s="34"/>
      <c r="AC323" s="34"/>
      <c r="AD323" s="35"/>
      <c r="AE323" s="35"/>
      <c r="AF323" s="35"/>
      <c r="AG323" s="35"/>
      <c r="AH323" s="35"/>
      <c r="AI323" s="35"/>
      <c r="AJ323" s="35"/>
      <c r="AK323" s="35"/>
      <c r="AL323" s="35"/>
    </row>
    <row r="324" customFormat="false" ht="15" hidden="false" customHeight="false" outlineLevel="0" collapsed="false">
      <c r="A324" s="5" t="s">
        <v>41</v>
      </c>
      <c r="B324" s="50" t="s">
        <v>388</v>
      </c>
      <c r="C324" s="50" t="s">
        <v>389</v>
      </c>
      <c r="D324" s="45" t="n">
        <v>18</v>
      </c>
      <c r="E324" s="45"/>
      <c r="F324" s="44" t="n">
        <v>0.047920198716335</v>
      </c>
      <c r="G324" s="44" t="n">
        <v>0.047920198716335</v>
      </c>
      <c r="H324" s="44" t="n">
        <f aca="false">+(I324+G324)/2</f>
        <v>0.0497878218045477</v>
      </c>
      <c r="I324" s="44" t="n">
        <v>0.0516554448927604</v>
      </c>
      <c r="J324" s="44" t="n">
        <v>0.0483315161361219</v>
      </c>
      <c r="K324" s="31" t="n">
        <v>1</v>
      </c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3"/>
      <c r="W324" s="33" t="n">
        <f aca="false">($H324*W$1)/$K324</f>
        <v>0.0690806027538099</v>
      </c>
      <c r="X324" s="33" t="n">
        <f aca="false">($H324*X$1)/$K324</f>
        <v>0.0709476460714805</v>
      </c>
      <c r="Y324" s="33" t="n">
        <f aca="false">($H324*Y$1)/$K324</f>
        <v>0.072814689389151</v>
      </c>
      <c r="Z324" s="34" t="n">
        <f aca="false">($I324*Z$1)/$K324</f>
        <v>0.0774831673391406</v>
      </c>
      <c r="AA324" s="34" t="n">
        <f aca="false">($I324*AA$1)/$K324</f>
        <v>0.0794202465226191</v>
      </c>
      <c r="AB324" s="34" t="n">
        <f aca="false">($I324*AB$1)/$K324</f>
        <v>0.0813573257060976</v>
      </c>
      <c r="AC324" s="34" t="n">
        <f aca="false">($I324*AC$1)/$K324</f>
        <v>0.0832944048895761</v>
      </c>
      <c r="AD324" s="35" t="n">
        <f aca="false">($J324*AD$1)/$K324</f>
        <v>0.0797470016246012</v>
      </c>
      <c r="AE324" s="35" t="n">
        <f aca="false">($J324*AE$1)/$K324</f>
        <v>0.0815594334797057</v>
      </c>
      <c r="AF324" s="35" t="n">
        <f aca="false">($J324*AF$1)/$K324</f>
        <v>0.0833718653348103</v>
      </c>
      <c r="AG324" s="35" t="n">
        <f aca="false">($J324*AG$1)/$K324</f>
        <v>0.0851842971899149</v>
      </c>
      <c r="AH324" s="35" t="n">
        <f aca="false">($J324*AH$1)/$K324</f>
        <v>0.0869967290450194</v>
      </c>
      <c r="AI324" s="35" t="n">
        <f aca="false">($J324*AI$1)/$K324</f>
        <v>0.088809160900124</v>
      </c>
      <c r="AJ324" s="35" t="n">
        <f aca="false">($J324*AJ$1)/$K324</f>
        <v>0.0906215927552286</v>
      </c>
      <c r="AK324" s="35" t="n">
        <f aca="false">($J324*AK$1)/$K324</f>
        <v>0.0924340246103331</v>
      </c>
      <c r="AL324" s="35" t="n">
        <f aca="false">($J324*AL$1)/$K324</f>
        <v>0.0942464564654377</v>
      </c>
    </row>
    <row r="325" customFormat="false" ht="15" hidden="false" customHeight="false" outlineLevel="0" collapsed="false">
      <c r="A325" s="5" t="s">
        <v>41</v>
      </c>
      <c r="B325" s="50" t="s">
        <v>380</v>
      </c>
      <c r="C325" s="50" t="s">
        <v>381</v>
      </c>
      <c r="D325" s="45" t="n">
        <v>19</v>
      </c>
      <c r="E325" s="45"/>
      <c r="F325" s="44" t="n">
        <v>0.047920198716335</v>
      </c>
      <c r="G325" s="44" t="n">
        <v>0.047920198716335</v>
      </c>
      <c r="H325" s="44" t="n">
        <f aca="false">+(I325+G325)/2</f>
        <v>0.0497878218045477</v>
      </c>
      <c r="I325" s="44" t="n">
        <v>0.0516554448927604</v>
      </c>
      <c r="J325" s="44" t="n">
        <v>0.0483315161361219</v>
      </c>
      <c r="K325" s="31" t="n">
        <v>2</v>
      </c>
      <c r="L325" s="32"/>
      <c r="M325" s="32"/>
      <c r="N325" s="32"/>
      <c r="O325" s="32"/>
      <c r="P325" s="32"/>
      <c r="Q325" s="32"/>
      <c r="R325" s="32" t="n">
        <f aca="false">($G325*R$1)/$K325</f>
        <v>0.028752119229801</v>
      </c>
      <c r="S325" s="32" t="n">
        <f aca="false">($G325*S$1)/$K325</f>
        <v>0.0296506229557323</v>
      </c>
      <c r="T325" s="32" t="n">
        <f aca="false">($G325*T$1)/$K325</f>
        <v>0.0305491266816635</v>
      </c>
      <c r="U325" s="32" t="n">
        <f aca="false">($G325*U$1)/$K325</f>
        <v>0.0314476304075948</v>
      </c>
      <c r="V325" s="33" t="n">
        <f aca="false">($H325*V$1)/$K325</f>
        <v>0.0336067797180697</v>
      </c>
      <c r="W325" s="33" t="n">
        <f aca="false">($H325*W$1)/$K325</f>
        <v>0.034540301376905</v>
      </c>
      <c r="X325" s="33" t="n">
        <f aca="false">($H325*X$1)/$K325</f>
        <v>0.0354738230357402</v>
      </c>
      <c r="Y325" s="33" t="n">
        <f aca="false">($H325*Y$1)/$K325</f>
        <v>0.0364073446945755</v>
      </c>
      <c r="Z325" s="34" t="n">
        <f aca="false">($I325*Z$1)/$K325</f>
        <v>0.0387415836695703</v>
      </c>
      <c r="AA325" s="34" t="n">
        <f aca="false">($I325*AA$1)/$K325</f>
        <v>0.0397101232613095</v>
      </c>
      <c r="AB325" s="34" t="n">
        <f aca="false">($I325*AB$1)/$K325</f>
        <v>0.0406786628530488</v>
      </c>
      <c r="AC325" s="34" t="n">
        <f aca="false">($I325*AC$1)/$K325</f>
        <v>0.0416472024447881</v>
      </c>
      <c r="AD325" s="35" t="n">
        <f aca="false">($J325*AD$1)/$K325</f>
        <v>0.0398735008123006</v>
      </c>
      <c r="AE325" s="35" t="n">
        <f aca="false">($J325*AE$1)/$K325</f>
        <v>0.0407797167398529</v>
      </c>
      <c r="AF325" s="35" t="n">
        <f aca="false">($J325*AF$1)/$K325</f>
        <v>0.0416859326674052</v>
      </c>
      <c r="AG325" s="35" t="n">
        <f aca="false">($J325*AG$1)/$K325</f>
        <v>0.0425921485949574</v>
      </c>
      <c r="AH325" s="35" t="n">
        <f aca="false">($J325*AH$1)/$K325</f>
        <v>0.0434983645225097</v>
      </c>
      <c r="AI325" s="35" t="n">
        <f aca="false">($J325*AI$1)/$K325</f>
        <v>0.044404580450062</v>
      </c>
      <c r="AJ325" s="35" t="n">
        <f aca="false">($J325*AJ$1)/$K325</f>
        <v>0.0453107963776143</v>
      </c>
      <c r="AK325" s="35" t="n">
        <f aca="false">($J325*AK$1)/$K325</f>
        <v>0.0462170123051666</v>
      </c>
      <c r="AL325" s="35" t="n">
        <f aca="false">($J325*AL$1)/$K325</f>
        <v>0.0471232282327189</v>
      </c>
    </row>
    <row r="326" customFormat="false" ht="15" hidden="false" customHeight="false" outlineLevel="0" collapsed="false">
      <c r="A326" s="5" t="s">
        <v>41</v>
      </c>
      <c r="B326" s="50" t="s">
        <v>382</v>
      </c>
      <c r="C326" s="50" t="s">
        <v>383</v>
      </c>
      <c r="D326" s="45" t="n">
        <v>19</v>
      </c>
      <c r="E326" s="45"/>
      <c r="F326" s="44" t="n">
        <v>0.047920198716335</v>
      </c>
      <c r="G326" s="44" t="n">
        <v>0.047920198716335</v>
      </c>
      <c r="H326" s="44" t="n">
        <f aca="false">+(I326+G326)/2</f>
        <v>0.0497878218045477</v>
      </c>
      <c r="I326" s="44" t="n">
        <v>0.0516554448927604</v>
      </c>
      <c r="J326" s="44" t="n">
        <v>0.0483315161361219</v>
      </c>
      <c r="K326" s="31" t="n">
        <v>2</v>
      </c>
      <c r="L326" s="32"/>
      <c r="M326" s="32"/>
      <c r="N326" s="32"/>
      <c r="O326" s="32"/>
      <c r="P326" s="32"/>
      <c r="Q326" s="32"/>
      <c r="R326" s="32" t="n">
        <f aca="false">($G326*R$1)/$K326</f>
        <v>0.028752119229801</v>
      </c>
      <c r="S326" s="32" t="n">
        <f aca="false">($G326*S$1)/$K326</f>
        <v>0.0296506229557323</v>
      </c>
      <c r="T326" s="32" t="n">
        <f aca="false">($G326*T$1)/$K326</f>
        <v>0.0305491266816635</v>
      </c>
      <c r="U326" s="32" t="n">
        <f aca="false">($G326*U$1)/$K326</f>
        <v>0.0314476304075948</v>
      </c>
      <c r="V326" s="33" t="n">
        <f aca="false">($H326*V$1)/$K326</f>
        <v>0.0336067797180697</v>
      </c>
      <c r="W326" s="33" t="n">
        <f aca="false">($H326*W$1)/$K326</f>
        <v>0.034540301376905</v>
      </c>
      <c r="X326" s="33" t="n">
        <f aca="false">($H326*X$1)/$K326</f>
        <v>0.0354738230357402</v>
      </c>
      <c r="Y326" s="33" t="n">
        <f aca="false">($H326*Y$1)/$K326</f>
        <v>0.0364073446945755</v>
      </c>
      <c r="Z326" s="34" t="n">
        <f aca="false">($I326*Z$1)/$K326</f>
        <v>0.0387415836695703</v>
      </c>
      <c r="AA326" s="34" t="n">
        <f aca="false">($I326*AA$1)/$K326</f>
        <v>0.0397101232613095</v>
      </c>
      <c r="AB326" s="34" t="n">
        <f aca="false">($I326*AB$1)/$K326</f>
        <v>0.0406786628530488</v>
      </c>
      <c r="AC326" s="34" t="n">
        <f aca="false">($I326*AC$1)/$K326</f>
        <v>0.0416472024447881</v>
      </c>
      <c r="AD326" s="35" t="n">
        <f aca="false">($J326*AD$1)/$K326</f>
        <v>0.0398735008123006</v>
      </c>
      <c r="AE326" s="35" t="n">
        <f aca="false">($J326*AE$1)/$K326</f>
        <v>0.0407797167398529</v>
      </c>
      <c r="AF326" s="35" t="n">
        <f aca="false">($J326*AF$1)/$K326</f>
        <v>0.0416859326674052</v>
      </c>
      <c r="AG326" s="35" t="n">
        <f aca="false">($J326*AG$1)/$K326</f>
        <v>0.0425921485949574</v>
      </c>
      <c r="AH326" s="35" t="n">
        <f aca="false">($J326*AH$1)/$K326</f>
        <v>0.0434983645225097</v>
      </c>
      <c r="AI326" s="35" t="n">
        <f aca="false">($J326*AI$1)/$K326</f>
        <v>0.044404580450062</v>
      </c>
      <c r="AJ326" s="35" t="n">
        <f aca="false">($J326*AJ$1)/$K326</f>
        <v>0.0453107963776143</v>
      </c>
      <c r="AK326" s="35" t="n">
        <f aca="false">($J326*AK$1)/$K326</f>
        <v>0.0462170123051666</v>
      </c>
      <c r="AL326" s="35" t="n">
        <f aca="false">($J326*AL$1)/$K326</f>
        <v>0.0471232282327189</v>
      </c>
    </row>
    <row r="327" customFormat="false" ht="15" hidden="false" customHeight="false" outlineLevel="0" collapsed="false">
      <c r="A327" s="5" t="s">
        <v>41</v>
      </c>
      <c r="B327" s="50" t="s">
        <v>384</v>
      </c>
      <c r="C327" s="50" t="s">
        <v>385</v>
      </c>
      <c r="D327" s="45" t="n">
        <v>19</v>
      </c>
      <c r="E327" s="45"/>
      <c r="F327" s="44" t="n">
        <v>0.047920198716335</v>
      </c>
      <c r="G327" s="44" t="n">
        <v>0.047920198716335</v>
      </c>
      <c r="H327" s="44" t="n">
        <f aca="false">+(I327+G327)/2</f>
        <v>0.0497878218045477</v>
      </c>
      <c r="I327" s="44" t="n">
        <v>0.0516554448927604</v>
      </c>
      <c r="J327" s="44" t="n">
        <v>0.0483315161361219</v>
      </c>
      <c r="K327" s="31" t="n">
        <v>1</v>
      </c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3"/>
      <c r="W327" s="33" t="n">
        <f aca="false">($H327*W$1)/$K327</f>
        <v>0.0690806027538099</v>
      </c>
      <c r="X327" s="33" t="n">
        <f aca="false">($H327*X$1)/$K327</f>
        <v>0.0709476460714805</v>
      </c>
      <c r="Y327" s="33" t="n">
        <f aca="false">($H327*Y$1)/$K327</f>
        <v>0.072814689389151</v>
      </c>
      <c r="Z327" s="34" t="n">
        <f aca="false">($I327*Z$1)/$K327</f>
        <v>0.0774831673391406</v>
      </c>
      <c r="AA327" s="34" t="n">
        <f aca="false">($I327*AA$1)/$K327</f>
        <v>0.0794202465226191</v>
      </c>
      <c r="AB327" s="34" t="n">
        <f aca="false">($I327*AB$1)/$K327</f>
        <v>0.0813573257060976</v>
      </c>
      <c r="AC327" s="34" t="n">
        <f aca="false">($I327*AC$1)/$K327</f>
        <v>0.0832944048895761</v>
      </c>
      <c r="AD327" s="35" t="n">
        <f aca="false">($J327*AD$1)/$K327</f>
        <v>0.0797470016246012</v>
      </c>
      <c r="AE327" s="35" t="n">
        <f aca="false">($J327*AE$1)/$K327</f>
        <v>0.0815594334797057</v>
      </c>
      <c r="AF327" s="35" t="n">
        <f aca="false">($J327*AF$1)/$K327</f>
        <v>0.0833718653348103</v>
      </c>
      <c r="AG327" s="35"/>
      <c r="AH327" s="35"/>
      <c r="AI327" s="35"/>
      <c r="AJ327" s="35"/>
      <c r="AK327" s="35"/>
      <c r="AL327" s="35"/>
    </row>
    <row r="328" customFormat="false" ht="15" hidden="false" customHeight="false" outlineLevel="0" collapsed="false">
      <c r="A328" s="5" t="s">
        <v>41</v>
      </c>
      <c r="B328" s="50" t="s">
        <v>386</v>
      </c>
      <c r="C328" s="50" t="s">
        <v>387</v>
      </c>
      <c r="D328" s="45" t="n">
        <v>19</v>
      </c>
      <c r="E328" s="45"/>
      <c r="F328" s="44" t="n">
        <v>0.047920198716335</v>
      </c>
      <c r="G328" s="44" t="n">
        <v>0.047920198716335</v>
      </c>
      <c r="H328" s="44" t="n">
        <f aca="false">+(I328+G328)/2</f>
        <v>0.0497878218045477</v>
      </c>
      <c r="I328" s="44" t="n">
        <v>0.0516554448927604</v>
      </c>
      <c r="J328" s="44" t="n">
        <v>0.0483315161361219</v>
      </c>
      <c r="K328" s="31" t="n">
        <v>1</v>
      </c>
      <c r="L328" s="32"/>
      <c r="M328" s="32"/>
      <c r="N328" s="32"/>
      <c r="O328" s="32"/>
      <c r="P328" s="32"/>
      <c r="Q328" s="32"/>
      <c r="R328" s="32" t="n">
        <f aca="false">($G328*R$1)/$K328</f>
        <v>0.057504238459602</v>
      </c>
      <c r="S328" s="32" t="n">
        <f aca="false">($G328*S$1)/$K328</f>
        <v>0.0593012459114645</v>
      </c>
      <c r="T328" s="32" t="n">
        <f aca="false">($G328*T$1)/$K328</f>
        <v>0.0610982533633271</v>
      </c>
      <c r="U328" s="32" t="n">
        <f aca="false">($G328*U$1)/$K328</f>
        <v>0.0628952608151897</v>
      </c>
      <c r="V328" s="33" t="n">
        <f aca="false">($H328*V$1)/$K328</f>
        <v>0.0672135594361394</v>
      </c>
      <c r="W328" s="33" t="n">
        <f aca="false">($H328*W$1)/$K328</f>
        <v>0.0690806027538099</v>
      </c>
      <c r="X328" s="33" t="n">
        <f aca="false">($H328*X$1)/$K328</f>
        <v>0.0709476460714805</v>
      </c>
      <c r="Y328" s="33"/>
      <c r="Z328" s="34"/>
      <c r="AA328" s="34"/>
      <c r="AB328" s="34"/>
      <c r="AC328" s="34"/>
      <c r="AD328" s="35"/>
      <c r="AE328" s="35"/>
      <c r="AF328" s="35"/>
      <c r="AG328" s="35"/>
      <c r="AH328" s="35"/>
      <c r="AI328" s="35"/>
      <c r="AJ328" s="35"/>
      <c r="AK328" s="35"/>
      <c r="AL328" s="35"/>
    </row>
    <row r="329" customFormat="false" ht="15" hidden="false" customHeight="false" outlineLevel="0" collapsed="false">
      <c r="A329" s="5" t="s">
        <v>41</v>
      </c>
      <c r="B329" s="50" t="s">
        <v>388</v>
      </c>
      <c r="C329" s="50" t="s">
        <v>389</v>
      </c>
      <c r="D329" s="45" t="n">
        <v>19</v>
      </c>
      <c r="E329" s="45"/>
      <c r="F329" s="44" t="n">
        <v>0.047920198716335</v>
      </c>
      <c r="G329" s="44" t="n">
        <v>0.047920198716335</v>
      </c>
      <c r="H329" s="44" t="n">
        <f aca="false">+(I329+G329)/2</f>
        <v>0.0497878218045477</v>
      </c>
      <c r="I329" s="44" t="n">
        <v>0.0516554448927604</v>
      </c>
      <c r="J329" s="44" t="n">
        <v>0.0483315161361219</v>
      </c>
      <c r="K329" s="31" t="n">
        <v>1</v>
      </c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3"/>
      <c r="W329" s="33" t="n">
        <f aca="false">($H329*W$1)/$K329</f>
        <v>0.0690806027538099</v>
      </c>
      <c r="X329" s="33" t="n">
        <f aca="false">($H329*X$1)/$K329</f>
        <v>0.0709476460714805</v>
      </c>
      <c r="Y329" s="33" t="n">
        <f aca="false">($H329*Y$1)/$K329</f>
        <v>0.072814689389151</v>
      </c>
      <c r="Z329" s="34" t="n">
        <f aca="false">($I329*Z$1)/$K329</f>
        <v>0.0774831673391406</v>
      </c>
      <c r="AA329" s="34" t="n">
        <f aca="false">($I329*AA$1)/$K329</f>
        <v>0.0794202465226191</v>
      </c>
      <c r="AB329" s="34" t="n">
        <f aca="false">($I329*AB$1)/$K329</f>
        <v>0.0813573257060976</v>
      </c>
      <c r="AC329" s="34" t="n">
        <f aca="false">($I329*AC$1)/$K329</f>
        <v>0.0832944048895761</v>
      </c>
      <c r="AD329" s="35" t="n">
        <f aca="false">($J329*AD$1)/$K329</f>
        <v>0.0797470016246012</v>
      </c>
      <c r="AE329" s="35" t="n">
        <f aca="false">($J329*AE$1)/$K329</f>
        <v>0.0815594334797057</v>
      </c>
      <c r="AF329" s="35" t="n">
        <f aca="false">($J329*AF$1)/$K329</f>
        <v>0.0833718653348103</v>
      </c>
      <c r="AG329" s="35" t="n">
        <f aca="false">($J329*AG$1)/$K329</f>
        <v>0.0851842971899149</v>
      </c>
      <c r="AH329" s="35" t="n">
        <f aca="false">($J329*AH$1)/$K329</f>
        <v>0.0869967290450194</v>
      </c>
      <c r="AI329" s="35" t="n">
        <f aca="false">($J329*AI$1)/$K329</f>
        <v>0.088809160900124</v>
      </c>
      <c r="AJ329" s="35" t="n">
        <f aca="false">($J329*AJ$1)/$K329</f>
        <v>0.0906215927552286</v>
      </c>
      <c r="AK329" s="35" t="n">
        <f aca="false">($J329*AK$1)/$K329</f>
        <v>0.0924340246103331</v>
      </c>
      <c r="AL329" s="35" t="n">
        <f aca="false">($J329*AL$1)/$K329</f>
        <v>0.0942464564654377</v>
      </c>
    </row>
    <row r="330" customFormat="false" ht="15" hidden="false" customHeight="false" outlineLevel="0" collapsed="false">
      <c r="A330" s="5" t="s">
        <v>41</v>
      </c>
      <c r="B330" s="50" t="s">
        <v>380</v>
      </c>
      <c r="C330" s="50" t="s">
        <v>381</v>
      </c>
      <c r="D330" s="45" t="n">
        <v>20</v>
      </c>
      <c r="E330" s="45"/>
      <c r="F330" s="44" t="n">
        <v>0.047920198716335</v>
      </c>
      <c r="G330" s="44" t="n">
        <v>0.047920198716335</v>
      </c>
      <c r="H330" s="44" t="n">
        <f aca="false">+(I330+G330)/2</f>
        <v>0.0497878218045477</v>
      </c>
      <c r="I330" s="44" t="n">
        <v>0.0516554448927604</v>
      </c>
      <c r="J330" s="44" t="n">
        <v>0.0483315161361219</v>
      </c>
      <c r="K330" s="31" t="n">
        <v>2</v>
      </c>
      <c r="L330" s="32"/>
      <c r="M330" s="32"/>
      <c r="N330" s="32"/>
      <c r="O330" s="32"/>
      <c r="P330" s="32"/>
      <c r="Q330" s="32"/>
      <c r="R330" s="32" t="n">
        <f aca="false">($G330*R$1)/$K330</f>
        <v>0.028752119229801</v>
      </c>
      <c r="S330" s="32" t="n">
        <f aca="false">($G330*S$1)/$K330</f>
        <v>0.0296506229557323</v>
      </c>
      <c r="T330" s="32" t="n">
        <f aca="false">($G330*T$1)/$K330</f>
        <v>0.0305491266816635</v>
      </c>
      <c r="U330" s="32" t="n">
        <f aca="false">($G330*U$1)/$K330</f>
        <v>0.0314476304075948</v>
      </c>
      <c r="V330" s="33" t="n">
        <f aca="false">($H330*V$1)/$K330</f>
        <v>0.0336067797180697</v>
      </c>
      <c r="W330" s="33" t="n">
        <f aca="false">($H330*W$1)/$K330</f>
        <v>0.034540301376905</v>
      </c>
      <c r="X330" s="33" t="n">
        <f aca="false">($H330*X$1)/$K330</f>
        <v>0.0354738230357402</v>
      </c>
      <c r="Y330" s="33" t="n">
        <f aca="false">($H330*Y$1)/$K330</f>
        <v>0.0364073446945755</v>
      </c>
      <c r="Z330" s="34" t="n">
        <f aca="false">($I330*Z$1)/$K330</f>
        <v>0.0387415836695703</v>
      </c>
      <c r="AA330" s="34" t="n">
        <f aca="false">($I330*AA$1)/$K330</f>
        <v>0.0397101232613095</v>
      </c>
      <c r="AB330" s="34" t="n">
        <f aca="false">($I330*AB$1)/$K330</f>
        <v>0.0406786628530488</v>
      </c>
      <c r="AC330" s="34" t="n">
        <f aca="false">($I330*AC$1)/$K330</f>
        <v>0.0416472024447881</v>
      </c>
      <c r="AD330" s="35" t="n">
        <f aca="false">($J330*AD$1)/$K330</f>
        <v>0.0398735008123006</v>
      </c>
      <c r="AE330" s="35" t="n">
        <f aca="false">($J330*AE$1)/$K330</f>
        <v>0.0407797167398529</v>
      </c>
      <c r="AF330" s="35" t="n">
        <f aca="false">($J330*AF$1)/$K330</f>
        <v>0.0416859326674052</v>
      </c>
      <c r="AG330" s="35" t="n">
        <f aca="false">($J330*AG$1)/$K330</f>
        <v>0.0425921485949574</v>
      </c>
      <c r="AH330" s="35" t="n">
        <f aca="false">($J330*AH$1)/$K330</f>
        <v>0.0434983645225097</v>
      </c>
      <c r="AI330" s="35" t="n">
        <f aca="false">($J330*AI$1)/$K330</f>
        <v>0.044404580450062</v>
      </c>
      <c r="AJ330" s="35" t="n">
        <f aca="false">($J330*AJ$1)/$K330</f>
        <v>0.0453107963776143</v>
      </c>
      <c r="AK330" s="35" t="n">
        <f aca="false">($J330*AK$1)/$K330</f>
        <v>0.0462170123051666</v>
      </c>
      <c r="AL330" s="35" t="n">
        <f aca="false">($J330*AL$1)/$K330</f>
        <v>0.0471232282327189</v>
      </c>
    </row>
    <row r="331" customFormat="false" ht="15" hidden="false" customHeight="false" outlineLevel="0" collapsed="false">
      <c r="A331" s="5" t="s">
        <v>41</v>
      </c>
      <c r="B331" s="50" t="s">
        <v>382</v>
      </c>
      <c r="C331" s="50" t="s">
        <v>383</v>
      </c>
      <c r="D331" s="45" t="n">
        <v>20</v>
      </c>
      <c r="E331" s="45"/>
      <c r="F331" s="44" t="n">
        <v>0.047920198716335</v>
      </c>
      <c r="G331" s="44" t="n">
        <v>0.047920198716335</v>
      </c>
      <c r="H331" s="44" t="n">
        <f aca="false">+(I331+G331)/2</f>
        <v>0.0497878218045477</v>
      </c>
      <c r="I331" s="44" t="n">
        <v>0.0516554448927604</v>
      </c>
      <c r="J331" s="44" t="n">
        <v>0.0483315161361219</v>
      </c>
      <c r="K331" s="31" t="n">
        <v>2</v>
      </c>
      <c r="L331" s="32"/>
      <c r="M331" s="32"/>
      <c r="N331" s="32"/>
      <c r="O331" s="32"/>
      <c r="P331" s="32"/>
      <c r="Q331" s="32"/>
      <c r="R331" s="32" t="n">
        <f aca="false">($G331*R$1)/$K331</f>
        <v>0.028752119229801</v>
      </c>
      <c r="S331" s="32" t="n">
        <f aca="false">($G331*S$1)/$K331</f>
        <v>0.0296506229557323</v>
      </c>
      <c r="T331" s="32" t="n">
        <f aca="false">($G331*T$1)/$K331</f>
        <v>0.0305491266816635</v>
      </c>
      <c r="U331" s="32" t="n">
        <f aca="false">($G331*U$1)/$K331</f>
        <v>0.0314476304075948</v>
      </c>
      <c r="V331" s="33" t="n">
        <f aca="false">($H331*V$1)/$K331</f>
        <v>0.0336067797180697</v>
      </c>
      <c r="W331" s="33" t="n">
        <f aca="false">($H331*W$1)/$K331</f>
        <v>0.034540301376905</v>
      </c>
      <c r="X331" s="33" t="n">
        <f aca="false">($H331*X$1)/$K331</f>
        <v>0.0354738230357402</v>
      </c>
      <c r="Y331" s="33" t="n">
        <f aca="false">($H331*Y$1)/$K331</f>
        <v>0.0364073446945755</v>
      </c>
      <c r="Z331" s="34" t="n">
        <f aca="false">($I331*Z$1)/$K331</f>
        <v>0.0387415836695703</v>
      </c>
      <c r="AA331" s="34" t="n">
        <f aca="false">($I331*AA$1)/$K331</f>
        <v>0.0397101232613095</v>
      </c>
      <c r="AB331" s="34" t="n">
        <f aca="false">($I331*AB$1)/$K331</f>
        <v>0.0406786628530488</v>
      </c>
      <c r="AC331" s="34" t="n">
        <f aca="false">($I331*AC$1)/$K331</f>
        <v>0.0416472024447881</v>
      </c>
      <c r="AD331" s="35" t="n">
        <f aca="false">($J331*AD$1)/$K331</f>
        <v>0.0398735008123006</v>
      </c>
      <c r="AE331" s="35" t="n">
        <f aca="false">($J331*AE$1)/$K331</f>
        <v>0.0407797167398529</v>
      </c>
      <c r="AF331" s="35" t="n">
        <f aca="false">($J331*AF$1)/$K331</f>
        <v>0.0416859326674052</v>
      </c>
      <c r="AG331" s="35" t="n">
        <f aca="false">($J331*AG$1)/$K331</f>
        <v>0.0425921485949574</v>
      </c>
      <c r="AH331" s="35" t="n">
        <f aca="false">($J331*AH$1)/$K331</f>
        <v>0.0434983645225097</v>
      </c>
      <c r="AI331" s="35" t="n">
        <f aca="false">($J331*AI$1)/$K331</f>
        <v>0.044404580450062</v>
      </c>
      <c r="AJ331" s="35" t="n">
        <f aca="false">($J331*AJ$1)/$K331</f>
        <v>0.0453107963776143</v>
      </c>
      <c r="AK331" s="35" t="n">
        <f aca="false">($J331*AK$1)/$K331</f>
        <v>0.0462170123051666</v>
      </c>
      <c r="AL331" s="35" t="n">
        <f aca="false">($J331*AL$1)/$K331</f>
        <v>0.0471232282327189</v>
      </c>
    </row>
    <row r="332" customFormat="false" ht="15" hidden="false" customHeight="false" outlineLevel="0" collapsed="false">
      <c r="A332" s="5" t="s">
        <v>41</v>
      </c>
      <c r="B332" s="50" t="s">
        <v>384</v>
      </c>
      <c r="C332" s="50" t="s">
        <v>385</v>
      </c>
      <c r="D332" s="45" t="n">
        <v>20</v>
      </c>
      <c r="E332" s="45"/>
      <c r="F332" s="44" t="n">
        <v>0.047920198716335</v>
      </c>
      <c r="G332" s="44" t="n">
        <v>0.047920198716335</v>
      </c>
      <c r="H332" s="44" t="n">
        <f aca="false">+(I332+G332)/2</f>
        <v>0.0497878218045477</v>
      </c>
      <c r="I332" s="44" t="n">
        <v>0.0516554448927604</v>
      </c>
      <c r="J332" s="44" t="n">
        <v>0.0483315161361219</v>
      </c>
      <c r="K332" s="31" t="n">
        <v>1</v>
      </c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3"/>
      <c r="W332" s="33" t="n">
        <f aca="false">($H332*W$1)/$K332</f>
        <v>0.0690806027538099</v>
      </c>
      <c r="X332" s="33" t="n">
        <f aca="false">($H332*X$1)/$K332</f>
        <v>0.0709476460714805</v>
      </c>
      <c r="Y332" s="33" t="n">
        <f aca="false">($H332*Y$1)/$K332</f>
        <v>0.072814689389151</v>
      </c>
      <c r="Z332" s="34" t="n">
        <f aca="false">($I332*Z$1)/$K332</f>
        <v>0.0774831673391406</v>
      </c>
      <c r="AA332" s="34" t="n">
        <f aca="false">($I332*AA$1)/$K332</f>
        <v>0.0794202465226191</v>
      </c>
      <c r="AB332" s="34" t="n">
        <f aca="false">($I332*AB$1)/$K332</f>
        <v>0.0813573257060976</v>
      </c>
      <c r="AC332" s="34" t="n">
        <f aca="false">($I332*AC$1)/$K332</f>
        <v>0.0832944048895761</v>
      </c>
      <c r="AD332" s="35" t="n">
        <f aca="false">($J332*AD$1)/$K332</f>
        <v>0.0797470016246012</v>
      </c>
      <c r="AE332" s="35" t="n">
        <f aca="false">($J332*AE$1)/$K332</f>
        <v>0.0815594334797057</v>
      </c>
      <c r="AF332" s="35" t="n">
        <f aca="false">($J332*AF$1)/$K332</f>
        <v>0.0833718653348103</v>
      </c>
      <c r="AG332" s="35"/>
      <c r="AH332" s="35"/>
      <c r="AI332" s="35"/>
      <c r="AJ332" s="35"/>
      <c r="AK332" s="35"/>
      <c r="AL332" s="35"/>
    </row>
    <row r="333" customFormat="false" ht="15" hidden="false" customHeight="false" outlineLevel="0" collapsed="false">
      <c r="A333" s="5" t="s">
        <v>41</v>
      </c>
      <c r="B333" s="50" t="s">
        <v>386</v>
      </c>
      <c r="C333" s="50" t="s">
        <v>387</v>
      </c>
      <c r="D333" s="45" t="n">
        <v>20</v>
      </c>
      <c r="E333" s="45"/>
      <c r="F333" s="44" t="n">
        <v>0.047920198716335</v>
      </c>
      <c r="G333" s="44" t="n">
        <v>0.047920198716335</v>
      </c>
      <c r="H333" s="44" t="n">
        <f aca="false">+(I333+G333)/2</f>
        <v>0.0497878218045477</v>
      </c>
      <c r="I333" s="44" t="n">
        <v>0.0516554448927604</v>
      </c>
      <c r="J333" s="44" t="n">
        <v>0.0483315161361219</v>
      </c>
      <c r="K333" s="31" t="n">
        <v>1</v>
      </c>
      <c r="L333" s="32"/>
      <c r="M333" s="32"/>
      <c r="N333" s="32"/>
      <c r="O333" s="32"/>
      <c r="P333" s="32"/>
      <c r="Q333" s="32"/>
      <c r="R333" s="32" t="n">
        <f aca="false">($G333*R$1)/$K333</f>
        <v>0.057504238459602</v>
      </c>
      <c r="S333" s="32" t="n">
        <f aca="false">($G333*S$1)/$K333</f>
        <v>0.0593012459114645</v>
      </c>
      <c r="T333" s="32" t="n">
        <f aca="false">($G333*T$1)/$K333</f>
        <v>0.0610982533633271</v>
      </c>
      <c r="U333" s="32" t="n">
        <f aca="false">($G333*U$1)/$K333</f>
        <v>0.0628952608151897</v>
      </c>
      <c r="V333" s="33" t="n">
        <f aca="false">($H333*V$1)/$K333</f>
        <v>0.0672135594361394</v>
      </c>
      <c r="W333" s="33" t="n">
        <f aca="false">($H333*W$1)/$K333</f>
        <v>0.0690806027538099</v>
      </c>
      <c r="X333" s="33" t="n">
        <f aca="false">($H333*X$1)/$K333</f>
        <v>0.0709476460714805</v>
      </c>
      <c r="Y333" s="33"/>
      <c r="Z333" s="34"/>
      <c r="AA333" s="34"/>
      <c r="AB333" s="34"/>
      <c r="AC333" s="34"/>
      <c r="AD333" s="35"/>
      <c r="AE333" s="35"/>
      <c r="AF333" s="35"/>
      <c r="AG333" s="35"/>
      <c r="AH333" s="35"/>
      <c r="AI333" s="35"/>
      <c r="AJ333" s="35"/>
      <c r="AK333" s="35"/>
      <c r="AL333" s="35"/>
    </row>
    <row r="334" customFormat="false" ht="15" hidden="false" customHeight="false" outlineLevel="0" collapsed="false">
      <c r="A334" s="5" t="s">
        <v>41</v>
      </c>
      <c r="B334" s="50" t="s">
        <v>388</v>
      </c>
      <c r="C334" s="50" t="s">
        <v>389</v>
      </c>
      <c r="D334" s="45" t="n">
        <v>20</v>
      </c>
      <c r="E334" s="45"/>
      <c r="F334" s="44" t="n">
        <v>0.047920198716335</v>
      </c>
      <c r="G334" s="44" t="n">
        <v>0.047920198716335</v>
      </c>
      <c r="H334" s="44" t="n">
        <f aca="false">+(I334+G334)/2</f>
        <v>0.0497878218045477</v>
      </c>
      <c r="I334" s="44" t="n">
        <v>0.0516554448927604</v>
      </c>
      <c r="J334" s="44" t="n">
        <v>0.0483315161361219</v>
      </c>
      <c r="K334" s="31" t="n">
        <v>1</v>
      </c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3"/>
      <c r="W334" s="33" t="n">
        <f aca="false">($H334*W$1)/$K334</f>
        <v>0.0690806027538099</v>
      </c>
      <c r="X334" s="33" t="n">
        <f aca="false">($H334*X$1)/$K334</f>
        <v>0.0709476460714805</v>
      </c>
      <c r="Y334" s="33" t="n">
        <f aca="false">($H334*Y$1)/$K334</f>
        <v>0.072814689389151</v>
      </c>
      <c r="Z334" s="34" t="n">
        <f aca="false">($I334*Z$1)/$K334</f>
        <v>0.0774831673391406</v>
      </c>
      <c r="AA334" s="34" t="n">
        <f aca="false">($I334*AA$1)/$K334</f>
        <v>0.0794202465226191</v>
      </c>
      <c r="AB334" s="34" t="n">
        <f aca="false">($I334*AB$1)/$K334</f>
        <v>0.0813573257060976</v>
      </c>
      <c r="AC334" s="34" t="n">
        <f aca="false">($I334*AC$1)/$K334</f>
        <v>0.0832944048895761</v>
      </c>
      <c r="AD334" s="35" t="n">
        <f aca="false">($J334*AD$1)/$K334</f>
        <v>0.0797470016246012</v>
      </c>
      <c r="AE334" s="35" t="n">
        <f aca="false">($J334*AE$1)/$K334</f>
        <v>0.0815594334797057</v>
      </c>
      <c r="AF334" s="35" t="n">
        <f aca="false">($J334*AF$1)/$K334</f>
        <v>0.0833718653348103</v>
      </c>
      <c r="AG334" s="35" t="n">
        <f aca="false">($J334*AG$1)/$K334</f>
        <v>0.0851842971899149</v>
      </c>
      <c r="AH334" s="35" t="n">
        <f aca="false">($J334*AH$1)/$K334</f>
        <v>0.0869967290450194</v>
      </c>
      <c r="AI334" s="35" t="n">
        <f aca="false">($J334*AI$1)/$K334</f>
        <v>0.088809160900124</v>
      </c>
      <c r="AJ334" s="35" t="n">
        <f aca="false">($J334*AJ$1)/$K334</f>
        <v>0.0906215927552286</v>
      </c>
      <c r="AK334" s="35" t="n">
        <f aca="false">($J334*AK$1)/$K334</f>
        <v>0.0924340246103331</v>
      </c>
      <c r="AL334" s="35" t="n">
        <f aca="false">($J334*AL$1)/$K334</f>
        <v>0.0942464564654377</v>
      </c>
    </row>
    <row r="335" customFormat="false" ht="15" hidden="false" customHeight="false" outlineLevel="0" collapsed="false">
      <c r="A335" s="5" t="s">
        <v>41</v>
      </c>
      <c r="B335" s="50" t="s">
        <v>380</v>
      </c>
      <c r="C335" s="50" t="s">
        <v>381</v>
      </c>
      <c r="D335" s="45" t="n">
        <v>21</v>
      </c>
      <c r="E335" s="45"/>
      <c r="F335" s="44" t="n">
        <v>0.047920198716335</v>
      </c>
      <c r="G335" s="44" t="n">
        <v>0.047920198716335</v>
      </c>
      <c r="H335" s="44" t="n">
        <f aca="false">+(I335+G335)/2</f>
        <v>0.0497878218045477</v>
      </c>
      <c r="I335" s="44" t="n">
        <v>0.0516554448927604</v>
      </c>
      <c r="J335" s="44" t="n">
        <v>0.0483315161361219</v>
      </c>
      <c r="K335" s="31" t="n">
        <v>2</v>
      </c>
      <c r="L335" s="32"/>
      <c r="M335" s="32"/>
      <c r="N335" s="32"/>
      <c r="O335" s="32"/>
      <c r="P335" s="32"/>
      <c r="Q335" s="32"/>
      <c r="R335" s="32" t="n">
        <f aca="false">($G335*R$1)/$K335</f>
        <v>0.028752119229801</v>
      </c>
      <c r="S335" s="32" t="n">
        <f aca="false">($G335*S$1)/$K335</f>
        <v>0.0296506229557323</v>
      </c>
      <c r="T335" s="32" t="n">
        <f aca="false">($G335*T$1)/$K335</f>
        <v>0.0305491266816635</v>
      </c>
      <c r="U335" s="32" t="n">
        <f aca="false">($G335*U$1)/$K335</f>
        <v>0.0314476304075948</v>
      </c>
      <c r="V335" s="33" t="n">
        <f aca="false">($H335*V$1)/$K335</f>
        <v>0.0336067797180697</v>
      </c>
      <c r="W335" s="33" t="n">
        <f aca="false">($H335*W$1)/$K335</f>
        <v>0.034540301376905</v>
      </c>
      <c r="X335" s="33" t="n">
        <f aca="false">($H335*X$1)/$K335</f>
        <v>0.0354738230357402</v>
      </c>
      <c r="Y335" s="33" t="n">
        <f aca="false">($H335*Y$1)/$K335</f>
        <v>0.0364073446945755</v>
      </c>
      <c r="Z335" s="34" t="n">
        <f aca="false">($I335*Z$1)/$K335</f>
        <v>0.0387415836695703</v>
      </c>
      <c r="AA335" s="34" t="n">
        <f aca="false">($I335*AA$1)/$K335</f>
        <v>0.0397101232613095</v>
      </c>
      <c r="AB335" s="34" t="n">
        <f aca="false">($I335*AB$1)/$K335</f>
        <v>0.0406786628530488</v>
      </c>
      <c r="AC335" s="34" t="n">
        <f aca="false">($I335*AC$1)/$K335</f>
        <v>0.0416472024447881</v>
      </c>
      <c r="AD335" s="35" t="n">
        <f aca="false">($J335*AD$1)/$K335</f>
        <v>0.0398735008123006</v>
      </c>
      <c r="AE335" s="35" t="n">
        <f aca="false">($J335*AE$1)/$K335</f>
        <v>0.0407797167398529</v>
      </c>
      <c r="AF335" s="35" t="n">
        <f aca="false">($J335*AF$1)/$K335</f>
        <v>0.0416859326674052</v>
      </c>
      <c r="AG335" s="35" t="n">
        <f aca="false">($J335*AG$1)/$K335</f>
        <v>0.0425921485949574</v>
      </c>
      <c r="AH335" s="35" t="n">
        <f aca="false">($J335*AH$1)/$K335</f>
        <v>0.0434983645225097</v>
      </c>
      <c r="AI335" s="35" t="n">
        <f aca="false">($J335*AI$1)/$K335</f>
        <v>0.044404580450062</v>
      </c>
      <c r="AJ335" s="35" t="n">
        <f aca="false">($J335*AJ$1)/$K335</f>
        <v>0.0453107963776143</v>
      </c>
      <c r="AK335" s="35" t="n">
        <f aca="false">($J335*AK$1)/$K335</f>
        <v>0.0462170123051666</v>
      </c>
      <c r="AL335" s="35" t="n">
        <f aca="false">($J335*AL$1)/$K335</f>
        <v>0.0471232282327189</v>
      </c>
    </row>
    <row r="336" customFormat="false" ht="15" hidden="false" customHeight="false" outlineLevel="0" collapsed="false">
      <c r="A336" s="5" t="s">
        <v>41</v>
      </c>
      <c r="B336" s="50" t="s">
        <v>382</v>
      </c>
      <c r="C336" s="50" t="s">
        <v>383</v>
      </c>
      <c r="D336" s="45" t="n">
        <v>21</v>
      </c>
      <c r="E336" s="45"/>
      <c r="F336" s="44" t="n">
        <v>0.047920198716335</v>
      </c>
      <c r="G336" s="44" t="n">
        <v>0.047920198716335</v>
      </c>
      <c r="H336" s="44" t="n">
        <f aca="false">+(I336+G336)/2</f>
        <v>0.0497878218045477</v>
      </c>
      <c r="I336" s="44" t="n">
        <v>0.0516554448927604</v>
      </c>
      <c r="J336" s="44" t="n">
        <v>0.0483315161361219</v>
      </c>
      <c r="K336" s="31" t="n">
        <v>2</v>
      </c>
      <c r="L336" s="32"/>
      <c r="M336" s="32"/>
      <c r="N336" s="32"/>
      <c r="O336" s="32"/>
      <c r="P336" s="32"/>
      <c r="Q336" s="32"/>
      <c r="R336" s="32" t="n">
        <f aca="false">($G336*R$1)/$K336</f>
        <v>0.028752119229801</v>
      </c>
      <c r="S336" s="32" t="n">
        <f aca="false">($G336*S$1)/$K336</f>
        <v>0.0296506229557323</v>
      </c>
      <c r="T336" s="32" t="n">
        <f aca="false">($G336*T$1)/$K336</f>
        <v>0.0305491266816635</v>
      </c>
      <c r="U336" s="32" t="n">
        <f aca="false">($G336*U$1)/$K336</f>
        <v>0.0314476304075948</v>
      </c>
      <c r="V336" s="33" t="n">
        <f aca="false">($H336*V$1)/$K336</f>
        <v>0.0336067797180697</v>
      </c>
      <c r="W336" s="33" t="n">
        <f aca="false">($H336*W$1)/$K336</f>
        <v>0.034540301376905</v>
      </c>
      <c r="X336" s="33" t="n">
        <f aca="false">($H336*X$1)/$K336</f>
        <v>0.0354738230357402</v>
      </c>
      <c r="Y336" s="33" t="n">
        <f aca="false">($H336*Y$1)/$K336</f>
        <v>0.0364073446945755</v>
      </c>
      <c r="Z336" s="34" t="n">
        <f aca="false">($I336*Z$1)/$K336</f>
        <v>0.0387415836695703</v>
      </c>
      <c r="AA336" s="34" t="n">
        <f aca="false">($I336*AA$1)/$K336</f>
        <v>0.0397101232613095</v>
      </c>
      <c r="AB336" s="34" t="n">
        <f aca="false">($I336*AB$1)/$K336</f>
        <v>0.0406786628530488</v>
      </c>
      <c r="AC336" s="34" t="n">
        <f aca="false">($I336*AC$1)/$K336</f>
        <v>0.0416472024447881</v>
      </c>
      <c r="AD336" s="35" t="n">
        <f aca="false">($J336*AD$1)/$K336</f>
        <v>0.0398735008123006</v>
      </c>
      <c r="AE336" s="35" t="n">
        <f aca="false">($J336*AE$1)/$K336</f>
        <v>0.0407797167398529</v>
      </c>
      <c r="AF336" s="35" t="n">
        <f aca="false">($J336*AF$1)/$K336</f>
        <v>0.0416859326674052</v>
      </c>
      <c r="AG336" s="35" t="n">
        <f aca="false">($J336*AG$1)/$K336</f>
        <v>0.0425921485949574</v>
      </c>
      <c r="AH336" s="35" t="n">
        <f aca="false">($J336*AH$1)/$K336</f>
        <v>0.0434983645225097</v>
      </c>
      <c r="AI336" s="35" t="n">
        <f aca="false">($J336*AI$1)/$K336</f>
        <v>0.044404580450062</v>
      </c>
      <c r="AJ336" s="35" t="n">
        <f aca="false">($J336*AJ$1)/$K336</f>
        <v>0.0453107963776143</v>
      </c>
      <c r="AK336" s="35" t="n">
        <f aca="false">($J336*AK$1)/$K336</f>
        <v>0.0462170123051666</v>
      </c>
      <c r="AL336" s="35" t="n">
        <f aca="false">($J336*AL$1)/$K336</f>
        <v>0.0471232282327189</v>
      </c>
    </row>
    <row r="337" customFormat="false" ht="15" hidden="false" customHeight="false" outlineLevel="0" collapsed="false">
      <c r="A337" s="5" t="s">
        <v>41</v>
      </c>
      <c r="B337" s="50" t="s">
        <v>384</v>
      </c>
      <c r="C337" s="50" t="s">
        <v>385</v>
      </c>
      <c r="D337" s="45" t="n">
        <v>21</v>
      </c>
      <c r="E337" s="45"/>
      <c r="F337" s="44" t="n">
        <v>0.047920198716335</v>
      </c>
      <c r="G337" s="44" t="n">
        <v>0.047920198716335</v>
      </c>
      <c r="H337" s="44" t="n">
        <f aca="false">+(I337+G337)/2</f>
        <v>0.0497878218045477</v>
      </c>
      <c r="I337" s="44" t="n">
        <v>0.0516554448927604</v>
      </c>
      <c r="J337" s="44" t="n">
        <v>0.0483315161361219</v>
      </c>
      <c r="K337" s="31" t="n">
        <v>1</v>
      </c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3"/>
      <c r="W337" s="33" t="n">
        <f aca="false">($H337*W$1)/$K337</f>
        <v>0.0690806027538099</v>
      </c>
      <c r="X337" s="33" t="n">
        <f aca="false">($H337*X$1)/$K337</f>
        <v>0.0709476460714805</v>
      </c>
      <c r="Y337" s="33" t="n">
        <f aca="false">($H337*Y$1)/$K337</f>
        <v>0.072814689389151</v>
      </c>
      <c r="Z337" s="34" t="n">
        <f aca="false">($I337*Z$1)/$K337</f>
        <v>0.0774831673391406</v>
      </c>
      <c r="AA337" s="34" t="n">
        <f aca="false">($I337*AA$1)/$K337</f>
        <v>0.0794202465226191</v>
      </c>
      <c r="AB337" s="34" t="n">
        <f aca="false">($I337*AB$1)/$K337</f>
        <v>0.0813573257060976</v>
      </c>
      <c r="AC337" s="34" t="n">
        <f aca="false">($I337*AC$1)/$K337</f>
        <v>0.0832944048895761</v>
      </c>
      <c r="AD337" s="35" t="n">
        <f aca="false">($J337*AD$1)/$K337</f>
        <v>0.0797470016246012</v>
      </c>
      <c r="AE337" s="35" t="n">
        <f aca="false">($J337*AE$1)/$K337</f>
        <v>0.0815594334797057</v>
      </c>
      <c r="AF337" s="35" t="n">
        <f aca="false">($J337*AF$1)/$K337</f>
        <v>0.0833718653348103</v>
      </c>
      <c r="AG337" s="35"/>
      <c r="AH337" s="35"/>
      <c r="AI337" s="35"/>
      <c r="AJ337" s="35"/>
      <c r="AK337" s="35"/>
      <c r="AL337" s="35"/>
    </row>
    <row r="338" customFormat="false" ht="15" hidden="false" customHeight="false" outlineLevel="0" collapsed="false">
      <c r="A338" s="5" t="s">
        <v>41</v>
      </c>
      <c r="B338" s="50" t="s">
        <v>386</v>
      </c>
      <c r="C338" s="50" t="s">
        <v>387</v>
      </c>
      <c r="D338" s="45" t="n">
        <v>21</v>
      </c>
      <c r="E338" s="45"/>
      <c r="F338" s="44" t="n">
        <v>0.047920198716335</v>
      </c>
      <c r="G338" s="44" t="n">
        <v>0.047920198716335</v>
      </c>
      <c r="H338" s="44" t="n">
        <f aca="false">+(I338+G338)/2</f>
        <v>0.0497878218045477</v>
      </c>
      <c r="I338" s="44" t="n">
        <v>0.0516554448927604</v>
      </c>
      <c r="J338" s="44" t="n">
        <v>0.0483315161361219</v>
      </c>
      <c r="K338" s="31" t="n">
        <v>1</v>
      </c>
      <c r="L338" s="32"/>
      <c r="M338" s="32"/>
      <c r="N338" s="32"/>
      <c r="O338" s="32"/>
      <c r="P338" s="32"/>
      <c r="Q338" s="32"/>
      <c r="R338" s="32" t="n">
        <f aca="false">($G338*R$1)/$K338</f>
        <v>0.057504238459602</v>
      </c>
      <c r="S338" s="32" t="n">
        <f aca="false">($G338*S$1)/$K338</f>
        <v>0.0593012459114645</v>
      </c>
      <c r="T338" s="32" t="n">
        <f aca="false">($G338*T$1)/$K338</f>
        <v>0.0610982533633271</v>
      </c>
      <c r="U338" s="32" t="n">
        <f aca="false">($G338*U$1)/$K338</f>
        <v>0.0628952608151897</v>
      </c>
      <c r="V338" s="33" t="n">
        <f aca="false">($H338*V$1)/$K338</f>
        <v>0.0672135594361394</v>
      </c>
      <c r="W338" s="33" t="n">
        <f aca="false">($H338*W$1)/$K338</f>
        <v>0.0690806027538099</v>
      </c>
      <c r="X338" s="33" t="n">
        <f aca="false">($H338*X$1)/$K338</f>
        <v>0.0709476460714805</v>
      </c>
      <c r="Y338" s="33"/>
      <c r="Z338" s="34"/>
      <c r="AA338" s="34"/>
      <c r="AB338" s="34"/>
      <c r="AC338" s="34"/>
      <c r="AD338" s="35"/>
      <c r="AE338" s="35"/>
      <c r="AF338" s="35"/>
      <c r="AG338" s="35"/>
      <c r="AH338" s="35"/>
      <c r="AI338" s="35"/>
      <c r="AJ338" s="35"/>
      <c r="AK338" s="35"/>
      <c r="AL338" s="35"/>
    </row>
    <row r="339" customFormat="false" ht="15" hidden="false" customHeight="false" outlineLevel="0" collapsed="false">
      <c r="A339" s="5" t="s">
        <v>41</v>
      </c>
      <c r="B339" s="50" t="s">
        <v>388</v>
      </c>
      <c r="C339" s="50" t="s">
        <v>389</v>
      </c>
      <c r="D339" s="45" t="n">
        <v>21</v>
      </c>
      <c r="E339" s="45"/>
      <c r="F339" s="44" t="n">
        <v>0.047920198716335</v>
      </c>
      <c r="G339" s="44" t="n">
        <v>0.047920198716335</v>
      </c>
      <c r="H339" s="44" t="n">
        <f aca="false">+(I339+G339)/2</f>
        <v>0.0497878218045477</v>
      </c>
      <c r="I339" s="44" t="n">
        <v>0.0516554448927604</v>
      </c>
      <c r="J339" s="44" t="n">
        <v>0.0483315161361219</v>
      </c>
      <c r="K339" s="31" t="n">
        <v>1</v>
      </c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3"/>
      <c r="W339" s="33" t="n">
        <f aca="false">($H339*W$1)/$K339</f>
        <v>0.0690806027538099</v>
      </c>
      <c r="X339" s="33" t="n">
        <f aca="false">($H339*X$1)/$K339</f>
        <v>0.0709476460714805</v>
      </c>
      <c r="Y339" s="33" t="n">
        <f aca="false">($H339*Y$1)/$K339</f>
        <v>0.072814689389151</v>
      </c>
      <c r="Z339" s="34" t="n">
        <f aca="false">($I339*Z$1)/$K339</f>
        <v>0.0774831673391406</v>
      </c>
      <c r="AA339" s="34" t="n">
        <f aca="false">($I339*AA$1)/$K339</f>
        <v>0.0794202465226191</v>
      </c>
      <c r="AB339" s="34" t="n">
        <f aca="false">($I339*AB$1)/$K339</f>
        <v>0.0813573257060976</v>
      </c>
      <c r="AC339" s="34" t="n">
        <f aca="false">($I339*AC$1)/$K339</f>
        <v>0.0832944048895761</v>
      </c>
      <c r="AD339" s="35" t="n">
        <f aca="false">($J339*AD$1)/$K339</f>
        <v>0.0797470016246012</v>
      </c>
      <c r="AE339" s="35" t="n">
        <f aca="false">($J339*AE$1)/$K339</f>
        <v>0.0815594334797057</v>
      </c>
      <c r="AF339" s="35" t="n">
        <f aca="false">($J339*AF$1)/$K339</f>
        <v>0.0833718653348103</v>
      </c>
      <c r="AG339" s="35" t="n">
        <f aca="false">($J339*AG$1)/$K339</f>
        <v>0.0851842971899149</v>
      </c>
      <c r="AH339" s="35" t="n">
        <f aca="false">($J339*AH$1)/$K339</f>
        <v>0.0869967290450194</v>
      </c>
      <c r="AI339" s="35" t="n">
        <f aca="false">($J339*AI$1)/$K339</f>
        <v>0.088809160900124</v>
      </c>
      <c r="AJ339" s="35" t="n">
        <f aca="false">($J339*AJ$1)/$K339</f>
        <v>0.0906215927552286</v>
      </c>
      <c r="AK339" s="35" t="n">
        <f aca="false">($J339*AK$1)/$K339</f>
        <v>0.0924340246103331</v>
      </c>
      <c r="AL339" s="35" t="n">
        <f aca="false">($J339*AL$1)/$K339</f>
        <v>0.0942464564654377</v>
      </c>
    </row>
    <row r="340" customFormat="false" ht="15" hidden="false" customHeight="false" outlineLevel="0" collapsed="false">
      <c r="A340" s="5" t="s">
        <v>41</v>
      </c>
      <c r="B340" s="50" t="s">
        <v>390</v>
      </c>
      <c r="C340" s="50" t="s">
        <v>391</v>
      </c>
      <c r="D340" s="45" t="n">
        <v>16</v>
      </c>
      <c r="E340" s="45"/>
      <c r="F340" s="44" t="n">
        <v>0.047920198716335</v>
      </c>
      <c r="G340" s="44" t="n">
        <v>0.047920198716335</v>
      </c>
      <c r="H340" s="44" t="n">
        <f aca="false">+(I340+G340)/2</f>
        <v>0.0497878218045477</v>
      </c>
      <c r="I340" s="44" t="n">
        <v>0.0516554448927604</v>
      </c>
      <c r="J340" s="44" t="n">
        <v>0.0483315161361219</v>
      </c>
      <c r="K340" s="31" t="n">
        <v>2</v>
      </c>
      <c r="L340" s="32"/>
      <c r="M340" s="32"/>
      <c r="N340" s="32"/>
      <c r="O340" s="32"/>
      <c r="P340" s="32"/>
      <c r="Q340" s="32"/>
      <c r="R340" s="32" t="n">
        <f aca="false">($G340*R$1)/$K340</f>
        <v>0.028752119229801</v>
      </c>
      <c r="S340" s="32" t="n">
        <f aca="false">($G340*S$1)/$K340</f>
        <v>0.0296506229557323</v>
      </c>
      <c r="T340" s="32" t="n">
        <f aca="false">($G340*T$1)/$K340</f>
        <v>0.0305491266816635</v>
      </c>
      <c r="U340" s="32" t="n">
        <f aca="false">($G340*U$1)/$K340</f>
        <v>0.0314476304075948</v>
      </c>
      <c r="V340" s="33" t="n">
        <f aca="false">($H340*V$1)/$K340</f>
        <v>0.0336067797180697</v>
      </c>
      <c r="W340" s="33" t="n">
        <f aca="false">($H340*W$1)/$K340</f>
        <v>0.034540301376905</v>
      </c>
      <c r="X340" s="33" t="n">
        <f aca="false">($H340*X$1)/$K340</f>
        <v>0.0354738230357402</v>
      </c>
      <c r="Y340" s="33" t="n">
        <f aca="false">($H340*Y$1)/$K340</f>
        <v>0.0364073446945755</v>
      </c>
      <c r="Z340" s="34" t="n">
        <f aca="false">($I340*Z$1)/$K340</f>
        <v>0.0387415836695703</v>
      </c>
      <c r="AA340" s="34" t="n">
        <f aca="false">($I340*AA$1)/$K340</f>
        <v>0.0397101232613095</v>
      </c>
      <c r="AB340" s="34" t="n">
        <f aca="false">($I340*AB$1)/$K340</f>
        <v>0.0406786628530488</v>
      </c>
      <c r="AC340" s="34" t="n">
        <f aca="false">($I340*AC$1)/$K340</f>
        <v>0.0416472024447881</v>
      </c>
      <c r="AD340" s="35" t="n">
        <f aca="false">($J340*AD$1)/$K340</f>
        <v>0.0398735008123006</v>
      </c>
      <c r="AE340" s="35" t="n">
        <f aca="false">($J340*AE$1)/$K340</f>
        <v>0.0407797167398529</v>
      </c>
      <c r="AF340" s="35" t="n">
        <f aca="false">($J340*AF$1)/$K340</f>
        <v>0.0416859326674052</v>
      </c>
      <c r="AG340" s="35" t="n">
        <f aca="false">($J340*AG$1)/$K340</f>
        <v>0.0425921485949574</v>
      </c>
      <c r="AH340" s="35" t="n">
        <f aca="false">($J340*AH$1)/$K340</f>
        <v>0.0434983645225097</v>
      </c>
      <c r="AI340" s="35" t="n">
        <f aca="false">($J340*AI$1)/$K340</f>
        <v>0.044404580450062</v>
      </c>
      <c r="AJ340" s="35" t="n">
        <f aca="false">($J340*AJ$1)/$K340</f>
        <v>0.0453107963776143</v>
      </c>
      <c r="AK340" s="35" t="n">
        <f aca="false">($J340*AK$1)/$K340</f>
        <v>0.0462170123051666</v>
      </c>
      <c r="AL340" s="35" t="n">
        <f aca="false">($J340*AL$1)/$K340</f>
        <v>0.0471232282327189</v>
      </c>
    </row>
    <row r="341" customFormat="false" ht="15" hidden="false" customHeight="false" outlineLevel="0" collapsed="false">
      <c r="A341" s="5" t="s">
        <v>41</v>
      </c>
      <c r="B341" s="50" t="s">
        <v>390</v>
      </c>
      <c r="C341" s="50" t="s">
        <v>391</v>
      </c>
      <c r="D341" s="45" t="n">
        <v>17</v>
      </c>
      <c r="E341" s="45"/>
      <c r="F341" s="44" t="n">
        <v>0.047920198716335</v>
      </c>
      <c r="G341" s="44" t="n">
        <v>0.047920198716335</v>
      </c>
      <c r="H341" s="44" t="n">
        <f aca="false">+(I341+G341)/2</f>
        <v>0.0497878218045477</v>
      </c>
      <c r="I341" s="44" t="n">
        <v>0.0516554448927604</v>
      </c>
      <c r="J341" s="44" t="n">
        <v>0.0483315161361219</v>
      </c>
      <c r="K341" s="31" t="n">
        <v>2</v>
      </c>
      <c r="L341" s="32"/>
      <c r="M341" s="32"/>
      <c r="N341" s="32"/>
      <c r="O341" s="32"/>
      <c r="P341" s="32"/>
      <c r="Q341" s="32"/>
      <c r="R341" s="32" t="n">
        <f aca="false">($G341*R$1)/$K341</f>
        <v>0.028752119229801</v>
      </c>
      <c r="S341" s="32" t="n">
        <f aca="false">($G341*S$1)/$K341</f>
        <v>0.0296506229557323</v>
      </c>
      <c r="T341" s="32" t="n">
        <f aca="false">($G341*T$1)/$K341</f>
        <v>0.0305491266816635</v>
      </c>
      <c r="U341" s="32" t="n">
        <f aca="false">($G341*U$1)/$K341</f>
        <v>0.0314476304075948</v>
      </c>
      <c r="V341" s="33" t="n">
        <f aca="false">($H341*V$1)/$K341</f>
        <v>0.0336067797180697</v>
      </c>
      <c r="W341" s="33" t="n">
        <f aca="false">($H341*W$1)/$K341</f>
        <v>0.034540301376905</v>
      </c>
      <c r="X341" s="33" t="n">
        <f aca="false">($H341*X$1)/$K341</f>
        <v>0.0354738230357402</v>
      </c>
      <c r="Y341" s="33" t="n">
        <f aca="false">($H341*Y$1)/$K341</f>
        <v>0.0364073446945755</v>
      </c>
      <c r="Z341" s="34" t="n">
        <f aca="false">($I341*Z$1)/$K341</f>
        <v>0.0387415836695703</v>
      </c>
      <c r="AA341" s="34" t="n">
        <f aca="false">($I341*AA$1)/$K341</f>
        <v>0.0397101232613095</v>
      </c>
      <c r="AB341" s="34" t="n">
        <f aca="false">($I341*AB$1)/$K341</f>
        <v>0.0406786628530488</v>
      </c>
      <c r="AC341" s="34" t="n">
        <f aca="false">($I341*AC$1)/$K341</f>
        <v>0.0416472024447881</v>
      </c>
      <c r="AD341" s="35" t="n">
        <f aca="false">($J341*AD$1)/$K341</f>
        <v>0.0398735008123006</v>
      </c>
      <c r="AE341" s="35" t="n">
        <f aca="false">($J341*AE$1)/$K341</f>
        <v>0.0407797167398529</v>
      </c>
      <c r="AF341" s="35" t="n">
        <f aca="false">($J341*AF$1)/$K341</f>
        <v>0.0416859326674052</v>
      </c>
      <c r="AG341" s="35" t="n">
        <f aca="false">($J341*AG$1)/$K341</f>
        <v>0.0425921485949574</v>
      </c>
      <c r="AH341" s="35" t="n">
        <f aca="false">($J341*AH$1)/$K341</f>
        <v>0.0434983645225097</v>
      </c>
      <c r="AI341" s="35" t="n">
        <f aca="false">($J341*AI$1)/$K341</f>
        <v>0.044404580450062</v>
      </c>
      <c r="AJ341" s="35" t="n">
        <f aca="false">($J341*AJ$1)/$K341</f>
        <v>0.0453107963776143</v>
      </c>
      <c r="AK341" s="35" t="n">
        <f aca="false">($J341*AK$1)/$K341</f>
        <v>0.0462170123051666</v>
      </c>
      <c r="AL341" s="35" t="n">
        <f aca="false">($J341*AL$1)/$K341</f>
        <v>0.0471232282327189</v>
      </c>
    </row>
    <row r="342" customFormat="false" ht="15" hidden="false" customHeight="false" outlineLevel="0" collapsed="false">
      <c r="A342" s="5" t="s">
        <v>41</v>
      </c>
      <c r="B342" s="50" t="s">
        <v>390</v>
      </c>
      <c r="C342" s="50" t="s">
        <v>391</v>
      </c>
      <c r="D342" s="45" t="n">
        <v>18</v>
      </c>
      <c r="E342" s="45"/>
      <c r="F342" s="44" t="n">
        <v>0.047920198716335</v>
      </c>
      <c r="G342" s="44" t="n">
        <v>0.047920198716335</v>
      </c>
      <c r="H342" s="44" t="n">
        <f aca="false">+(I342+G342)/2</f>
        <v>0.0497878218045477</v>
      </c>
      <c r="I342" s="44" t="n">
        <v>0.0516554448927604</v>
      </c>
      <c r="J342" s="44" t="n">
        <v>0.0483315161361219</v>
      </c>
      <c r="K342" s="31" t="n">
        <v>2</v>
      </c>
      <c r="L342" s="32"/>
      <c r="M342" s="32"/>
      <c r="N342" s="32"/>
      <c r="O342" s="32"/>
      <c r="P342" s="32"/>
      <c r="Q342" s="32"/>
      <c r="R342" s="32" t="n">
        <f aca="false">($G342*R$1)/$K342</f>
        <v>0.028752119229801</v>
      </c>
      <c r="S342" s="32" t="n">
        <f aca="false">($G342*S$1)/$K342</f>
        <v>0.0296506229557323</v>
      </c>
      <c r="T342" s="32" t="n">
        <f aca="false">($G342*T$1)/$K342</f>
        <v>0.0305491266816635</v>
      </c>
      <c r="U342" s="32" t="n">
        <f aca="false">($G342*U$1)/$K342</f>
        <v>0.0314476304075948</v>
      </c>
      <c r="V342" s="33" t="n">
        <f aca="false">($H342*V$1)/$K342</f>
        <v>0.0336067797180697</v>
      </c>
      <c r="W342" s="33" t="n">
        <f aca="false">($H342*W$1)/$K342</f>
        <v>0.034540301376905</v>
      </c>
      <c r="X342" s="33" t="n">
        <f aca="false">($H342*X$1)/$K342</f>
        <v>0.0354738230357402</v>
      </c>
      <c r="Y342" s="33" t="n">
        <f aca="false">($H342*Y$1)/$K342</f>
        <v>0.0364073446945755</v>
      </c>
      <c r="Z342" s="34" t="n">
        <f aca="false">($I342*Z$1)/$K342</f>
        <v>0.0387415836695703</v>
      </c>
      <c r="AA342" s="34" t="n">
        <f aca="false">($I342*AA$1)/$K342</f>
        <v>0.0397101232613095</v>
      </c>
      <c r="AB342" s="34" t="n">
        <f aca="false">($I342*AB$1)/$K342</f>
        <v>0.0406786628530488</v>
      </c>
      <c r="AC342" s="34" t="n">
        <f aca="false">($I342*AC$1)/$K342</f>
        <v>0.0416472024447881</v>
      </c>
      <c r="AD342" s="35" t="n">
        <f aca="false">($J342*AD$1)/$K342</f>
        <v>0.0398735008123006</v>
      </c>
      <c r="AE342" s="35" t="n">
        <f aca="false">($J342*AE$1)/$K342</f>
        <v>0.0407797167398529</v>
      </c>
      <c r="AF342" s="35" t="n">
        <f aca="false">($J342*AF$1)/$K342</f>
        <v>0.0416859326674052</v>
      </c>
      <c r="AG342" s="35" t="n">
        <f aca="false">($J342*AG$1)/$K342</f>
        <v>0.0425921485949574</v>
      </c>
      <c r="AH342" s="35" t="n">
        <f aca="false">($J342*AH$1)/$K342</f>
        <v>0.0434983645225097</v>
      </c>
      <c r="AI342" s="35" t="n">
        <f aca="false">($J342*AI$1)/$K342</f>
        <v>0.044404580450062</v>
      </c>
      <c r="AJ342" s="35" t="n">
        <f aca="false">($J342*AJ$1)/$K342</f>
        <v>0.0453107963776143</v>
      </c>
      <c r="AK342" s="35" t="n">
        <f aca="false">($J342*AK$1)/$K342</f>
        <v>0.0462170123051666</v>
      </c>
      <c r="AL342" s="35" t="n">
        <f aca="false">($J342*AL$1)/$K342</f>
        <v>0.0471232282327189</v>
      </c>
    </row>
    <row r="343" customFormat="false" ht="15" hidden="false" customHeight="false" outlineLevel="0" collapsed="false">
      <c r="A343" s="5" t="s">
        <v>41</v>
      </c>
      <c r="B343" s="50" t="s">
        <v>390</v>
      </c>
      <c r="C343" s="50" t="s">
        <v>391</v>
      </c>
      <c r="D343" s="45" t="n">
        <v>19</v>
      </c>
      <c r="E343" s="45"/>
      <c r="F343" s="44" t="n">
        <v>0.047920198716335</v>
      </c>
      <c r="G343" s="44" t="n">
        <v>0.047920198716335</v>
      </c>
      <c r="H343" s="44" t="n">
        <f aca="false">+(I343+G343)/2</f>
        <v>0.0497878218045477</v>
      </c>
      <c r="I343" s="44" t="n">
        <v>0.0516554448927604</v>
      </c>
      <c r="J343" s="44" t="n">
        <v>0.0483315161361219</v>
      </c>
      <c r="K343" s="31" t="n">
        <v>2</v>
      </c>
      <c r="L343" s="32"/>
      <c r="M343" s="32"/>
      <c r="N343" s="32"/>
      <c r="O343" s="32"/>
      <c r="P343" s="32"/>
      <c r="Q343" s="32"/>
      <c r="R343" s="32" t="n">
        <f aca="false">($G343*R$1)/$K343</f>
        <v>0.028752119229801</v>
      </c>
      <c r="S343" s="32" t="n">
        <f aca="false">($G343*S$1)/$K343</f>
        <v>0.0296506229557323</v>
      </c>
      <c r="T343" s="32" t="n">
        <f aca="false">($G343*T$1)/$K343</f>
        <v>0.0305491266816635</v>
      </c>
      <c r="U343" s="32" t="n">
        <f aca="false">($G343*U$1)/$K343</f>
        <v>0.0314476304075948</v>
      </c>
      <c r="V343" s="33" t="n">
        <f aca="false">($H343*V$1)/$K343</f>
        <v>0.0336067797180697</v>
      </c>
      <c r="W343" s="33" t="n">
        <f aca="false">($H343*W$1)/$K343</f>
        <v>0.034540301376905</v>
      </c>
      <c r="X343" s="33" t="n">
        <f aca="false">($H343*X$1)/$K343</f>
        <v>0.0354738230357402</v>
      </c>
      <c r="Y343" s="33" t="n">
        <f aca="false">($H343*Y$1)/$K343</f>
        <v>0.0364073446945755</v>
      </c>
      <c r="Z343" s="34" t="n">
        <f aca="false">($I343*Z$1)/$K343</f>
        <v>0.0387415836695703</v>
      </c>
      <c r="AA343" s="34" t="n">
        <f aca="false">($I343*AA$1)/$K343</f>
        <v>0.0397101232613095</v>
      </c>
      <c r="AB343" s="34" t="n">
        <f aca="false">($I343*AB$1)/$K343</f>
        <v>0.0406786628530488</v>
      </c>
      <c r="AC343" s="34" t="n">
        <f aca="false">($I343*AC$1)/$K343</f>
        <v>0.0416472024447881</v>
      </c>
      <c r="AD343" s="35" t="n">
        <f aca="false">($J343*AD$1)/$K343</f>
        <v>0.0398735008123006</v>
      </c>
      <c r="AE343" s="35" t="n">
        <f aca="false">($J343*AE$1)/$K343</f>
        <v>0.0407797167398529</v>
      </c>
      <c r="AF343" s="35" t="n">
        <f aca="false">($J343*AF$1)/$K343</f>
        <v>0.0416859326674052</v>
      </c>
      <c r="AG343" s="35" t="n">
        <f aca="false">($J343*AG$1)/$K343</f>
        <v>0.0425921485949574</v>
      </c>
      <c r="AH343" s="35" t="n">
        <f aca="false">($J343*AH$1)/$K343</f>
        <v>0.0434983645225097</v>
      </c>
      <c r="AI343" s="35" t="n">
        <f aca="false">($J343*AI$1)/$K343</f>
        <v>0.044404580450062</v>
      </c>
      <c r="AJ343" s="35" t="n">
        <f aca="false">($J343*AJ$1)/$K343</f>
        <v>0.0453107963776143</v>
      </c>
      <c r="AK343" s="35" t="n">
        <f aca="false">($J343*AK$1)/$K343</f>
        <v>0.0462170123051666</v>
      </c>
      <c r="AL343" s="35" t="n">
        <f aca="false">($J343*AL$1)/$K343</f>
        <v>0.0471232282327189</v>
      </c>
    </row>
    <row r="344" customFormat="false" ht="15" hidden="false" customHeight="false" outlineLevel="0" collapsed="false">
      <c r="A344" s="5" t="s">
        <v>41</v>
      </c>
      <c r="B344" s="50" t="s">
        <v>390</v>
      </c>
      <c r="C344" s="50" t="s">
        <v>391</v>
      </c>
      <c r="D344" s="45" t="n">
        <v>20</v>
      </c>
      <c r="E344" s="45"/>
      <c r="F344" s="44" t="n">
        <v>0.047920198716335</v>
      </c>
      <c r="G344" s="44" t="n">
        <v>0.047920198716335</v>
      </c>
      <c r="H344" s="44" t="n">
        <f aca="false">+(I344+G344)/2</f>
        <v>0.0497878218045477</v>
      </c>
      <c r="I344" s="44" t="n">
        <v>0.0516554448927604</v>
      </c>
      <c r="J344" s="44" t="n">
        <v>0.0483315161361219</v>
      </c>
      <c r="K344" s="31" t="n">
        <v>2</v>
      </c>
      <c r="L344" s="32"/>
      <c r="M344" s="32"/>
      <c r="N344" s="32"/>
      <c r="O344" s="32"/>
      <c r="P344" s="32"/>
      <c r="Q344" s="32"/>
      <c r="R344" s="32" t="n">
        <f aca="false">($G344*R$1)/$K344</f>
        <v>0.028752119229801</v>
      </c>
      <c r="S344" s="32" t="n">
        <f aca="false">($G344*S$1)/$K344</f>
        <v>0.0296506229557323</v>
      </c>
      <c r="T344" s="32" t="n">
        <f aca="false">($G344*T$1)/$K344</f>
        <v>0.0305491266816635</v>
      </c>
      <c r="U344" s="32" t="n">
        <f aca="false">($G344*U$1)/$K344</f>
        <v>0.0314476304075948</v>
      </c>
      <c r="V344" s="33" t="n">
        <f aca="false">($H344*V$1)/$K344</f>
        <v>0.0336067797180697</v>
      </c>
      <c r="W344" s="33" t="n">
        <f aca="false">($H344*W$1)/$K344</f>
        <v>0.034540301376905</v>
      </c>
      <c r="X344" s="33" t="n">
        <f aca="false">($H344*X$1)/$K344</f>
        <v>0.0354738230357402</v>
      </c>
      <c r="Y344" s="33" t="n">
        <f aca="false">($H344*Y$1)/$K344</f>
        <v>0.0364073446945755</v>
      </c>
      <c r="Z344" s="34" t="n">
        <f aca="false">($I344*Z$1)/$K344</f>
        <v>0.0387415836695703</v>
      </c>
      <c r="AA344" s="34" t="n">
        <f aca="false">($I344*AA$1)/$K344</f>
        <v>0.0397101232613095</v>
      </c>
      <c r="AB344" s="34" t="n">
        <f aca="false">($I344*AB$1)/$K344</f>
        <v>0.0406786628530488</v>
      </c>
      <c r="AC344" s="34" t="n">
        <f aca="false">($I344*AC$1)/$K344</f>
        <v>0.0416472024447881</v>
      </c>
      <c r="AD344" s="35" t="n">
        <f aca="false">($J344*AD$1)/$K344</f>
        <v>0.0398735008123006</v>
      </c>
      <c r="AE344" s="35" t="n">
        <f aca="false">($J344*AE$1)/$K344</f>
        <v>0.0407797167398529</v>
      </c>
      <c r="AF344" s="35" t="n">
        <f aca="false">($J344*AF$1)/$K344</f>
        <v>0.0416859326674052</v>
      </c>
      <c r="AG344" s="35" t="n">
        <f aca="false">($J344*AG$1)/$K344</f>
        <v>0.0425921485949574</v>
      </c>
      <c r="AH344" s="35" t="n">
        <f aca="false">($J344*AH$1)/$K344</f>
        <v>0.0434983645225097</v>
      </c>
      <c r="AI344" s="35" t="n">
        <f aca="false">($J344*AI$1)/$K344</f>
        <v>0.044404580450062</v>
      </c>
      <c r="AJ344" s="35" t="n">
        <f aca="false">($J344*AJ$1)/$K344</f>
        <v>0.0453107963776143</v>
      </c>
      <c r="AK344" s="35" t="n">
        <f aca="false">($J344*AK$1)/$K344</f>
        <v>0.0462170123051666</v>
      </c>
      <c r="AL344" s="35" t="n">
        <f aca="false">($J344*AL$1)/$K344</f>
        <v>0.0471232282327189</v>
      </c>
    </row>
    <row r="345" customFormat="false" ht="15" hidden="false" customHeight="false" outlineLevel="0" collapsed="false">
      <c r="A345" s="5" t="s">
        <v>41</v>
      </c>
      <c r="B345" s="50" t="s">
        <v>390</v>
      </c>
      <c r="C345" s="50" t="s">
        <v>391</v>
      </c>
      <c r="D345" s="45" t="n">
        <v>21</v>
      </c>
      <c r="E345" s="45"/>
      <c r="F345" s="44" t="n">
        <v>0.047920198716335</v>
      </c>
      <c r="G345" s="44" t="n">
        <v>0.047920198716335</v>
      </c>
      <c r="H345" s="44" t="n">
        <f aca="false">+(I345+G345)/2</f>
        <v>0.0497878218045477</v>
      </c>
      <c r="I345" s="44" t="n">
        <v>0.0516554448927604</v>
      </c>
      <c r="J345" s="44" t="n">
        <v>0.0483315161361219</v>
      </c>
      <c r="K345" s="31" t="n">
        <v>2</v>
      </c>
      <c r="L345" s="32"/>
      <c r="M345" s="32"/>
      <c r="N345" s="32"/>
      <c r="O345" s="32"/>
      <c r="P345" s="32"/>
      <c r="Q345" s="32"/>
      <c r="R345" s="32" t="n">
        <f aca="false">($G345*R$1)/$K345</f>
        <v>0.028752119229801</v>
      </c>
      <c r="S345" s="32" t="n">
        <f aca="false">($G345*S$1)/$K345</f>
        <v>0.0296506229557323</v>
      </c>
      <c r="T345" s="32" t="n">
        <f aca="false">($G345*T$1)/$K345</f>
        <v>0.0305491266816635</v>
      </c>
      <c r="U345" s="32" t="n">
        <f aca="false">($G345*U$1)/$K345</f>
        <v>0.0314476304075948</v>
      </c>
      <c r="V345" s="33" t="n">
        <f aca="false">($H345*V$1)/$K345</f>
        <v>0.0336067797180697</v>
      </c>
      <c r="W345" s="33" t="n">
        <f aca="false">($H345*W$1)/$K345</f>
        <v>0.034540301376905</v>
      </c>
      <c r="X345" s="33" t="n">
        <f aca="false">($H345*X$1)/$K345</f>
        <v>0.0354738230357402</v>
      </c>
      <c r="Y345" s="33" t="n">
        <f aca="false">($H345*Y$1)/$K345</f>
        <v>0.0364073446945755</v>
      </c>
      <c r="Z345" s="34" t="n">
        <f aca="false">($I345*Z$1)/$K345</f>
        <v>0.0387415836695703</v>
      </c>
      <c r="AA345" s="34" t="n">
        <f aca="false">($I345*AA$1)/$K345</f>
        <v>0.0397101232613095</v>
      </c>
      <c r="AB345" s="34" t="n">
        <f aca="false">($I345*AB$1)/$K345</f>
        <v>0.0406786628530488</v>
      </c>
      <c r="AC345" s="34" t="n">
        <f aca="false">($I345*AC$1)/$K345</f>
        <v>0.0416472024447881</v>
      </c>
      <c r="AD345" s="35" t="n">
        <f aca="false">($J345*AD$1)/$K345</f>
        <v>0.0398735008123006</v>
      </c>
      <c r="AE345" s="35" t="n">
        <f aca="false">($J345*AE$1)/$K345</f>
        <v>0.0407797167398529</v>
      </c>
      <c r="AF345" s="35" t="n">
        <f aca="false">($J345*AF$1)/$K345</f>
        <v>0.0416859326674052</v>
      </c>
      <c r="AG345" s="35" t="n">
        <f aca="false">($J345*AG$1)/$K345</f>
        <v>0.0425921485949574</v>
      </c>
      <c r="AH345" s="35" t="n">
        <f aca="false">($J345*AH$1)/$K345</f>
        <v>0.0434983645225097</v>
      </c>
      <c r="AI345" s="35" t="n">
        <f aca="false">($J345*AI$1)/$K345</f>
        <v>0.044404580450062</v>
      </c>
      <c r="AJ345" s="35" t="n">
        <f aca="false">($J345*AJ$1)/$K345</f>
        <v>0.0453107963776143</v>
      </c>
      <c r="AK345" s="35" t="n">
        <f aca="false">($J345*AK$1)/$K345</f>
        <v>0.0462170123051666</v>
      </c>
      <c r="AL345" s="35" t="n">
        <f aca="false">($J345*AL$1)/$K345</f>
        <v>0.0471232282327189</v>
      </c>
    </row>
    <row r="346" customFormat="false" ht="15" hidden="false" customHeight="false" outlineLevel="0" collapsed="false">
      <c r="A346" s="5" t="s">
        <v>41</v>
      </c>
      <c r="B346" s="50" t="s">
        <v>392</v>
      </c>
      <c r="C346" s="50" t="s">
        <v>393</v>
      </c>
      <c r="D346" s="45" t="n">
        <v>22</v>
      </c>
      <c r="E346" s="45"/>
      <c r="F346" s="44" t="n">
        <v>0.047920198716335</v>
      </c>
      <c r="G346" s="44" t="n">
        <v>0.047920198716335</v>
      </c>
      <c r="H346" s="44" t="n">
        <f aca="false">+(I346+G346)/2</f>
        <v>0.0497878218045477</v>
      </c>
      <c r="I346" s="44" t="n">
        <v>0.0516554448927604</v>
      </c>
      <c r="J346" s="44" t="n">
        <v>0.0483315161361219</v>
      </c>
      <c r="K346" s="31" t="n">
        <v>2</v>
      </c>
      <c r="L346" s="32"/>
      <c r="M346" s="32"/>
      <c r="N346" s="32"/>
      <c r="O346" s="32"/>
      <c r="P346" s="32"/>
      <c r="Q346" s="32"/>
      <c r="R346" s="32" t="n">
        <f aca="false">($G346*R$1)/$K346</f>
        <v>0.028752119229801</v>
      </c>
      <c r="S346" s="32" t="n">
        <f aca="false">($G346*S$1)/$K346</f>
        <v>0.0296506229557323</v>
      </c>
      <c r="T346" s="32" t="n">
        <f aca="false">($G346*T$1)/$K346</f>
        <v>0.0305491266816635</v>
      </c>
      <c r="U346" s="32" t="n">
        <f aca="false">($G346*U$1)/$K346</f>
        <v>0.0314476304075948</v>
      </c>
      <c r="V346" s="33" t="n">
        <f aca="false">($H346*V$1)/$K346</f>
        <v>0.0336067797180697</v>
      </c>
      <c r="W346" s="33" t="n">
        <f aca="false">($H346*W$1)/$K346</f>
        <v>0.034540301376905</v>
      </c>
      <c r="X346" s="33" t="n">
        <f aca="false">($H346*X$1)/$K346</f>
        <v>0.0354738230357402</v>
      </c>
      <c r="Y346" s="33" t="n">
        <f aca="false">($H346*Y$1)/$K346</f>
        <v>0.0364073446945755</v>
      </c>
      <c r="Z346" s="34" t="n">
        <f aca="false">($I346*Z$1)/$K346</f>
        <v>0.0387415836695703</v>
      </c>
      <c r="AA346" s="34" t="n">
        <f aca="false">($I346*AA$1)/$K346</f>
        <v>0.0397101232613095</v>
      </c>
      <c r="AB346" s="34" t="n">
        <f aca="false">($I346*AB$1)/$K346</f>
        <v>0.0406786628530488</v>
      </c>
      <c r="AC346" s="34" t="n">
        <f aca="false">($I346*AC$1)/$K346</f>
        <v>0.0416472024447881</v>
      </c>
      <c r="AD346" s="35" t="n">
        <f aca="false">($J346*AD$1)/$K346</f>
        <v>0.0398735008123006</v>
      </c>
      <c r="AE346" s="35" t="n">
        <f aca="false">($J346*AE$1)/$K346</f>
        <v>0.0407797167398529</v>
      </c>
      <c r="AF346" s="35" t="n">
        <f aca="false">($J346*AF$1)/$K346</f>
        <v>0.0416859326674052</v>
      </c>
      <c r="AG346" s="35" t="n">
        <f aca="false">($J346*AG$1)/$K346</f>
        <v>0.0425921485949574</v>
      </c>
      <c r="AH346" s="35" t="n">
        <f aca="false">($J346*AH$1)/$K346</f>
        <v>0.0434983645225097</v>
      </c>
      <c r="AI346" s="35" t="n">
        <f aca="false">($J346*AI$1)/$K346</f>
        <v>0.044404580450062</v>
      </c>
      <c r="AJ346" s="35" t="n">
        <f aca="false">($J346*AJ$1)/$K346</f>
        <v>0.0453107963776143</v>
      </c>
      <c r="AK346" s="35" t="n">
        <f aca="false">($J346*AK$1)/$K346</f>
        <v>0.0462170123051666</v>
      </c>
      <c r="AL346" s="35" t="n">
        <f aca="false">($J346*AL$1)/$K346</f>
        <v>0.0471232282327189</v>
      </c>
    </row>
    <row r="347" customFormat="false" ht="15" hidden="false" customHeight="false" outlineLevel="0" collapsed="false">
      <c r="A347" s="51" t="s">
        <v>49</v>
      </c>
      <c r="B347" s="50" t="s">
        <v>394</v>
      </c>
      <c r="C347" s="50" t="s">
        <v>395</v>
      </c>
      <c r="D347" s="45" t="n">
        <v>29</v>
      </c>
      <c r="E347" s="45"/>
      <c r="F347" s="44" t="n">
        <v>0.281818181818182</v>
      </c>
      <c r="G347" s="44" t="n">
        <v>0.281818181818182</v>
      </c>
      <c r="H347" s="44" t="n">
        <f aca="false">+(I347+G347)/2</f>
        <v>0.274856783378581</v>
      </c>
      <c r="I347" s="44" t="n">
        <v>0.267895384938981</v>
      </c>
      <c r="J347" s="44" t="n">
        <v>0.283899657656849</v>
      </c>
      <c r="K347" s="31" t="n">
        <v>1</v>
      </c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3"/>
      <c r="W347" s="33" t="n">
        <f aca="false">($H347*W$1)/$K347</f>
        <v>0.381363786937782</v>
      </c>
      <c r="X347" s="33" t="n">
        <f aca="false">($H347*X$1)/$K347</f>
        <v>0.391670916314478</v>
      </c>
      <c r="Y347" s="33" t="n">
        <f aca="false">($H347*Y$1)/$K347</f>
        <v>0.401978045691175</v>
      </c>
      <c r="Z347" s="34" t="n">
        <f aca="false">($I347*Z$1)/$K347</f>
        <v>0.401843077408471</v>
      </c>
      <c r="AA347" s="34" t="n">
        <f aca="false">($I347*AA$1)/$K347</f>
        <v>0.411889154343683</v>
      </c>
      <c r="AB347" s="34" t="n">
        <f aca="false">($I347*AB$1)/$K347</f>
        <v>0.421935231278895</v>
      </c>
      <c r="AC347" s="34" t="n">
        <f aca="false">($I347*AC$1)/$K347</f>
        <v>0.431981308214106</v>
      </c>
      <c r="AD347" s="35"/>
      <c r="AE347" s="35"/>
      <c r="AF347" s="35"/>
      <c r="AG347" s="35"/>
      <c r="AH347" s="35"/>
      <c r="AI347" s="35"/>
      <c r="AJ347" s="35"/>
      <c r="AK347" s="35"/>
      <c r="AL347" s="35"/>
    </row>
    <row r="348" customFormat="false" ht="15" hidden="false" customHeight="false" outlineLevel="0" collapsed="false">
      <c r="A348" s="51" t="s">
        <v>49</v>
      </c>
      <c r="B348" s="50" t="s">
        <v>396</v>
      </c>
      <c r="C348" s="50" t="s">
        <v>397</v>
      </c>
      <c r="D348" s="45" t="n">
        <v>29</v>
      </c>
      <c r="E348" s="45"/>
      <c r="F348" s="44" t="n">
        <v>0.281818181818182</v>
      </c>
      <c r="G348" s="44" t="n">
        <v>0.281818181818182</v>
      </c>
      <c r="H348" s="44" t="n">
        <f aca="false">+(I348+G348)/2</f>
        <v>0.274856783378581</v>
      </c>
      <c r="I348" s="44" t="n">
        <v>0.267895384938981</v>
      </c>
      <c r="J348" s="44" t="n">
        <v>0.283899657656849</v>
      </c>
      <c r="K348" s="31" t="n">
        <v>1</v>
      </c>
      <c r="L348" s="32"/>
      <c r="M348" s="32"/>
      <c r="N348" s="32"/>
      <c r="O348" s="32"/>
      <c r="P348" s="32"/>
      <c r="Q348" s="32"/>
      <c r="R348" s="32" t="n">
        <f aca="false">($G348*R$1)/$K348</f>
        <v>0.338181818181818</v>
      </c>
      <c r="S348" s="32" t="n">
        <f aca="false">($G348*S$1)/$K348</f>
        <v>0.34875</v>
      </c>
      <c r="T348" s="32" t="n">
        <f aca="false">($G348*T$1)/$K348</f>
        <v>0.359318181818182</v>
      </c>
      <c r="U348" s="32" t="n">
        <f aca="false">($G348*U$1)/$K348</f>
        <v>0.369886363636364</v>
      </c>
      <c r="V348" s="33"/>
      <c r="W348" s="33"/>
      <c r="X348" s="33"/>
      <c r="Y348" s="33"/>
      <c r="Z348" s="34"/>
      <c r="AA348" s="34"/>
      <c r="AB348" s="34"/>
      <c r="AC348" s="34"/>
      <c r="AD348" s="35"/>
      <c r="AE348" s="35"/>
      <c r="AF348" s="35"/>
      <c r="AG348" s="35"/>
      <c r="AH348" s="35"/>
      <c r="AI348" s="35"/>
      <c r="AJ348" s="35"/>
      <c r="AK348" s="35"/>
      <c r="AL348" s="35"/>
    </row>
    <row r="349" customFormat="false" ht="15" hidden="false" customHeight="false" outlineLevel="0" collapsed="false">
      <c r="A349" s="51" t="s">
        <v>49</v>
      </c>
      <c r="B349" s="50" t="s">
        <v>398</v>
      </c>
      <c r="C349" s="50" t="s">
        <v>399</v>
      </c>
      <c r="D349" s="45" t="n">
        <v>29</v>
      </c>
      <c r="E349" s="45"/>
      <c r="F349" s="44" t="n">
        <v>0.281818181818182</v>
      </c>
      <c r="G349" s="44" t="n">
        <v>0.281818181818182</v>
      </c>
      <c r="H349" s="44" t="n">
        <f aca="false">+(I349+G349)/2</f>
        <v>0.274856783378581</v>
      </c>
      <c r="I349" s="44" t="n">
        <v>0.267895384938981</v>
      </c>
      <c r="J349" s="44" t="n">
        <v>0.283899657656849</v>
      </c>
      <c r="K349" s="31" t="n">
        <v>1</v>
      </c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3"/>
      <c r="W349" s="33" t="n">
        <f aca="false">($H349*W$1)/$K349</f>
        <v>0.381363786937782</v>
      </c>
      <c r="X349" s="33" t="n">
        <f aca="false">($H349*X$1)/$K349</f>
        <v>0.391670916314478</v>
      </c>
      <c r="Y349" s="33" t="n">
        <f aca="false">($H349*Y$1)/$K349</f>
        <v>0.401978045691175</v>
      </c>
      <c r="Z349" s="34" t="n">
        <f aca="false">($I349*Z$1)/$K349</f>
        <v>0.401843077408471</v>
      </c>
      <c r="AA349" s="34" t="n">
        <f aca="false">($I349*AA$1)/$K349</f>
        <v>0.411889154343683</v>
      </c>
      <c r="AB349" s="34" t="n">
        <f aca="false">($I349*AB$1)/$K349</f>
        <v>0.421935231278895</v>
      </c>
      <c r="AC349" s="34" t="n">
        <f aca="false">($I349*AC$1)/$K349</f>
        <v>0.431981308214106</v>
      </c>
      <c r="AD349" s="35"/>
      <c r="AE349" s="35"/>
      <c r="AF349" s="35"/>
      <c r="AG349" s="35"/>
      <c r="AH349" s="35"/>
      <c r="AI349" s="35"/>
      <c r="AJ349" s="35"/>
      <c r="AK349" s="35"/>
      <c r="AL349" s="35"/>
    </row>
    <row r="350" customFormat="false" ht="15" hidden="false" customHeight="false" outlineLevel="0" collapsed="false">
      <c r="A350" s="51" t="s">
        <v>49</v>
      </c>
      <c r="B350" s="50" t="s">
        <v>400</v>
      </c>
      <c r="C350" s="50" t="s">
        <v>401</v>
      </c>
      <c r="D350" s="45" t="n">
        <v>29</v>
      </c>
      <c r="E350" s="45"/>
      <c r="F350" s="44" t="n">
        <v>0.281818181818182</v>
      </c>
      <c r="G350" s="44" t="n">
        <v>0.281818181818182</v>
      </c>
      <c r="H350" s="44" t="n">
        <f aca="false">+(I350+G350)/2</f>
        <v>0.274856783378581</v>
      </c>
      <c r="I350" s="44" t="n">
        <v>0.267895384938981</v>
      </c>
      <c r="J350" s="44" t="n">
        <v>0.283899657656849</v>
      </c>
      <c r="K350" s="31" t="n">
        <v>1</v>
      </c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3"/>
      <c r="W350" s="33"/>
      <c r="X350" s="33"/>
      <c r="Y350" s="33"/>
      <c r="Z350" s="34"/>
      <c r="AA350" s="34"/>
      <c r="AB350" s="34" t="n">
        <f aca="false">($I350*AB$1)/$K350</f>
        <v>0.421935231278895</v>
      </c>
      <c r="AC350" s="34" t="n">
        <f aca="false">($I350*AC$1)/$K350</f>
        <v>0.431981308214106</v>
      </c>
      <c r="AD350" s="35" t="n">
        <f aca="false">($J350*AD$1)/$K350</f>
        <v>0.468434435133801</v>
      </c>
      <c r="AE350" s="35" t="n">
        <f aca="false">($J350*AE$1)/$K350</f>
        <v>0.479080672295932</v>
      </c>
      <c r="AF350" s="35"/>
      <c r="AG350" s="35"/>
      <c r="AH350" s="35"/>
      <c r="AI350" s="35"/>
      <c r="AJ350" s="35"/>
      <c r="AK350" s="35"/>
      <c r="AL350" s="35"/>
    </row>
    <row r="351" customFormat="false" ht="15" hidden="false" customHeight="false" outlineLevel="0" collapsed="false">
      <c r="A351" s="5" t="s">
        <v>47</v>
      </c>
      <c r="B351" s="50" t="s">
        <v>402</v>
      </c>
      <c r="C351" s="50" t="s">
        <v>403</v>
      </c>
      <c r="D351" s="45" t="n">
        <v>27</v>
      </c>
      <c r="E351" s="45"/>
      <c r="F351" s="44" t="n">
        <v>0.197549546027287</v>
      </c>
      <c r="G351" s="44" t="n">
        <v>0.197549546027287</v>
      </c>
      <c r="H351" s="44" t="n">
        <v>0.247224301507888</v>
      </c>
      <c r="I351" s="44" t="n">
        <v>0.257984112860373</v>
      </c>
      <c r="J351" s="44" t="n">
        <v>0.257984112860373</v>
      </c>
      <c r="K351" s="31" t="n">
        <v>2</v>
      </c>
      <c r="L351" s="32"/>
      <c r="M351" s="32"/>
      <c r="N351" s="32"/>
      <c r="O351" s="32"/>
      <c r="P351" s="32"/>
      <c r="Q351" s="32"/>
      <c r="R351" s="32" t="n">
        <f aca="false">($G351*R$1)/$K351</f>
        <v>0.118529727616372</v>
      </c>
      <c r="S351" s="32" t="n">
        <f aca="false">($G351*S$1)/$K351</f>
        <v>0.122233781604384</v>
      </c>
      <c r="T351" s="32" t="n">
        <f aca="false">($G351*T$1)/$K351</f>
        <v>0.125937835592396</v>
      </c>
      <c r="U351" s="32" t="n">
        <f aca="false">($G351*U$1)/$K351</f>
        <v>0.129641889580407</v>
      </c>
      <c r="V351" s="33" t="n">
        <f aca="false">($H351*V$1)/$K351</f>
        <v>0.166876403517824</v>
      </c>
      <c r="W351" s="33" t="n">
        <f aca="false">($H351*W$1)/$K351</f>
        <v>0.171511859171097</v>
      </c>
      <c r="X351" s="33" t="n">
        <f aca="false">($H351*X$1)/$K351</f>
        <v>0.17614731482437</v>
      </c>
      <c r="Y351" s="33" t="n">
        <f aca="false">($H351*Y$1)/$K351</f>
        <v>0.180782770477643</v>
      </c>
      <c r="Z351" s="34" t="n">
        <f aca="false">($I351*Z$1)/$K351</f>
        <v>0.19348808464528</v>
      </c>
      <c r="AA351" s="34" t="n">
        <f aca="false">($I351*AA$1)/$K351</f>
        <v>0.198325286761411</v>
      </c>
      <c r="AB351" s="34" t="n">
        <f aca="false">($I351*AB$1)/$K351</f>
        <v>0.203162488877543</v>
      </c>
      <c r="AC351" s="34" t="n">
        <f aca="false">($I351*AC$1)/$K351</f>
        <v>0.207999690993675</v>
      </c>
      <c r="AD351" s="35" t="n">
        <f aca="false">($J351*AD$1)/$K351</f>
        <v>0.212836893109807</v>
      </c>
      <c r="AE351" s="35" t="n">
        <f aca="false">($J351*AE$1)/$K351</f>
        <v>0.217674095225939</v>
      </c>
      <c r="AF351" s="35" t="n">
        <f aca="false">($J351*AF$1)/$K351</f>
        <v>0.222511297342071</v>
      </c>
      <c r="AG351" s="35" t="n">
        <f aca="false">($J351*AG$1)/$K351</f>
        <v>0.227348499458203</v>
      </c>
      <c r="AH351" s="35" t="n">
        <f aca="false">($J351*AH$1)/$K351</f>
        <v>0.232185701574335</v>
      </c>
      <c r="AI351" s="35" t="n">
        <f aca="false">($J351*AI$1)/$K351</f>
        <v>0.237022903690467</v>
      </c>
      <c r="AJ351" s="35" t="n">
        <f aca="false">($J351*AJ$1)/$K351</f>
        <v>0.241860105806599</v>
      </c>
      <c r="AK351" s="35" t="n">
        <f aca="false">($J351*AK$1)/$K351</f>
        <v>0.246697307922731</v>
      </c>
      <c r="AL351" s="35" t="n">
        <f aca="false">($J351*AL$1)/$K351</f>
        <v>0.251534510038863</v>
      </c>
    </row>
    <row r="352" customFormat="false" ht="15" hidden="false" customHeight="false" outlineLevel="0" collapsed="false">
      <c r="A352" s="5" t="s">
        <v>47</v>
      </c>
      <c r="B352" s="50" t="s">
        <v>404</v>
      </c>
      <c r="C352" s="50" t="s">
        <v>405</v>
      </c>
      <c r="D352" s="45" t="n">
        <v>27</v>
      </c>
      <c r="E352" s="45"/>
      <c r="F352" s="44" t="n">
        <v>0.197549546027287</v>
      </c>
      <c r="G352" s="44" t="n">
        <v>0.197549546027287</v>
      </c>
      <c r="H352" s="44" t="n">
        <v>0.247224301507888</v>
      </c>
      <c r="I352" s="44" t="n">
        <v>0.257984112860373</v>
      </c>
      <c r="J352" s="44" t="n">
        <v>0.257984112860373</v>
      </c>
      <c r="K352" s="31" t="n">
        <v>2</v>
      </c>
      <c r="L352" s="32"/>
      <c r="M352" s="32"/>
      <c r="N352" s="32"/>
      <c r="O352" s="32"/>
      <c r="P352" s="32"/>
      <c r="Q352" s="32"/>
      <c r="R352" s="32" t="n">
        <f aca="false">($G352*R$1)/$K352</f>
        <v>0.118529727616372</v>
      </c>
      <c r="S352" s="32" t="n">
        <f aca="false">($G352*S$1)/$K352</f>
        <v>0.122233781604384</v>
      </c>
      <c r="T352" s="32" t="n">
        <f aca="false">($G352*T$1)/$K352</f>
        <v>0.125937835592396</v>
      </c>
      <c r="U352" s="32" t="n">
        <f aca="false">($G352*U$1)/$K352</f>
        <v>0.129641889580407</v>
      </c>
      <c r="V352" s="33" t="n">
        <f aca="false">($H352*V$1)/$K352</f>
        <v>0.166876403517824</v>
      </c>
      <c r="W352" s="33" t="n">
        <f aca="false">($H352*W$1)/$K352</f>
        <v>0.171511859171097</v>
      </c>
      <c r="X352" s="33" t="n">
        <f aca="false">($H352*X$1)/$K352</f>
        <v>0.17614731482437</v>
      </c>
      <c r="Y352" s="33" t="n">
        <f aca="false">($H352*Y$1)/$K352</f>
        <v>0.180782770477643</v>
      </c>
      <c r="Z352" s="34" t="n">
        <f aca="false">($I352*Z$1)/$K352</f>
        <v>0.19348808464528</v>
      </c>
      <c r="AA352" s="34" t="n">
        <f aca="false">($I352*AA$1)/$K352</f>
        <v>0.198325286761411</v>
      </c>
      <c r="AB352" s="34" t="n">
        <f aca="false">($I352*AB$1)/$K352</f>
        <v>0.203162488877543</v>
      </c>
      <c r="AC352" s="34" t="n">
        <f aca="false">($I352*AC$1)/$K352</f>
        <v>0.207999690993675</v>
      </c>
      <c r="AD352" s="35" t="n">
        <f aca="false">($J352*AD$1)/$K352</f>
        <v>0.212836893109807</v>
      </c>
      <c r="AE352" s="35" t="n">
        <f aca="false">($J352*AE$1)/$K352</f>
        <v>0.217674095225939</v>
      </c>
      <c r="AF352" s="35" t="n">
        <f aca="false">($J352*AF$1)/$K352</f>
        <v>0.222511297342071</v>
      </c>
      <c r="AG352" s="35" t="n">
        <f aca="false">($J352*AG$1)/$K352</f>
        <v>0.227348499458203</v>
      </c>
      <c r="AH352" s="35" t="n">
        <f aca="false">($J352*AH$1)/$K352</f>
        <v>0.232185701574335</v>
      </c>
      <c r="AI352" s="35" t="n">
        <f aca="false">($J352*AI$1)/$K352</f>
        <v>0.237022903690467</v>
      </c>
      <c r="AJ352" s="35" t="n">
        <f aca="false">($J352*AJ$1)/$K352</f>
        <v>0.241860105806599</v>
      </c>
      <c r="AK352" s="35" t="n">
        <f aca="false">($J352*AK$1)/$K352</f>
        <v>0.246697307922731</v>
      </c>
      <c r="AL352" s="35" t="n">
        <f aca="false">($J352*AL$1)/$K352</f>
        <v>0.251534510038863</v>
      </c>
    </row>
    <row r="353" customFormat="false" ht="15" hidden="false" customHeight="false" outlineLevel="0" collapsed="false">
      <c r="A353" s="5" t="s">
        <v>47</v>
      </c>
      <c r="B353" s="50" t="s">
        <v>406</v>
      </c>
      <c r="C353" s="50" t="s">
        <v>407</v>
      </c>
      <c r="D353" s="45" t="n">
        <v>27</v>
      </c>
      <c r="E353" s="45"/>
      <c r="F353" s="44" t="n">
        <v>0.197549546027287</v>
      </c>
      <c r="G353" s="44" t="n">
        <v>0.197549546027287</v>
      </c>
      <c r="H353" s="44" t="n">
        <v>0.247224301507888</v>
      </c>
      <c r="I353" s="44" t="n">
        <v>0.257984112860373</v>
      </c>
      <c r="J353" s="44" t="n">
        <v>0.257984112860373</v>
      </c>
      <c r="K353" s="31" t="n">
        <v>1</v>
      </c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3"/>
      <c r="W353" s="33"/>
      <c r="X353" s="33"/>
      <c r="Y353" s="33" t="n">
        <f aca="false">($H353*Y$1)/$K353</f>
        <v>0.361565540955286</v>
      </c>
      <c r="Z353" s="34" t="n">
        <f aca="false">($I353*Z$1)/$K353</f>
        <v>0.386976169290559</v>
      </c>
      <c r="AA353" s="34" t="n">
        <f aca="false">($I353*AA$1)/$K353</f>
        <v>0.396650573522823</v>
      </c>
      <c r="AB353" s="34" t="n">
        <f aca="false">($I353*AB$1)/$K353</f>
        <v>0.406324977755087</v>
      </c>
      <c r="AC353" s="34" t="n">
        <f aca="false">($I353*AC$1)/$K353</f>
        <v>0.415999381987351</v>
      </c>
      <c r="AD353" s="35" t="n">
        <f aca="false">($J353*AD$1)/$K353</f>
        <v>0.425673786219615</v>
      </c>
      <c r="AE353" s="35" t="n">
        <f aca="false">($J353*AE$1)/$K353</f>
        <v>0.435348190451879</v>
      </c>
      <c r="AF353" s="35" t="n">
        <f aca="false">($J353*AF$1)/$K353</f>
        <v>0.445022594684143</v>
      </c>
      <c r="AG353" s="35" t="n">
        <f aca="false">($J353*AG$1)/$K353</f>
        <v>0.454696998916407</v>
      </c>
      <c r="AH353" s="35" t="n">
        <f aca="false">($J353*AH$1)/$K353</f>
        <v>0.464371403148671</v>
      </c>
      <c r="AI353" s="35" t="n">
        <f aca="false">($J353*AI$1)/$K353</f>
        <v>0.474045807380934</v>
      </c>
      <c r="AJ353" s="35" t="n">
        <f aca="false">($J353*AJ$1)/$K353</f>
        <v>0.483720211613198</v>
      </c>
      <c r="AK353" s="35" t="n">
        <f aca="false">($J353*AK$1)/$K353</f>
        <v>0.493394615845462</v>
      </c>
      <c r="AL353" s="35" t="n">
        <f aca="false">($J353*AL$1)/$K353</f>
        <v>0.503069020077726</v>
      </c>
    </row>
    <row r="354" customFormat="false" ht="15" hidden="false" customHeight="false" outlineLevel="0" collapsed="false">
      <c r="A354" s="5" t="s">
        <v>47</v>
      </c>
      <c r="B354" s="50" t="s">
        <v>408</v>
      </c>
      <c r="C354" s="50" t="s">
        <v>409</v>
      </c>
      <c r="D354" s="45" t="n">
        <v>27</v>
      </c>
      <c r="E354" s="45"/>
      <c r="F354" s="44" t="n">
        <v>0.197549546027287</v>
      </c>
      <c r="G354" s="44" t="n">
        <v>0.197549546027287</v>
      </c>
      <c r="H354" s="44" t="n">
        <v>0.247224301507888</v>
      </c>
      <c r="I354" s="44" t="n">
        <v>0.257984112860373</v>
      </c>
      <c r="J354" s="44" t="n">
        <v>0.257984112860373</v>
      </c>
      <c r="K354" s="31" t="n">
        <v>2</v>
      </c>
      <c r="L354" s="32"/>
      <c r="M354" s="32"/>
      <c r="N354" s="32"/>
      <c r="O354" s="32"/>
      <c r="P354" s="32"/>
      <c r="Q354" s="32"/>
      <c r="R354" s="32" t="n">
        <f aca="false">($G354*R$1)/$K354</f>
        <v>0.118529727616372</v>
      </c>
      <c r="S354" s="32" t="n">
        <f aca="false">($G354*S$1)/$K354</f>
        <v>0.122233781604384</v>
      </c>
      <c r="T354" s="32" t="n">
        <f aca="false">($G354*T$1)/$K354</f>
        <v>0.125937835592396</v>
      </c>
      <c r="U354" s="32" t="n">
        <f aca="false">($G354*U$1)/$K354</f>
        <v>0.129641889580407</v>
      </c>
      <c r="V354" s="33" t="n">
        <f aca="false">($H354*V$1)/$K354</f>
        <v>0.166876403517824</v>
      </c>
      <c r="W354" s="33" t="n">
        <f aca="false">($H354*W$1)/$K354</f>
        <v>0.171511859171097</v>
      </c>
      <c r="X354" s="33" t="n">
        <f aca="false">($H354*X$1)/$K354</f>
        <v>0.17614731482437</v>
      </c>
      <c r="Y354" s="33" t="n">
        <f aca="false">($H354*Y$1)/$K354</f>
        <v>0.180782770477643</v>
      </c>
      <c r="Z354" s="34" t="n">
        <f aca="false">($I354*Z$1)/$K354</f>
        <v>0.19348808464528</v>
      </c>
      <c r="AA354" s="34" t="n">
        <f aca="false">($I354*AA$1)/$K354</f>
        <v>0.198325286761411</v>
      </c>
      <c r="AB354" s="34" t="n">
        <f aca="false">($I354*AB$1)/$K354</f>
        <v>0.203162488877543</v>
      </c>
      <c r="AC354" s="34" t="n">
        <f aca="false">($I354*AC$1)/$K354</f>
        <v>0.207999690993675</v>
      </c>
      <c r="AD354" s="35" t="n">
        <f aca="false">($J354*AD$1)/$K354</f>
        <v>0.212836893109807</v>
      </c>
      <c r="AE354" s="35" t="n">
        <f aca="false">($J354*AE$1)/$K354</f>
        <v>0.217674095225939</v>
      </c>
      <c r="AF354" s="35" t="n">
        <f aca="false">($J354*AF$1)/$K354</f>
        <v>0.222511297342071</v>
      </c>
      <c r="AG354" s="35" t="n">
        <f aca="false">($J354*AG$1)/$K354</f>
        <v>0.227348499458203</v>
      </c>
      <c r="AH354" s="35" t="n">
        <f aca="false">($J354*AH$1)/$K354</f>
        <v>0.232185701574335</v>
      </c>
      <c r="AI354" s="35" t="n">
        <f aca="false">($J354*AI$1)/$K354</f>
        <v>0.237022903690467</v>
      </c>
      <c r="AJ354" s="35" t="n">
        <f aca="false">($J354*AJ$1)/$K354</f>
        <v>0.241860105806599</v>
      </c>
      <c r="AK354" s="35" t="n">
        <f aca="false">($J354*AK$1)/$K354</f>
        <v>0.246697307922731</v>
      </c>
      <c r="AL354" s="35" t="n">
        <f aca="false">($J354*AL$1)/$K354</f>
        <v>0.251534510038863</v>
      </c>
    </row>
    <row r="355" customFormat="false" ht="15" hidden="false" customHeight="false" outlineLevel="0" collapsed="false">
      <c r="A355" s="51" t="s">
        <v>48</v>
      </c>
      <c r="B355" s="50" t="s">
        <v>410</v>
      </c>
      <c r="C355" s="50" t="s">
        <v>411</v>
      </c>
      <c r="D355" s="45" t="n">
        <v>28</v>
      </c>
      <c r="E355" s="45"/>
      <c r="F355" s="44" t="n">
        <v>0.211280805951981</v>
      </c>
      <c r="G355" s="44" t="n">
        <v>0.211280805951981</v>
      </c>
      <c r="H355" s="44" t="n">
        <f aca="false">+(I355+G355)/2</f>
        <v>0.211988886983249</v>
      </c>
      <c r="I355" s="44" t="n">
        <v>0.212696968014516</v>
      </c>
      <c r="J355" s="44" t="n">
        <v>0.223682586038622</v>
      </c>
      <c r="K355" s="31" t="n">
        <v>1</v>
      </c>
      <c r="L355" s="32"/>
      <c r="M355" s="32"/>
      <c r="N355" s="32"/>
      <c r="O355" s="32"/>
      <c r="P355" s="32"/>
      <c r="Q355" s="32"/>
      <c r="R355" s="32" t="n">
        <f aca="false">($G355*R$1)/$K355</f>
        <v>0.253536967142377</v>
      </c>
      <c r="S355" s="32" t="n">
        <f aca="false">($G355*S$1)/$K355</f>
        <v>0.261459997365577</v>
      </c>
      <c r="T355" s="32"/>
      <c r="U355" s="32"/>
      <c r="V355" s="33"/>
      <c r="W355" s="33"/>
      <c r="X355" s="33"/>
      <c r="Y355" s="33"/>
      <c r="Z355" s="34"/>
      <c r="AA355" s="34"/>
      <c r="AB355" s="34"/>
      <c r="AC355" s="34"/>
      <c r="AD355" s="35"/>
      <c r="AE355" s="35"/>
      <c r="AF355" s="35"/>
      <c r="AG355" s="35"/>
      <c r="AH355" s="35"/>
      <c r="AI355" s="35"/>
      <c r="AJ355" s="35"/>
      <c r="AK355" s="35"/>
      <c r="AL355" s="35"/>
    </row>
    <row r="356" customFormat="false" ht="15" hidden="false" customHeight="false" outlineLevel="0" collapsed="false">
      <c r="A356" s="51" t="s">
        <v>48</v>
      </c>
      <c r="B356" s="50" t="s">
        <v>412</v>
      </c>
      <c r="C356" s="50" t="s">
        <v>413</v>
      </c>
      <c r="D356" s="45" t="n">
        <v>28</v>
      </c>
      <c r="E356" s="45"/>
      <c r="F356" s="44" t="n">
        <v>0.211280805951981</v>
      </c>
      <c r="G356" s="44" t="n">
        <v>0.211280805951981</v>
      </c>
      <c r="H356" s="44" t="n">
        <f aca="false">+(I356+G356)/2</f>
        <v>0.211988886983249</v>
      </c>
      <c r="I356" s="44" t="n">
        <v>0.212696968014516</v>
      </c>
      <c r="J356" s="44" t="n">
        <v>0.223682586038622</v>
      </c>
      <c r="K356" s="31" t="n">
        <v>2</v>
      </c>
      <c r="L356" s="32"/>
      <c r="M356" s="32"/>
      <c r="N356" s="32"/>
      <c r="O356" s="32"/>
      <c r="P356" s="32"/>
      <c r="Q356" s="32"/>
      <c r="R356" s="32" t="n">
        <f aca="false">($G356*R$1)/$K356</f>
        <v>0.126768483571189</v>
      </c>
      <c r="S356" s="32" t="n">
        <f aca="false">($G356*S$1)/$K356</f>
        <v>0.130729998682788</v>
      </c>
      <c r="T356" s="32" t="n">
        <f aca="false">($G356*T$1)/$K356</f>
        <v>0.134691513794388</v>
      </c>
      <c r="U356" s="32" t="n">
        <f aca="false">($G356*U$1)/$K356</f>
        <v>0.138653028905988</v>
      </c>
      <c r="V356" s="33" t="n">
        <f aca="false">($H356*V$1)/$K356</f>
        <v>0.143092498713693</v>
      </c>
      <c r="W356" s="33" t="n">
        <f aca="false">($H356*W$1)/$K356</f>
        <v>0.147067290344629</v>
      </c>
      <c r="X356" s="33" t="n">
        <f aca="false">($H356*X$1)/$K356</f>
        <v>0.151042081975565</v>
      </c>
      <c r="Y356" s="33" t="n">
        <f aca="false">($H356*Y$1)/$K356</f>
        <v>0.155016873606501</v>
      </c>
      <c r="Z356" s="34" t="n">
        <f aca="false">($I356*Z$1)/$K356</f>
        <v>0.159522726010887</v>
      </c>
      <c r="AA356" s="34" t="n">
        <f aca="false">($I356*AA$1)/$K356</f>
        <v>0.163510794161159</v>
      </c>
      <c r="AB356" s="34" t="n">
        <f aca="false">($I356*AB$1)/$K356</f>
        <v>0.167498862311432</v>
      </c>
      <c r="AC356" s="34" t="n">
        <f aca="false">($I356*AC$1)/$K356</f>
        <v>0.171486930461704</v>
      </c>
      <c r="AD356" s="35" t="n">
        <f aca="false">($J356*AD$1)/$K356</f>
        <v>0.184538133481863</v>
      </c>
      <c r="AE356" s="35" t="n">
        <f aca="false">($J356*AE$1)/$K356</f>
        <v>0.188732181970087</v>
      </c>
      <c r="AF356" s="35" t="n">
        <f aca="false">($J356*AF$1)/$K356</f>
        <v>0.192926230458312</v>
      </c>
      <c r="AG356" s="35" t="n">
        <f aca="false">($J356*AG$1)/$K356</f>
        <v>0.197120278946536</v>
      </c>
      <c r="AH356" s="35" t="n">
        <f aca="false">($J356*AH$1)/$K356</f>
        <v>0.20131432743476</v>
      </c>
      <c r="AI356" s="35" t="n">
        <f aca="false">($J356*AI$1)/$K356</f>
        <v>0.205508375922984</v>
      </c>
      <c r="AJ356" s="35" t="n">
        <f aca="false">($J356*AJ$1)/$K356</f>
        <v>0.209702424411208</v>
      </c>
      <c r="AK356" s="35" t="n">
        <f aca="false">($J356*AK$1)/$K356</f>
        <v>0.213896472899432</v>
      </c>
      <c r="AL356" s="35" t="n">
        <f aca="false">($J356*AL$1)/$K356</f>
        <v>0.218090521387656</v>
      </c>
    </row>
    <row r="357" customFormat="false" ht="15" hidden="false" customHeight="false" outlineLevel="0" collapsed="false">
      <c r="A357" s="51" t="s">
        <v>48</v>
      </c>
      <c r="B357" s="50" t="s">
        <v>414</v>
      </c>
      <c r="C357" s="50" t="s">
        <v>415</v>
      </c>
      <c r="D357" s="45" t="n">
        <v>28</v>
      </c>
      <c r="E357" s="45"/>
      <c r="F357" s="44" t="n">
        <v>0.211280805951981</v>
      </c>
      <c r="G357" s="44" t="n">
        <v>0.211280805951981</v>
      </c>
      <c r="H357" s="44" t="n">
        <f aca="false">+(I357+G357)/2</f>
        <v>0.211988886983249</v>
      </c>
      <c r="I357" s="44" t="n">
        <v>0.212696968014516</v>
      </c>
      <c r="J357" s="44" t="n">
        <v>0.223682586038622</v>
      </c>
      <c r="K357" s="31" t="n">
        <v>2</v>
      </c>
      <c r="L357" s="32"/>
      <c r="M357" s="32"/>
      <c r="N357" s="32"/>
      <c r="O357" s="32"/>
      <c r="P357" s="32"/>
      <c r="Q357" s="32"/>
      <c r="R357" s="32" t="n">
        <f aca="false">($G357*R$1)/$K357</f>
        <v>0.126768483571189</v>
      </c>
      <c r="S357" s="32" t="n">
        <f aca="false">($G357*S$1)/$K357</f>
        <v>0.130729998682788</v>
      </c>
      <c r="T357" s="32" t="n">
        <f aca="false">($G357*T$1)/$K357</f>
        <v>0.134691513794388</v>
      </c>
      <c r="U357" s="32" t="n">
        <f aca="false">($G357*U$1)/$K357</f>
        <v>0.138653028905988</v>
      </c>
      <c r="V357" s="33" t="n">
        <f aca="false">($H357*V$1)/$K357</f>
        <v>0.143092498713693</v>
      </c>
      <c r="W357" s="33" t="n">
        <f aca="false">($H357*W$1)/$K357</f>
        <v>0.147067290344629</v>
      </c>
      <c r="X357" s="33" t="n">
        <f aca="false">($H357*X$1)/$K357</f>
        <v>0.151042081975565</v>
      </c>
      <c r="Y357" s="33" t="n">
        <f aca="false">($H357*Y$1)/$K357</f>
        <v>0.155016873606501</v>
      </c>
      <c r="Z357" s="34" t="n">
        <f aca="false">($I357*Z$1)/$K357</f>
        <v>0.159522726010887</v>
      </c>
      <c r="AA357" s="34" t="n">
        <f aca="false">($I357*AA$1)/$K357</f>
        <v>0.163510794161159</v>
      </c>
      <c r="AB357" s="34" t="n">
        <f aca="false">($I357*AB$1)/$K357</f>
        <v>0.167498862311432</v>
      </c>
      <c r="AC357" s="34" t="n">
        <f aca="false">($I357*AC$1)/$K357</f>
        <v>0.171486930461704</v>
      </c>
      <c r="AD357" s="35" t="n">
        <f aca="false">($J357*AD$1)/$K357</f>
        <v>0.184538133481863</v>
      </c>
      <c r="AE357" s="35" t="n">
        <f aca="false">($J357*AE$1)/$K357</f>
        <v>0.188732181970087</v>
      </c>
      <c r="AF357" s="35" t="n">
        <f aca="false">($J357*AF$1)/$K357</f>
        <v>0.192926230458312</v>
      </c>
      <c r="AG357" s="35" t="n">
        <f aca="false">($J357*AG$1)/$K357</f>
        <v>0.197120278946536</v>
      </c>
      <c r="AH357" s="35" t="n">
        <f aca="false">($J357*AH$1)/$K357</f>
        <v>0.20131432743476</v>
      </c>
      <c r="AI357" s="35" t="n">
        <f aca="false">($J357*AI$1)/$K357</f>
        <v>0.205508375922984</v>
      </c>
      <c r="AJ357" s="35" t="n">
        <f aca="false">($J357*AJ$1)/$K357</f>
        <v>0.209702424411208</v>
      </c>
      <c r="AK357" s="35" t="n">
        <f aca="false">($J357*AK$1)/$K357</f>
        <v>0.213896472899432</v>
      </c>
      <c r="AL357" s="35" t="n">
        <f aca="false">($J357*AL$1)/$K357</f>
        <v>0.218090521387656</v>
      </c>
    </row>
    <row r="358" customFormat="false" ht="15" hidden="false" customHeight="false" outlineLevel="0" collapsed="false">
      <c r="A358" s="51" t="s">
        <v>48</v>
      </c>
      <c r="B358" s="50" t="s">
        <v>416</v>
      </c>
      <c r="C358" s="50" t="s">
        <v>417</v>
      </c>
      <c r="D358" s="45" t="n">
        <v>28</v>
      </c>
      <c r="E358" s="45"/>
      <c r="F358" s="44" t="n">
        <v>0.211280805951981</v>
      </c>
      <c r="G358" s="44" t="n">
        <v>0.211280805951981</v>
      </c>
      <c r="H358" s="44" t="n">
        <f aca="false">+(I358+G358)/2</f>
        <v>0.211988886983249</v>
      </c>
      <c r="I358" s="44" t="n">
        <v>0.212696968014516</v>
      </c>
      <c r="J358" s="44" t="n">
        <v>0.223682586038622</v>
      </c>
      <c r="K358" s="31" t="n">
        <v>2</v>
      </c>
      <c r="L358" s="32"/>
      <c r="M358" s="32"/>
      <c r="N358" s="32"/>
      <c r="O358" s="32"/>
      <c r="P358" s="32"/>
      <c r="Q358" s="32"/>
      <c r="R358" s="32" t="n">
        <f aca="false">($G358*R$1)/$K358</f>
        <v>0.126768483571189</v>
      </c>
      <c r="S358" s="32" t="n">
        <f aca="false">($G358*S$1)/$K358</f>
        <v>0.130729998682788</v>
      </c>
      <c r="T358" s="32" t="n">
        <f aca="false">($G358*T$1)/$K358</f>
        <v>0.134691513794388</v>
      </c>
      <c r="U358" s="32" t="n">
        <f aca="false">($G358*U$1)/$K358</f>
        <v>0.138653028905988</v>
      </c>
      <c r="V358" s="33" t="n">
        <f aca="false">($H358*V$1)/$K358</f>
        <v>0.143092498713693</v>
      </c>
      <c r="W358" s="33" t="n">
        <f aca="false">($H358*W$1)/$K358</f>
        <v>0.147067290344629</v>
      </c>
      <c r="X358" s="33" t="n">
        <f aca="false">($H358*X$1)/$K358</f>
        <v>0.151042081975565</v>
      </c>
      <c r="Y358" s="33" t="n">
        <f aca="false">($H358*Y$1)/$K358</f>
        <v>0.155016873606501</v>
      </c>
      <c r="Z358" s="34" t="n">
        <f aca="false">($I358*Z$1)/$K358</f>
        <v>0.159522726010887</v>
      </c>
      <c r="AA358" s="34" t="n">
        <f aca="false">($I358*AA$1)/$K358</f>
        <v>0.163510794161159</v>
      </c>
      <c r="AB358" s="34" t="n">
        <f aca="false">($I358*AB$1)/$K358</f>
        <v>0.167498862311432</v>
      </c>
      <c r="AC358" s="34" t="n">
        <f aca="false">($I358*AC$1)/$K358</f>
        <v>0.171486930461704</v>
      </c>
      <c r="AD358" s="35" t="n">
        <f aca="false">($J358*AD$1)/$K358</f>
        <v>0.184538133481863</v>
      </c>
      <c r="AE358" s="35" t="n">
        <f aca="false">($J358*AE$1)/$K358</f>
        <v>0.188732181970087</v>
      </c>
      <c r="AF358" s="35" t="n">
        <f aca="false">($J358*AF$1)/$K358</f>
        <v>0.192926230458312</v>
      </c>
      <c r="AG358" s="35" t="n">
        <f aca="false">($J358*AG$1)/$K358</f>
        <v>0.197120278946536</v>
      </c>
      <c r="AH358" s="35" t="n">
        <f aca="false">($J358*AH$1)/$K358</f>
        <v>0.20131432743476</v>
      </c>
      <c r="AI358" s="35" t="n">
        <f aca="false">($J358*AI$1)/$K358</f>
        <v>0.205508375922984</v>
      </c>
      <c r="AJ358" s="35" t="n">
        <f aca="false">($J358*AJ$1)/$K358</f>
        <v>0.209702424411208</v>
      </c>
      <c r="AK358" s="35" t="n">
        <f aca="false">($J358*AK$1)/$K358</f>
        <v>0.213896472899432</v>
      </c>
      <c r="AL358" s="35" t="n">
        <f aca="false">($J358*AL$1)/$K358</f>
        <v>0.218090521387656</v>
      </c>
    </row>
    <row r="359" customFormat="false" ht="15" hidden="false" customHeight="false" outlineLevel="0" collapsed="false">
      <c r="A359" s="51" t="s">
        <v>48</v>
      </c>
      <c r="B359" s="50" t="s">
        <v>418</v>
      </c>
      <c r="C359" s="50" t="s">
        <v>419</v>
      </c>
      <c r="D359" s="45" t="n">
        <v>28</v>
      </c>
      <c r="E359" s="45"/>
      <c r="F359" s="44" t="n">
        <v>0.211280805951981</v>
      </c>
      <c r="G359" s="44" t="n">
        <v>0.211280805951981</v>
      </c>
      <c r="H359" s="44" t="n">
        <f aca="false">+(I359+G359)/2</f>
        <v>0.211988886983249</v>
      </c>
      <c r="I359" s="44" t="n">
        <v>0.212696968014516</v>
      </c>
      <c r="J359" s="44" t="n">
        <v>0.223682586038622</v>
      </c>
      <c r="K359" s="31" t="n">
        <v>2</v>
      </c>
      <c r="L359" s="32"/>
      <c r="M359" s="32"/>
      <c r="N359" s="32"/>
      <c r="O359" s="32"/>
      <c r="P359" s="32"/>
      <c r="Q359" s="32"/>
      <c r="R359" s="32" t="n">
        <f aca="false">($G359*R$1)/$K359</f>
        <v>0.126768483571189</v>
      </c>
      <c r="S359" s="32" t="n">
        <f aca="false">($G359*S$1)/$K359</f>
        <v>0.130729998682788</v>
      </c>
      <c r="T359" s="32" t="n">
        <f aca="false">($G359*T$1)/$K359</f>
        <v>0.134691513794388</v>
      </c>
      <c r="U359" s="32" t="n">
        <f aca="false">($G359*U$1)/$K359</f>
        <v>0.138653028905988</v>
      </c>
      <c r="V359" s="33" t="n">
        <f aca="false">($H359*V$1)/$K359</f>
        <v>0.143092498713693</v>
      </c>
      <c r="W359" s="33" t="n">
        <f aca="false">($H359*W$1)/$K359</f>
        <v>0.147067290344629</v>
      </c>
      <c r="X359" s="33" t="n">
        <f aca="false">($H359*X$1)/$K359</f>
        <v>0.151042081975565</v>
      </c>
      <c r="Y359" s="33" t="n">
        <f aca="false">($H359*Y$1)/$K359</f>
        <v>0.155016873606501</v>
      </c>
      <c r="Z359" s="34" t="n">
        <f aca="false">($I359*Z$1)/$K359</f>
        <v>0.159522726010887</v>
      </c>
      <c r="AA359" s="34" t="n">
        <f aca="false">($I359*AA$1)/$K359</f>
        <v>0.163510794161159</v>
      </c>
      <c r="AB359" s="34" t="n">
        <f aca="false">($I359*AB$1)/$K359</f>
        <v>0.167498862311432</v>
      </c>
      <c r="AC359" s="34" t="n">
        <f aca="false">($I359*AC$1)/$K359</f>
        <v>0.171486930461704</v>
      </c>
      <c r="AD359" s="35" t="n">
        <f aca="false">($J359*AD$1)/$K359</f>
        <v>0.184538133481863</v>
      </c>
      <c r="AE359" s="35" t="n">
        <f aca="false">($J359*AE$1)/$K359</f>
        <v>0.188732181970087</v>
      </c>
      <c r="AF359" s="35" t="n">
        <f aca="false">($J359*AF$1)/$K359</f>
        <v>0.192926230458312</v>
      </c>
      <c r="AG359" s="35" t="n">
        <f aca="false">($J359*AG$1)/$K359</f>
        <v>0.197120278946536</v>
      </c>
      <c r="AH359" s="35" t="n">
        <f aca="false">($J359*AH$1)/$K359</f>
        <v>0.20131432743476</v>
      </c>
      <c r="AI359" s="35" t="n">
        <f aca="false">($J359*AI$1)/$K359</f>
        <v>0.205508375922984</v>
      </c>
      <c r="AJ359" s="35" t="n">
        <f aca="false">($J359*AJ$1)/$K359</f>
        <v>0.209702424411208</v>
      </c>
      <c r="AK359" s="35" t="n">
        <f aca="false">($J359*AK$1)/$K359</f>
        <v>0.213896472899432</v>
      </c>
      <c r="AL359" s="35" t="n">
        <f aca="false">($J359*AL$1)/$K359</f>
        <v>0.218090521387656</v>
      </c>
    </row>
    <row r="360" customFormat="false" ht="15" hidden="false" customHeight="false" outlineLevel="0" collapsed="false">
      <c r="A360" s="51" t="s">
        <v>48</v>
      </c>
      <c r="B360" s="50" t="s">
        <v>420</v>
      </c>
      <c r="C360" s="50" t="s">
        <v>421</v>
      </c>
      <c r="D360" s="45" t="n">
        <v>28</v>
      </c>
      <c r="E360" s="45"/>
      <c r="F360" s="44" t="n">
        <v>0.211280805951981</v>
      </c>
      <c r="G360" s="44" t="n">
        <v>0.211280805951981</v>
      </c>
      <c r="H360" s="44" t="n">
        <f aca="false">+(I360+G360)/2</f>
        <v>0.211988886983249</v>
      </c>
      <c r="I360" s="44" t="n">
        <v>0.212696968014516</v>
      </c>
      <c r="J360" s="44" t="n">
        <v>0.223682586038622</v>
      </c>
      <c r="K360" s="31" t="n">
        <v>2</v>
      </c>
      <c r="L360" s="32"/>
      <c r="M360" s="32"/>
      <c r="N360" s="32"/>
      <c r="O360" s="32"/>
      <c r="P360" s="32"/>
      <c r="Q360" s="32"/>
      <c r="R360" s="32" t="n">
        <f aca="false">($G360*R$1)/$K360</f>
        <v>0.126768483571189</v>
      </c>
      <c r="S360" s="32" t="n">
        <f aca="false">($G360*S$1)/$K360</f>
        <v>0.130729998682788</v>
      </c>
      <c r="T360" s="32" t="n">
        <f aca="false">($G360*T$1)/$K360</f>
        <v>0.134691513794388</v>
      </c>
      <c r="U360" s="32" t="n">
        <f aca="false">($G360*U$1)/$K360</f>
        <v>0.138653028905988</v>
      </c>
      <c r="V360" s="33" t="n">
        <f aca="false">($H360*V$1)/$K360</f>
        <v>0.143092498713693</v>
      </c>
      <c r="W360" s="33" t="n">
        <f aca="false">($H360*W$1)/$K360</f>
        <v>0.147067290344629</v>
      </c>
      <c r="X360" s="33" t="n">
        <f aca="false">($H360*X$1)/$K360</f>
        <v>0.151042081975565</v>
      </c>
      <c r="Y360" s="33" t="n">
        <f aca="false">($H360*Y$1)/$K360</f>
        <v>0.155016873606501</v>
      </c>
      <c r="Z360" s="34" t="n">
        <f aca="false">($I360*Z$1)/$K360</f>
        <v>0.159522726010887</v>
      </c>
      <c r="AA360" s="34" t="n">
        <f aca="false">($I360*AA$1)/$K360</f>
        <v>0.163510794161159</v>
      </c>
      <c r="AB360" s="34" t="n">
        <f aca="false">($I360*AB$1)/$K360</f>
        <v>0.167498862311432</v>
      </c>
      <c r="AC360" s="34" t="n">
        <f aca="false">($I360*AC$1)/$K360</f>
        <v>0.171486930461704</v>
      </c>
      <c r="AD360" s="35" t="n">
        <f aca="false">($J360*AD$1)/$K360</f>
        <v>0.184538133481863</v>
      </c>
      <c r="AE360" s="35" t="n">
        <f aca="false">($J360*AE$1)/$K360</f>
        <v>0.188732181970087</v>
      </c>
      <c r="AF360" s="35" t="n">
        <f aca="false">($J360*AF$1)/$K360</f>
        <v>0.192926230458312</v>
      </c>
      <c r="AG360" s="35" t="n">
        <f aca="false">($J360*AG$1)/$K360</f>
        <v>0.197120278946536</v>
      </c>
      <c r="AH360" s="35" t="n">
        <f aca="false">($J360*AH$1)/$K360</f>
        <v>0.20131432743476</v>
      </c>
      <c r="AI360" s="35" t="n">
        <f aca="false">($J360*AI$1)/$K360</f>
        <v>0.205508375922984</v>
      </c>
      <c r="AJ360" s="35" t="n">
        <f aca="false">($J360*AJ$1)/$K360</f>
        <v>0.209702424411208</v>
      </c>
      <c r="AK360" s="35" t="n">
        <f aca="false">($J360*AK$1)/$K360</f>
        <v>0.213896472899432</v>
      </c>
      <c r="AL360" s="35" t="n">
        <f aca="false">($J360*AL$1)/$K360</f>
        <v>0.218090521387656</v>
      </c>
    </row>
    <row r="361" customFormat="false" ht="15" hidden="false" customHeight="false" outlineLevel="0" collapsed="false">
      <c r="A361" s="51" t="s">
        <v>15</v>
      </c>
      <c r="B361" s="50" t="s">
        <v>422</v>
      </c>
      <c r="C361" s="50" t="s">
        <v>423</v>
      </c>
      <c r="D361" s="45" t="n">
        <v>26</v>
      </c>
      <c r="E361" s="45"/>
      <c r="F361" s="44" t="n">
        <v>0.142003083639678</v>
      </c>
      <c r="G361" s="44" t="n">
        <v>0.142003083639678</v>
      </c>
      <c r="H361" s="44" t="n">
        <f aca="false">+(I361+G361)/2</f>
        <v>0.13793956115311</v>
      </c>
      <c r="I361" s="44" t="n">
        <v>0.133876038666542</v>
      </c>
      <c r="J361" s="44" t="n">
        <v>0.136590471202138</v>
      </c>
      <c r="K361" s="31" t="n">
        <v>2</v>
      </c>
      <c r="L361" s="32"/>
      <c r="M361" s="32"/>
      <c r="N361" s="32"/>
      <c r="O361" s="32"/>
      <c r="P361" s="32"/>
      <c r="Q361" s="32"/>
      <c r="R361" s="32" t="n">
        <f aca="false">($G361*R$1)/$K361</f>
        <v>0.085201850183807</v>
      </c>
      <c r="S361" s="32" t="n">
        <f aca="false">($G361*S$1)/$K361</f>
        <v>0.087864408002051</v>
      </c>
      <c r="T361" s="32" t="n">
        <f aca="false">($G361*T$1)/$K361</f>
        <v>0.090526965820295</v>
      </c>
      <c r="U361" s="32" t="n">
        <f aca="false">($G361*U$1)/$K361</f>
        <v>0.0931895236385389</v>
      </c>
      <c r="V361" s="33" t="n">
        <f aca="false">($H361*V$1)/$K361</f>
        <v>0.0931092037783494</v>
      </c>
      <c r="W361" s="33" t="n">
        <f aca="false">($H361*W$1)/$K361</f>
        <v>0.0956955705499703</v>
      </c>
      <c r="X361" s="33" t="n">
        <f aca="false">($H361*X$1)/$K361</f>
        <v>0.0982819373215911</v>
      </c>
      <c r="Y361" s="33" t="n">
        <f aca="false">($H361*Y$1)/$K361</f>
        <v>0.100868304093212</v>
      </c>
      <c r="Z361" s="34" t="n">
        <f aca="false">($I361*Z$1)/$K361</f>
        <v>0.100407028999907</v>
      </c>
      <c r="AA361" s="34" t="n">
        <f aca="false">($I361*AA$1)/$K361</f>
        <v>0.102917204724904</v>
      </c>
      <c r="AB361" s="34" t="n">
        <f aca="false">($I361*AB$1)/$K361</f>
        <v>0.105427380449902</v>
      </c>
      <c r="AC361" s="34" t="n">
        <f aca="false">($I361*AC$1)/$K361</f>
        <v>0.1079375561749</v>
      </c>
      <c r="AD361" s="35" t="n">
        <f aca="false">($J361*AD$1)/$K361</f>
        <v>0.112687138741764</v>
      </c>
      <c r="AE361" s="35" t="n">
        <f aca="false">($J361*AE$1)/$K361</f>
        <v>0.115248210076804</v>
      </c>
      <c r="AF361" s="35" t="n">
        <f aca="false">($J361*AF$1)/$K361</f>
        <v>0.117809281411844</v>
      </c>
      <c r="AG361" s="35" t="n">
        <f aca="false">($J361*AG$1)/$K361</f>
        <v>0.120370352746884</v>
      </c>
      <c r="AH361" s="35" t="n">
        <f aca="false">($J361*AH$1)/$K361</f>
        <v>0.122931424081924</v>
      </c>
      <c r="AI361" s="35" t="n">
        <f aca="false">($J361*AI$1)/$K361</f>
        <v>0.125492495416964</v>
      </c>
      <c r="AJ361" s="35" t="n">
        <f aca="false">($J361*AJ$1)/$K361</f>
        <v>0.128053566752004</v>
      </c>
      <c r="AK361" s="35" t="n">
        <f aca="false">($J361*AK$1)/$K361</f>
        <v>0.130614638087044</v>
      </c>
      <c r="AL361" s="35" t="n">
        <f aca="false">($J361*AL$1)/$K361</f>
        <v>0.133175709422084</v>
      </c>
    </row>
    <row r="362" customFormat="false" ht="15" hidden="false" customHeight="false" outlineLevel="0" collapsed="false">
      <c r="A362" s="51" t="s">
        <v>15</v>
      </c>
      <c r="B362" s="50" t="s">
        <v>422</v>
      </c>
      <c r="C362" s="50" t="s">
        <v>423</v>
      </c>
      <c r="D362" s="45" t="n">
        <v>30</v>
      </c>
      <c r="E362" s="45"/>
      <c r="F362" s="44" t="n">
        <v>0.142003083639678</v>
      </c>
      <c r="G362" s="44" t="n">
        <v>0.142003083639678</v>
      </c>
      <c r="H362" s="44" t="n">
        <f aca="false">+(I362+G362)/2</f>
        <v>0.13793956115311</v>
      </c>
      <c r="I362" s="44" t="n">
        <v>0.133876038666542</v>
      </c>
      <c r="J362" s="44" t="n">
        <v>0.136590471202138</v>
      </c>
      <c r="K362" s="31" t="n">
        <v>2</v>
      </c>
      <c r="L362" s="32"/>
      <c r="M362" s="32"/>
      <c r="N362" s="32"/>
      <c r="O362" s="32"/>
      <c r="P362" s="32"/>
      <c r="Q362" s="32"/>
      <c r="R362" s="32" t="n">
        <f aca="false">($G362*R$1)/$K362</f>
        <v>0.085201850183807</v>
      </c>
      <c r="S362" s="32" t="n">
        <f aca="false">($G362*S$1)/$K362</f>
        <v>0.087864408002051</v>
      </c>
      <c r="T362" s="32" t="n">
        <f aca="false">($G362*T$1)/$K362</f>
        <v>0.090526965820295</v>
      </c>
      <c r="U362" s="32" t="n">
        <f aca="false">($G362*U$1)/$K362</f>
        <v>0.0931895236385389</v>
      </c>
      <c r="V362" s="33" t="n">
        <f aca="false">($H362*V$1)/$K362</f>
        <v>0.0931092037783494</v>
      </c>
      <c r="W362" s="33" t="n">
        <f aca="false">($H362*W$1)/$K362</f>
        <v>0.0956955705499703</v>
      </c>
      <c r="X362" s="33" t="n">
        <f aca="false">($H362*X$1)/$K362</f>
        <v>0.0982819373215911</v>
      </c>
      <c r="Y362" s="33" t="n">
        <f aca="false">($H362*Y$1)/$K362</f>
        <v>0.100868304093212</v>
      </c>
      <c r="Z362" s="34" t="n">
        <f aca="false">($I362*Z$1)/$K362</f>
        <v>0.100407028999907</v>
      </c>
      <c r="AA362" s="34" t="n">
        <f aca="false">($I362*AA$1)/$K362</f>
        <v>0.102917204724904</v>
      </c>
      <c r="AB362" s="34" t="n">
        <f aca="false">($I362*AB$1)/$K362</f>
        <v>0.105427380449902</v>
      </c>
      <c r="AC362" s="34" t="n">
        <f aca="false">($I362*AC$1)/$K362</f>
        <v>0.1079375561749</v>
      </c>
      <c r="AD362" s="35" t="n">
        <f aca="false">($J362*AD$1)/$K362</f>
        <v>0.112687138741764</v>
      </c>
      <c r="AE362" s="35" t="n">
        <f aca="false">($J362*AE$1)/$K362</f>
        <v>0.115248210076804</v>
      </c>
      <c r="AF362" s="35" t="n">
        <f aca="false">($J362*AF$1)/$K362</f>
        <v>0.117809281411844</v>
      </c>
      <c r="AG362" s="35" t="n">
        <f aca="false">($J362*AG$1)/$K362</f>
        <v>0.120370352746884</v>
      </c>
      <c r="AH362" s="35" t="n">
        <f aca="false">($J362*AH$1)/$K362</f>
        <v>0.122931424081924</v>
      </c>
      <c r="AI362" s="35" t="n">
        <f aca="false">($J362*AI$1)/$K362</f>
        <v>0.125492495416964</v>
      </c>
      <c r="AJ362" s="35" t="n">
        <f aca="false">($J362*AJ$1)/$K362</f>
        <v>0.128053566752004</v>
      </c>
      <c r="AK362" s="35" t="n">
        <f aca="false">($J362*AK$1)/$K362</f>
        <v>0.130614638087044</v>
      </c>
      <c r="AL362" s="35" t="n">
        <f aca="false">($J362*AL$1)/$K362</f>
        <v>0.133175709422084</v>
      </c>
    </row>
    <row r="363" customFormat="false" ht="15" hidden="false" customHeight="false" outlineLevel="0" collapsed="false">
      <c r="A363" s="51" t="s">
        <v>15</v>
      </c>
      <c r="B363" s="50" t="s">
        <v>422</v>
      </c>
      <c r="C363" s="50" t="s">
        <v>423</v>
      </c>
      <c r="D363" s="45" t="n">
        <v>31</v>
      </c>
      <c r="E363" s="45"/>
      <c r="F363" s="44" t="n">
        <v>0.142003083639678</v>
      </c>
      <c r="G363" s="44" t="n">
        <v>0.142003083639678</v>
      </c>
      <c r="H363" s="44" t="n">
        <f aca="false">+(I363+G363)/2</f>
        <v>0.13793956115311</v>
      </c>
      <c r="I363" s="44" t="n">
        <v>0.133876038666542</v>
      </c>
      <c r="J363" s="44" t="n">
        <v>0.136590471202138</v>
      </c>
      <c r="K363" s="31" t="n">
        <v>2</v>
      </c>
      <c r="L363" s="32"/>
      <c r="M363" s="32"/>
      <c r="N363" s="32"/>
      <c r="O363" s="32"/>
      <c r="P363" s="32"/>
      <c r="Q363" s="32"/>
      <c r="R363" s="32" t="n">
        <f aca="false">($G363*R$1)/$K363</f>
        <v>0.085201850183807</v>
      </c>
      <c r="S363" s="32" t="n">
        <f aca="false">($G363*S$1)/$K363</f>
        <v>0.087864408002051</v>
      </c>
      <c r="T363" s="32" t="n">
        <f aca="false">($G363*T$1)/$K363</f>
        <v>0.090526965820295</v>
      </c>
      <c r="U363" s="32" t="n">
        <f aca="false">($G363*U$1)/$K363</f>
        <v>0.0931895236385389</v>
      </c>
      <c r="V363" s="33" t="n">
        <f aca="false">($H363*V$1)/$K363</f>
        <v>0.0931092037783494</v>
      </c>
      <c r="W363" s="33" t="n">
        <f aca="false">($H363*W$1)/$K363</f>
        <v>0.0956955705499703</v>
      </c>
      <c r="X363" s="33" t="n">
        <f aca="false">($H363*X$1)/$K363</f>
        <v>0.0982819373215911</v>
      </c>
      <c r="Y363" s="33" t="n">
        <f aca="false">($H363*Y$1)/$K363</f>
        <v>0.100868304093212</v>
      </c>
      <c r="Z363" s="34" t="n">
        <f aca="false">($I363*Z$1)/$K363</f>
        <v>0.100407028999907</v>
      </c>
      <c r="AA363" s="34" t="n">
        <f aca="false">($I363*AA$1)/$K363</f>
        <v>0.102917204724904</v>
      </c>
      <c r="AB363" s="34" t="n">
        <f aca="false">($I363*AB$1)/$K363</f>
        <v>0.105427380449902</v>
      </c>
      <c r="AC363" s="34" t="n">
        <f aca="false">($I363*AC$1)/$K363</f>
        <v>0.1079375561749</v>
      </c>
      <c r="AD363" s="35" t="n">
        <f aca="false">($J363*AD$1)/$K363</f>
        <v>0.112687138741764</v>
      </c>
      <c r="AE363" s="35" t="n">
        <f aca="false">($J363*AE$1)/$K363</f>
        <v>0.115248210076804</v>
      </c>
      <c r="AF363" s="35" t="n">
        <f aca="false">($J363*AF$1)/$K363</f>
        <v>0.117809281411844</v>
      </c>
      <c r="AG363" s="35" t="n">
        <f aca="false">($J363*AG$1)/$K363</f>
        <v>0.120370352746884</v>
      </c>
      <c r="AH363" s="35" t="n">
        <f aca="false">($J363*AH$1)/$K363</f>
        <v>0.122931424081924</v>
      </c>
      <c r="AI363" s="35" t="n">
        <f aca="false">($J363*AI$1)/$K363</f>
        <v>0.125492495416964</v>
      </c>
      <c r="AJ363" s="35" t="n">
        <f aca="false">($J363*AJ$1)/$K363</f>
        <v>0.128053566752004</v>
      </c>
      <c r="AK363" s="35" t="n">
        <f aca="false">($J363*AK$1)/$K363</f>
        <v>0.130614638087044</v>
      </c>
      <c r="AL363" s="35" t="n">
        <f aca="false">($J363*AL$1)/$K363</f>
        <v>0.133175709422084</v>
      </c>
    </row>
    <row r="364" customFormat="false" ht="15" hidden="false" customHeight="false" outlineLevel="0" collapsed="false">
      <c r="A364" s="51" t="s">
        <v>50</v>
      </c>
      <c r="B364" s="50" t="s">
        <v>424</v>
      </c>
      <c r="C364" s="50" t="s">
        <v>425</v>
      </c>
      <c r="D364" s="45" t="n">
        <v>30</v>
      </c>
      <c r="E364" s="45"/>
      <c r="F364" s="44" t="n">
        <v>0.149005272863769</v>
      </c>
      <c r="G364" s="44" t="n">
        <v>0.149005272863769</v>
      </c>
      <c r="H364" s="44" t="n">
        <f aca="false">+(I364+G364)/2</f>
        <v>0.153748071476954</v>
      </c>
      <c r="I364" s="44" t="n">
        <v>0.158490870090138</v>
      </c>
      <c r="J364" s="44" t="n">
        <v>0.169281787727845</v>
      </c>
      <c r="K364" s="31" t="n">
        <v>2</v>
      </c>
      <c r="L364" s="32"/>
      <c r="M364" s="32"/>
      <c r="N364" s="32"/>
      <c r="O364" s="32"/>
      <c r="P364" s="32"/>
      <c r="Q364" s="32"/>
      <c r="R364" s="32" t="n">
        <f aca="false">($G364*R$1)/$K364</f>
        <v>0.0894031637182617</v>
      </c>
      <c r="S364" s="32" t="n">
        <f aca="false">($G364*S$1)/$K364</f>
        <v>0.0921970125844574</v>
      </c>
      <c r="T364" s="32" t="n">
        <f aca="false">($G364*T$1)/$K364</f>
        <v>0.0949908614506531</v>
      </c>
      <c r="U364" s="32" t="n">
        <f aca="false">($G364*U$1)/$K364</f>
        <v>0.0977847103168488</v>
      </c>
      <c r="V364" s="33" t="n">
        <f aca="false">($H364*V$1)/$K364</f>
        <v>0.103779948246944</v>
      </c>
      <c r="W364" s="33" t="n">
        <f aca="false">($H364*W$1)/$K364</f>
        <v>0.106662724587137</v>
      </c>
      <c r="X364" s="33" t="n">
        <f aca="false">($H364*X$1)/$K364</f>
        <v>0.10954550092733</v>
      </c>
      <c r="Y364" s="33" t="n">
        <f aca="false">($H364*Y$1)/$K364</f>
        <v>0.112428277267522</v>
      </c>
      <c r="Z364" s="34" t="n">
        <f aca="false">($I364*Z$1)/$K364</f>
        <v>0.118868152567604</v>
      </c>
      <c r="AA364" s="34" t="n">
        <f aca="false">($I364*AA$1)/$K364</f>
        <v>0.121839856381794</v>
      </c>
      <c r="AB364" s="34" t="n">
        <f aca="false">($I364*AB$1)/$K364</f>
        <v>0.124811560195984</v>
      </c>
      <c r="AC364" s="34" t="n">
        <f aca="false">($I364*AC$1)/$K364</f>
        <v>0.127783264010174</v>
      </c>
      <c r="AD364" s="35" t="n">
        <f aca="false">($J364*AD$1)/$K364</f>
        <v>0.139657474875472</v>
      </c>
      <c r="AE364" s="35" t="n">
        <f aca="false">($J364*AE$1)/$K364</f>
        <v>0.142831508395369</v>
      </c>
      <c r="AF364" s="35" t="n">
        <f aca="false">($J364*AF$1)/$K364</f>
        <v>0.146005541915267</v>
      </c>
      <c r="AG364" s="35" t="n">
        <f aca="false">($J364*AG$1)/$K364</f>
        <v>0.149179575435164</v>
      </c>
      <c r="AH364" s="35" t="n">
        <f aca="false">($J364*AH$1)/$K364</f>
        <v>0.152353608955061</v>
      </c>
      <c r="AI364" s="35" t="n">
        <f aca="false">($J364*AI$1)/$K364</f>
        <v>0.155527642474958</v>
      </c>
      <c r="AJ364" s="35" t="n">
        <f aca="false">($J364*AJ$1)/$K364</f>
        <v>0.158701675994855</v>
      </c>
      <c r="AK364" s="35" t="n">
        <f aca="false">($J364*AK$1)/$K364</f>
        <v>0.161875709514752</v>
      </c>
      <c r="AL364" s="35" t="n">
        <f aca="false">($J364*AL$1)/$K364</f>
        <v>0.165049743034649</v>
      </c>
    </row>
    <row r="365" customFormat="false" ht="15" hidden="false" customHeight="false" outlineLevel="0" collapsed="false">
      <c r="A365" s="51" t="s">
        <v>50</v>
      </c>
      <c r="B365" s="50" t="s">
        <v>426</v>
      </c>
      <c r="C365" s="50" t="s">
        <v>427</v>
      </c>
      <c r="D365" s="45" t="n">
        <v>30</v>
      </c>
      <c r="E365" s="45"/>
      <c r="F365" s="44" t="n">
        <v>0.149005272863769</v>
      </c>
      <c r="G365" s="44" t="n">
        <v>0.149005272863769</v>
      </c>
      <c r="H365" s="44" t="n">
        <f aca="false">+(I365+G365)/2</f>
        <v>0.153748071476954</v>
      </c>
      <c r="I365" s="44" t="n">
        <v>0.158490870090138</v>
      </c>
      <c r="J365" s="44" t="n">
        <v>0.169281787727845</v>
      </c>
      <c r="K365" s="31" t="n">
        <v>2</v>
      </c>
      <c r="L365" s="32"/>
      <c r="M365" s="32"/>
      <c r="N365" s="32"/>
      <c r="O365" s="32"/>
      <c r="P365" s="32"/>
      <c r="Q365" s="32"/>
      <c r="R365" s="32" t="n">
        <f aca="false">($G365*R$1)/$K365</f>
        <v>0.0894031637182617</v>
      </c>
      <c r="S365" s="32" t="n">
        <f aca="false">($G365*S$1)/$K365</f>
        <v>0.0921970125844574</v>
      </c>
      <c r="T365" s="32" t="n">
        <f aca="false">($G365*T$1)/$K365</f>
        <v>0.0949908614506531</v>
      </c>
      <c r="U365" s="32" t="n">
        <f aca="false">($G365*U$1)/$K365</f>
        <v>0.0977847103168488</v>
      </c>
      <c r="V365" s="33" t="n">
        <f aca="false">($H365*V$1)/$K365</f>
        <v>0.103779948246944</v>
      </c>
      <c r="W365" s="33" t="n">
        <f aca="false">($H365*W$1)/$K365</f>
        <v>0.106662724587137</v>
      </c>
      <c r="X365" s="33" t="n">
        <f aca="false">($H365*X$1)/$K365</f>
        <v>0.10954550092733</v>
      </c>
      <c r="Y365" s="33" t="n">
        <f aca="false">($H365*Y$1)/$K365</f>
        <v>0.112428277267522</v>
      </c>
      <c r="Z365" s="34" t="n">
        <f aca="false">($I365*Z$1)/$K365</f>
        <v>0.118868152567604</v>
      </c>
      <c r="AA365" s="34" t="n">
        <f aca="false">($I365*AA$1)/$K365</f>
        <v>0.121839856381794</v>
      </c>
      <c r="AB365" s="34" t="n">
        <f aca="false">($I365*AB$1)/$K365</f>
        <v>0.124811560195984</v>
      </c>
      <c r="AC365" s="34" t="n">
        <f aca="false">($I365*AC$1)/$K365</f>
        <v>0.127783264010174</v>
      </c>
      <c r="AD365" s="35" t="n">
        <f aca="false">($J365*AD$1)/$K365</f>
        <v>0.139657474875472</v>
      </c>
      <c r="AE365" s="35" t="n">
        <f aca="false">($J365*AE$1)/$K365</f>
        <v>0.142831508395369</v>
      </c>
      <c r="AF365" s="35" t="n">
        <f aca="false">($J365*AF$1)/$K365</f>
        <v>0.146005541915267</v>
      </c>
      <c r="AG365" s="35" t="n">
        <f aca="false">($J365*AG$1)/$K365</f>
        <v>0.149179575435164</v>
      </c>
      <c r="AH365" s="35" t="n">
        <f aca="false">($J365*AH$1)/$K365</f>
        <v>0.152353608955061</v>
      </c>
      <c r="AI365" s="35" t="n">
        <f aca="false">($J365*AI$1)/$K365</f>
        <v>0.155527642474958</v>
      </c>
      <c r="AJ365" s="35" t="n">
        <f aca="false">($J365*AJ$1)/$K365</f>
        <v>0.158701675994855</v>
      </c>
      <c r="AK365" s="35" t="n">
        <f aca="false">($J365*AK$1)/$K365</f>
        <v>0.161875709514752</v>
      </c>
      <c r="AL365" s="35" t="n">
        <f aca="false">($J365*AL$1)/$K365</f>
        <v>0.165049743034649</v>
      </c>
    </row>
    <row r="366" customFormat="false" ht="15" hidden="false" customHeight="false" outlineLevel="0" collapsed="false">
      <c r="A366" s="51" t="s">
        <v>50</v>
      </c>
      <c r="B366" s="50" t="s">
        <v>428</v>
      </c>
      <c r="C366" s="50" t="s">
        <v>429</v>
      </c>
      <c r="D366" s="45" t="n">
        <v>30</v>
      </c>
      <c r="E366" s="45"/>
      <c r="F366" s="44" t="n">
        <v>0.149005272863769</v>
      </c>
      <c r="G366" s="44" t="n">
        <v>0.149005272863769</v>
      </c>
      <c r="H366" s="44" t="n">
        <f aca="false">+(I366+G366)/2</f>
        <v>0.153748071476954</v>
      </c>
      <c r="I366" s="44" t="n">
        <v>0.158490870090138</v>
      </c>
      <c r="J366" s="44" t="n">
        <v>0.169281787727845</v>
      </c>
      <c r="K366" s="31" t="n">
        <v>1</v>
      </c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3" t="n">
        <f aca="false">($H366*V$1)/$K366</f>
        <v>0.207559896493888</v>
      </c>
      <c r="W366" s="33" t="n">
        <f aca="false">($H366*W$1)/$K366</f>
        <v>0.213325449174273</v>
      </c>
      <c r="X366" s="33" t="n">
        <f aca="false">($H366*X$1)/$K366</f>
        <v>0.219091001854659</v>
      </c>
      <c r="Y366" s="33" t="n">
        <f aca="false">($H366*Y$1)/$K366</f>
        <v>0.224856554535045</v>
      </c>
      <c r="Z366" s="34" t="n">
        <f aca="false">($I366*Z$1)/$K366</f>
        <v>0.237736305135207</v>
      </c>
      <c r="AA366" s="34" t="n">
        <f aca="false">($I366*AA$1)/$K366</f>
        <v>0.243679712763587</v>
      </c>
      <c r="AB366" s="34" t="n">
        <f aca="false">($I366*AB$1)/$K366</f>
        <v>0.249623120391967</v>
      </c>
      <c r="AC366" s="34" t="n">
        <f aca="false">($I366*AC$1)/$K366</f>
        <v>0.255566528020347</v>
      </c>
      <c r="AD366" s="35"/>
      <c r="AE366" s="35"/>
      <c r="AF366" s="35"/>
      <c r="AG366" s="35"/>
      <c r="AH366" s="35"/>
      <c r="AI366" s="35"/>
      <c r="AJ366" s="35"/>
      <c r="AK366" s="35"/>
      <c r="AL366" s="35"/>
    </row>
    <row r="367" customFormat="false" ht="15" hidden="false" customHeight="false" outlineLevel="0" collapsed="false">
      <c r="A367" s="51" t="s">
        <v>50</v>
      </c>
      <c r="B367" s="50" t="s">
        <v>430</v>
      </c>
      <c r="C367" s="50" t="s">
        <v>431</v>
      </c>
      <c r="D367" s="45" t="n">
        <v>30</v>
      </c>
      <c r="E367" s="45"/>
      <c r="F367" s="44" t="n">
        <v>0.149005272863769</v>
      </c>
      <c r="G367" s="44" t="n">
        <v>0.149005272863769</v>
      </c>
      <c r="H367" s="44" t="n">
        <f aca="false">+(I367+G367)/2</f>
        <v>0.153748071476954</v>
      </c>
      <c r="I367" s="44" t="n">
        <v>0.158490870090138</v>
      </c>
      <c r="J367" s="44" t="n">
        <v>0.169281787727845</v>
      </c>
      <c r="K367" s="31" t="n">
        <v>1</v>
      </c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3" t="n">
        <f aca="false">($H367*V$1)/$K367</f>
        <v>0.207559896493888</v>
      </c>
      <c r="W367" s="33" t="n">
        <f aca="false">($H367*W$1)/$K367</f>
        <v>0.213325449174273</v>
      </c>
      <c r="X367" s="33" t="n">
        <f aca="false">($H367*X$1)/$K367</f>
        <v>0.219091001854659</v>
      </c>
      <c r="Y367" s="33" t="n">
        <f aca="false">($H367*Y$1)/$K367</f>
        <v>0.224856554535045</v>
      </c>
      <c r="Z367" s="34" t="n">
        <f aca="false">($I367*Z$1)/$K367</f>
        <v>0.237736305135207</v>
      </c>
      <c r="AA367" s="34" t="n">
        <f aca="false">($I367*AA$1)/$K367</f>
        <v>0.243679712763587</v>
      </c>
      <c r="AB367" s="34" t="n">
        <f aca="false">($I367*AB$1)/$K367</f>
        <v>0.249623120391967</v>
      </c>
      <c r="AC367" s="34" t="n">
        <f aca="false">($I367*AC$1)/$K367</f>
        <v>0.255566528020347</v>
      </c>
      <c r="AD367" s="35"/>
      <c r="AE367" s="35"/>
      <c r="AF367" s="35"/>
      <c r="AG367" s="35"/>
      <c r="AH367" s="35"/>
      <c r="AI367" s="35"/>
      <c r="AJ367" s="35"/>
      <c r="AK367" s="35"/>
      <c r="AL367" s="35"/>
    </row>
    <row r="368" customFormat="false" ht="15" hidden="false" customHeight="false" outlineLevel="0" collapsed="false">
      <c r="A368" s="51" t="s">
        <v>50</v>
      </c>
      <c r="B368" s="50" t="s">
        <v>432</v>
      </c>
      <c r="C368" s="50" t="s">
        <v>433</v>
      </c>
      <c r="D368" s="45" t="n">
        <v>30</v>
      </c>
      <c r="E368" s="45"/>
      <c r="F368" s="44" t="n">
        <v>0.149005272863769</v>
      </c>
      <c r="G368" s="44" t="n">
        <v>0.149005272863769</v>
      </c>
      <c r="H368" s="44" t="n">
        <f aca="false">+(I368+G368)/2</f>
        <v>0.153748071476954</v>
      </c>
      <c r="I368" s="44" t="n">
        <v>0.158490870090138</v>
      </c>
      <c r="J368" s="44" t="n">
        <v>0.169281787727845</v>
      </c>
      <c r="K368" s="31" t="n">
        <v>1</v>
      </c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3"/>
      <c r="W368" s="33"/>
      <c r="X368" s="33" t="n">
        <f aca="false">($H368*X$1)/$K368</f>
        <v>0.219091001854659</v>
      </c>
      <c r="Y368" s="33" t="n">
        <f aca="false">($H368*Y$1)/$K368</f>
        <v>0.224856554535045</v>
      </c>
      <c r="Z368" s="34" t="n">
        <f aca="false">($I368*Z$1)/$K368</f>
        <v>0.237736305135207</v>
      </c>
      <c r="AA368" s="34" t="n">
        <f aca="false">($I368*AA$1)/$K368</f>
        <v>0.243679712763587</v>
      </c>
      <c r="AB368" s="34" t="n">
        <f aca="false">($I368*AB$1)/$K368</f>
        <v>0.249623120391967</v>
      </c>
      <c r="AC368" s="34" t="n">
        <f aca="false">($I368*AC$1)/$K368</f>
        <v>0.255566528020347</v>
      </c>
      <c r="AD368" s="35"/>
      <c r="AE368" s="35"/>
      <c r="AF368" s="35"/>
      <c r="AG368" s="35"/>
      <c r="AH368" s="35"/>
      <c r="AI368" s="35"/>
      <c r="AJ368" s="35"/>
      <c r="AK368" s="35"/>
      <c r="AL368" s="35"/>
    </row>
    <row r="369" customFormat="false" ht="15" hidden="false" customHeight="false" outlineLevel="0" collapsed="false">
      <c r="A369" s="51" t="s">
        <v>50</v>
      </c>
      <c r="B369" s="50" t="s">
        <v>434</v>
      </c>
      <c r="C369" s="50" t="s">
        <v>435</v>
      </c>
      <c r="D369" s="45" t="n">
        <v>30</v>
      </c>
      <c r="E369" s="45"/>
      <c r="F369" s="44" t="n">
        <v>0.149005272863769</v>
      </c>
      <c r="G369" s="44" t="n">
        <v>0.149005272863769</v>
      </c>
      <c r="H369" s="44" t="n">
        <f aca="false">+(I369+G369)/2</f>
        <v>0.153748071476954</v>
      </c>
      <c r="I369" s="44" t="n">
        <v>0.158490870090138</v>
      </c>
      <c r="J369" s="44" t="n">
        <v>0.169281787727845</v>
      </c>
      <c r="K369" s="31" t="n">
        <v>1</v>
      </c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3"/>
      <c r="W369" s="33"/>
      <c r="X369" s="33" t="n">
        <f aca="false">($H369*X$1)/$K369</f>
        <v>0.219091001854659</v>
      </c>
      <c r="Y369" s="33" t="n">
        <f aca="false">($H369*Y$1)/$K369</f>
        <v>0.224856554535045</v>
      </c>
      <c r="Z369" s="34" t="n">
        <f aca="false">($I369*Z$1)/$K369</f>
        <v>0.237736305135207</v>
      </c>
      <c r="AA369" s="34" t="n">
        <f aca="false">($I369*AA$1)/$K369</f>
        <v>0.243679712763587</v>
      </c>
      <c r="AB369" s="34" t="n">
        <f aca="false">($I369*AB$1)/$K369</f>
        <v>0.249623120391967</v>
      </c>
      <c r="AC369" s="34" t="n">
        <f aca="false">($I369*AC$1)/$K369</f>
        <v>0.255566528020347</v>
      </c>
      <c r="AD369" s="35"/>
      <c r="AE369" s="35"/>
      <c r="AF369" s="35"/>
      <c r="AG369" s="35"/>
      <c r="AH369" s="35"/>
      <c r="AI369" s="35"/>
      <c r="AJ369" s="35"/>
      <c r="AK369" s="35"/>
      <c r="AL369" s="35"/>
    </row>
    <row r="370" customFormat="false" ht="15" hidden="false" customHeight="false" outlineLevel="0" collapsed="false">
      <c r="A370" s="51" t="s">
        <v>50</v>
      </c>
      <c r="B370" s="50" t="s">
        <v>436</v>
      </c>
      <c r="C370" s="50" t="s">
        <v>437</v>
      </c>
      <c r="D370" s="45" t="n">
        <v>30</v>
      </c>
      <c r="E370" s="45"/>
      <c r="F370" s="44" t="n">
        <v>0.149005272863769</v>
      </c>
      <c r="G370" s="44" t="n">
        <v>0.149005272863769</v>
      </c>
      <c r="H370" s="44" t="n">
        <f aca="false">+(I370+G370)/2</f>
        <v>0.153748071476954</v>
      </c>
      <c r="I370" s="44" t="n">
        <v>0.158490870090138</v>
      </c>
      <c r="J370" s="44" t="n">
        <v>0.169281787727845</v>
      </c>
      <c r="K370" s="31" t="n">
        <v>2</v>
      </c>
      <c r="L370" s="32"/>
      <c r="M370" s="32"/>
      <c r="N370" s="32"/>
      <c r="O370" s="32"/>
      <c r="P370" s="32"/>
      <c r="Q370" s="32"/>
      <c r="R370" s="32" t="n">
        <f aca="false">($G370*R$1)/$K370</f>
        <v>0.0894031637182617</v>
      </c>
      <c r="S370" s="32" t="n">
        <f aca="false">($G370*S$1)/$K370</f>
        <v>0.0921970125844574</v>
      </c>
      <c r="T370" s="32" t="n">
        <f aca="false">($G370*T$1)/$K370</f>
        <v>0.0949908614506531</v>
      </c>
      <c r="U370" s="32" t="n">
        <f aca="false">($G370*U$1)/$K370</f>
        <v>0.0977847103168488</v>
      </c>
      <c r="V370" s="33" t="n">
        <f aca="false">($H370*V$1)/$K370</f>
        <v>0.103779948246944</v>
      </c>
      <c r="W370" s="33" t="n">
        <f aca="false">($H370*W$1)/$K370</f>
        <v>0.106662724587137</v>
      </c>
      <c r="X370" s="33" t="n">
        <f aca="false">($H370*X$1)/$K370</f>
        <v>0.10954550092733</v>
      </c>
      <c r="Y370" s="33" t="n">
        <f aca="false">($H370*Y$1)/$K370</f>
        <v>0.112428277267522</v>
      </c>
      <c r="Z370" s="34" t="n">
        <f aca="false">($I370*Z$1)/$K370</f>
        <v>0.118868152567604</v>
      </c>
      <c r="AA370" s="34" t="n">
        <f aca="false">($I370*AA$1)/$K370</f>
        <v>0.121839856381794</v>
      </c>
      <c r="AB370" s="34" t="n">
        <f aca="false">($I370*AB$1)/$K370</f>
        <v>0.124811560195984</v>
      </c>
      <c r="AC370" s="34" t="n">
        <f aca="false">($I370*AC$1)/$K370</f>
        <v>0.127783264010174</v>
      </c>
      <c r="AD370" s="35" t="n">
        <f aca="false">($J370*AD$1)/$K370</f>
        <v>0.139657474875472</v>
      </c>
      <c r="AE370" s="35" t="n">
        <f aca="false">($J370*AE$1)/$K370</f>
        <v>0.142831508395369</v>
      </c>
      <c r="AF370" s="35" t="n">
        <f aca="false">($J370*AF$1)/$K370</f>
        <v>0.146005541915267</v>
      </c>
      <c r="AG370" s="35" t="n">
        <f aca="false">($J370*AG$1)/$K370</f>
        <v>0.149179575435164</v>
      </c>
      <c r="AH370" s="35" t="n">
        <f aca="false">($J370*AH$1)/$K370</f>
        <v>0.152353608955061</v>
      </c>
      <c r="AI370" s="35" t="n">
        <f aca="false">($J370*AI$1)/$K370</f>
        <v>0.155527642474958</v>
      </c>
      <c r="AJ370" s="35" t="n">
        <f aca="false">($J370*AJ$1)/$K370</f>
        <v>0.158701675994855</v>
      </c>
      <c r="AK370" s="35" t="n">
        <f aca="false">($J370*AK$1)/$K370</f>
        <v>0.161875709514752</v>
      </c>
      <c r="AL370" s="35" t="n">
        <f aca="false">($J370*AL$1)/$K370</f>
        <v>0.165049743034649</v>
      </c>
    </row>
    <row r="371" customFormat="false" ht="15" hidden="false" customHeight="false" outlineLevel="0" collapsed="false">
      <c r="A371" s="51" t="s">
        <v>50</v>
      </c>
      <c r="B371" s="50" t="s">
        <v>438</v>
      </c>
      <c r="C371" s="50" t="s">
        <v>439</v>
      </c>
      <c r="D371" s="45" t="n">
        <v>30</v>
      </c>
      <c r="E371" s="45"/>
      <c r="F371" s="44" t="n">
        <v>0.149005272863769</v>
      </c>
      <c r="G371" s="44" t="n">
        <v>0.149005272863769</v>
      </c>
      <c r="H371" s="44" t="n">
        <f aca="false">+(I371+G371)/2</f>
        <v>0.153748071476954</v>
      </c>
      <c r="I371" s="44" t="n">
        <v>0.158490870090138</v>
      </c>
      <c r="J371" s="44" t="n">
        <v>0.169281787727845</v>
      </c>
      <c r="K371" s="31" t="n">
        <v>1</v>
      </c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3"/>
      <c r="W371" s="33"/>
      <c r="X371" s="33" t="n">
        <f aca="false">($H371*X$1)/$K371</f>
        <v>0.219091001854659</v>
      </c>
      <c r="Y371" s="33" t="n">
        <f aca="false">($H371*Y$1)/$K371</f>
        <v>0.224856554535045</v>
      </c>
      <c r="Z371" s="34" t="n">
        <f aca="false">($I371*Z$1)/$K371</f>
        <v>0.237736305135207</v>
      </c>
      <c r="AA371" s="34" t="n">
        <f aca="false">($I371*AA$1)/$K371</f>
        <v>0.243679712763587</v>
      </c>
      <c r="AB371" s="34" t="n">
        <f aca="false">($I371*AB$1)/$K371</f>
        <v>0.249623120391967</v>
      </c>
      <c r="AC371" s="34" t="n">
        <f aca="false">($I371*AC$1)/$K371</f>
        <v>0.255566528020347</v>
      </c>
      <c r="AD371" s="35" t="n">
        <f aca="false">($J371*AD$1)/$K371</f>
        <v>0.279314949750945</v>
      </c>
      <c r="AE371" s="35"/>
      <c r="AF371" s="35"/>
      <c r="AG371" s="35"/>
      <c r="AH371" s="35"/>
      <c r="AI371" s="35"/>
      <c r="AJ371" s="35"/>
      <c r="AK371" s="35"/>
      <c r="AL371" s="35"/>
    </row>
    <row r="372" customFormat="false" ht="15" hidden="false" customHeight="false" outlineLevel="0" collapsed="false">
      <c r="A372" s="51" t="s">
        <v>50</v>
      </c>
      <c r="B372" s="50" t="s">
        <v>440</v>
      </c>
      <c r="C372" s="50" t="s">
        <v>441</v>
      </c>
      <c r="D372" s="45" t="n">
        <v>30</v>
      </c>
      <c r="E372" s="45"/>
      <c r="F372" s="44" t="n">
        <v>0.149005272863769</v>
      </c>
      <c r="G372" s="44" t="n">
        <v>0.149005272863769</v>
      </c>
      <c r="H372" s="44" t="n">
        <f aca="false">+(I372+G372)/2</f>
        <v>0.153748071476954</v>
      </c>
      <c r="I372" s="44" t="n">
        <v>0.158490870090138</v>
      </c>
      <c r="J372" s="44" t="n">
        <v>0.169281787727845</v>
      </c>
      <c r="K372" s="31" t="n">
        <v>1</v>
      </c>
      <c r="L372" s="32"/>
      <c r="M372" s="32"/>
      <c r="N372" s="32"/>
      <c r="O372" s="32"/>
      <c r="P372" s="32"/>
      <c r="Q372" s="32"/>
      <c r="R372" s="32" t="n">
        <f aca="false">($G372*R$1)/$K372</f>
        <v>0.178806327436523</v>
      </c>
      <c r="S372" s="32" t="n">
        <f aca="false">($G372*S$1)/$K372</f>
        <v>0.184394025168915</v>
      </c>
      <c r="T372" s="32" t="n">
        <f aca="false">($G372*T$1)/$K372</f>
        <v>0.189981722901306</v>
      </c>
      <c r="U372" s="32" t="n">
        <f aca="false">($G372*U$1)/$K372</f>
        <v>0.195569420633698</v>
      </c>
      <c r="V372" s="33"/>
      <c r="W372" s="33"/>
      <c r="X372" s="33"/>
      <c r="Y372" s="33"/>
      <c r="Z372" s="34"/>
      <c r="AA372" s="34"/>
      <c r="AB372" s="34"/>
      <c r="AC372" s="34"/>
      <c r="AD372" s="35"/>
      <c r="AE372" s="35"/>
      <c r="AF372" s="35"/>
      <c r="AG372" s="35"/>
      <c r="AH372" s="35"/>
      <c r="AI372" s="35"/>
      <c r="AJ372" s="35"/>
      <c r="AK372" s="35"/>
      <c r="AL372" s="35"/>
    </row>
    <row r="373" customFormat="false" ht="15" hidden="false" customHeight="false" outlineLevel="0" collapsed="false">
      <c r="A373" s="51" t="s">
        <v>50</v>
      </c>
      <c r="B373" s="50" t="s">
        <v>442</v>
      </c>
      <c r="C373" s="50" t="s">
        <v>443</v>
      </c>
      <c r="D373" s="45" t="n">
        <v>30</v>
      </c>
      <c r="E373" s="45"/>
      <c r="F373" s="44" t="n">
        <v>0.149005272863769</v>
      </c>
      <c r="G373" s="44" t="n">
        <v>0.149005272863769</v>
      </c>
      <c r="H373" s="44" t="n">
        <f aca="false">+(I373+G373)/2</f>
        <v>0.153748071476954</v>
      </c>
      <c r="I373" s="44" t="n">
        <v>0.158490870090138</v>
      </c>
      <c r="J373" s="44" t="n">
        <v>0.169281787727845</v>
      </c>
      <c r="K373" s="31" t="n">
        <v>2</v>
      </c>
      <c r="L373" s="32"/>
      <c r="M373" s="32"/>
      <c r="N373" s="32"/>
      <c r="O373" s="32"/>
      <c r="P373" s="32"/>
      <c r="Q373" s="32"/>
      <c r="R373" s="32" t="n">
        <f aca="false">($G373*R$1)/$K373</f>
        <v>0.0894031637182617</v>
      </c>
      <c r="S373" s="32" t="n">
        <f aca="false">($G373*S$1)/$K373</f>
        <v>0.0921970125844574</v>
      </c>
      <c r="T373" s="32" t="n">
        <f aca="false">($G373*T$1)/$K373</f>
        <v>0.0949908614506531</v>
      </c>
      <c r="U373" s="32" t="n">
        <f aca="false">($G373*U$1)/$K373</f>
        <v>0.0977847103168488</v>
      </c>
      <c r="V373" s="33" t="n">
        <f aca="false">($H373*V$1)/$K373</f>
        <v>0.103779948246944</v>
      </c>
      <c r="W373" s="33" t="n">
        <f aca="false">($H373*W$1)/$K373</f>
        <v>0.106662724587137</v>
      </c>
      <c r="X373" s="33" t="n">
        <f aca="false">($H373*X$1)/$K373</f>
        <v>0.10954550092733</v>
      </c>
      <c r="Y373" s="33" t="n">
        <f aca="false">($H373*Y$1)/$K373</f>
        <v>0.112428277267522</v>
      </c>
      <c r="Z373" s="34" t="n">
        <f aca="false">($I373*Z$1)/$K373</f>
        <v>0.118868152567604</v>
      </c>
      <c r="AA373" s="34" t="n">
        <f aca="false">($I373*AA$1)/$K373</f>
        <v>0.121839856381794</v>
      </c>
      <c r="AB373" s="34" t="n">
        <f aca="false">($I373*AB$1)/$K373</f>
        <v>0.124811560195984</v>
      </c>
      <c r="AC373" s="34" t="n">
        <f aca="false">($I373*AC$1)/$K373</f>
        <v>0.127783264010174</v>
      </c>
      <c r="AD373" s="35" t="n">
        <f aca="false">($J373*AD$1)/$K373</f>
        <v>0.139657474875472</v>
      </c>
      <c r="AE373" s="35" t="n">
        <f aca="false">($J373*AE$1)/$K373</f>
        <v>0.142831508395369</v>
      </c>
      <c r="AF373" s="35" t="n">
        <f aca="false">($J373*AF$1)/$K373</f>
        <v>0.146005541915267</v>
      </c>
      <c r="AG373" s="35" t="n">
        <f aca="false">($J373*AG$1)/$K373</f>
        <v>0.149179575435164</v>
      </c>
      <c r="AH373" s="35" t="n">
        <f aca="false">($J373*AH$1)/$K373</f>
        <v>0.152353608955061</v>
      </c>
      <c r="AI373" s="35" t="n">
        <f aca="false">($J373*AI$1)/$K373</f>
        <v>0.155527642474958</v>
      </c>
      <c r="AJ373" s="35" t="n">
        <f aca="false">($J373*AJ$1)/$K373</f>
        <v>0.158701675994855</v>
      </c>
      <c r="AK373" s="35" t="n">
        <f aca="false">($J373*AK$1)/$K373</f>
        <v>0.161875709514752</v>
      </c>
      <c r="AL373" s="35" t="n">
        <f aca="false">($J373*AL$1)/$K373</f>
        <v>0.165049743034649</v>
      </c>
    </row>
    <row r="374" customFormat="false" ht="15" hidden="false" customHeight="false" outlineLevel="0" collapsed="false">
      <c r="A374" s="5" t="s">
        <v>51</v>
      </c>
      <c r="B374" s="50" t="s">
        <v>444</v>
      </c>
      <c r="C374" s="50" t="s">
        <v>445</v>
      </c>
      <c r="D374" s="45" t="n">
        <v>31</v>
      </c>
      <c r="E374" s="45"/>
      <c r="F374" s="44" t="n">
        <v>0.12622424002054</v>
      </c>
      <c r="G374" s="44" t="n">
        <v>0.12622424002054</v>
      </c>
      <c r="H374" s="44" t="n">
        <f aca="false">+(I374+G374)/2</f>
        <v>0.128366102056244</v>
      </c>
      <c r="I374" s="44" t="n">
        <v>0.130507964091947</v>
      </c>
      <c r="J374" s="44" t="n">
        <v>0.14189303832344</v>
      </c>
      <c r="K374" s="31" t="n">
        <v>2</v>
      </c>
      <c r="L374" s="32"/>
      <c r="M374" s="32"/>
      <c r="N374" s="32"/>
      <c r="O374" s="32"/>
      <c r="P374" s="32"/>
      <c r="Q374" s="32"/>
      <c r="R374" s="32" t="n">
        <f aca="false">($G374*R$1)/$K374</f>
        <v>0.0757345440123242</v>
      </c>
      <c r="S374" s="32" t="n">
        <f aca="false">($G374*S$1)/$K374</f>
        <v>0.0781012485127093</v>
      </c>
      <c r="T374" s="32" t="n">
        <f aca="false">($G374*T$1)/$K374</f>
        <v>0.0804679530130944</v>
      </c>
      <c r="U374" s="32" t="n">
        <f aca="false">($G374*U$1)/$K374</f>
        <v>0.0828346575134796</v>
      </c>
      <c r="V374" s="33" t="n">
        <f aca="false">($H374*V$1)/$K374</f>
        <v>0.0866471188879645</v>
      </c>
      <c r="W374" s="33" t="n">
        <f aca="false">($H374*W$1)/$K374</f>
        <v>0.0890539833015191</v>
      </c>
      <c r="X374" s="33" t="n">
        <f aca="false">($H374*X$1)/$K374</f>
        <v>0.0914608477150736</v>
      </c>
      <c r="Y374" s="33" t="n">
        <f aca="false">($H374*Y$1)/$K374</f>
        <v>0.0938677121286282</v>
      </c>
      <c r="Z374" s="34" t="n">
        <f aca="false">($I374*Z$1)/$K374</f>
        <v>0.0978809730689603</v>
      </c>
      <c r="AA374" s="34" t="n">
        <f aca="false">($I374*AA$1)/$K374</f>
        <v>0.100327997395684</v>
      </c>
      <c r="AB374" s="34" t="n">
        <f aca="false">($I374*AB$1)/$K374</f>
        <v>0.102775021722408</v>
      </c>
      <c r="AC374" s="34" t="n">
        <f aca="false">($I374*AC$1)/$K374</f>
        <v>0.105222046049132</v>
      </c>
      <c r="AD374" s="35" t="n">
        <f aca="false">($J374*AD$1)/$K374</f>
        <v>0.117061756616838</v>
      </c>
      <c r="AE374" s="35" t="n">
        <f aca="false">($J374*AE$1)/$K374</f>
        <v>0.119722251085402</v>
      </c>
      <c r="AF374" s="35" t="n">
        <f aca="false">($J374*AF$1)/$K374</f>
        <v>0.122382745553967</v>
      </c>
      <c r="AG374" s="35" t="n">
        <f aca="false">($J374*AG$1)/$K374</f>
        <v>0.125043240022531</v>
      </c>
      <c r="AH374" s="35" t="n">
        <f aca="false">($J374*AH$1)/$K374</f>
        <v>0.127703734491096</v>
      </c>
      <c r="AI374" s="35" t="n">
        <f aca="false">($J374*AI$1)/$K374</f>
        <v>0.13036422895966</v>
      </c>
      <c r="AJ374" s="35" t="n">
        <f aca="false">($J374*AJ$1)/$K374</f>
        <v>0.133024723428225</v>
      </c>
      <c r="AK374" s="35" t="n">
        <f aca="false">($J374*AK$1)/$K374</f>
        <v>0.135685217896789</v>
      </c>
      <c r="AL374" s="35" t="n">
        <f aca="false">($J374*AL$1)/$K374</f>
        <v>0.138345712365354</v>
      </c>
    </row>
    <row r="375" customFormat="false" ht="15" hidden="false" customHeight="false" outlineLevel="0" collapsed="false">
      <c r="A375" s="5" t="s">
        <v>51</v>
      </c>
      <c r="B375" s="50" t="s">
        <v>446</v>
      </c>
      <c r="C375" s="50" t="s">
        <v>447</v>
      </c>
      <c r="D375" s="45" t="n">
        <v>31</v>
      </c>
      <c r="E375" s="45"/>
      <c r="F375" s="44" t="n">
        <v>0.12622424002054</v>
      </c>
      <c r="G375" s="44" t="n">
        <v>0.12622424002054</v>
      </c>
      <c r="H375" s="44" t="n">
        <f aca="false">+(I375+G375)/2</f>
        <v>0.128366102056244</v>
      </c>
      <c r="I375" s="44" t="n">
        <v>0.130507964091947</v>
      </c>
      <c r="J375" s="44" t="n">
        <v>0.14189303832344</v>
      </c>
      <c r="K375" s="31" t="n">
        <v>2</v>
      </c>
      <c r="L375" s="32"/>
      <c r="M375" s="32"/>
      <c r="N375" s="32"/>
      <c r="O375" s="32"/>
      <c r="P375" s="32"/>
      <c r="Q375" s="32"/>
      <c r="R375" s="32" t="n">
        <f aca="false">($G375*R$1)/$K375</f>
        <v>0.0757345440123242</v>
      </c>
      <c r="S375" s="32" t="n">
        <f aca="false">($G375*S$1)/$K375</f>
        <v>0.0781012485127093</v>
      </c>
      <c r="T375" s="32" t="n">
        <f aca="false">($G375*T$1)/$K375</f>
        <v>0.0804679530130944</v>
      </c>
      <c r="U375" s="32" t="n">
        <f aca="false">($G375*U$1)/$K375</f>
        <v>0.0828346575134796</v>
      </c>
      <c r="V375" s="33" t="n">
        <f aca="false">($H375*V$1)/$K375</f>
        <v>0.0866471188879645</v>
      </c>
      <c r="W375" s="33" t="n">
        <f aca="false">($H375*W$1)/$K375</f>
        <v>0.0890539833015191</v>
      </c>
      <c r="X375" s="33" t="n">
        <f aca="false">($H375*X$1)/$K375</f>
        <v>0.0914608477150736</v>
      </c>
      <c r="Y375" s="33" t="n">
        <f aca="false">($H375*Y$1)/$K375</f>
        <v>0.0938677121286282</v>
      </c>
      <c r="Z375" s="34" t="n">
        <f aca="false">($I375*Z$1)/$K375</f>
        <v>0.0978809730689603</v>
      </c>
      <c r="AA375" s="34" t="n">
        <f aca="false">($I375*AA$1)/$K375</f>
        <v>0.100327997395684</v>
      </c>
      <c r="AB375" s="34" t="n">
        <f aca="false">($I375*AB$1)/$K375</f>
        <v>0.102775021722408</v>
      </c>
      <c r="AC375" s="34" t="n">
        <f aca="false">($I375*AC$1)/$K375</f>
        <v>0.105222046049132</v>
      </c>
      <c r="AD375" s="35" t="n">
        <f aca="false">($J375*AD$1)/$K375</f>
        <v>0.117061756616838</v>
      </c>
      <c r="AE375" s="35" t="n">
        <f aca="false">($J375*AE$1)/$K375</f>
        <v>0.119722251085402</v>
      </c>
      <c r="AF375" s="35" t="n">
        <f aca="false">($J375*AF$1)/$K375</f>
        <v>0.122382745553967</v>
      </c>
      <c r="AG375" s="35" t="n">
        <f aca="false">($J375*AG$1)/$K375</f>
        <v>0.125043240022531</v>
      </c>
      <c r="AH375" s="35" t="n">
        <f aca="false">($J375*AH$1)/$K375</f>
        <v>0.127703734491096</v>
      </c>
      <c r="AI375" s="35" t="n">
        <f aca="false">($J375*AI$1)/$K375</f>
        <v>0.13036422895966</v>
      </c>
      <c r="AJ375" s="35" t="n">
        <f aca="false">($J375*AJ$1)/$K375</f>
        <v>0.133024723428225</v>
      </c>
      <c r="AK375" s="35" t="n">
        <f aca="false">($J375*AK$1)/$K375</f>
        <v>0.135685217896789</v>
      </c>
      <c r="AL375" s="35" t="n">
        <f aca="false">($J375*AL$1)/$K375</f>
        <v>0.138345712365354</v>
      </c>
    </row>
    <row r="376" customFormat="false" ht="15" hidden="false" customHeight="false" outlineLevel="0" collapsed="false">
      <c r="A376" s="5" t="s">
        <v>51</v>
      </c>
      <c r="B376" s="50" t="s">
        <v>448</v>
      </c>
      <c r="C376" s="50" t="s">
        <v>449</v>
      </c>
      <c r="D376" s="45" t="n">
        <v>31</v>
      </c>
      <c r="E376" s="45"/>
      <c r="F376" s="44" t="n">
        <v>0.12622424002054</v>
      </c>
      <c r="G376" s="44" t="n">
        <v>0.12622424002054</v>
      </c>
      <c r="H376" s="44" t="n">
        <f aca="false">+(I376+G376)/2</f>
        <v>0.128366102056244</v>
      </c>
      <c r="I376" s="44" t="n">
        <v>0.130507964091947</v>
      </c>
      <c r="J376" s="44" t="n">
        <v>0.14189303832344</v>
      </c>
      <c r="K376" s="31" t="n">
        <v>2</v>
      </c>
      <c r="L376" s="32"/>
      <c r="M376" s="32"/>
      <c r="N376" s="32"/>
      <c r="O376" s="32"/>
      <c r="P376" s="32"/>
      <c r="Q376" s="32"/>
      <c r="R376" s="32" t="n">
        <f aca="false">($G376*R$1)/$K376</f>
        <v>0.0757345440123242</v>
      </c>
      <c r="S376" s="32" t="n">
        <f aca="false">($G376*S$1)/$K376</f>
        <v>0.0781012485127093</v>
      </c>
      <c r="T376" s="32" t="n">
        <f aca="false">($G376*T$1)/$K376</f>
        <v>0.0804679530130944</v>
      </c>
      <c r="U376" s="32" t="n">
        <f aca="false">($G376*U$1)/$K376</f>
        <v>0.0828346575134796</v>
      </c>
      <c r="V376" s="33" t="n">
        <f aca="false">($H376*V$1)/$K376</f>
        <v>0.0866471188879645</v>
      </c>
      <c r="W376" s="33" t="n">
        <f aca="false">($H376*W$1)/$K376</f>
        <v>0.0890539833015191</v>
      </c>
      <c r="X376" s="33" t="n">
        <f aca="false">($H376*X$1)/$K376</f>
        <v>0.0914608477150736</v>
      </c>
      <c r="Y376" s="33" t="n">
        <f aca="false">($H376*Y$1)/$K376</f>
        <v>0.0938677121286282</v>
      </c>
      <c r="Z376" s="34" t="n">
        <f aca="false">($I376*Z$1)/$K376</f>
        <v>0.0978809730689603</v>
      </c>
      <c r="AA376" s="34" t="n">
        <f aca="false">($I376*AA$1)/$K376</f>
        <v>0.100327997395684</v>
      </c>
      <c r="AB376" s="34" t="n">
        <f aca="false">($I376*AB$1)/$K376</f>
        <v>0.102775021722408</v>
      </c>
      <c r="AC376" s="34" t="n">
        <f aca="false">($I376*AC$1)/$K376</f>
        <v>0.105222046049132</v>
      </c>
      <c r="AD376" s="35" t="n">
        <f aca="false">($J376*AD$1)/$K376</f>
        <v>0.117061756616838</v>
      </c>
      <c r="AE376" s="35" t="n">
        <f aca="false">($J376*AE$1)/$K376</f>
        <v>0.119722251085402</v>
      </c>
      <c r="AF376" s="35" t="n">
        <f aca="false">($J376*AF$1)/$K376</f>
        <v>0.122382745553967</v>
      </c>
      <c r="AG376" s="35" t="n">
        <f aca="false">($J376*AG$1)/$K376</f>
        <v>0.125043240022531</v>
      </c>
      <c r="AH376" s="35" t="n">
        <f aca="false">($J376*AH$1)/$K376</f>
        <v>0.127703734491096</v>
      </c>
      <c r="AI376" s="35" t="n">
        <f aca="false">($J376*AI$1)/$K376</f>
        <v>0.13036422895966</v>
      </c>
      <c r="AJ376" s="35" t="n">
        <f aca="false">($J376*AJ$1)/$K376</f>
        <v>0.133024723428225</v>
      </c>
      <c r="AK376" s="35" t="n">
        <f aca="false">($J376*AK$1)/$K376</f>
        <v>0.135685217896789</v>
      </c>
      <c r="AL376" s="35" t="n">
        <f aca="false">($J376*AL$1)/$K376</f>
        <v>0.138345712365354</v>
      </c>
    </row>
    <row r="377" customFormat="false" ht="15" hidden="false" customHeight="false" outlineLevel="0" collapsed="false">
      <c r="A377" s="5" t="s">
        <v>51</v>
      </c>
      <c r="B377" s="50" t="s">
        <v>450</v>
      </c>
      <c r="C377" s="50" t="s">
        <v>451</v>
      </c>
      <c r="D377" s="45" t="n">
        <v>31</v>
      </c>
      <c r="E377" s="45"/>
      <c r="F377" s="44" t="n">
        <v>0.12622424002054</v>
      </c>
      <c r="G377" s="44" t="n">
        <v>0.12622424002054</v>
      </c>
      <c r="H377" s="44" t="n">
        <f aca="false">+(I377+G377)/2</f>
        <v>0.128366102056244</v>
      </c>
      <c r="I377" s="44" t="n">
        <v>0.130507964091947</v>
      </c>
      <c r="J377" s="44" t="n">
        <v>0.14189303832344</v>
      </c>
      <c r="K377" s="31" t="n">
        <v>2</v>
      </c>
      <c r="L377" s="32"/>
      <c r="M377" s="32"/>
      <c r="N377" s="32"/>
      <c r="O377" s="32"/>
      <c r="P377" s="32"/>
      <c r="Q377" s="32"/>
      <c r="R377" s="32" t="n">
        <f aca="false">($G377*R$1)/$K377</f>
        <v>0.0757345440123242</v>
      </c>
      <c r="S377" s="32" t="n">
        <f aca="false">($G377*S$1)/$K377</f>
        <v>0.0781012485127093</v>
      </c>
      <c r="T377" s="32" t="n">
        <f aca="false">($G377*T$1)/$K377</f>
        <v>0.0804679530130944</v>
      </c>
      <c r="U377" s="32" t="n">
        <f aca="false">($G377*U$1)/$K377</f>
        <v>0.0828346575134796</v>
      </c>
      <c r="V377" s="33" t="n">
        <f aca="false">($H377*V$1)/$K377</f>
        <v>0.0866471188879645</v>
      </c>
      <c r="W377" s="33" t="n">
        <f aca="false">($H377*W$1)/$K377</f>
        <v>0.0890539833015191</v>
      </c>
      <c r="X377" s="33" t="n">
        <f aca="false">($H377*X$1)/$K377</f>
        <v>0.0914608477150736</v>
      </c>
      <c r="Y377" s="33" t="n">
        <f aca="false">($H377*Y$1)/$K377</f>
        <v>0.0938677121286282</v>
      </c>
      <c r="Z377" s="34" t="n">
        <f aca="false">($I377*Z$1)/$K377</f>
        <v>0.0978809730689603</v>
      </c>
      <c r="AA377" s="34" t="n">
        <f aca="false">($I377*AA$1)/$K377</f>
        <v>0.100327997395684</v>
      </c>
      <c r="AB377" s="34" t="n">
        <f aca="false">($I377*AB$1)/$K377</f>
        <v>0.102775021722408</v>
      </c>
      <c r="AC377" s="34" t="n">
        <f aca="false">($I377*AC$1)/$K377</f>
        <v>0.105222046049132</v>
      </c>
      <c r="AD377" s="35" t="n">
        <f aca="false">($J377*AD$1)/$K377</f>
        <v>0.117061756616838</v>
      </c>
      <c r="AE377" s="35" t="n">
        <f aca="false">($J377*AE$1)/$K377</f>
        <v>0.119722251085402</v>
      </c>
      <c r="AF377" s="35" t="n">
        <f aca="false">($J377*AF$1)/$K377</f>
        <v>0.122382745553967</v>
      </c>
      <c r="AG377" s="35" t="n">
        <f aca="false">($J377*AG$1)/$K377</f>
        <v>0.125043240022531</v>
      </c>
      <c r="AH377" s="35" t="n">
        <f aca="false">($J377*AH$1)/$K377</f>
        <v>0.127703734491096</v>
      </c>
      <c r="AI377" s="35" t="n">
        <f aca="false">($J377*AI$1)/$K377</f>
        <v>0.13036422895966</v>
      </c>
      <c r="AJ377" s="35" t="n">
        <f aca="false">($J377*AJ$1)/$K377</f>
        <v>0.133024723428225</v>
      </c>
      <c r="AK377" s="35" t="n">
        <f aca="false">($J377*AK$1)/$K377</f>
        <v>0.135685217896789</v>
      </c>
      <c r="AL377" s="35" t="n">
        <f aca="false">($J377*AL$1)/$K377</f>
        <v>0.138345712365354</v>
      </c>
    </row>
    <row r="378" customFormat="false" ht="15" hidden="false" customHeight="false" outlineLevel="0" collapsed="false">
      <c r="A378" s="5" t="s">
        <v>51</v>
      </c>
      <c r="B378" s="50" t="s">
        <v>452</v>
      </c>
      <c r="C378" s="50" t="s">
        <v>453</v>
      </c>
      <c r="D378" s="45" t="n">
        <v>31</v>
      </c>
      <c r="E378" s="45"/>
      <c r="F378" s="44" t="n">
        <v>0.12622424002054</v>
      </c>
      <c r="G378" s="44" t="n">
        <v>0.12622424002054</v>
      </c>
      <c r="H378" s="44" t="n">
        <f aca="false">+(I378+G378)/2</f>
        <v>0.128366102056244</v>
      </c>
      <c r="I378" s="44" t="n">
        <v>0.130507964091947</v>
      </c>
      <c r="J378" s="44" t="n">
        <v>0.14189303832344</v>
      </c>
      <c r="K378" s="31" t="n">
        <v>2</v>
      </c>
      <c r="L378" s="32"/>
      <c r="M378" s="32"/>
      <c r="N378" s="32"/>
      <c r="O378" s="32"/>
      <c r="P378" s="32"/>
      <c r="Q378" s="32"/>
      <c r="R378" s="32" t="n">
        <f aca="false">($G378*R$1)/$K378</f>
        <v>0.0757345440123242</v>
      </c>
      <c r="S378" s="32" t="n">
        <f aca="false">($G378*S$1)/$K378</f>
        <v>0.0781012485127093</v>
      </c>
      <c r="T378" s="32" t="n">
        <f aca="false">($G378*T$1)/$K378</f>
        <v>0.0804679530130944</v>
      </c>
      <c r="U378" s="32" t="n">
        <f aca="false">($G378*U$1)/$K378</f>
        <v>0.0828346575134796</v>
      </c>
      <c r="V378" s="33" t="n">
        <f aca="false">($H378*V$1)/$K378</f>
        <v>0.0866471188879645</v>
      </c>
      <c r="W378" s="33" t="n">
        <f aca="false">($H378*W$1)/$K378</f>
        <v>0.0890539833015191</v>
      </c>
      <c r="X378" s="33" t="n">
        <f aca="false">($H378*X$1)/$K378</f>
        <v>0.0914608477150736</v>
      </c>
      <c r="Y378" s="33" t="n">
        <f aca="false">($H378*Y$1)/$K378</f>
        <v>0.0938677121286282</v>
      </c>
      <c r="Z378" s="34" t="n">
        <f aca="false">($I378*Z$1)/$K378</f>
        <v>0.0978809730689603</v>
      </c>
      <c r="AA378" s="34" t="n">
        <f aca="false">($I378*AA$1)/$K378</f>
        <v>0.100327997395684</v>
      </c>
      <c r="AB378" s="34" t="n">
        <f aca="false">($I378*AB$1)/$K378</f>
        <v>0.102775021722408</v>
      </c>
      <c r="AC378" s="34" t="n">
        <f aca="false">($I378*AC$1)/$K378</f>
        <v>0.105222046049132</v>
      </c>
      <c r="AD378" s="35" t="n">
        <f aca="false">($J378*AD$1)/$K378</f>
        <v>0.117061756616838</v>
      </c>
      <c r="AE378" s="35" t="n">
        <f aca="false">($J378*AE$1)/$K378</f>
        <v>0.119722251085402</v>
      </c>
      <c r="AF378" s="35" t="n">
        <f aca="false">($J378*AF$1)/$K378</f>
        <v>0.122382745553967</v>
      </c>
      <c r="AG378" s="35" t="n">
        <f aca="false">($J378*AG$1)/$K378</f>
        <v>0.125043240022531</v>
      </c>
      <c r="AH378" s="35" t="n">
        <f aca="false">($J378*AH$1)/$K378</f>
        <v>0.127703734491096</v>
      </c>
      <c r="AI378" s="35" t="n">
        <f aca="false">($J378*AI$1)/$K378</f>
        <v>0.13036422895966</v>
      </c>
      <c r="AJ378" s="35" t="n">
        <f aca="false">($J378*AJ$1)/$K378</f>
        <v>0.133024723428225</v>
      </c>
      <c r="AK378" s="35" t="n">
        <f aca="false">($J378*AK$1)/$K378</f>
        <v>0.135685217896789</v>
      </c>
      <c r="AL378" s="35" t="n">
        <f aca="false">($J378*AL$1)/$K378</f>
        <v>0.138345712365354</v>
      </c>
    </row>
    <row r="379" customFormat="false" ht="15" hidden="false" customHeight="false" outlineLevel="0" collapsed="false">
      <c r="A379" s="5" t="s">
        <v>51</v>
      </c>
      <c r="B379" s="50" t="s">
        <v>454</v>
      </c>
      <c r="C379" s="50" t="s">
        <v>455</v>
      </c>
      <c r="D379" s="45" t="n">
        <v>31</v>
      </c>
      <c r="E379" s="45"/>
      <c r="F379" s="44" t="n">
        <v>0.12622424002054</v>
      </c>
      <c r="G379" s="44" t="n">
        <v>0.12622424002054</v>
      </c>
      <c r="H379" s="44" t="n">
        <f aca="false">+(I379+G379)/2</f>
        <v>0.128366102056244</v>
      </c>
      <c r="I379" s="44" t="n">
        <v>0.130507964091947</v>
      </c>
      <c r="J379" s="44" t="n">
        <v>0.14189303832344</v>
      </c>
      <c r="K379" s="31" t="n">
        <v>2</v>
      </c>
      <c r="L379" s="32"/>
      <c r="M379" s="32"/>
      <c r="N379" s="32"/>
      <c r="O379" s="32"/>
      <c r="P379" s="32"/>
      <c r="Q379" s="32"/>
      <c r="R379" s="32" t="n">
        <f aca="false">($G379*R$1)/$K379</f>
        <v>0.0757345440123242</v>
      </c>
      <c r="S379" s="32" t="n">
        <f aca="false">($G379*S$1)/$K379</f>
        <v>0.0781012485127093</v>
      </c>
      <c r="T379" s="32" t="n">
        <f aca="false">($G379*T$1)/$K379</f>
        <v>0.0804679530130944</v>
      </c>
      <c r="U379" s="32" t="n">
        <f aca="false">($G379*U$1)/$K379</f>
        <v>0.0828346575134796</v>
      </c>
      <c r="V379" s="33" t="n">
        <f aca="false">($H379*V$1)/$K379</f>
        <v>0.0866471188879645</v>
      </c>
      <c r="W379" s="33" t="n">
        <f aca="false">($H379*W$1)/$K379</f>
        <v>0.0890539833015191</v>
      </c>
      <c r="X379" s="33" t="n">
        <f aca="false">($H379*X$1)/$K379</f>
        <v>0.0914608477150736</v>
      </c>
      <c r="Y379" s="33" t="n">
        <f aca="false">($H379*Y$1)/$K379</f>
        <v>0.0938677121286282</v>
      </c>
      <c r="Z379" s="34" t="n">
        <f aca="false">($I379*Z$1)/$K379</f>
        <v>0.0978809730689603</v>
      </c>
      <c r="AA379" s="34" t="n">
        <f aca="false">($I379*AA$1)/$K379</f>
        <v>0.100327997395684</v>
      </c>
      <c r="AB379" s="34" t="n">
        <f aca="false">($I379*AB$1)/$K379</f>
        <v>0.102775021722408</v>
      </c>
      <c r="AC379" s="34" t="n">
        <f aca="false">($I379*AC$1)/$K379</f>
        <v>0.105222046049132</v>
      </c>
      <c r="AD379" s="35" t="n">
        <f aca="false">($J379*AD$1)/$K379</f>
        <v>0.117061756616838</v>
      </c>
      <c r="AE379" s="35" t="n">
        <f aca="false">($J379*AE$1)/$K379</f>
        <v>0.119722251085402</v>
      </c>
      <c r="AF379" s="35" t="n">
        <f aca="false">($J379*AF$1)/$K379</f>
        <v>0.122382745553967</v>
      </c>
      <c r="AG379" s="35" t="n">
        <f aca="false">($J379*AG$1)/$K379</f>
        <v>0.125043240022531</v>
      </c>
      <c r="AH379" s="35" t="n">
        <f aca="false">($J379*AH$1)/$K379</f>
        <v>0.127703734491096</v>
      </c>
      <c r="AI379" s="35" t="n">
        <f aca="false">($J379*AI$1)/$K379</f>
        <v>0.13036422895966</v>
      </c>
      <c r="AJ379" s="35" t="n">
        <f aca="false">($J379*AJ$1)/$K379</f>
        <v>0.133024723428225</v>
      </c>
      <c r="AK379" s="35" t="n">
        <f aca="false">($J379*AK$1)/$K379</f>
        <v>0.135685217896789</v>
      </c>
      <c r="AL379" s="35" t="n">
        <f aca="false">($J379*AL$1)/$K379</f>
        <v>0.138345712365354</v>
      </c>
    </row>
    <row r="380" customFormat="false" ht="15" hidden="false" customHeight="false" outlineLevel="0" collapsed="false">
      <c r="A380" s="5" t="s">
        <v>51</v>
      </c>
      <c r="B380" s="50" t="s">
        <v>456</v>
      </c>
      <c r="C380" s="50" t="s">
        <v>457</v>
      </c>
      <c r="D380" s="45" t="n">
        <v>31</v>
      </c>
      <c r="E380" s="45"/>
      <c r="F380" s="44" t="n">
        <v>0.12622424002054</v>
      </c>
      <c r="G380" s="44" t="n">
        <v>0.12622424002054</v>
      </c>
      <c r="H380" s="44" t="n">
        <f aca="false">+(I380+G380)/2</f>
        <v>0.128366102056244</v>
      </c>
      <c r="I380" s="44" t="n">
        <v>0.130507964091947</v>
      </c>
      <c r="J380" s="44" t="n">
        <v>0.14189303832344</v>
      </c>
      <c r="K380" s="31" t="n">
        <v>2</v>
      </c>
      <c r="L380" s="32"/>
      <c r="M380" s="32"/>
      <c r="N380" s="32"/>
      <c r="O380" s="32"/>
      <c r="P380" s="32"/>
      <c r="Q380" s="32"/>
      <c r="R380" s="32" t="n">
        <f aca="false">($G380*R$1)/$K380</f>
        <v>0.0757345440123242</v>
      </c>
      <c r="S380" s="32" t="n">
        <f aca="false">($G380*S$1)/$K380</f>
        <v>0.0781012485127093</v>
      </c>
      <c r="T380" s="32" t="n">
        <f aca="false">($G380*T$1)/$K380</f>
        <v>0.0804679530130944</v>
      </c>
      <c r="U380" s="32" t="n">
        <f aca="false">($G380*U$1)/$K380</f>
        <v>0.0828346575134796</v>
      </c>
      <c r="V380" s="33" t="n">
        <f aca="false">($H380*V$1)/$K380</f>
        <v>0.0866471188879645</v>
      </c>
      <c r="W380" s="33" t="n">
        <f aca="false">($H380*W$1)/$K380</f>
        <v>0.0890539833015191</v>
      </c>
      <c r="X380" s="33" t="n">
        <f aca="false">($H380*X$1)/$K380</f>
        <v>0.0914608477150736</v>
      </c>
      <c r="Y380" s="33" t="n">
        <f aca="false">($H380*Y$1)/$K380</f>
        <v>0.0938677121286282</v>
      </c>
      <c r="Z380" s="34" t="n">
        <f aca="false">($I380*Z$1)/$K380</f>
        <v>0.0978809730689603</v>
      </c>
      <c r="AA380" s="34" t="n">
        <f aca="false">($I380*AA$1)/$K380</f>
        <v>0.100327997395684</v>
      </c>
      <c r="AB380" s="34" t="n">
        <f aca="false">($I380*AB$1)/$K380</f>
        <v>0.102775021722408</v>
      </c>
      <c r="AC380" s="34" t="n">
        <f aca="false">($I380*AC$1)/$K380</f>
        <v>0.105222046049132</v>
      </c>
      <c r="AD380" s="35" t="n">
        <f aca="false">($J380*AD$1)/$K380</f>
        <v>0.117061756616838</v>
      </c>
      <c r="AE380" s="35" t="n">
        <f aca="false">($J380*AE$1)/$K380</f>
        <v>0.119722251085402</v>
      </c>
      <c r="AF380" s="35" t="n">
        <f aca="false">($J380*AF$1)/$K380</f>
        <v>0.122382745553967</v>
      </c>
      <c r="AG380" s="35" t="n">
        <f aca="false">($J380*AG$1)/$K380</f>
        <v>0.125043240022531</v>
      </c>
      <c r="AH380" s="35" t="n">
        <f aca="false">($J380*AH$1)/$K380</f>
        <v>0.127703734491096</v>
      </c>
      <c r="AI380" s="35" t="n">
        <f aca="false">($J380*AI$1)/$K380</f>
        <v>0.13036422895966</v>
      </c>
      <c r="AJ380" s="35" t="n">
        <f aca="false">($J380*AJ$1)/$K380</f>
        <v>0.133024723428225</v>
      </c>
      <c r="AK380" s="35" t="n">
        <f aca="false">($J380*AK$1)/$K380</f>
        <v>0.135685217896789</v>
      </c>
      <c r="AL380" s="35" t="n">
        <f aca="false">($J380*AL$1)/$K380</f>
        <v>0.138345712365354</v>
      </c>
    </row>
    <row r="381" customFormat="false" ht="15" hidden="false" customHeight="false" outlineLevel="0" collapsed="false">
      <c r="A381" s="5" t="s">
        <v>51</v>
      </c>
      <c r="B381" s="50" t="s">
        <v>458</v>
      </c>
      <c r="C381" s="50" t="s">
        <v>459</v>
      </c>
      <c r="D381" s="45" t="n">
        <v>31</v>
      </c>
      <c r="E381" s="45"/>
      <c r="F381" s="44" t="n">
        <v>0.12622424002054</v>
      </c>
      <c r="G381" s="44" t="n">
        <v>0.12622424002054</v>
      </c>
      <c r="H381" s="44" t="n">
        <f aca="false">+(I381+G381)/2</f>
        <v>0.128366102056244</v>
      </c>
      <c r="I381" s="44" t="n">
        <v>0.130507964091947</v>
      </c>
      <c r="J381" s="44" t="n">
        <v>0.14189303832344</v>
      </c>
      <c r="K381" s="31" t="n">
        <v>1</v>
      </c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3"/>
      <c r="W381" s="33"/>
      <c r="X381" s="33" t="n">
        <f aca="false">($H381*X$1)/$K381</f>
        <v>0.182921695430147</v>
      </c>
      <c r="Y381" s="33" t="n">
        <f aca="false">($H381*Y$1)/$K381</f>
        <v>0.187735424257256</v>
      </c>
      <c r="Z381" s="34" t="n">
        <f aca="false">($I381*Z$1)/$K381</f>
        <v>0.195761946137921</v>
      </c>
      <c r="AA381" s="34" t="n">
        <f aca="false">($I381*AA$1)/$K381</f>
        <v>0.200655994791369</v>
      </c>
      <c r="AB381" s="34" t="n">
        <f aca="false">($I381*AB$1)/$K381</f>
        <v>0.205550043444817</v>
      </c>
      <c r="AC381" s="34" t="n">
        <f aca="false">($I381*AC$1)/$K381</f>
        <v>0.210444092098265</v>
      </c>
      <c r="AD381" s="35" t="n">
        <f aca="false">($J381*AD$1)/$K381</f>
        <v>0.234123513233676</v>
      </c>
      <c r="AE381" s="35"/>
      <c r="AF381" s="35"/>
      <c r="AG381" s="35"/>
      <c r="AH381" s="35"/>
      <c r="AI381" s="35"/>
      <c r="AJ381" s="35"/>
      <c r="AK381" s="35"/>
      <c r="AL381" s="35"/>
    </row>
    <row r="382" customFormat="false" ht="15" hidden="false" customHeight="false" outlineLevel="0" collapsed="false">
      <c r="A382" s="5" t="s">
        <v>51</v>
      </c>
      <c r="B382" s="50" t="s">
        <v>460</v>
      </c>
      <c r="C382" s="50" t="s">
        <v>461</v>
      </c>
      <c r="D382" s="45" t="n">
        <v>31</v>
      </c>
      <c r="E382" s="45"/>
      <c r="F382" s="44" t="n">
        <v>0.12622424002054</v>
      </c>
      <c r="G382" s="44" t="n">
        <v>0.12622424002054</v>
      </c>
      <c r="H382" s="44" t="n">
        <f aca="false">+(I382+G382)/2</f>
        <v>0.128366102056244</v>
      </c>
      <c r="I382" s="44" t="n">
        <v>0.130507964091947</v>
      </c>
      <c r="J382" s="44" t="n">
        <v>0.14189303832344</v>
      </c>
      <c r="K382" s="31" t="n">
        <v>1</v>
      </c>
      <c r="L382" s="32"/>
      <c r="M382" s="32"/>
      <c r="N382" s="32"/>
      <c r="O382" s="32"/>
      <c r="P382" s="32"/>
      <c r="Q382" s="32"/>
      <c r="R382" s="32" t="n">
        <f aca="false">($G382*R$1)/$K382</f>
        <v>0.151469088024648</v>
      </c>
      <c r="S382" s="32" t="n">
        <f aca="false">($G382*S$1)/$K382</f>
        <v>0.156202497025419</v>
      </c>
      <c r="T382" s="32" t="n">
        <f aca="false">($G382*T$1)/$K382</f>
        <v>0.160935906026189</v>
      </c>
      <c r="U382" s="32" t="n">
        <f aca="false">($G382*U$1)/$K382</f>
        <v>0.165669315026959</v>
      </c>
      <c r="V382" s="33"/>
      <c r="W382" s="33"/>
      <c r="X382" s="33"/>
      <c r="Y382" s="33"/>
      <c r="Z382" s="34"/>
      <c r="AA382" s="34"/>
      <c r="AB382" s="34"/>
      <c r="AC382" s="34"/>
      <c r="AD382" s="35"/>
      <c r="AE382" s="35"/>
      <c r="AF382" s="35"/>
      <c r="AG382" s="35"/>
      <c r="AH382" s="35"/>
      <c r="AI382" s="35"/>
      <c r="AJ382" s="35"/>
      <c r="AK382" s="35"/>
      <c r="AL382" s="35"/>
    </row>
    <row r="383" customFormat="false" ht="15" hidden="false" customHeight="false" outlineLevel="0" collapsed="false">
      <c r="A383" s="5" t="s">
        <v>51</v>
      </c>
      <c r="B383" s="50" t="s">
        <v>462</v>
      </c>
      <c r="C383" s="50" t="s">
        <v>463</v>
      </c>
      <c r="D383" s="45" t="n">
        <v>31</v>
      </c>
      <c r="E383" s="45"/>
      <c r="F383" s="44" t="n">
        <v>0.12622424002054</v>
      </c>
      <c r="G383" s="44" t="n">
        <v>0.12622424002054</v>
      </c>
      <c r="H383" s="44" t="n">
        <f aca="false">+(I383+G383)/2</f>
        <v>0.128366102056244</v>
      </c>
      <c r="I383" s="44" t="n">
        <v>0.130507964091947</v>
      </c>
      <c r="J383" s="44" t="n">
        <v>0.14189303832344</v>
      </c>
      <c r="K383" s="31" t="n">
        <v>1</v>
      </c>
      <c r="L383" s="32"/>
      <c r="M383" s="32"/>
      <c r="N383" s="32"/>
      <c r="O383" s="32"/>
      <c r="P383" s="32"/>
      <c r="Q383" s="32"/>
      <c r="R383" s="32" t="n">
        <f aca="false">($G383*R$1)/$K383</f>
        <v>0.151469088024648</v>
      </c>
      <c r="S383" s="32" t="n">
        <f aca="false">($G383*S$1)/$K383</f>
        <v>0.156202497025419</v>
      </c>
      <c r="T383" s="32" t="n">
        <f aca="false">($G383*T$1)/$K383</f>
        <v>0.160935906026189</v>
      </c>
      <c r="U383" s="32" t="n">
        <f aca="false">($G383*U$1)/$K383</f>
        <v>0.165669315026959</v>
      </c>
      <c r="V383" s="33"/>
      <c r="W383" s="33"/>
      <c r="X383" s="33"/>
      <c r="Y383" s="33"/>
      <c r="Z383" s="34"/>
      <c r="AA383" s="34"/>
      <c r="AB383" s="34"/>
      <c r="AC383" s="34"/>
      <c r="AD383" s="35"/>
      <c r="AE383" s="35"/>
      <c r="AF383" s="35"/>
      <c r="AG383" s="35"/>
      <c r="AH383" s="35"/>
      <c r="AI383" s="35"/>
      <c r="AJ383" s="35"/>
      <c r="AK383" s="35"/>
      <c r="AL383" s="35"/>
    </row>
    <row r="384" customFormat="false" ht="15" hidden="false" customHeight="false" outlineLevel="0" collapsed="false">
      <c r="A384" s="5" t="s">
        <v>51</v>
      </c>
      <c r="B384" s="50" t="s">
        <v>464</v>
      </c>
      <c r="C384" s="50" t="s">
        <v>465</v>
      </c>
      <c r="D384" s="45" t="n">
        <v>31</v>
      </c>
      <c r="E384" s="45"/>
      <c r="F384" s="44" t="n">
        <v>0.12622424002054</v>
      </c>
      <c r="G384" s="44" t="n">
        <v>0.12622424002054</v>
      </c>
      <c r="H384" s="44" t="n">
        <f aca="false">+(I384+G384)/2</f>
        <v>0.128366102056244</v>
      </c>
      <c r="I384" s="44" t="n">
        <v>0.130507964091947</v>
      </c>
      <c r="J384" s="44" t="n">
        <v>0.14189303832344</v>
      </c>
      <c r="K384" s="31" t="n">
        <v>1</v>
      </c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3" t="n">
        <f aca="false">($H384*V$1)/$K384</f>
        <v>0.173294237775929</v>
      </c>
      <c r="W384" s="33" t="n">
        <f aca="false">($H384*W$1)/$K384</f>
        <v>0.178107966603038</v>
      </c>
      <c r="X384" s="33" t="n">
        <f aca="false">($H384*X$1)/$K384</f>
        <v>0.182921695430147</v>
      </c>
      <c r="Y384" s="33" t="n">
        <f aca="false">($H384*Y$1)/$K384</f>
        <v>0.187735424257256</v>
      </c>
      <c r="Z384" s="34" t="n">
        <f aca="false">($I384*Z$1)/$K384</f>
        <v>0.195761946137921</v>
      </c>
      <c r="AA384" s="34" t="n">
        <f aca="false">($I384*AA$1)/$K384</f>
        <v>0.200655994791369</v>
      </c>
      <c r="AB384" s="34" t="n">
        <f aca="false">($I384*AB$1)/$K384</f>
        <v>0.205550043444817</v>
      </c>
      <c r="AC384" s="34" t="n">
        <f aca="false">($I384*AC$1)/$K384</f>
        <v>0.210444092098265</v>
      </c>
      <c r="AD384" s="35"/>
      <c r="AE384" s="35"/>
      <c r="AF384" s="35"/>
      <c r="AG384" s="35"/>
      <c r="AH384" s="35"/>
      <c r="AI384" s="35"/>
      <c r="AJ384" s="35"/>
      <c r="AK384" s="35"/>
      <c r="AL384" s="35"/>
    </row>
    <row r="385" customFormat="false" ht="15" hidden="false" customHeight="false" outlineLevel="0" collapsed="false">
      <c r="A385" s="5" t="s">
        <v>51</v>
      </c>
      <c r="B385" s="50" t="s">
        <v>466</v>
      </c>
      <c r="C385" s="50" t="s">
        <v>467</v>
      </c>
      <c r="D385" s="45" t="n">
        <v>31</v>
      </c>
      <c r="E385" s="45"/>
      <c r="F385" s="44" t="n">
        <v>0.12622424002054</v>
      </c>
      <c r="G385" s="44" t="n">
        <v>0.12622424002054</v>
      </c>
      <c r="H385" s="44" t="n">
        <f aca="false">+(I385+G385)/2</f>
        <v>0.128366102056244</v>
      </c>
      <c r="I385" s="44" t="n">
        <v>0.130507964091947</v>
      </c>
      <c r="J385" s="44" t="n">
        <v>0.14189303832344</v>
      </c>
      <c r="K385" s="31" t="n">
        <v>1</v>
      </c>
      <c r="L385" s="32"/>
      <c r="M385" s="32"/>
      <c r="N385" s="32"/>
      <c r="O385" s="32"/>
      <c r="P385" s="32"/>
      <c r="Q385" s="32"/>
      <c r="R385" s="32"/>
      <c r="S385" s="32"/>
      <c r="T385" s="32" t="n">
        <f aca="false">($G385*T$1)/$K385</f>
        <v>0.160935906026189</v>
      </c>
      <c r="U385" s="32" t="n">
        <f aca="false">($G385*U$1)/$K385</f>
        <v>0.165669315026959</v>
      </c>
      <c r="V385" s="33" t="n">
        <f aca="false">($H385*V$1)/$K385</f>
        <v>0.173294237775929</v>
      </c>
      <c r="W385" s="33" t="n">
        <f aca="false">($H385*W$1)/$K385</f>
        <v>0.178107966603038</v>
      </c>
      <c r="X385" s="33" t="n">
        <f aca="false">($H385*X$1)/$K385</f>
        <v>0.182921695430147</v>
      </c>
      <c r="Y385" s="33" t="n">
        <f aca="false">($H385*Y$1)/$K385</f>
        <v>0.187735424257256</v>
      </c>
      <c r="Z385" s="34"/>
      <c r="AA385" s="34"/>
      <c r="AB385" s="34"/>
      <c r="AC385" s="34"/>
      <c r="AD385" s="35"/>
      <c r="AE385" s="35"/>
      <c r="AF385" s="35"/>
      <c r="AG385" s="35"/>
      <c r="AH385" s="35"/>
      <c r="AI385" s="35"/>
      <c r="AJ385" s="35"/>
      <c r="AK385" s="35"/>
      <c r="AL385" s="35"/>
    </row>
    <row r="386" customFormat="false" ht="15" hidden="false" customHeight="false" outlineLevel="0" collapsed="false">
      <c r="A386" s="5" t="s">
        <v>51</v>
      </c>
      <c r="B386" s="50" t="s">
        <v>444</v>
      </c>
      <c r="C386" s="50" t="s">
        <v>445</v>
      </c>
      <c r="D386" s="45" t="n">
        <v>32</v>
      </c>
      <c r="E386" s="45"/>
      <c r="F386" s="44" t="n">
        <v>0.12622424002054</v>
      </c>
      <c r="G386" s="44" t="n">
        <v>0.12622424002054</v>
      </c>
      <c r="H386" s="44" t="n">
        <f aca="false">+(I386+G386)/2</f>
        <v>0.128366102056244</v>
      </c>
      <c r="I386" s="44" t="n">
        <v>0.130507964091947</v>
      </c>
      <c r="J386" s="44" t="n">
        <v>0.14189303832344</v>
      </c>
      <c r="K386" s="31" t="n">
        <v>2</v>
      </c>
      <c r="L386" s="32"/>
      <c r="M386" s="32"/>
      <c r="N386" s="32"/>
      <c r="O386" s="32"/>
      <c r="P386" s="32"/>
      <c r="Q386" s="32"/>
      <c r="R386" s="32" t="n">
        <f aca="false">($G386*R$1)/$K386</f>
        <v>0.0757345440123242</v>
      </c>
      <c r="S386" s="32" t="n">
        <f aca="false">($G386*S$1)/$K386</f>
        <v>0.0781012485127093</v>
      </c>
      <c r="T386" s="32" t="n">
        <f aca="false">($G386*T$1)/$K386</f>
        <v>0.0804679530130944</v>
      </c>
      <c r="U386" s="32" t="n">
        <f aca="false">($G386*U$1)/$K386</f>
        <v>0.0828346575134796</v>
      </c>
      <c r="V386" s="33" t="n">
        <f aca="false">($H386*V$1)/$K386</f>
        <v>0.0866471188879645</v>
      </c>
      <c r="W386" s="33" t="n">
        <f aca="false">($H386*W$1)/$K386</f>
        <v>0.0890539833015191</v>
      </c>
      <c r="X386" s="33" t="n">
        <f aca="false">($H386*X$1)/$K386</f>
        <v>0.0914608477150736</v>
      </c>
      <c r="Y386" s="33" t="n">
        <f aca="false">($H386*Y$1)/$K386</f>
        <v>0.0938677121286282</v>
      </c>
      <c r="Z386" s="34" t="n">
        <f aca="false">($I386*Z$1)/$K386</f>
        <v>0.0978809730689603</v>
      </c>
      <c r="AA386" s="34" t="n">
        <f aca="false">($I386*AA$1)/$K386</f>
        <v>0.100327997395684</v>
      </c>
      <c r="AB386" s="34" t="n">
        <f aca="false">($I386*AB$1)/$K386</f>
        <v>0.102775021722408</v>
      </c>
      <c r="AC386" s="34" t="n">
        <f aca="false">($I386*AC$1)/$K386</f>
        <v>0.105222046049132</v>
      </c>
      <c r="AD386" s="35" t="n">
        <f aca="false">($J386*AD$1)/$K386</f>
        <v>0.117061756616838</v>
      </c>
      <c r="AE386" s="35" t="n">
        <f aca="false">($J386*AE$1)/$K386</f>
        <v>0.119722251085402</v>
      </c>
      <c r="AF386" s="35" t="n">
        <f aca="false">($J386*AF$1)/$K386</f>
        <v>0.122382745553967</v>
      </c>
      <c r="AG386" s="35" t="n">
        <f aca="false">($J386*AG$1)/$K386</f>
        <v>0.125043240022531</v>
      </c>
      <c r="AH386" s="35" t="n">
        <f aca="false">($J386*AH$1)/$K386</f>
        <v>0.127703734491096</v>
      </c>
      <c r="AI386" s="35" t="n">
        <f aca="false">($J386*AI$1)/$K386</f>
        <v>0.13036422895966</v>
      </c>
      <c r="AJ386" s="35" t="n">
        <f aca="false">($J386*AJ$1)/$K386</f>
        <v>0.133024723428225</v>
      </c>
      <c r="AK386" s="35" t="n">
        <f aca="false">($J386*AK$1)/$K386</f>
        <v>0.135685217896789</v>
      </c>
      <c r="AL386" s="35" t="n">
        <f aca="false">($J386*AL$1)/$K386</f>
        <v>0.138345712365354</v>
      </c>
    </row>
    <row r="387" customFormat="false" ht="15" hidden="false" customHeight="false" outlineLevel="0" collapsed="false">
      <c r="A387" s="5" t="s">
        <v>51</v>
      </c>
      <c r="B387" s="50" t="s">
        <v>446</v>
      </c>
      <c r="C387" s="50" t="s">
        <v>447</v>
      </c>
      <c r="D387" s="45" t="n">
        <v>32</v>
      </c>
      <c r="E387" s="45"/>
      <c r="F387" s="44" t="n">
        <v>0.12622424002054</v>
      </c>
      <c r="G387" s="44" t="n">
        <v>0.12622424002054</v>
      </c>
      <c r="H387" s="44" t="n">
        <f aca="false">+(I387+G387)/2</f>
        <v>0.128366102056244</v>
      </c>
      <c r="I387" s="44" t="n">
        <v>0.130507964091947</v>
      </c>
      <c r="J387" s="44" t="n">
        <v>0.14189303832344</v>
      </c>
      <c r="K387" s="31" t="n">
        <v>2</v>
      </c>
      <c r="L387" s="32"/>
      <c r="M387" s="32"/>
      <c r="N387" s="32"/>
      <c r="O387" s="32"/>
      <c r="P387" s="32"/>
      <c r="Q387" s="32"/>
      <c r="R387" s="32" t="n">
        <f aca="false">($G387*R$1)/$K387</f>
        <v>0.0757345440123242</v>
      </c>
      <c r="S387" s="32" t="n">
        <f aca="false">($G387*S$1)/$K387</f>
        <v>0.0781012485127093</v>
      </c>
      <c r="T387" s="32" t="n">
        <f aca="false">($G387*T$1)/$K387</f>
        <v>0.0804679530130944</v>
      </c>
      <c r="U387" s="32" t="n">
        <f aca="false">($G387*U$1)/$K387</f>
        <v>0.0828346575134796</v>
      </c>
      <c r="V387" s="33" t="n">
        <f aca="false">($H387*V$1)/$K387</f>
        <v>0.0866471188879645</v>
      </c>
      <c r="W387" s="33" t="n">
        <f aca="false">($H387*W$1)/$K387</f>
        <v>0.0890539833015191</v>
      </c>
      <c r="X387" s="33" t="n">
        <f aca="false">($H387*X$1)/$K387</f>
        <v>0.0914608477150736</v>
      </c>
      <c r="Y387" s="33" t="n">
        <f aca="false">($H387*Y$1)/$K387</f>
        <v>0.0938677121286282</v>
      </c>
      <c r="Z387" s="34" t="n">
        <f aca="false">($I387*Z$1)/$K387</f>
        <v>0.0978809730689603</v>
      </c>
      <c r="AA387" s="34" t="n">
        <f aca="false">($I387*AA$1)/$K387</f>
        <v>0.100327997395684</v>
      </c>
      <c r="AB387" s="34" t="n">
        <f aca="false">($I387*AB$1)/$K387</f>
        <v>0.102775021722408</v>
      </c>
      <c r="AC387" s="34" t="n">
        <f aca="false">($I387*AC$1)/$K387</f>
        <v>0.105222046049132</v>
      </c>
      <c r="AD387" s="35" t="n">
        <f aca="false">($J387*AD$1)/$K387</f>
        <v>0.117061756616838</v>
      </c>
      <c r="AE387" s="35" t="n">
        <f aca="false">($J387*AE$1)/$K387</f>
        <v>0.119722251085402</v>
      </c>
      <c r="AF387" s="35" t="n">
        <f aca="false">($J387*AF$1)/$K387</f>
        <v>0.122382745553967</v>
      </c>
      <c r="AG387" s="35" t="n">
        <f aca="false">($J387*AG$1)/$K387</f>
        <v>0.125043240022531</v>
      </c>
      <c r="AH387" s="35" t="n">
        <f aca="false">($J387*AH$1)/$K387</f>
        <v>0.127703734491096</v>
      </c>
      <c r="AI387" s="35" t="n">
        <f aca="false">($J387*AI$1)/$K387</f>
        <v>0.13036422895966</v>
      </c>
      <c r="AJ387" s="35" t="n">
        <f aca="false">($J387*AJ$1)/$K387</f>
        <v>0.133024723428225</v>
      </c>
      <c r="AK387" s="35" t="n">
        <f aca="false">($J387*AK$1)/$K387</f>
        <v>0.135685217896789</v>
      </c>
      <c r="AL387" s="35" t="n">
        <f aca="false">($J387*AL$1)/$K387</f>
        <v>0.138345712365354</v>
      </c>
    </row>
    <row r="388" customFormat="false" ht="15" hidden="false" customHeight="false" outlineLevel="0" collapsed="false">
      <c r="A388" s="5" t="s">
        <v>51</v>
      </c>
      <c r="B388" s="50" t="s">
        <v>448</v>
      </c>
      <c r="C388" s="50" t="s">
        <v>449</v>
      </c>
      <c r="D388" s="45" t="n">
        <v>32</v>
      </c>
      <c r="E388" s="45"/>
      <c r="F388" s="44" t="n">
        <v>0.12622424002054</v>
      </c>
      <c r="G388" s="44" t="n">
        <v>0.12622424002054</v>
      </c>
      <c r="H388" s="44" t="n">
        <f aca="false">+(I388+G388)/2</f>
        <v>0.128366102056244</v>
      </c>
      <c r="I388" s="44" t="n">
        <v>0.130507964091947</v>
      </c>
      <c r="J388" s="44" t="n">
        <v>0.14189303832344</v>
      </c>
      <c r="K388" s="31" t="n">
        <v>2</v>
      </c>
      <c r="L388" s="32"/>
      <c r="M388" s="32"/>
      <c r="N388" s="32"/>
      <c r="O388" s="32"/>
      <c r="P388" s="32"/>
      <c r="Q388" s="32"/>
      <c r="R388" s="32" t="n">
        <f aca="false">($G388*R$1)/$K388</f>
        <v>0.0757345440123242</v>
      </c>
      <c r="S388" s="32" t="n">
        <f aca="false">($G388*S$1)/$K388</f>
        <v>0.0781012485127093</v>
      </c>
      <c r="T388" s="32" t="n">
        <f aca="false">($G388*T$1)/$K388</f>
        <v>0.0804679530130944</v>
      </c>
      <c r="U388" s="32" t="n">
        <f aca="false">($G388*U$1)/$K388</f>
        <v>0.0828346575134796</v>
      </c>
      <c r="V388" s="33" t="n">
        <f aca="false">($H388*V$1)/$K388</f>
        <v>0.0866471188879645</v>
      </c>
      <c r="W388" s="33" t="n">
        <f aca="false">($H388*W$1)/$K388</f>
        <v>0.0890539833015191</v>
      </c>
      <c r="X388" s="33" t="n">
        <f aca="false">($H388*X$1)/$K388</f>
        <v>0.0914608477150736</v>
      </c>
      <c r="Y388" s="33" t="n">
        <f aca="false">($H388*Y$1)/$K388</f>
        <v>0.0938677121286282</v>
      </c>
      <c r="Z388" s="34" t="n">
        <f aca="false">($I388*Z$1)/$K388</f>
        <v>0.0978809730689603</v>
      </c>
      <c r="AA388" s="34" t="n">
        <f aca="false">($I388*AA$1)/$K388</f>
        <v>0.100327997395684</v>
      </c>
      <c r="AB388" s="34" t="n">
        <f aca="false">($I388*AB$1)/$K388</f>
        <v>0.102775021722408</v>
      </c>
      <c r="AC388" s="34" t="n">
        <f aca="false">($I388*AC$1)/$K388</f>
        <v>0.105222046049132</v>
      </c>
      <c r="AD388" s="35" t="n">
        <f aca="false">($J388*AD$1)/$K388</f>
        <v>0.117061756616838</v>
      </c>
      <c r="AE388" s="35" t="n">
        <f aca="false">($J388*AE$1)/$K388</f>
        <v>0.119722251085402</v>
      </c>
      <c r="AF388" s="35" t="n">
        <f aca="false">($J388*AF$1)/$K388</f>
        <v>0.122382745553967</v>
      </c>
      <c r="AG388" s="35" t="n">
        <f aca="false">($J388*AG$1)/$K388</f>
        <v>0.125043240022531</v>
      </c>
      <c r="AH388" s="35" t="n">
        <f aca="false">($J388*AH$1)/$K388</f>
        <v>0.127703734491096</v>
      </c>
      <c r="AI388" s="35" t="n">
        <f aca="false">($J388*AI$1)/$K388</f>
        <v>0.13036422895966</v>
      </c>
      <c r="AJ388" s="35" t="n">
        <f aca="false">($J388*AJ$1)/$K388</f>
        <v>0.133024723428225</v>
      </c>
      <c r="AK388" s="35" t="n">
        <f aca="false">($J388*AK$1)/$K388</f>
        <v>0.135685217896789</v>
      </c>
      <c r="AL388" s="35" t="n">
        <f aca="false">($J388*AL$1)/$K388</f>
        <v>0.138345712365354</v>
      </c>
    </row>
    <row r="389" customFormat="false" ht="15" hidden="false" customHeight="false" outlineLevel="0" collapsed="false">
      <c r="A389" s="5" t="s">
        <v>51</v>
      </c>
      <c r="B389" s="50" t="s">
        <v>450</v>
      </c>
      <c r="C389" s="50" t="s">
        <v>451</v>
      </c>
      <c r="D389" s="45" t="n">
        <v>32</v>
      </c>
      <c r="E389" s="45"/>
      <c r="F389" s="44" t="n">
        <v>0.12622424002054</v>
      </c>
      <c r="G389" s="44" t="n">
        <v>0.12622424002054</v>
      </c>
      <c r="H389" s="44" t="n">
        <f aca="false">+(I389+G389)/2</f>
        <v>0.128366102056244</v>
      </c>
      <c r="I389" s="44" t="n">
        <v>0.130507964091947</v>
      </c>
      <c r="J389" s="44" t="n">
        <v>0.14189303832344</v>
      </c>
      <c r="K389" s="31" t="n">
        <v>2</v>
      </c>
      <c r="L389" s="32"/>
      <c r="M389" s="32"/>
      <c r="N389" s="32"/>
      <c r="O389" s="32"/>
      <c r="P389" s="32"/>
      <c r="Q389" s="32"/>
      <c r="R389" s="32" t="n">
        <f aca="false">($G389*R$1)/$K389</f>
        <v>0.0757345440123242</v>
      </c>
      <c r="S389" s="32" t="n">
        <f aca="false">($G389*S$1)/$K389</f>
        <v>0.0781012485127093</v>
      </c>
      <c r="T389" s="32" t="n">
        <f aca="false">($G389*T$1)/$K389</f>
        <v>0.0804679530130944</v>
      </c>
      <c r="U389" s="32" t="n">
        <f aca="false">($G389*U$1)/$K389</f>
        <v>0.0828346575134796</v>
      </c>
      <c r="V389" s="33" t="n">
        <f aca="false">($H389*V$1)/$K389</f>
        <v>0.0866471188879645</v>
      </c>
      <c r="W389" s="33" t="n">
        <f aca="false">($H389*W$1)/$K389</f>
        <v>0.0890539833015191</v>
      </c>
      <c r="X389" s="33" t="n">
        <f aca="false">($H389*X$1)/$K389</f>
        <v>0.0914608477150736</v>
      </c>
      <c r="Y389" s="33" t="n">
        <f aca="false">($H389*Y$1)/$K389</f>
        <v>0.0938677121286282</v>
      </c>
      <c r="Z389" s="34" t="n">
        <f aca="false">($I389*Z$1)/$K389</f>
        <v>0.0978809730689603</v>
      </c>
      <c r="AA389" s="34" t="n">
        <f aca="false">($I389*AA$1)/$K389</f>
        <v>0.100327997395684</v>
      </c>
      <c r="AB389" s="34" t="n">
        <f aca="false">($I389*AB$1)/$K389</f>
        <v>0.102775021722408</v>
      </c>
      <c r="AC389" s="34" t="n">
        <f aca="false">($I389*AC$1)/$K389</f>
        <v>0.105222046049132</v>
      </c>
      <c r="AD389" s="35" t="n">
        <f aca="false">($J389*AD$1)/$K389</f>
        <v>0.117061756616838</v>
      </c>
      <c r="AE389" s="35" t="n">
        <f aca="false">($J389*AE$1)/$K389</f>
        <v>0.119722251085402</v>
      </c>
      <c r="AF389" s="35" t="n">
        <f aca="false">($J389*AF$1)/$K389</f>
        <v>0.122382745553967</v>
      </c>
      <c r="AG389" s="35" t="n">
        <f aca="false">($J389*AG$1)/$K389</f>
        <v>0.125043240022531</v>
      </c>
      <c r="AH389" s="35" t="n">
        <f aca="false">($J389*AH$1)/$K389</f>
        <v>0.127703734491096</v>
      </c>
      <c r="AI389" s="35" t="n">
        <f aca="false">($J389*AI$1)/$K389</f>
        <v>0.13036422895966</v>
      </c>
      <c r="AJ389" s="35" t="n">
        <f aca="false">($J389*AJ$1)/$K389</f>
        <v>0.133024723428225</v>
      </c>
      <c r="AK389" s="35" t="n">
        <f aca="false">($J389*AK$1)/$K389</f>
        <v>0.135685217896789</v>
      </c>
      <c r="AL389" s="35" t="n">
        <f aca="false">($J389*AL$1)/$K389</f>
        <v>0.138345712365354</v>
      </c>
    </row>
    <row r="390" customFormat="false" ht="15" hidden="false" customHeight="false" outlineLevel="0" collapsed="false">
      <c r="A390" s="5" t="s">
        <v>51</v>
      </c>
      <c r="B390" s="50" t="s">
        <v>452</v>
      </c>
      <c r="C390" s="50" t="s">
        <v>453</v>
      </c>
      <c r="D390" s="45" t="n">
        <v>32</v>
      </c>
      <c r="E390" s="45"/>
      <c r="F390" s="44" t="n">
        <v>0.12622424002054</v>
      </c>
      <c r="G390" s="44" t="n">
        <v>0.12622424002054</v>
      </c>
      <c r="H390" s="44" t="n">
        <f aca="false">+(I390+G390)/2</f>
        <v>0.128366102056244</v>
      </c>
      <c r="I390" s="44" t="n">
        <v>0.130507964091947</v>
      </c>
      <c r="J390" s="44" t="n">
        <v>0.14189303832344</v>
      </c>
      <c r="K390" s="31" t="n">
        <v>2</v>
      </c>
      <c r="L390" s="32"/>
      <c r="M390" s="32"/>
      <c r="N390" s="32"/>
      <c r="O390" s="32"/>
      <c r="P390" s="32"/>
      <c r="Q390" s="32"/>
      <c r="R390" s="32" t="n">
        <f aca="false">($G390*R$1)/$K390</f>
        <v>0.0757345440123242</v>
      </c>
      <c r="S390" s="32" t="n">
        <f aca="false">($G390*S$1)/$K390</f>
        <v>0.0781012485127093</v>
      </c>
      <c r="T390" s="32" t="n">
        <f aca="false">($G390*T$1)/$K390</f>
        <v>0.0804679530130944</v>
      </c>
      <c r="U390" s="32" t="n">
        <f aca="false">($G390*U$1)/$K390</f>
        <v>0.0828346575134796</v>
      </c>
      <c r="V390" s="33" t="n">
        <f aca="false">($H390*V$1)/$K390</f>
        <v>0.0866471188879645</v>
      </c>
      <c r="W390" s="33" t="n">
        <f aca="false">($H390*W$1)/$K390</f>
        <v>0.0890539833015191</v>
      </c>
      <c r="X390" s="33" t="n">
        <f aca="false">($H390*X$1)/$K390</f>
        <v>0.0914608477150736</v>
      </c>
      <c r="Y390" s="33" t="n">
        <f aca="false">($H390*Y$1)/$K390</f>
        <v>0.0938677121286282</v>
      </c>
      <c r="Z390" s="34" t="n">
        <f aca="false">($I390*Z$1)/$K390</f>
        <v>0.0978809730689603</v>
      </c>
      <c r="AA390" s="34" t="n">
        <f aca="false">($I390*AA$1)/$K390</f>
        <v>0.100327997395684</v>
      </c>
      <c r="AB390" s="34" t="n">
        <f aca="false">($I390*AB$1)/$K390</f>
        <v>0.102775021722408</v>
      </c>
      <c r="AC390" s="34" t="n">
        <f aca="false">($I390*AC$1)/$K390</f>
        <v>0.105222046049132</v>
      </c>
      <c r="AD390" s="35" t="n">
        <f aca="false">($J390*AD$1)/$K390</f>
        <v>0.117061756616838</v>
      </c>
      <c r="AE390" s="35" t="n">
        <f aca="false">($J390*AE$1)/$K390</f>
        <v>0.119722251085402</v>
      </c>
      <c r="AF390" s="35" t="n">
        <f aca="false">($J390*AF$1)/$K390</f>
        <v>0.122382745553967</v>
      </c>
      <c r="AG390" s="35" t="n">
        <f aca="false">($J390*AG$1)/$K390</f>
        <v>0.125043240022531</v>
      </c>
      <c r="AH390" s="35" t="n">
        <f aca="false">($J390*AH$1)/$K390</f>
        <v>0.127703734491096</v>
      </c>
      <c r="AI390" s="35" t="n">
        <f aca="false">($J390*AI$1)/$K390</f>
        <v>0.13036422895966</v>
      </c>
      <c r="AJ390" s="35" t="n">
        <f aca="false">($J390*AJ$1)/$K390</f>
        <v>0.133024723428225</v>
      </c>
      <c r="AK390" s="35" t="n">
        <f aca="false">($J390*AK$1)/$K390</f>
        <v>0.135685217896789</v>
      </c>
      <c r="AL390" s="35" t="n">
        <f aca="false">($J390*AL$1)/$K390</f>
        <v>0.138345712365354</v>
      </c>
    </row>
    <row r="391" customFormat="false" ht="15" hidden="false" customHeight="false" outlineLevel="0" collapsed="false">
      <c r="A391" s="5" t="s">
        <v>51</v>
      </c>
      <c r="B391" s="50" t="s">
        <v>454</v>
      </c>
      <c r="C391" s="50" t="s">
        <v>455</v>
      </c>
      <c r="D391" s="45" t="n">
        <v>32</v>
      </c>
      <c r="E391" s="45"/>
      <c r="F391" s="44" t="n">
        <v>0.12622424002054</v>
      </c>
      <c r="G391" s="44" t="n">
        <v>0.12622424002054</v>
      </c>
      <c r="H391" s="44" t="n">
        <f aca="false">+(I391+G391)/2</f>
        <v>0.128366102056244</v>
      </c>
      <c r="I391" s="44" t="n">
        <v>0.130507964091947</v>
      </c>
      <c r="J391" s="44" t="n">
        <v>0.14189303832344</v>
      </c>
      <c r="K391" s="31" t="n">
        <v>2</v>
      </c>
      <c r="L391" s="32"/>
      <c r="M391" s="32"/>
      <c r="N391" s="32"/>
      <c r="O391" s="32"/>
      <c r="P391" s="32"/>
      <c r="Q391" s="32"/>
      <c r="R391" s="32" t="n">
        <f aca="false">($G391*R$1)/$K391</f>
        <v>0.0757345440123242</v>
      </c>
      <c r="S391" s="32" t="n">
        <f aca="false">($G391*S$1)/$K391</f>
        <v>0.0781012485127093</v>
      </c>
      <c r="T391" s="32" t="n">
        <f aca="false">($G391*T$1)/$K391</f>
        <v>0.0804679530130944</v>
      </c>
      <c r="U391" s="32" t="n">
        <f aca="false">($G391*U$1)/$K391</f>
        <v>0.0828346575134796</v>
      </c>
      <c r="V391" s="33" t="n">
        <f aca="false">($H391*V$1)/$K391</f>
        <v>0.0866471188879645</v>
      </c>
      <c r="W391" s="33" t="n">
        <f aca="false">($H391*W$1)/$K391</f>
        <v>0.0890539833015191</v>
      </c>
      <c r="X391" s="33" t="n">
        <f aca="false">($H391*X$1)/$K391</f>
        <v>0.0914608477150736</v>
      </c>
      <c r="Y391" s="33" t="n">
        <f aca="false">($H391*Y$1)/$K391</f>
        <v>0.0938677121286282</v>
      </c>
      <c r="Z391" s="34" t="n">
        <f aca="false">($I391*Z$1)/$K391</f>
        <v>0.0978809730689603</v>
      </c>
      <c r="AA391" s="34" t="n">
        <f aca="false">($I391*AA$1)/$K391</f>
        <v>0.100327997395684</v>
      </c>
      <c r="AB391" s="34" t="n">
        <f aca="false">($I391*AB$1)/$K391</f>
        <v>0.102775021722408</v>
      </c>
      <c r="AC391" s="34" t="n">
        <f aca="false">($I391*AC$1)/$K391</f>
        <v>0.105222046049132</v>
      </c>
      <c r="AD391" s="35" t="n">
        <f aca="false">($J391*AD$1)/$K391</f>
        <v>0.117061756616838</v>
      </c>
      <c r="AE391" s="35" t="n">
        <f aca="false">($J391*AE$1)/$K391</f>
        <v>0.119722251085402</v>
      </c>
      <c r="AF391" s="35" t="n">
        <f aca="false">($J391*AF$1)/$K391</f>
        <v>0.122382745553967</v>
      </c>
      <c r="AG391" s="35" t="n">
        <f aca="false">($J391*AG$1)/$K391</f>
        <v>0.125043240022531</v>
      </c>
      <c r="AH391" s="35" t="n">
        <f aca="false">($J391*AH$1)/$K391</f>
        <v>0.127703734491096</v>
      </c>
      <c r="AI391" s="35" t="n">
        <f aca="false">($J391*AI$1)/$K391</f>
        <v>0.13036422895966</v>
      </c>
      <c r="AJ391" s="35" t="n">
        <f aca="false">($J391*AJ$1)/$K391</f>
        <v>0.133024723428225</v>
      </c>
      <c r="AK391" s="35" t="n">
        <f aca="false">($J391*AK$1)/$K391</f>
        <v>0.135685217896789</v>
      </c>
      <c r="AL391" s="35" t="n">
        <f aca="false">($J391*AL$1)/$K391</f>
        <v>0.138345712365354</v>
      </c>
    </row>
    <row r="392" customFormat="false" ht="15" hidden="false" customHeight="false" outlineLevel="0" collapsed="false">
      <c r="A392" s="5" t="s">
        <v>51</v>
      </c>
      <c r="B392" s="50" t="s">
        <v>456</v>
      </c>
      <c r="C392" s="50" t="s">
        <v>457</v>
      </c>
      <c r="D392" s="45" t="n">
        <v>32</v>
      </c>
      <c r="E392" s="45"/>
      <c r="F392" s="44" t="n">
        <v>0.12622424002054</v>
      </c>
      <c r="G392" s="44" t="n">
        <v>0.12622424002054</v>
      </c>
      <c r="H392" s="44" t="n">
        <f aca="false">+(I392+G392)/2</f>
        <v>0.128366102056244</v>
      </c>
      <c r="I392" s="44" t="n">
        <v>0.130507964091947</v>
      </c>
      <c r="J392" s="44" t="n">
        <v>0.14189303832344</v>
      </c>
      <c r="K392" s="31" t="n">
        <v>2</v>
      </c>
      <c r="L392" s="32"/>
      <c r="M392" s="32"/>
      <c r="N392" s="32"/>
      <c r="O392" s="32"/>
      <c r="P392" s="32"/>
      <c r="Q392" s="32"/>
      <c r="R392" s="32" t="n">
        <f aca="false">($G392*R$1)/$K392</f>
        <v>0.0757345440123242</v>
      </c>
      <c r="S392" s="32" t="n">
        <f aca="false">($G392*S$1)/$K392</f>
        <v>0.0781012485127093</v>
      </c>
      <c r="T392" s="32" t="n">
        <f aca="false">($G392*T$1)/$K392</f>
        <v>0.0804679530130944</v>
      </c>
      <c r="U392" s="32" t="n">
        <f aca="false">($G392*U$1)/$K392</f>
        <v>0.0828346575134796</v>
      </c>
      <c r="V392" s="33" t="n">
        <f aca="false">($H392*V$1)/$K392</f>
        <v>0.0866471188879645</v>
      </c>
      <c r="W392" s="33" t="n">
        <f aca="false">($H392*W$1)/$K392</f>
        <v>0.0890539833015191</v>
      </c>
      <c r="X392" s="33" t="n">
        <f aca="false">($H392*X$1)/$K392</f>
        <v>0.0914608477150736</v>
      </c>
      <c r="Y392" s="33" t="n">
        <f aca="false">($H392*Y$1)/$K392</f>
        <v>0.0938677121286282</v>
      </c>
      <c r="Z392" s="34" t="n">
        <f aca="false">($I392*Z$1)/$K392</f>
        <v>0.0978809730689603</v>
      </c>
      <c r="AA392" s="34" t="n">
        <f aca="false">($I392*AA$1)/$K392</f>
        <v>0.100327997395684</v>
      </c>
      <c r="AB392" s="34" t="n">
        <f aca="false">($I392*AB$1)/$K392</f>
        <v>0.102775021722408</v>
      </c>
      <c r="AC392" s="34" t="n">
        <f aca="false">($I392*AC$1)/$K392</f>
        <v>0.105222046049132</v>
      </c>
      <c r="AD392" s="35" t="n">
        <f aca="false">($J392*AD$1)/$K392</f>
        <v>0.117061756616838</v>
      </c>
      <c r="AE392" s="35" t="n">
        <f aca="false">($J392*AE$1)/$K392</f>
        <v>0.119722251085402</v>
      </c>
      <c r="AF392" s="35" t="n">
        <f aca="false">($J392*AF$1)/$K392</f>
        <v>0.122382745553967</v>
      </c>
      <c r="AG392" s="35" t="n">
        <f aca="false">($J392*AG$1)/$K392</f>
        <v>0.125043240022531</v>
      </c>
      <c r="AH392" s="35" t="n">
        <f aca="false">($J392*AH$1)/$K392</f>
        <v>0.127703734491096</v>
      </c>
      <c r="AI392" s="35" t="n">
        <f aca="false">($J392*AI$1)/$K392</f>
        <v>0.13036422895966</v>
      </c>
      <c r="AJ392" s="35" t="n">
        <f aca="false">($J392*AJ$1)/$K392</f>
        <v>0.133024723428225</v>
      </c>
      <c r="AK392" s="35" t="n">
        <f aca="false">($J392*AK$1)/$K392</f>
        <v>0.135685217896789</v>
      </c>
      <c r="AL392" s="35" t="n">
        <f aca="false">($J392*AL$1)/$K392</f>
        <v>0.138345712365354</v>
      </c>
    </row>
    <row r="393" customFormat="false" ht="15" hidden="false" customHeight="false" outlineLevel="0" collapsed="false">
      <c r="A393" s="5" t="s">
        <v>51</v>
      </c>
      <c r="B393" s="50" t="s">
        <v>458</v>
      </c>
      <c r="C393" s="50" t="s">
        <v>459</v>
      </c>
      <c r="D393" s="45" t="n">
        <v>32</v>
      </c>
      <c r="E393" s="45"/>
      <c r="F393" s="44" t="n">
        <v>0.12622424002054</v>
      </c>
      <c r="G393" s="44" t="n">
        <v>0.12622424002054</v>
      </c>
      <c r="H393" s="44" t="n">
        <f aca="false">+(I393+G393)/2</f>
        <v>0.128366102056244</v>
      </c>
      <c r="I393" s="44" t="n">
        <v>0.130507964091947</v>
      </c>
      <c r="J393" s="44" t="n">
        <v>0.14189303832344</v>
      </c>
      <c r="K393" s="31" t="n">
        <v>1</v>
      </c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3"/>
      <c r="W393" s="33"/>
      <c r="X393" s="33" t="n">
        <f aca="false">($H393*X$1)/$K393</f>
        <v>0.182921695430147</v>
      </c>
      <c r="Y393" s="33" t="n">
        <f aca="false">($H393*Y$1)/$K393</f>
        <v>0.187735424257256</v>
      </c>
      <c r="Z393" s="34" t="n">
        <f aca="false">($I393*Z$1)/$K393</f>
        <v>0.195761946137921</v>
      </c>
      <c r="AA393" s="34" t="n">
        <f aca="false">($I393*AA$1)/$K393</f>
        <v>0.200655994791369</v>
      </c>
      <c r="AB393" s="34" t="n">
        <f aca="false">($I393*AB$1)/$K393</f>
        <v>0.205550043444817</v>
      </c>
      <c r="AC393" s="34" t="n">
        <f aca="false">($I393*AC$1)/$K393</f>
        <v>0.210444092098265</v>
      </c>
      <c r="AD393" s="35" t="n">
        <f aca="false">($J393*AD$1)/$K393</f>
        <v>0.234123513233676</v>
      </c>
      <c r="AE393" s="35"/>
      <c r="AF393" s="35"/>
      <c r="AG393" s="35"/>
      <c r="AH393" s="35"/>
      <c r="AI393" s="35"/>
      <c r="AJ393" s="35"/>
      <c r="AK393" s="35"/>
      <c r="AL393" s="35"/>
    </row>
    <row r="394" customFormat="false" ht="15" hidden="false" customHeight="false" outlineLevel="0" collapsed="false">
      <c r="A394" s="5" t="s">
        <v>51</v>
      </c>
      <c r="B394" s="50" t="s">
        <v>460</v>
      </c>
      <c r="C394" s="50" t="s">
        <v>461</v>
      </c>
      <c r="D394" s="45" t="n">
        <v>32</v>
      </c>
      <c r="E394" s="45"/>
      <c r="F394" s="44" t="n">
        <v>0.12622424002054</v>
      </c>
      <c r="G394" s="44" t="n">
        <v>0.12622424002054</v>
      </c>
      <c r="H394" s="44" t="n">
        <f aca="false">+(I394+G394)/2</f>
        <v>0.128366102056244</v>
      </c>
      <c r="I394" s="44" t="n">
        <v>0.130507964091947</v>
      </c>
      <c r="J394" s="44" t="n">
        <v>0.14189303832344</v>
      </c>
      <c r="K394" s="31" t="n">
        <v>2</v>
      </c>
      <c r="L394" s="32"/>
      <c r="M394" s="32"/>
      <c r="N394" s="32"/>
      <c r="O394" s="32"/>
      <c r="P394" s="32"/>
      <c r="Q394" s="32"/>
      <c r="R394" s="32" t="n">
        <f aca="false">($G394*R$1)/$K394</f>
        <v>0.0757345440123242</v>
      </c>
      <c r="S394" s="32" t="n">
        <f aca="false">($G394*S$1)/$K394</f>
        <v>0.0781012485127093</v>
      </c>
      <c r="T394" s="32" t="n">
        <f aca="false">($G394*T$1)/$K394</f>
        <v>0.0804679530130944</v>
      </c>
      <c r="U394" s="32" t="n">
        <f aca="false">($G394*U$1)/$K394</f>
        <v>0.0828346575134796</v>
      </c>
      <c r="V394" s="33" t="n">
        <f aca="false">($H394*V$1)/$K394</f>
        <v>0.0866471188879645</v>
      </c>
      <c r="W394" s="33" t="n">
        <f aca="false">($H394*W$1)/$K394</f>
        <v>0.0890539833015191</v>
      </c>
      <c r="X394" s="33" t="n">
        <f aca="false">($H394*X$1)/$K394</f>
        <v>0.0914608477150736</v>
      </c>
      <c r="Y394" s="33" t="n">
        <f aca="false">($H394*Y$1)/$K394</f>
        <v>0.0938677121286282</v>
      </c>
      <c r="Z394" s="34" t="n">
        <f aca="false">($I394*Z$1)/$K394</f>
        <v>0.0978809730689603</v>
      </c>
      <c r="AA394" s="34" t="n">
        <f aca="false">($I394*AA$1)/$K394</f>
        <v>0.100327997395684</v>
      </c>
      <c r="AB394" s="34" t="n">
        <f aca="false">($I394*AB$1)/$K394</f>
        <v>0.102775021722408</v>
      </c>
      <c r="AC394" s="34" t="n">
        <f aca="false">($I394*AC$1)/$K394</f>
        <v>0.105222046049132</v>
      </c>
      <c r="AD394" s="35" t="n">
        <f aca="false">($J394*AD$1)/$K394</f>
        <v>0.117061756616838</v>
      </c>
      <c r="AE394" s="35" t="n">
        <f aca="false">($J394*AE$1)/$K394</f>
        <v>0.119722251085402</v>
      </c>
      <c r="AF394" s="35" t="n">
        <f aca="false">($J394*AF$1)/$K394</f>
        <v>0.122382745553967</v>
      </c>
      <c r="AG394" s="35" t="n">
        <f aca="false">($J394*AG$1)/$K394</f>
        <v>0.125043240022531</v>
      </c>
      <c r="AH394" s="35" t="n">
        <f aca="false">($J394*AH$1)/$K394</f>
        <v>0.127703734491096</v>
      </c>
      <c r="AI394" s="35" t="n">
        <f aca="false">($J394*AI$1)/$K394</f>
        <v>0.13036422895966</v>
      </c>
      <c r="AJ394" s="35" t="n">
        <f aca="false">($J394*AJ$1)/$K394</f>
        <v>0.133024723428225</v>
      </c>
      <c r="AK394" s="35" t="n">
        <f aca="false">($J394*AK$1)/$K394</f>
        <v>0.135685217896789</v>
      </c>
      <c r="AL394" s="35" t="n">
        <f aca="false">($J394*AL$1)/$K394</f>
        <v>0.138345712365354</v>
      </c>
    </row>
    <row r="395" customFormat="false" ht="15" hidden="false" customHeight="false" outlineLevel="0" collapsed="false">
      <c r="A395" s="5" t="s">
        <v>51</v>
      </c>
      <c r="B395" s="50" t="s">
        <v>462</v>
      </c>
      <c r="C395" s="50" t="s">
        <v>463</v>
      </c>
      <c r="D395" s="45" t="n">
        <v>32</v>
      </c>
      <c r="E395" s="45"/>
      <c r="F395" s="44" t="n">
        <v>0.12622424002054</v>
      </c>
      <c r="G395" s="44" t="n">
        <v>0.12622424002054</v>
      </c>
      <c r="H395" s="44" t="n">
        <f aca="false">+(I395+G395)/2</f>
        <v>0.128366102056244</v>
      </c>
      <c r="I395" s="44" t="n">
        <v>0.130507964091947</v>
      </c>
      <c r="J395" s="44" t="n">
        <v>0.14189303832344</v>
      </c>
      <c r="K395" s="31" t="n">
        <v>2</v>
      </c>
      <c r="L395" s="32"/>
      <c r="M395" s="32"/>
      <c r="N395" s="32"/>
      <c r="O395" s="32"/>
      <c r="P395" s="32"/>
      <c r="Q395" s="32"/>
      <c r="R395" s="32" t="n">
        <f aca="false">($G395*R$1)/$K395</f>
        <v>0.0757345440123242</v>
      </c>
      <c r="S395" s="32" t="n">
        <f aca="false">($G395*S$1)/$K395</f>
        <v>0.0781012485127093</v>
      </c>
      <c r="T395" s="32" t="n">
        <f aca="false">($G395*T$1)/$K395</f>
        <v>0.0804679530130944</v>
      </c>
      <c r="U395" s="32" t="n">
        <f aca="false">($G395*U$1)/$K395</f>
        <v>0.0828346575134796</v>
      </c>
      <c r="V395" s="33" t="n">
        <f aca="false">($H395*V$1)/$K395</f>
        <v>0.0866471188879645</v>
      </c>
      <c r="W395" s="33" t="n">
        <f aca="false">($H395*W$1)/$K395</f>
        <v>0.0890539833015191</v>
      </c>
      <c r="X395" s="33" t="n">
        <f aca="false">($H395*X$1)/$K395</f>
        <v>0.0914608477150736</v>
      </c>
      <c r="Y395" s="33" t="n">
        <f aca="false">($H395*Y$1)/$K395</f>
        <v>0.0938677121286282</v>
      </c>
      <c r="Z395" s="34" t="n">
        <f aca="false">($I395*Z$1)/$K395</f>
        <v>0.0978809730689603</v>
      </c>
      <c r="AA395" s="34" t="n">
        <f aca="false">($I395*AA$1)/$K395</f>
        <v>0.100327997395684</v>
      </c>
      <c r="AB395" s="34" t="n">
        <f aca="false">($I395*AB$1)/$K395</f>
        <v>0.102775021722408</v>
      </c>
      <c r="AC395" s="34" t="n">
        <f aca="false">($I395*AC$1)/$K395</f>
        <v>0.105222046049132</v>
      </c>
      <c r="AD395" s="35" t="n">
        <f aca="false">($J395*AD$1)/$K395</f>
        <v>0.117061756616838</v>
      </c>
      <c r="AE395" s="35" t="n">
        <f aca="false">($J395*AE$1)/$K395</f>
        <v>0.119722251085402</v>
      </c>
      <c r="AF395" s="35" t="n">
        <f aca="false">($J395*AF$1)/$K395</f>
        <v>0.122382745553967</v>
      </c>
      <c r="AG395" s="35" t="n">
        <f aca="false">($J395*AG$1)/$K395</f>
        <v>0.125043240022531</v>
      </c>
      <c r="AH395" s="35" t="n">
        <f aca="false">($J395*AH$1)/$K395</f>
        <v>0.127703734491096</v>
      </c>
      <c r="AI395" s="35" t="n">
        <f aca="false">($J395*AI$1)/$K395</f>
        <v>0.13036422895966</v>
      </c>
      <c r="AJ395" s="35" t="n">
        <f aca="false">($J395*AJ$1)/$K395</f>
        <v>0.133024723428225</v>
      </c>
      <c r="AK395" s="35" t="n">
        <f aca="false">($J395*AK$1)/$K395</f>
        <v>0.135685217896789</v>
      </c>
      <c r="AL395" s="35" t="n">
        <f aca="false">($J395*AL$1)/$K395</f>
        <v>0.138345712365354</v>
      </c>
    </row>
    <row r="396" customFormat="false" ht="15" hidden="false" customHeight="false" outlineLevel="0" collapsed="false">
      <c r="A396" s="5" t="s">
        <v>51</v>
      </c>
      <c r="B396" s="50" t="s">
        <v>464</v>
      </c>
      <c r="C396" s="50" t="s">
        <v>465</v>
      </c>
      <c r="D396" s="45" t="n">
        <v>32</v>
      </c>
      <c r="E396" s="45"/>
      <c r="F396" s="44" t="n">
        <v>0.12622424002054</v>
      </c>
      <c r="G396" s="44" t="n">
        <v>0.12622424002054</v>
      </c>
      <c r="H396" s="44" t="n">
        <f aca="false">+(I396+G396)/2</f>
        <v>0.128366102056244</v>
      </c>
      <c r="I396" s="44" t="n">
        <v>0.130507964091947</v>
      </c>
      <c r="J396" s="44" t="n">
        <v>0.14189303832344</v>
      </c>
      <c r="K396" s="31" t="n">
        <v>1</v>
      </c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3" t="n">
        <f aca="false">($H396*V$1)/$K396</f>
        <v>0.173294237775929</v>
      </c>
      <c r="W396" s="33" t="n">
        <f aca="false">($H396*W$1)/$K396</f>
        <v>0.178107966603038</v>
      </c>
      <c r="X396" s="33" t="n">
        <f aca="false">($H396*X$1)/$K396</f>
        <v>0.182921695430147</v>
      </c>
      <c r="Y396" s="33" t="n">
        <f aca="false">($H396*Y$1)/$K396</f>
        <v>0.187735424257256</v>
      </c>
      <c r="Z396" s="34" t="n">
        <f aca="false">($I396*Z$1)/$K396</f>
        <v>0.195761946137921</v>
      </c>
      <c r="AA396" s="34" t="n">
        <f aca="false">($I396*AA$1)/$K396</f>
        <v>0.200655994791369</v>
      </c>
      <c r="AB396" s="34" t="n">
        <f aca="false">($I396*AB$1)/$K396</f>
        <v>0.205550043444817</v>
      </c>
      <c r="AC396" s="34" t="n">
        <f aca="false">($I396*AC$1)/$K396</f>
        <v>0.210444092098265</v>
      </c>
      <c r="AD396" s="35"/>
      <c r="AE396" s="35"/>
      <c r="AF396" s="35"/>
      <c r="AG396" s="35"/>
      <c r="AH396" s="35"/>
      <c r="AI396" s="35"/>
      <c r="AJ396" s="35"/>
      <c r="AK396" s="35"/>
      <c r="AL396" s="35"/>
    </row>
    <row r="397" customFormat="false" ht="15" hidden="false" customHeight="false" outlineLevel="0" collapsed="false">
      <c r="A397" s="5" t="s">
        <v>51</v>
      </c>
      <c r="B397" s="50" t="s">
        <v>466</v>
      </c>
      <c r="C397" s="50" t="s">
        <v>467</v>
      </c>
      <c r="D397" s="45" t="n">
        <v>32</v>
      </c>
      <c r="E397" s="45"/>
      <c r="F397" s="44" t="n">
        <v>0.12622424002054</v>
      </c>
      <c r="G397" s="44" t="n">
        <v>0.12622424002054</v>
      </c>
      <c r="H397" s="44" t="n">
        <f aca="false">+(I397+G397)/2</f>
        <v>0.128366102056244</v>
      </c>
      <c r="I397" s="44" t="n">
        <v>0.130507964091947</v>
      </c>
      <c r="J397" s="44" t="n">
        <v>0.14189303832344</v>
      </c>
      <c r="K397" s="31" t="n">
        <v>1</v>
      </c>
      <c r="L397" s="32"/>
      <c r="M397" s="32"/>
      <c r="N397" s="32"/>
      <c r="O397" s="32"/>
      <c r="P397" s="32"/>
      <c r="Q397" s="32"/>
      <c r="R397" s="32"/>
      <c r="S397" s="32"/>
      <c r="T397" s="32" t="n">
        <f aca="false">($G397*T$1)/$K397</f>
        <v>0.160935906026189</v>
      </c>
      <c r="U397" s="32" t="n">
        <f aca="false">($G397*U$1)/$K397</f>
        <v>0.165669315026959</v>
      </c>
      <c r="V397" s="33" t="n">
        <f aca="false">($H397*V$1)/$K397</f>
        <v>0.173294237775929</v>
      </c>
      <c r="W397" s="33" t="n">
        <f aca="false">($H397*W$1)/$K397</f>
        <v>0.178107966603038</v>
      </c>
      <c r="X397" s="33" t="n">
        <f aca="false">($H397*X$1)/$K397</f>
        <v>0.182921695430147</v>
      </c>
      <c r="Y397" s="33" t="n">
        <f aca="false">($H397*Y$1)/$K397</f>
        <v>0.187735424257256</v>
      </c>
      <c r="Z397" s="34"/>
      <c r="AA397" s="34"/>
      <c r="AB397" s="34"/>
      <c r="AC397" s="34"/>
      <c r="AD397" s="35"/>
      <c r="AE397" s="35"/>
      <c r="AF397" s="35"/>
      <c r="AG397" s="35"/>
      <c r="AH397" s="35"/>
      <c r="AI397" s="35"/>
      <c r="AJ397" s="35"/>
      <c r="AK397" s="35"/>
      <c r="AL397" s="35"/>
    </row>
    <row r="398" customFormat="false" ht="15" hidden="false" customHeight="false" outlineLevel="0" collapsed="false">
      <c r="A398" s="5" t="s">
        <v>53</v>
      </c>
      <c r="B398" s="50" t="s">
        <v>468</v>
      </c>
      <c r="C398" s="50" t="s">
        <v>469</v>
      </c>
      <c r="D398" s="45" t="n">
        <v>33</v>
      </c>
      <c r="E398" s="45"/>
      <c r="F398" s="44" t="n">
        <v>0.211280805951981</v>
      </c>
      <c r="G398" s="44" t="n">
        <v>0.211280805951981</v>
      </c>
      <c r="H398" s="44" t="n">
        <f aca="false">+(I398+G398)/2</f>
        <v>0.211988886983249</v>
      </c>
      <c r="I398" s="44" t="n">
        <v>0.212696968014516</v>
      </c>
      <c r="J398" s="44" t="n">
        <v>0.223682586038622</v>
      </c>
      <c r="K398" s="31" t="n">
        <v>2</v>
      </c>
      <c r="L398" s="32"/>
      <c r="M398" s="32"/>
      <c r="N398" s="32"/>
      <c r="O398" s="32"/>
      <c r="P398" s="32"/>
      <c r="Q398" s="32"/>
      <c r="R398" s="32" t="n">
        <f aca="false">($G398*R$1)/$K398</f>
        <v>0.126768483571189</v>
      </c>
      <c r="S398" s="32" t="n">
        <f aca="false">($G398*S$1)/$K398</f>
        <v>0.130729998682788</v>
      </c>
      <c r="T398" s="32" t="n">
        <f aca="false">($G398*T$1)/$K398</f>
        <v>0.134691513794388</v>
      </c>
      <c r="U398" s="32" t="n">
        <f aca="false">($G398*U$1)/$K398</f>
        <v>0.138653028905988</v>
      </c>
      <c r="V398" s="33" t="n">
        <f aca="false">($H398*V$1)/$K398</f>
        <v>0.143092498713693</v>
      </c>
      <c r="W398" s="33" t="n">
        <f aca="false">($H398*W$1)/$K398</f>
        <v>0.147067290344629</v>
      </c>
      <c r="X398" s="33" t="n">
        <f aca="false">($H398*X$1)/$K398</f>
        <v>0.151042081975565</v>
      </c>
      <c r="Y398" s="33" t="n">
        <f aca="false">($H398*Y$1)/$K398</f>
        <v>0.155016873606501</v>
      </c>
      <c r="Z398" s="34" t="n">
        <f aca="false">($I398*Z$1)/$K398</f>
        <v>0.159522726010887</v>
      </c>
      <c r="AA398" s="34" t="n">
        <f aca="false">($I398*AA$1)/$K398</f>
        <v>0.163510794161159</v>
      </c>
      <c r="AB398" s="34" t="n">
        <f aca="false">($I398*AB$1)/$K398</f>
        <v>0.167498862311432</v>
      </c>
      <c r="AC398" s="34" t="n">
        <f aca="false">($I398*AC$1)/$K398</f>
        <v>0.171486930461704</v>
      </c>
      <c r="AD398" s="35" t="n">
        <f aca="false">($J398*AD$1)/$K398</f>
        <v>0.184538133481863</v>
      </c>
      <c r="AE398" s="35" t="n">
        <f aca="false">($J398*AE$1)/$K398</f>
        <v>0.188732181970087</v>
      </c>
      <c r="AF398" s="35" t="n">
        <f aca="false">($J398*AF$1)/$K398</f>
        <v>0.192926230458312</v>
      </c>
      <c r="AG398" s="35" t="n">
        <f aca="false">($J398*AG$1)/$K398</f>
        <v>0.197120278946536</v>
      </c>
      <c r="AH398" s="35" t="n">
        <f aca="false">($J398*AH$1)/$K398</f>
        <v>0.20131432743476</v>
      </c>
      <c r="AI398" s="35" t="n">
        <f aca="false">($J398*AI$1)/$K398</f>
        <v>0.205508375922984</v>
      </c>
      <c r="AJ398" s="35" t="n">
        <f aca="false">($J398*AJ$1)/$K398</f>
        <v>0.209702424411208</v>
      </c>
      <c r="AK398" s="35" t="n">
        <f aca="false">($J398*AK$1)/$K398</f>
        <v>0.213896472899432</v>
      </c>
      <c r="AL398" s="35" t="n">
        <f aca="false">($J398*AL$1)/$K398</f>
        <v>0.218090521387656</v>
      </c>
    </row>
    <row r="399" customFormat="false" ht="15" hidden="false" customHeight="false" outlineLevel="0" collapsed="false">
      <c r="A399" s="51" t="s">
        <v>52</v>
      </c>
      <c r="B399" s="50" t="s">
        <v>470</v>
      </c>
      <c r="C399" s="50" t="s">
        <v>471</v>
      </c>
      <c r="D399" s="45" t="n">
        <v>32</v>
      </c>
      <c r="E399" s="45"/>
      <c r="F399" s="44" t="n">
        <v>0.0756645535834299</v>
      </c>
      <c r="G399" s="44" t="n">
        <v>0.0756645535834299</v>
      </c>
      <c r="H399" s="44" t="n">
        <f aca="false">+(I399+G399)/2</f>
        <v>0.0743751421558878</v>
      </c>
      <c r="I399" s="44" t="n">
        <v>0.0730857307283457</v>
      </c>
      <c r="J399" s="44" t="n">
        <v>0.0787337631541904</v>
      </c>
      <c r="K399" s="31" t="n">
        <v>2</v>
      </c>
      <c r="L399" s="32"/>
      <c r="M399" s="32"/>
      <c r="N399" s="32"/>
      <c r="O399" s="32"/>
      <c r="P399" s="32"/>
      <c r="Q399" s="32"/>
      <c r="R399" s="32" t="n">
        <f aca="false">($G399*R$1)/$K399</f>
        <v>0.0453987321500579</v>
      </c>
      <c r="S399" s="32" t="n">
        <f aca="false">($G399*S$1)/$K399</f>
        <v>0.0468174425297472</v>
      </c>
      <c r="T399" s="32" t="n">
        <f aca="false">($G399*T$1)/$K399</f>
        <v>0.0482361529094365</v>
      </c>
      <c r="U399" s="32" t="n">
        <f aca="false">($G399*U$1)/$K399</f>
        <v>0.0496548632891259</v>
      </c>
      <c r="V399" s="33" t="n">
        <f aca="false">($H399*V$1)/$K399</f>
        <v>0.0502032209552243</v>
      </c>
      <c r="W399" s="33" t="n">
        <f aca="false">($H399*W$1)/$K399</f>
        <v>0.0515977548706472</v>
      </c>
      <c r="X399" s="33" t="n">
        <f aca="false">($H399*X$1)/$K399</f>
        <v>0.0529922887860701</v>
      </c>
      <c r="Y399" s="33" t="n">
        <f aca="false">($H399*Y$1)/$K399</f>
        <v>0.054386822701493</v>
      </c>
      <c r="Z399" s="34" t="n">
        <f aca="false">($I399*Z$1)/$K399</f>
        <v>0.0548142980462593</v>
      </c>
      <c r="AA399" s="34" t="n">
        <f aca="false">($I399*AA$1)/$K399</f>
        <v>0.0561846554974158</v>
      </c>
      <c r="AB399" s="34" t="n">
        <f aca="false">($I399*AB$1)/$K399</f>
        <v>0.0575550129485723</v>
      </c>
      <c r="AC399" s="34" t="n">
        <f aca="false">($I399*AC$1)/$K399</f>
        <v>0.0589253703997287</v>
      </c>
      <c r="AD399" s="35" t="n">
        <f aca="false">($J399*AD$1)/$K399</f>
        <v>0.0649553546022071</v>
      </c>
      <c r="AE399" s="35" t="n">
        <f aca="false">($J399*AE$1)/$K399</f>
        <v>0.0664316126613481</v>
      </c>
      <c r="AF399" s="35" t="n">
        <f aca="false">($J399*AF$1)/$K399</f>
        <v>0.0679078707204892</v>
      </c>
      <c r="AG399" s="35" t="n">
        <f aca="false">($J399*AG$1)/$K399</f>
        <v>0.0693841287796302</v>
      </c>
      <c r="AH399" s="35" t="n">
        <f aca="false">($J399*AH$1)/$K399</f>
        <v>0.0708603868387713</v>
      </c>
      <c r="AI399" s="35" t="n">
        <f aca="false">($J399*AI$1)/$K399</f>
        <v>0.0723366448979124</v>
      </c>
      <c r="AJ399" s="35" t="n">
        <f aca="false">($J399*AJ$1)/$K399</f>
        <v>0.0738129029570534</v>
      </c>
      <c r="AK399" s="35" t="n">
        <f aca="false">($J399*AK$1)/$K399</f>
        <v>0.0752891610161945</v>
      </c>
      <c r="AL399" s="35" t="n">
        <f aca="false">($J399*AL$1)/$K399</f>
        <v>0.0767654190753356</v>
      </c>
    </row>
    <row r="400" customFormat="false" ht="15" hidden="false" customHeight="false" outlineLevel="0" collapsed="false">
      <c r="A400" s="51" t="s">
        <v>52</v>
      </c>
      <c r="B400" s="50" t="s">
        <v>472</v>
      </c>
      <c r="C400" s="50" t="s">
        <v>471</v>
      </c>
      <c r="D400" s="45" t="n">
        <v>32</v>
      </c>
      <c r="E400" s="45"/>
      <c r="F400" s="44" t="n">
        <v>0.0756645535834299</v>
      </c>
      <c r="G400" s="44" t="n">
        <v>0.0756645535834299</v>
      </c>
      <c r="H400" s="44" t="n">
        <f aca="false">+(I400+G400)/2</f>
        <v>0.0743751421558878</v>
      </c>
      <c r="I400" s="44" t="n">
        <v>0.0730857307283457</v>
      </c>
      <c r="J400" s="44" t="n">
        <v>0.0787337631541904</v>
      </c>
      <c r="K400" s="31" t="n">
        <v>2</v>
      </c>
      <c r="L400" s="32"/>
      <c r="M400" s="32"/>
      <c r="N400" s="32"/>
      <c r="O400" s="32"/>
      <c r="P400" s="32"/>
      <c r="Q400" s="32"/>
      <c r="R400" s="32" t="n">
        <f aca="false">($G400*R$1)/$K400</f>
        <v>0.0453987321500579</v>
      </c>
      <c r="S400" s="32" t="n">
        <f aca="false">($G400*S$1)/$K400</f>
        <v>0.0468174425297472</v>
      </c>
      <c r="T400" s="32" t="n">
        <f aca="false">($G400*T$1)/$K400</f>
        <v>0.0482361529094365</v>
      </c>
      <c r="U400" s="32" t="n">
        <f aca="false">($G400*U$1)/$K400</f>
        <v>0.0496548632891259</v>
      </c>
      <c r="V400" s="33" t="n">
        <f aca="false">($H400*V$1)/$K400</f>
        <v>0.0502032209552243</v>
      </c>
      <c r="W400" s="33" t="n">
        <f aca="false">($H400*W$1)/$K400</f>
        <v>0.0515977548706472</v>
      </c>
      <c r="X400" s="33" t="n">
        <f aca="false">($H400*X$1)/$K400</f>
        <v>0.0529922887860701</v>
      </c>
      <c r="Y400" s="33" t="n">
        <f aca="false">($H400*Y$1)/$K400</f>
        <v>0.054386822701493</v>
      </c>
      <c r="Z400" s="34" t="n">
        <f aca="false">($I400*Z$1)/$K400</f>
        <v>0.0548142980462593</v>
      </c>
      <c r="AA400" s="34" t="n">
        <f aca="false">($I400*AA$1)/$K400</f>
        <v>0.0561846554974158</v>
      </c>
      <c r="AB400" s="34" t="n">
        <f aca="false">($I400*AB$1)/$K400</f>
        <v>0.0575550129485723</v>
      </c>
      <c r="AC400" s="34" t="n">
        <f aca="false">($I400*AC$1)/$K400</f>
        <v>0.0589253703997287</v>
      </c>
      <c r="AD400" s="35" t="n">
        <f aca="false">($J400*AD$1)/$K400</f>
        <v>0.0649553546022071</v>
      </c>
      <c r="AE400" s="35" t="n">
        <f aca="false">($J400*AE$1)/$K400</f>
        <v>0.0664316126613481</v>
      </c>
      <c r="AF400" s="35" t="n">
        <f aca="false">($J400*AF$1)/$K400</f>
        <v>0.0679078707204892</v>
      </c>
      <c r="AG400" s="35" t="n">
        <f aca="false">($J400*AG$1)/$K400</f>
        <v>0.0693841287796302</v>
      </c>
      <c r="AH400" s="35" t="n">
        <f aca="false">($J400*AH$1)/$K400</f>
        <v>0.0708603868387713</v>
      </c>
      <c r="AI400" s="35" t="n">
        <f aca="false">($J400*AI$1)/$K400</f>
        <v>0.0723366448979124</v>
      </c>
      <c r="AJ400" s="35" t="n">
        <f aca="false">($J400*AJ$1)/$K400</f>
        <v>0.0738129029570534</v>
      </c>
      <c r="AK400" s="35" t="n">
        <f aca="false">($J400*AK$1)/$K400</f>
        <v>0.0752891610161945</v>
      </c>
      <c r="AL400" s="35" t="n">
        <f aca="false">($J400*AL$1)/$K400</f>
        <v>0.0767654190753356</v>
      </c>
    </row>
    <row r="401" customFormat="false" ht="15" hidden="false" customHeight="false" outlineLevel="0" collapsed="false">
      <c r="A401" s="51" t="s">
        <v>54</v>
      </c>
      <c r="B401" s="50" t="s">
        <v>473</v>
      </c>
      <c r="C401" s="50" t="s">
        <v>474</v>
      </c>
      <c r="D401" s="45" t="n">
        <v>34</v>
      </c>
      <c r="E401" s="45"/>
      <c r="F401" s="44" t="n">
        <v>0.211280805951981</v>
      </c>
      <c r="G401" s="44" t="n">
        <v>0.211280805951981</v>
      </c>
      <c r="H401" s="44" t="n">
        <f aca="false">+(I401+G401)/2</f>
        <v>0.211988886983249</v>
      </c>
      <c r="I401" s="44" t="n">
        <v>0.212696968014516</v>
      </c>
      <c r="J401" s="44" t="n">
        <v>0.223682586038622</v>
      </c>
      <c r="K401" s="31" t="n">
        <v>2</v>
      </c>
      <c r="L401" s="32"/>
      <c r="M401" s="32"/>
      <c r="N401" s="32"/>
      <c r="O401" s="32"/>
      <c r="P401" s="32"/>
      <c r="Q401" s="32"/>
      <c r="R401" s="32" t="n">
        <f aca="false">($G401*R$1)/$K401</f>
        <v>0.126768483571189</v>
      </c>
      <c r="S401" s="32" t="n">
        <f aca="false">($G401*S$1)/$K401</f>
        <v>0.130729998682788</v>
      </c>
      <c r="T401" s="32" t="n">
        <f aca="false">($G401*T$1)/$K401</f>
        <v>0.134691513794388</v>
      </c>
      <c r="U401" s="32" t="n">
        <f aca="false">($G401*U$1)/$K401</f>
        <v>0.138653028905988</v>
      </c>
      <c r="V401" s="33" t="n">
        <f aca="false">($H401*V$1)/$K401</f>
        <v>0.143092498713693</v>
      </c>
      <c r="W401" s="33" t="n">
        <f aca="false">($H401*W$1)/$K401</f>
        <v>0.147067290344629</v>
      </c>
      <c r="X401" s="33" t="n">
        <f aca="false">($H401*X$1)/$K401</f>
        <v>0.151042081975565</v>
      </c>
      <c r="Y401" s="33" t="n">
        <f aca="false">($H401*Y$1)/$K401</f>
        <v>0.155016873606501</v>
      </c>
      <c r="Z401" s="34" t="n">
        <f aca="false">($I401*Z$1)/$K401</f>
        <v>0.159522726010887</v>
      </c>
      <c r="AA401" s="34" t="n">
        <f aca="false">($I401*AA$1)/$K401</f>
        <v>0.163510794161159</v>
      </c>
      <c r="AB401" s="34" t="n">
        <f aca="false">($I401*AB$1)/$K401</f>
        <v>0.167498862311432</v>
      </c>
      <c r="AC401" s="34" t="n">
        <f aca="false">($I401*AC$1)/$K401</f>
        <v>0.171486930461704</v>
      </c>
      <c r="AD401" s="35" t="n">
        <f aca="false">($J401*AD$1)/$K401</f>
        <v>0.184538133481863</v>
      </c>
      <c r="AE401" s="35" t="n">
        <f aca="false">($J401*AE$1)/$K401</f>
        <v>0.188732181970087</v>
      </c>
      <c r="AF401" s="35" t="n">
        <f aca="false">($J401*AF$1)/$K401</f>
        <v>0.192926230458312</v>
      </c>
      <c r="AG401" s="35" t="n">
        <f aca="false">($J401*AG$1)/$K401</f>
        <v>0.197120278946536</v>
      </c>
      <c r="AH401" s="35" t="n">
        <f aca="false">($J401*AH$1)/$K401</f>
        <v>0.20131432743476</v>
      </c>
      <c r="AI401" s="35" t="n">
        <f aca="false">($J401*AI$1)/$K401</f>
        <v>0.205508375922984</v>
      </c>
      <c r="AJ401" s="35" t="n">
        <f aca="false">($J401*AJ$1)/$K401</f>
        <v>0.209702424411208</v>
      </c>
      <c r="AK401" s="35" t="n">
        <f aca="false">($J401*AK$1)/$K401</f>
        <v>0.213896472899432</v>
      </c>
      <c r="AL401" s="35" t="n">
        <f aca="false">($J401*AL$1)/$K401</f>
        <v>0.218090521387656</v>
      </c>
    </row>
    <row r="402" customFormat="false" ht="15" hidden="false" customHeight="false" outlineLevel="0" collapsed="false">
      <c r="A402" s="16" t="s">
        <v>68</v>
      </c>
      <c r="B402" s="52" t="s">
        <v>475</v>
      </c>
      <c r="C402" s="50" t="s">
        <v>476</v>
      </c>
      <c r="D402" s="45" t="n">
        <v>2</v>
      </c>
      <c r="E402" s="53" t="n">
        <v>111</v>
      </c>
      <c r="F402" s="30" t="n">
        <v>0.9</v>
      </c>
      <c r="G402" s="30" t="n">
        <v>0.9</v>
      </c>
      <c r="H402" s="30" t="n">
        <v>0.9</v>
      </c>
      <c r="I402" s="30" t="n">
        <v>0.9</v>
      </c>
      <c r="J402" s="30" t="n">
        <v>0.9</v>
      </c>
      <c r="K402" s="31" t="n">
        <v>1</v>
      </c>
      <c r="L402" s="32"/>
      <c r="M402" s="32"/>
      <c r="N402" s="32"/>
      <c r="O402" s="32"/>
      <c r="P402" s="32"/>
      <c r="Q402" s="32"/>
      <c r="R402" s="32"/>
      <c r="S402" s="32"/>
      <c r="T402" s="32" t="n">
        <f aca="false">($G402*T$1)/$K402</f>
        <v>1.1475</v>
      </c>
      <c r="U402" s="32" t="n">
        <f aca="false">($G402*U$1)/$K402</f>
        <v>1.18125</v>
      </c>
      <c r="V402" s="33" t="n">
        <f aca="false">($G402*V$1)/$K402</f>
        <v>1.215</v>
      </c>
      <c r="W402" s="33" t="n">
        <f aca="false">($G402*W$1)/$K402</f>
        <v>1.24875</v>
      </c>
    </row>
    <row r="403" customFormat="false" ht="15" hidden="false" customHeight="false" outlineLevel="0" collapsed="false">
      <c r="A403" s="16" t="s">
        <v>68</v>
      </c>
      <c r="B403" s="52" t="s">
        <v>477</v>
      </c>
      <c r="C403" s="50" t="s">
        <v>478</v>
      </c>
      <c r="D403" s="45" t="n">
        <v>1</v>
      </c>
      <c r="E403" s="53" t="n">
        <v>107</v>
      </c>
      <c r="F403" s="30" t="n">
        <v>0.9</v>
      </c>
      <c r="G403" s="30" t="n">
        <v>0.9</v>
      </c>
      <c r="H403" s="30" t="n">
        <v>0.9</v>
      </c>
      <c r="I403" s="30" t="n">
        <v>0.9</v>
      </c>
      <c r="J403" s="30" t="n">
        <v>0.9</v>
      </c>
      <c r="K403" s="31" t="n">
        <v>1</v>
      </c>
      <c r="L403" s="32"/>
      <c r="M403" s="32"/>
      <c r="N403" s="32"/>
      <c r="O403" s="32"/>
      <c r="P403" s="32"/>
      <c r="Q403" s="32"/>
      <c r="R403" s="32" t="n">
        <f aca="false">($G403*R$1)/$K403</f>
        <v>1.08</v>
      </c>
      <c r="S403" s="32" t="n">
        <f aca="false">($G403*S$1)/$K403</f>
        <v>1.11375</v>
      </c>
      <c r="T403" s="32" t="n">
        <f aca="false">($G403*T$1)/$K403</f>
        <v>1.1475</v>
      </c>
      <c r="U403" s="32" t="n">
        <f aca="false">($G403*U$1)/$K403</f>
        <v>1.18125</v>
      </c>
      <c r="V403" s="33" t="n">
        <f aca="false">($G403*V$1)/$K403</f>
        <v>1.215</v>
      </c>
      <c r="W403" s="33" t="n">
        <f aca="false">($G403*W$1)/$K403</f>
        <v>1.24875</v>
      </c>
    </row>
    <row r="404" customFormat="false" ht="15" hidden="false" customHeight="false" outlineLevel="0" collapsed="false">
      <c r="A404" s="16" t="s">
        <v>68</v>
      </c>
      <c r="B404" s="52" t="s">
        <v>479</v>
      </c>
      <c r="C404" s="50" t="s">
        <v>480</v>
      </c>
      <c r="D404" s="45" t="n">
        <v>1</v>
      </c>
      <c r="E404" s="53" t="n">
        <v>107</v>
      </c>
      <c r="F404" s="30" t="n">
        <v>0.9</v>
      </c>
      <c r="G404" s="30" t="n">
        <v>0.9</v>
      </c>
      <c r="H404" s="30" t="n">
        <v>0.9</v>
      </c>
      <c r="I404" s="30" t="n">
        <v>0.9</v>
      </c>
      <c r="J404" s="30" t="n">
        <v>0.9</v>
      </c>
      <c r="K404" s="31" t="n">
        <v>1</v>
      </c>
      <c r="L404" s="32"/>
      <c r="M404" s="32"/>
      <c r="N404" s="32"/>
      <c r="O404" s="32"/>
      <c r="P404" s="32"/>
      <c r="Q404" s="32"/>
      <c r="R404" s="32" t="n">
        <f aca="false">($G404*R$1)/$K404</f>
        <v>1.08</v>
      </c>
      <c r="S404" s="32" t="n">
        <f aca="false">($G404*S$1)/$K404</f>
        <v>1.11375</v>
      </c>
      <c r="T404" s="32" t="n">
        <f aca="false">($G404*T$1)/$K404</f>
        <v>1.1475</v>
      </c>
      <c r="U404" s="32" t="n">
        <f aca="false">($G404*U$1)/$K404</f>
        <v>1.18125</v>
      </c>
      <c r="V404" s="33" t="n">
        <f aca="false">($G404*V$1)/$K404</f>
        <v>1.215</v>
      </c>
      <c r="W404" s="33" t="n">
        <f aca="false">($G404*W$1)/$K404</f>
        <v>1.24875</v>
      </c>
    </row>
    <row r="405" customFormat="false" ht="15" hidden="false" customHeight="false" outlineLevel="0" collapsed="false">
      <c r="A405" s="16" t="s">
        <v>55</v>
      </c>
      <c r="B405" s="52" t="s">
        <v>481</v>
      </c>
      <c r="C405" s="50" t="s">
        <v>482</v>
      </c>
      <c r="D405" s="45" t="n">
        <v>36</v>
      </c>
      <c r="E405" s="53" t="n">
        <v>105</v>
      </c>
      <c r="F405" s="30" t="n">
        <v>0.98</v>
      </c>
      <c r="G405" s="30" t="n">
        <v>0.98</v>
      </c>
      <c r="H405" s="30" t="n">
        <v>0.98</v>
      </c>
      <c r="I405" s="30" t="n">
        <v>0.98</v>
      </c>
      <c r="J405" s="30" t="n">
        <v>0.98</v>
      </c>
      <c r="K405" s="31" t="n">
        <v>1</v>
      </c>
      <c r="L405" s="32"/>
      <c r="M405" s="32"/>
      <c r="N405" s="32"/>
      <c r="O405" s="32"/>
      <c r="P405" s="32"/>
      <c r="Q405" s="32"/>
      <c r="R405" s="32"/>
      <c r="S405" s="32"/>
      <c r="T405" s="32"/>
      <c r="U405" s="32" t="n">
        <f aca="false">($G405*U$1)/$K405</f>
        <v>1.28625</v>
      </c>
      <c r="V405" s="33" t="n">
        <f aca="false">($G405*V$1)/$K405</f>
        <v>1.323</v>
      </c>
      <c r="W405" s="33" t="n">
        <f aca="false">($G405*W$1)/$K405</f>
        <v>1.35975</v>
      </c>
      <c r="AD405" s="35"/>
      <c r="AE405" s="35"/>
      <c r="AF405" s="35"/>
      <c r="AG405" s="35"/>
      <c r="AH405" s="35"/>
      <c r="AI405" s="35"/>
      <c r="AJ405" s="35"/>
      <c r="AK405" s="35"/>
      <c r="AL405" s="35"/>
    </row>
    <row r="406" customFormat="false" ht="15" hidden="false" customHeight="false" outlineLevel="0" collapsed="false">
      <c r="A406" s="16" t="s">
        <v>55</v>
      </c>
      <c r="B406" s="52" t="s">
        <v>483</v>
      </c>
      <c r="C406" s="50" t="s">
        <v>484</v>
      </c>
      <c r="D406" s="45" t="n">
        <v>36</v>
      </c>
      <c r="E406" s="53" t="n">
        <v>105</v>
      </c>
      <c r="F406" s="30" t="n">
        <v>0.98</v>
      </c>
      <c r="G406" s="30" t="n">
        <v>0.98</v>
      </c>
      <c r="H406" s="30" t="n">
        <v>0.98</v>
      </c>
      <c r="I406" s="30" t="n">
        <v>0.98</v>
      </c>
      <c r="J406" s="30" t="n">
        <v>0.98</v>
      </c>
      <c r="K406" s="31" t="n">
        <v>1</v>
      </c>
      <c r="L406" s="32"/>
      <c r="M406" s="32"/>
      <c r="N406" s="32"/>
      <c r="O406" s="32"/>
      <c r="P406" s="32"/>
      <c r="Q406" s="32"/>
      <c r="R406" s="32"/>
      <c r="S406" s="32" t="n">
        <f aca="false">($G406*S$1)/$K406</f>
        <v>1.21275</v>
      </c>
      <c r="T406" s="32" t="n">
        <f aca="false">($G406*T$1)/$K406</f>
        <v>1.2495</v>
      </c>
      <c r="U406" s="32" t="n">
        <f aca="false">($G406*U$1)/$K406</f>
        <v>1.28625</v>
      </c>
      <c r="V406" s="33" t="n">
        <f aca="false">($G406*V$1)/$K406</f>
        <v>1.323</v>
      </c>
      <c r="W406" s="33"/>
    </row>
    <row r="407" customFormat="false" ht="15" hidden="false" customHeight="false" outlineLevel="0" collapsed="false">
      <c r="A407" s="16" t="s">
        <v>55</v>
      </c>
      <c r="B407" s="52" t="s">
        <v>485</v>
      </c>
      <c r="C407" s="50" t="s">
        <v>486</v>
      </c>
      <c r="D407" s="45" t="n">
        <v>36</v>
      </c>
      <c r="E407" s="53" t="n">
        <v>113.5</v>
      </c>
      <c r="F407" s="30" t="n">
        <v>0.98</v>
      </c>
      <c r="G407" s="30" t="n">
        <v>0.98</v>
      </c>
      <c r="H407" s="30" t="n">
        <v>0.98</v>
      </c>
      <c r="I407" s="30" t="n">
        <v>0.98</v>
      </c>
      <c r="J407" s="30" t="n">
        <v>0.98</v>
      </c>
      <c r="K407" s="31" t="n">
        <v>1</v>
      </c>
      <c r="L407" s="32"/>
      <c r="M407" s="32"/>
      <c r="N407" s="32"/>
      <c r="O407" s="32"/>
      <c r="P407" s="32"/>
      <c r="Q407" s="32"/>
      <c r="R407" s="32"/>
      <c r="S407" s="32" t="n">
        <f aca="false">($G407*S$1)/$K407</f>
        <v>1.21275</v>
      </c>
      <c r="T407" s="32" t="n">
        <f aca="false">($G407*T$1)/$K407</f>
        <v>1.2495</v>
      </c>
      <c r="U407" s="32" t="n">
        <f aca="false">($G407*U$1)/$K407</f>
        <v>1.28625</v>
      </c>
      <c r="V407" s="33" t="n">
        <f aca="false">($G407*V$1)/$K407</f>
        <v>1.323</v>
      </c>
      <c r="W407" s="33"/>
    </row>
    <row r="408" customFormat="false" ht="15" hidden="false" customHeight="false" outlineLevel="0" collapsed="false">
      <c r="A408" s="51" t="s">
        <v>55</v>
      </c>
      <c r="B408" s="52" t="s">
        <v>487</v>
      </c>
      <c r="C408" s="50" t="s">
        <v>488</v>
      </c>
      <c r="D408" s="45" t="n">
        <v>35</v>
      </c>
      <c r="E408" s="45"/>
      <c r="F408" s="30" t="n">
        <v>0.98</v>
      </c>
      <c r="G408" s="30" t="n">
        <v>0.98</v>
      </c>
      <c r="H408" s="30" t="n">
        <v>0.98</v>
      </c>
      <c r="I408" s="30" t="n">
        <v>0.98</v>
      </c>
      <c r="J408" s="30" t="n">
        <v>0.98</v>
      </c>
      <c r="K408" s="31" t="n">
        <v>1</v>
      </c>
      <c r="AD408" s="35" t="n">
        <f aca="false">($J408*AD$1)/$K408</f>
        <v>1.617</v>
      </c>
      <c r="AE408" s="35" t="n">
        <f aca="false">($J408*AE$1)/$K408</f>
        <v>1.65375</v>
      </c>
      <c r="AF408" s="35" t="n">
        <f aca="false">($J408*AF$1)/$K408</f>
        <v>1.6905</v>
      </c>
      <c r="AG408" s="35" t="n">
        <f aca="false">($J408*AG$1)/$K408</f>
        <v>1.72725</v>
      </c>
      <c r="AH408" s="35" t="n">
        <f aca="false">($J408*AH$1)/$K408</f>
        <v>1.764</v>
      </c>
      <c r="AI408" s="35" t="n">
        <f aca="false">($J408*AI$1)/$K408</f>
        <v>1.80075</v>
      </c>
      <c r="AJ408" s="35" t="n">
        <f aca="false">($J408*AJ$1)/$K408</f>
        <v>1.8375</v>
      </c>
      <c r="AK408" s="35" t="n">
        <f aca="false">($J408*AK$1)/$K408</f>
        <v>1.87425</v>
      </c>
      <c r="AL408" s="35" t="n">
        <f aca="false">($J408*AL$1)/$K408</f>
        <v>1.911</v>
      </c>
    </row>
    <row r="409" customFormat="false" ht="15" hidden="false" customHeight="false" outlineLevel="0" collapsed="false">
      <c r="A409" s="51" t="s">
        <v>55</v>
      </c>
      <c r="B409" s="52" t="s">
        <v>489</v>
      </c>
      <c r="C409" s="50" t="s">
        <v>490</v>
      </c>
      <c r="D409" s="45" t="n">
        <v>35</v>
      </c>
      <c r="E409" s="45"/>
      <c r="F409" s="30" t="n">
        <v>0.98</v>
      </c>
      <c r="G409" s="30" t="n">
        <v>0.98</v>
      </c>
      <c r="H409" s="30" t="n">
        <v>0.98</v>
      </c>
      <c r="I409" s="30" t="n">
        <v>0.98</v>
      </c>
      <c r="J409" s="30" t="n">
        <v>0.98</v>
      </c>
      <c r="K409" s="31" t="n">
        <v>1</v>
      </c>
      <c r="AD409" s="35" t="n">
        <f aca="false">($J409*AD$1)/$K409</f>
        <v>1.617</v>
      </c>
      <c r="AE409" s="35" t="n">
        <f aca="false">($J409*AE$1)/$K409</f>
        <v>1.65375</v>
      </c>
      <c r="AF409" s="35" t="n">
        <f aca="false">($J409*AF$1)/$K409</f>
        <v>1.6905</v>
      </c>
      <c r="AG409" s="35" t="n">
        <f aca="false">($J409*AG$1)/$K409</f>
        <v>1.72725</v>
      </c>
      <c r="AH409" s="35" t="n">
        <f aca="false">($J409*AH$1)/$K409</f>
        <v>1.764</v>
      </c>
      <c r="AI409" s="35" t="n">
        <f aca="false">($J409*AI$1)/$K409</f>
        <v>1.80075</v>
      </c>
      <c r="AJ409" s="35" t="n">
        <f aca="false">($J409*AJ$1)/$K409</f>
        <v>1.8375</v>
      </c>
      <c r="AK409" s="35" t="n">
        <f aca="false">($J409*AK$1)/$K409</f>
        <v>1.87425</v>
      </c>
      <c r="AL409" s="35" t="n">
        <f aca="false">($J409*AL$1)/$K409</f>
        <v>1.911</v>
      </c>
    </row>
    <row r="410" customFormat="false" ht="15" hidden="false" customHeight="false" outlineLevel="0" collapsed="false">
      <c r="A410" s="51" t="s">
        <v>55</v>
      </c>
      <c r="B410" s="52" t="s">
        <v>491</v>
      </c>
      <c r="C410" s="50" t="s">
        <v>492</v>
      </c>
      <c r="D410" s="45" t="n">
        <v>35</v>
      </c>
      <c r="E410" s="45"/>
      <c r="F410" s="30" t="n">
        <v>0.98</v>
      </c>
      <c r="G410" s="30" t="n">
        <v>0.98</v>
      </c>
      <c r="H410" s="30" t="n">
        <v>0.98</v>
      </c>
      <c r="I410" s="30" t="n">
        <v>0.98</v>
      </c>
      <c r="J410" s="30" t="n">
        <v>0.98</v>
      </c>
      <c r="K410" s="31" t="n">
        <v>1</v>
      </c>
      <c r="AD410" s="35" t="n">
        <f aca="false">($J410*AD$1)/$K410</f>
        <v>1.617</v>
      </c>
      <c r="AE410" s="35" t="n">
        <f aca="false">($J410*AE$1)/$K410</f>
        <v>1.65375</v>
      </c>
      <c r="AF410" s="35" t="n">
        <f aca="false">($J410*AF$1)/$K410</f>
        <v>1.6905</v>
      </c>
      <c r="AG410" s="35" t="n">
        <f aca="false">($J410*AG$1)/$K410</f>
        <v>1.72725</v>
      </c>
      <c r="AH410" s="35" t="n">
        <f aca="false">($J410*AH$1)/$K410</f>
        <v>1.764</v>
      </c>
      <c r="AI410" s="35" t="n">
        <f aca="false">($J410*AI$1)/$K410</f>
        <v>1.80075</v>
      </c>
      <c r="AJ410" s="35" t="n">
        <f aca="false">($J410*AJ$1)/$K410</f>
        <v>1.8375</v>
      </c>
      <c r="AK410" s="35" t="n">
        <f aca="false">($J410*AK$1)/$K410</f>
        <v>1.87425</v>
      </c>
      <c r="AL410" s="35" t="n">
        <f aca="false">($J410*AL$1)/$K410</f>
        <v>1.911</v>
      </c>
    </row>
    <row r="411" customFormat="false" ht="15" hidden="false" customHeight="false" outlineLevel="0" collapsed="false">
      <c r="A411" s="51" t="s">
        <v>55</v>
      </c>
      <c r="B411" s="52" t="s">
        <v>493</v>
      </c>
      <c r="C411" s="50" t="s">
        <v>494</v>
      </c>
      <c r="D411" s="45" t="n">
        <v>35</v>
      </c>
      <c r="E411" s="45"/>
      <c r="F411" s="30" t="n">
        <v>0.98</v>
      </c>
      <c r="G411" s="30" t="n">
        <v>0.98</v>
      </c>
      <c r="H411" s="30" t="n">
        <v>0.98</v>
      </c>
      <c r="I411" s="30" t="n">
        <v>0.98</v>
      </c>
      <c r="J411" s="30" t="n">
        <v>0.98</v>
      </c>
      <c r="K411" s="31" t="n">
        <v>1</v>
      </c>
      <c r="L411" s="32"/>
      <c r="M411" s="32"/>
      <c r="N411" s="32"/>
      <c r="O411" s="32" t="n">
        <f aca="false">($G411*O$1)/$K411</f>
        <v>1.06575</v>
      </c>
      <c r="P411" s="32" t="n">
        <f aca="false">($G411*P$1)/$K411</f>
        <v>1.1025</v>
      </c>
      <c r="Q411" s="32" t="n">
        <f aca="false">($G411*Q$1)/$K411</f>
        <v>1.13925</v>
      </c>
      <c r="R411" s="32" t="n">
        <f aca="false">($G411*R$1)/$K411</f>
        <v>1.176</v>
      </c>
      <c r="S411" s="32" t="n">
        <f aca="false">($G411*S$1)/$K411</f>
        <v>1.21275</v>
      </c>
      <c r="T411" s="32" t="n">
        <f aca="false">($G411*T$1)/$K411</f>
        <v>1.2495</v>
      </c>
      <c r="U411" s="32" t="n">
        <f aca="false">($G411*U$1)/$K411</f>
        <v>1.28625</v>
      </c>
      <c r="V411" s="33" t="n">
        <f aca="false">($G411*V$1)/$K411</f>
        <v>1.323</v>
      </c>
    </row>
    <row r="412" customFormat="false" ht="15" hidden="false" customHeight="false" outlineLevel="0" collapsed="false">
      <c r="A412" s="51" t="s">
        <v>55</v>
      </c>
      <c r="B412" s="52" t="s">
        <v>495</v>
      </c>
      <c r="C412" s="50" t="s">
        <v>496</v>
      </c>
      <c r="D412" s="45" t="n">
        <v>35</v>
      </c>
      <c r="E412" s="45"/>
      <c r="F412" s="30" t="n">
        <v>0.98</v>
      </c>
      <c r="G412" s="30" t="n">
        <v>0.98</v>
      </c>
      <c r="H412" s="30" t="n">
        <v>0.98</v>
      </c>
      <c r="I412" s="30" t="n">
        <v>0.98</v>
      </c>
      <c r="J412" s="30" t="n">
        <v>0.98</v>
      </c>
      <c r="K412" s="31" t="n">
        <v>1</v>
      </c>
      <c r="L412" s="32"/>
      <c r="M412" s="32"/>
      <c r="N412" s="32"/>
      <c r="O412" s="32" t="n">
        <f aca="false">($G412*O$1)/$K412</f>
        <v>1.06575</v>
      </c>
      <c r="P412" s="32" t="n">
        <f aca="false">($G412*P$1)/$K412</f>
        <v>1.1025</v>
      </c>
      <c r="Q412" s="32" t="n">
        <f aca="false">($G412*Q$1)/$K412</f>
        <v>1.13925</v>
      </c>
      <c r="R412" s="32" t="n">
        <f aca="false">($G412*R$1)/$K412</f>
        <v>1.176</v>
      </c>
      <c r="S412" s="32" t="n">
        <f aca="false">($G412*S$1)/$K412</f>
        <v>1.21275</v>
      </c>
      <c r="T412" s="32" t="n">
        <f aca="false">($G412*T$1)/$K412</f>
        <v>1.2495</v>
      </c>
      <c r="U412" s="32" t="n">
        <f aca="false">($G412*U$1)/$K412</f>
        <v>1.28625</v>
      </c>
      <c r="V412" s="33" t="n">
        <f aca="false">($G412*V$1)/$K412</f>
        <v>1.323</v>
      </c>
    </row>
    <row r="413" customFormat="false" ht="15" hidden="false" customHeight="false" outlineLevel="0" collapsed="false">
      <c r="A413" s="51" t="s">
        <v>55</v>
      </c>
      <c r="B413" s="52" t="s">
        <v>497</v>
      </c>
      <c r="C413" s="50" t="s">
        <v>498</v>
      </c>
      <c r="D413" s="45" t="n">
        <v>35</v>
      </c>
      <c r="E413" s="45"/>
      <c r="F413" s="30" t="n">
        <v>0.98</v>
      </c>
      <c r="G413" s="30" t="n">
        <v>0.98</v>
      </c>
      <c r="H413" s="30" t="n">
        <v>0.98</v>
      </c>
      <c r="I413" s="30" t="n">
        <v>0.98</v>
      </c>
      <c r="J413" s="30" t="n">
        <v>0.98</v>
      </c>
      <c r="K413" s="31" t="n">
        <v>1</v>
      </c>
      <c r="V413" s="33" t="n">
        <f aca="false">($H413*V$1)/$K413</f>
        <v>1.323</v>
      </c>
      <c r="W413" s="33" t="n">
        <f aca="false">($H413*W$1)/$K413</f>
        <v>1.35975</v>
      </c>
      <c r="X413" s="33" t="n">
        <f aca="false">($H413*X$1)/$K413</f>
        <v>1.3965</v>
      </c>
      <c r="Y413" s="33" t="n">
        <f aca="false">($H413*Y$1)/$K413</f>
        <v>1.43325</v>
      </c>
      <c r="Z413" s="34" t="n">
        <f aca="false">($I413*Z$1)/$K413</f>
        <v>1.47</v>
      </c>
      <c r="AA413" s="34" t="n">
        <f aca="false">($I413*AA$1)/$K413</f>
        <v>1.50675</v>
      </c>
      <c r="AB413" s="34" t="n">
        <f aca="false">($I413*AB$1)/$K413</f>
        <v>1.5435</v>
      </c>
      <c r="AC413" s="34" t="n">
        <f aca="false">($I413*AC$1)/$K413</f>
        <v>1.58025</v>
      </c>
      <c r="AD413" s="35" t="n">
        <f aca="false">($J413*AD$1)/$K413</f>
        <v>1.617</v>
      </c>
      <c r="AE413" s="35"/>
    </row>
    <row r="414" customFormat="false" ht="15" hidden="false" customHeight="false" outlineLevel="0" collapsed="false">
      <c r="A414" s="51" t="s">
        <v>55</v>
      </c>
      <c r="B414" s="52" t="s">
        <v>499</v>
      </c>
      <c r="C414" s="50" t="s">
        <v>500</v>
      </c>
      <c r="D414" s="45" t="n">
        <v>35</v>
      </c>
      <c r="E414" s="45"/>
      <c r="F414" s="30" t="n">
        <v>0.98</v>
      </c>
      <c r="G414" s="30" t="n">
        <v>0.98</v>
      </c>
      <c r="H414" s="30" t="n">
        <v>0.98</v>
      </c>
      <c r="I414" s="30" t="n">
        <v>0.98</v>
      </c>
      <c r="J414" s="30" t="n">
        <v>0.98</v>
      </c>
      <c r="K414" s="31" t="n">
        <v>1</v>
      </c>
      <c r="V414" s="33" t="n">
        <f aca="false">($H414*V$1)/$K414</f>
        <v>1.323</v>
      </c>
      <c r="W414" s="33" t="n">
        <f aca="false">($H414*W$1)/$K414</f>
        <v>1.35975</v>
      </c>
      <c r="X414" s="33" t="n">
        <f aca="false">($H414*X$1)/$K414</f>
        <v>1.3965</v>
      </c>
      <c r="Y414" s="33" t="n">
        <f aca="false">($H414*Y$1)/$K414</f>
        <v>1.43325</v>
      </c>
      <c r="Z414" s="34" t="n">
        <f aca="false">($I414*Z$1)/$K414</f>
        <v>1.47</v>
      </c>
      <c r="AA414" s="34" t="n">
        <f aca="false">($I414*AA$1)/$K414</f>
        <v>1.50675</v>
      </c>
      <c r="AB414" s="34" t="n">
        <f aca="false">($I414*AB$1)/$K414</f>
        <v>1.5435</v>
      </c>
      <c r="AC414" s="34" t="n">
        <f aca="false">($I414*AC$1)/$K414</f>
        <v>1.58025</v>
      </c>
      <c r="AD414" s="35" t="n">
        <f aca="false">($J414*AD$1)/$K414</f>
        <v>1.617</v>
      </c>
      <c r="AE414" s="35"/>
    </row>
    <row r="415" customFormat="false" ht="15" hidden="false" customHeight="false" outlineLevel="0" collapsed="false">
      <c r="A415" s="51" t="s">
        <v>55</v>
      </c>
      <c r="B415" s="52" t="s">
        <v>501</v>
      </c>
      <c r="C415" s="50" t="s">
        <v>502</v>
      </c>
      <c r="D415" s="45" t="n">
        <v>35</v>
      </c>
      <c r="E415" s="45"/>
      <c r="F415" s="30" t="n">
        <v>0.98</v>
      </c>
      <c r="G415" s="30" t="n">
        <v>0.98</v>
      </c>
      <c r="H415" s="30" t="n">
        <v>0.98</v>
      </c>
      <c r="I415" s="30" t="n">
        <v>0.98</v>
      </c>
      <c r="J415" s="30" t="n">
        <v>0.98</v>
      </c>
      <c r="K415" s="31" t="n">
        <v>1</v>
      </c>
      <c r="V415" s="33" t="n">
        <f aca="false">($H415*V$1)/$K415</f>
        <v>1.323</v>
      </c>
      <c r="W415" s="33" t="n">
        <f aca="false">($H415*W$1)/$K415</f>
        <v>1.35975</v>
      </c>
      <c r="X415" s="33" t="n">
        <f aca="false">($H415*X$1)/$K415</f>
        <v>1.3965</v>
      </c>
      <c r="Y415" s="33" t="n">
        <f aca="false">($H415*Y$1)/$K415</f>
        <v>1.43325</v>
      </c>
      <c r="Z415" s="34" t="n">
        <f aca="false">($I415*Z$1)/$K415</f>
        <v>1.47</v>
      </c>
      <c r="AA415" s="34" t="n">
        <f aca="false">($I415*AA$1)/$K415</f>
        <v>1.50675</v>
      </c>
      <c r="AB415" s="34" t="n">
        <f aca="false">($I415*AB$1)/$K415</f>
        <v>1.5435</v>
      </c>
      <c r="AC415" s="34" t="n">
        <f aca="false">($I415*AC$1)/$K415</f>
        <v>1.58025</v>
      </c>
      <c r="AD415" s="35" t="n">
        <f aca="false">($J415*AD$1)/$K415</f>
        <v>1.617</v>
      </c>
    </row>
    <row r="416" customFormat="false" ht="15" hidden="false" customHeight="false" outlineLevel="0" collapsed="false">
      <c r="A416" s="51" t="s">
        <v>55</v>
      </c>
      <c r="B416" s="52" t="s">
        <v>503</v>
      </c>
      <c r="C416" s="50" t="s">
        <v>504</v>
      </c>
      <c r="D416" s="45" t="n">
        <v>35</v>
      </c>
      <c r="E416" s="45"/>
      <c r="F416" s="30" t="n">
        <v>0.98</v>
      </c>
      <c r="G416" s="30" t="n">
        <v>0.98</v>
      </c>
      <c r="H416" s="30" t="n">
        <v>0.98</v>
      </c>
      <c r="I416" s="30" t="n">
        <v>0.98</v>
      </c>
      <c r="J416" s="30" t="n">
        <v>0.98</v>
      </c>
      <c r="K416" s="31" t="n">
        <v>1</v>
      </c>
      <c r="L416" s="32" t="n">
        <f aca="false">($G416*L$1)/$K416</f>
        <v>0.9555</v>
      </c>
      <c r="M416" s="32" t="n">
        <f aca="false">($G416*M$1)/$K416</f>
        <v>0.99225</v>
      </c>
      <c r="N416" s="32" t="n">
        <f aca="false">($G416*N$1)/$K416</f>
        <v>1.029</v>
      </c>
      <c r="O416" s="32" t="n">
        <f aca="false">($G416*O$1)/$K416</f>
        <v>1.06575</v>
      </c>
    </row>
    <row r="417" customFormat="false" ht="15" hidden="false" customHeight="false" outlineLevel="0" collapsed="false">
      <c r="A417" s="51" t="s">
        <v>55</v>
      </c>
      <c r="B417" s="52" t="s">
        <v>505</v>
      </c>
      <c r="C417" s="50" t="s">
        <v>506</v>
      </c>
      <c r="D417" s="45" t="n">
        <v>35</v>
      </c>
      <c r="E417" s="45"/>
      <c r="F417" s="30" t="n">
        <v>0.98</v>
      </c>
      <c r="G417" s="30" t="n">
        <v>0.98</v>
      </c>
      <c r="H417" s="30" t="n">
        <v>0.98</v>
      </c>
      <c r="I417" s="30" t="n">
        <v>0.98</v>
      </c>
      <c r="J417" s="30" t="n">
        <v>0.98</v>
      </c>
      <c r="K417" s="31" t="n">
        <v>1</v>
      </c>
      <c r="O417" s="32" t="n">
        <f aca="false">($G417*O$1)/$K417</f>
        <v>1.06575</v>
      </c>
      <c r="P417" s="32" t="n">
        <f aca="false">($G417*P$1)/$K417</f>
        <v>1.1025</v>
      </c>
      <c r="Q417" s="32" t="n">
        <f aca="false">($G417*Q$1)/$K417</f>
        <v>1.13925</v>
      </c>
      <c r="R417" s="32" t="n">
        <f aca="false">($G417*R$1)/$K417</f>
        <v>1.176</v>
      </c>
      <c r="S417" s="32" t="n">
        <f aca="false">($G417*S$1)/$K417</f>
        <v>1.21275</v>
      </c>
      <c r="T417" s="32" t="n">
        <f aca="false">($G417*T$1)/$K417</f>
        <v>1.2495</v>
      </c>
      <c r="U417" s="32" t="n">
        <f aca="false">($G417*U$1)/$K417</f>
        <v>1.28625</v>
      </c>
    </row>
    <row r="418" customFormat="false" ht="15" hidden="false" customHeight="false" outlineLevel="0" collapsed="false">
      <c r="A418" s="51" t="s">
        <v>55</v>
      </c>
      <c r="B418" s="52" t="s">
        <v>507</v>
      </c>
      <c r="C418" s="50" t="s">
        <v>508</v>
      </c>
      <c r="D418" s="45" t="n">
        <v>35</v>
      </c>
      <c r="E418" s="45"/>
      <c r="F418" s="30" t="n">
        <v>0.98</v>
      </c>
      <c r="G418" s="30" t="n">
        <v>0.98</v>
      </c>
      <c r="H418" s="30" t="n">
        <v>0.98</v>
      </c>
      <c r="I418" s="30" t="n">
        <v>0.98</v>
      </c>
      <c r="J418" s="30" t="n">
        <v>0.98</v>
      </c>
      <c r="K418" s="31" t="n">
        <v>1</v>
      </c>
      <c r="L418" s="32" t="n">
        <f aca="false">($G418*L$1)/$K418</f>
        <v>0.9555</v>
      </c>
      <c r="M418" s="32" t="n">
        <f aca="false">($G418*M$1)/$K418</f>
        <v>0.99225</v>
      </c>
      <c r="N418" s="32" t="n">
        <f aca="false">($G418*N$1)/$K418</f>
        <v>1.029</v>
      </c>
      <c r="O418" s="32" t="n">
        <f aca="false">($G418*O$1)/$K418</f>
        <v>1.06575</v>
      </c>
    </row>
    <row r="419" customFormat="false" ht="15" hidden="false" customHeight="false" outlineLevel="0" collapsed="false">
      <c r="A419" s="51" t="s">
        <v>55</v>
      </c>
      <c r="B419" s="16" t="s">
        <v>509</v>
      </c>
      <c r="C419" s="50" t="s">
        <v>488</v>
      </c>
      <c r="D419" s="45" t="n">
        <v>35</v>
      </c>
      <c r="E419" s="45"/>
      <c r="F419" s="30" t="n">
        <v>0.98</v>
      </c>
      <c r="G419" s="30" t="n">
        <v>0.98</v>
      </c>
      <c r="H419" s="30" t="n">
        <v>0.98</v>
      </c>
      <c r="I419" s="30" t="n">
        <v>0.98</v>
      </c>
      <c r="J419" s="30" t="n">
        <v>0.98</v>
      </c>
      <c r="K419" s="31" t="n">
        <v>1</v>
      </c>
      <c r="AD419" s="35" t="n">
        <f aca="false">($J419*AD$1)/$K419</f>
        <v>1.617</v>
      </c>
      <c r="AE419" s="35" t="n">
        <f aca="false">($J419*AE$1)/$K419</f>
        <v>1.65375</v>
      </c>
      <c r="AF419" s="35" t="n">
        <f aca="false">($J419*AF$1)/$K419</f>
        <v>1.6905</v>
      </c>
      <c r="AG419" s="35" t="n">
        <f aca="false">($J419*AG$1)/$K419</f>
        <v>1.72725</v>
      </c>
      <c r="AH419" s="35" t="n">
        <f aca="false">($J419*AH$1)/$K419</f>
        <v>1.764</v>
      </c>
      <c r="AI419" s="35" t="n">
        <f aca="false">($J419*AI$1)/$K419</f>
        <v>1.80075</v>
      </c>
      <c r="AJ419" s="35" t="n">
        <f aca="false">($J419*AJ$1)/$K419</f>
        <v>1.8375</v>
      </c>
      <c r="AK419" s="35" t="n">
        <f aca="false">($J419*AK$1)/$K419</f>
        <v>1.87425</v>
      </c>
      <c r="AL419" s="35" t="n">
        <f aca="false">($J419*AL$1)/$K419</f>
        <v>1.911</v>
      </c>
    </row>
    <row r="420" customFormat="false" ht="15" hidden="false" customHeight="false" outlineLevel="0" collapsed="false">
      <c r="A420" s="51" t="s">
        <v>55</v>
      </c>
      <c r="B420" s="16" t="s">
        <v>510</v>
      </c>
      <c r="C420" s="50" t="s">
        <v>511</v>
      </c>
      <c r="D420" s="45" t="n">
        <v>35</v>
      </c>
      <c r="E420" s="45"/>
      <c r="F420" s="30" t="n">
        <v>0.98</v>
      </c>
      <c r="G420" s="30" t="n">
        <v>0.98</v>
      </c>
      <c r="H420" s="30" t="n">
        <v>0.98</v>
      </c>
      <c r="I420" s="30" t="n">
        <v>0.98</v>
      </c>
      <c r="J420" s="30" t="n">
        <v>0.98</v>
      </c>
      <c r="K420" s="31" t="n">
        <v>1</v>
      </c>
      <c r="AD420" s="35" t="n">
        <f aca="false">($J420*AD$1)/$K420</f>
        <v>1.617</v>
      </c>
      <c r="AE420" s="35" t="n">
        <f aca="false">($J420*AE$1)/$K420</f>
        <v>1.65375</v>
      </c>
      <c r="AF420" s="35" t="n">
        <f aca="false">($J420*AF$1)/$K420</f>
        <v>1.6905</v>
      </c>
      <c r="AG420" s="35" t="n">
        <f aca="false">($J420*AG$1)/$K420</f>
        <v>1.72725</v>
      </c>
      <c r="AH420" s="35" t="n">
        <f aca="false">($J420*AH$1)/$K420</f>
        <v>1.764</v>
      </c>
      <c r="AI420" s="35" t="n">
        <f aca="false">($J420*AI$1)/$K420</f>
        <v>1.80075</v>
      </c>
      <c r="AJ420" s="35" t="n">
        <f aca="false">($J420*AJ$1)/$K420</f>
        <v>1.8375</v>
      </c>
      <c r="AK420" s="35" t="n">
        <f aca="false">($J420*AK$1)/$K420</f>
        <v>1.87425</v>
      </c>
      <c r="AL420" s="35" t="n">
        <f aca="false">($J420*AL$1)/$K420</f>
        <v>1.911</v>
      </c>
    </row>
    <row r="421" customFormat="false" ht="15" hidden="false" customHeight="false" outlineLevel="0" collapsed="false">
      <c r="A421" s="51" t="s">
        <v>55</v>
      </c>
      <c r="B421" s="16" t="s">
        <v>512</v>
      </c>
      <c r="C421" s="50" t="s">
        <v>494</v>
      </c>
      <c r="D421" s="45" t="n">
        <v>35</v>
      </c>
      <c r="E421" s="45"/>
      <c r="F421" s="30" t="n">
        <v>0.98</v>
      </c>
      <c r="G421" s="30" t="n">
        <v>0.98</v>
      </c>
      <c r="H421" s="30" t="n">
        <v>0.98</v>
      </c>
      <c r="I421" s="30" t="n">
        <v>0.98</v>
      </c>
      <c r="J421" s="30" t="n">
        <v>0.98</v>
      </c>
      <c r="K421" s="31" t="n">
        <v>1</v>
      </c>
      <c r="L421" s="32"/>
      <c r="M421" s="32"/>
      <c r="N421" s="32"/>
      <c r="O421" s="32"/>
      <c r="P421" s="32" t="n">
        <f aca="false">($G421*P$1)/$K421</f>
        <v>1.1025</v>
      </c>
      <c r="Q421" s="32" t="n">
        <f aca="false">($G421*Q$1)/$K421</f>
        <v>1.13925</v>
      </c>
      <c r="R421" s="32" t="n">
        <f aca="false">($G421*R$1)/$K421</f>
        <v>1.176</v>
      </c>
      <c r="S421" s="32" t="n">
        <f aca="false">($G421*S$1)/$K421</f>
        <v>1.21275</v>
      </c>
      <c r="T421" s="32" t="n">
        <f aca="false">($G421*T$1)/$K421</f>
        <v>1.2495</v>
      </c>
      <c r="U421" s="32" t="n">
        <f aca="false">($G421*U$1)/$K421</f>
        <v>1.28625</v>
      </c>
      <c r="V421" s="33" t="n">
        <f aca="false">($G421*V$1)/$K421</f>
        <v>1.323</v>
      </c>
    </row>
    <row r="422" customFormat="false" ht="15" hidden="false" customHeight="false" outlineLevel="0" collapsed="false">
      <c r="A422" s="51" t="s">
        <v>55</v>
      </c>
      <c r="B422" s="16" t="s">
        <v>513</v>
      </c>
      <c r="C422" s="50" t="s">
        <v>496</v>
      </c>
      <c r="D422" s="45" t="n">
        <v>35</v>
      </c>
      <c r="E422" s="45"/>
      <c r="F422" s="30" t="n">
        <v>0.98</v>
      </c>
      <c r="G422" s="30" t="n">
        <v>0.98</v>
      </c>
      <c r="H422" s="30" t="n">
        <v>0.98</v>
      </c>
      <c r="I422" s="30" t="n">
        <v>0.98</v>
      </c>
      <c r="J422" s="30" t="n">
        <v>0.98</v>
      </c>
      <c r="K422" s="31" t="n">
        <v>1</v>
      </c>
      <c r="L422" s="32"/>
      <c r="M422" s="32"/>
      <c r="N422" s="32"/>
      <c r="O422" s="32"/>
      <c r="P422" s="32" t="n">
        <f aca="false">($G422*P$1)/$K422</f>
        <v>1.1025</v>
      </c>
      <c r="Q422" s="32" t="n">
        <f aca="false">($G422*Q$1)/$K422</f>
        <v>1.13925</v>
      </c>
      <c r="R422" s="32" t="n">
        <f aca="false">($G422*R$1)/$K422</f>
        <v>1.176</v>
      </c>
      <c r="S422" s="32" t="n">
        <f aca="false">($G422*S$1)/$K422</f>
        <v>1.21275</v>
      </c>
      <c r="T422" s="32" t="n">
        <f aca="false">($G422*T$1)/$K422</f>
        <v>1.2495</v>
      </c>
      <c r="U422" s="32" t="n">
        <f aca="false">($G422*U$1)/$K422</f>
        <v>1.28625</v>
      </c>
      <c r="V422" s="33" t="n">
        <f aca="false">($G422*V$1)/$K422</f>
        <v>1.323</v>
      </c>
    </row>
    <row r="423" customFormat="false" ht="15" hidden="false" customHeight="false" outlineLevel="0" collapsed="false">
      <c r="A423" s="51" t="s">
        <v>55</v>
      </c>
      <c r="B423" s="16" t="s">
        <v>514</v>
      </c>
      <c r="C423" s="50" t="s">
        <v>515</v>
      </c>
      <c r="D423" s="45" t="n">
        <v>35</v>
      </c>
      <c r="E423" s="45"/>
      <c r="F423" s="30" t="n">
        <v>0.98</v>
      </c>
      <c r="G423" s="30" t="n">
        <v>0.98</v>
      </c>
      <c r="H423" s="30" t="n">
        <v>0.98</v>
      </c>
      <c r="I423" s="30" t="n">
        <v>0.98</v>
      </c>
      <c r="J423" s="30" t="n">
        <v>0.98</v>
      </c>
      <c r="K423" s="31" t="n">
        <v>1</v>
      </c>
      <c r="L423" s="32"/>
      <c r="M423" s="32"/>
      <c r="N423" s="32"/>
      <c r="O423" s="32"/>
      <c r="P423" s="32" t="n">
        <f aca="false">($G423*P$1)/$K423</f>
        <v>1.1025</v>
      </c>
      <c r="Q423" s="32" t="n">
        <f aca="false">($G423*Q$1)/$K423</f>
        <v>1.13925</v>
      </c>
      <c r="R423" s="32" t="n">
        <f aca="false">($G423*R$1)/$K423</f>
        <v>1.176</v>
      </c>
      <c r="S423" s="32" t="n">
        <f aca="false">($G423*S$1)/$K423</f>
        <v>1.21275</v>
      </c>
      <c r="T423" s="32" t="n">
        <f aca="false">($G423*T$1)/$K423</f>
        <v>1.2495</v>
      </c>
      <c r="U423" s="32" t="n">
        <f aca="false">($G423*U$1)/$K423</f>
        <v>1.28625</v>
      </c>
      <c r="V423" s="33" t="n">
        <f aca="false">($G423*V$1)/$K423</f>
        <v>1.323</v>
      </c>
    </row>
    <row r="424" customFormat="false" ht="15" hidden="false" customHeight="false" outlineLevel="0" collapsed="false">
      <c r="A424" s="51" t="s">
        <v>55</v>
      </c>
      <c r="B424" s="16" t="s">
        <v>516</v>
      </c>
      <c r="C424" s="50" t="s">
        <v>498</v>
      </c>
      <c r="D424" s="45" t="n">
        <v>35</v>
      </c>
      <c r="E424" s="45"/>
      <c r="F424" s="30" t="n">
        <v>0.98</v>
      </c>
      <c r="G424" s="30" t="n">
        <v>0.98</v>
      </c>
      <c r="H424" s="30" t="n">
        <v>0.98</v>
      </c>
      <c r="I424" s="30" t="n">
        <v>0.98</v>
      </c>
      <c r="J424" s="30" t="n">
        <v>0.98</v>
      </c>
      <c r="K424" s="31" t="n">
        <v>1</v>
      </c>
      <c r="V424" s="33" t="n">
        <f aca="false">($H424*V$1)/$K424</f>
        <v>1.323</v>
      </c>
      <c r="W424" s="33" t="n">
        <f aca="false">($H424*W$1)/$K424</f>
        <v>1.35975</v>
      </c>
      <c r="X424" s="33" t="n">
        <f aca="false">($H424*X$1)/$K424</f>
        <v>1.3965</v>
      </c>
      <c r="Y424" s="33" t="n">
        <f aca="false">($H424*Y$1)/$K424</f>
        <v>1.43325</v>
      </c>
      <c r="Z424" s="34" t="n">
        <f aca="false">($I424*Z$1)/$K424</f>
        <v>1.47</v>
      </c>
      <c r="AA424" s="34" t="n">
        <f aca="false">($I424*AA$1)/$K424</f>
        <v>1.50675</v>
      </c>
      <c r="AB424" s="34" t="n">
        <f aca="false">($I424*AB$1)/$K424</f>
        <v>1.5435</v>
      </c>
      <c r="AC424" s="34" t="n">
        <f aca="false">($I424*AC$1)/$K424</f>
        <v>1.58025</v>
      </c>
      <c r="AD424" s="35" t="n">
        <f aca="false">($J424*AD$1)/$K424</f>
        <v>1.617</v>
      </c>
    </row>
    <row r="425" customFormat="false" ht="15" hidden="false" customHeight="false" outlineLevel="0" collapsed="false">
      <c r="A425" s="51" t="s">
        <v>55</v>
      </c>
      <c r="B425" s="16" t="s">
        <v>517</v>
      </c>
      <c r="C425" s="50" t="s">
        <v>500</v>
      </c>
      <c r="D425" s="45" t="n">
        <v>35</v>
      </c>
      <c r="E425" s="45"/>
      <c r="F425" s="30" t="n">
        <v>0.98</v>
      </c>
      <c r="G425" s="30" t="n">
        <v>0.98</v>
      </c>
      <c r="H425" s="30" t="n">
        <v>0.98</v>
      </c>
      <c r="I425" s="30" t="n">
        <v>0.98</v>
      </c>
      <c r="J425" s="30" t="n">
        <v>0.98</v>
      </c>
      <c r="K425" s="31" t="n">
        <v>1</v>
      </c>
      <c r="V425" s="33" t="n">
        <f aca="false">($H425*V$1)/$K425</f>
        <v>1.323</v>
      </c>
      <c r="W425" s="33" t="n">
        <f aca="false">($H425*W$1)/$K425</f>
        <v>1.35975</v>
      </c>
      <c r="X425" s="33" t="n">
        <f aca="false">($H425*X$1)/$K425</f>
        <v>1.3965</v>
      </c>
      <c r="Y425" s="33" t="n">
        <f aca="false">($H425*Y$1)/$K425</f>
        <v>1.43325</v>
      </c>
      <c r="Z425" s="34" t="n">
        <f aca="false">($I425*Z$1)/$K425</f>
        <v>1.47</v>
      </c>
      <c r="AA425" s="34" t="n">
        <f aca="false">($I425*AA$1)/$K425</f>
        <v>1.50675</v>
      </c>
      <c r="AB425" s="34" t="n">
        <f aca="false">($I425*AB$1)/$K425</f>
        <v>1.5435</v>
      </c>
      <c r="AC425" s="34" t="n">
        <f aca="false">($I425*AC$1)/$K425</f>
        <v>1.58025</v>
      </c>
      <c r="AD425" s="35" t="n">
        <f aca="false">($J425*AD$1)/$K425</f>
        <v>1.617</v>
      </c>
    </row>
    <row r="426" customFormat="false" ht="15" hidden="false" customHeight="false" outlineLevel="0" collapsed="false">
      <c r="A426" s="51" t="s">
        <v>55</v>
      </c>
      <c r="B426" s="16" t="s">
        <v>518</v>
      </c>
      <c r="C426" s="50" t="s">
        <v>504</v>
      </c>
      <c r="D426" s="45" t="n">
        <v>35</v>
      </c>
      <c r="E426" s="45"/>
      <c r="F426" s="30" t="n">
        <v>0.98</v>
      </c>
      <c r="G426" s="30" t="n">
        <v>0.98</v>
      </c>
      <c r="H426" s="30" t="n">
        <v>0.98</v>
      </c>
      <c r="I426" s="30" t="n">
        <v>0.98</v>
      </c>
      <c r="J426" s="30" t="n">
        <v>0.98</v>
      </c>
      <c r="K426" s="31" t="n">
        <v>1</v>
      </c>
      <c r="L426" s="32" t="n">
        <f aca="false">($G426*L$1)/$K426</f>
        <v>0.9555</v>
      </c>
      <c r="M426" s="32" t="n">
        <f aca="false">($G426*M$1)/$K426</f>
        <v>0.99225</v>
      </c>
      <c r="N426" s="32" t="n">
        <f aca="false">($G426*N$1)/$K426</f>
        <v>1.029</v>
      </c>
      <c r="O426" s="32" t="n">
        <f aca="false">($G426*O$1)/$K426</f>
        <v>1.06575</v>
      </c>
    </row>
    <row r="427" customFormat="false" ht="15" hidden="false" customHeight="false" outlineLevel="0" collapsed="false">
      <c r="A427" s="51" t="s">
        <v>55</v>
      </c>
      <c r="B427" s="16" t="s">
        <v>519</v>
      </c>
      <c r="C427" s="50" t="s">
        <v>506</v>
      </c>
      <c r="D427" s="45" t="n">
        <v>35</v>
      </c>
      <c r="E427" s="45"/>
      <c r="F427" s="30" t="n">
        <v>0.98</v>
      </c>
      <c r="G427" s="30" t="n">
        <v>0.98</v>
      </c>
      <c r="H427" s="30" t="n">
        <v>0.98</v>
      </c>
      <c r="I427" s="30" t="n">
        <v>0.98</v>
      </c>
      <c r="J427" s="30" t="n">
        <v>0.98</v>
      </c>
      <c r="K427" s="31" t="n">
        <v>1</v>
      </c>
      <c r="L427" s="32"/>
      <c r="M427" s="32"/>
      <c r="N427" s="32"/>
      <c r="O427" s="32" t="n">
        <f aca="false">($G427*O$1)/$K427</f>
        <v>1.06575</v>
      </c>
      <c r="P427" s="32" t="n">
        <f aca="false">($G427*P$1)/$K427</f>
        <v>1.1025</v>
      </c>
      <c r="Q427" s="32" t="n">
        <f aca="false">($G427*Q$1)/$K427</f>
        <v>1.13925</v>
      </c>
      <c r="R427" s="32" t="n">
        <f aca="false">($G427*R$1)/$K427</f>
        <v>1.176</v>
      </c>
      <c r="S427" s="32" t="n">
        <f aca="false">($G427*S$1)/$K427</f>
        <v>1.21275</v>
      </c>
      <c r="T427" s="32" t="n">
        <f aca="false">($G427*T$1)/$K427</f>
        <v>1.2495</v>
      </c>
      <c r="U427" s="32" t="n">
        <f aca="false">($G427*U$1)/$K427</f>
        <v>1.28625</v>
      </c>
    </row>
    <row r="428" customFormat="false" ht="15" hidden="false" customHeight="false" outlineLevel="0" collapsed="false">
      <c r="A428" s="51" t="s">
        <v>55</v>
      </c>
      <c r="B428" s="16" t="s">
        <v>520</v>
      </c>
      <c r="C428" s="50" t="s">
        <v>508</v>
      </c>
      <c r="D428" s="45" t="n">
        <v>35</v>
      </c>
      <c r="E428" s="45"/>
      <c r="F428" s="30" t="n">
        <v>0.98</v>
      </c>
      <c r="G428" s="30" t="n">
        <v>0.98</v>
      </c>
      <c r="H428" s="30" t="n">
        <v>0.98</v>
      </c>
      <c r="I428" s="30" t="n">
        <v>0.98</v>
      </c>
      <c r="J428" s="30" t="n">
        <v>0.98</v>
      </c>
      <c r="K428" s="31" t="n">
        <v>1</v>
      </c>
      <c r="L428" s="32" t="n">
        <f aca="false">($G428*L$1)/$K428</f>
        <v>0.9555</v>
      </c>
      <c r="M428" s="32" t="n">
        <f aca="false">($G428*M$1)/$K428</f>
        <v>0.99225</v>
      </c>
      <c r="N428" s="32" t="n">
        <f aca="false">($G428*N$1)/$K428</f>
        <v>1.029</v>
      </c>
      <c r="O428" s="32" t="n">
        <f aca="false">($G428*O$1)/$K428</f>
        <v>1.06575</v>
      </c>
    </row>
    <row r="429" customFormat="false" ht="15" hidden="false" customHeight="false" outlineLevel="0" collapsed="false">
      <c r="A429" s="51" t="s">
        <v>55</v>
      </c>
      <c r="B429" s="52" t="s">
        <v>521</v>
      </c>
      <c r="C429" s="50" t="s">
        <v>522</v>
      </c>
      <c r="D429" s="45" t="n">
        <v>35</v>
      </c>
      <c r="E429" s="53" t="n">
        <v>103.5</v>
      </c>
      <c r="F429" s="30" t="n">
        <v>0.98</v>
      </c>
      <c r="G429" s="30" t="n">
        <v>0.98</v>
      </c>
      <c r="H429" s="30" t="n">
        <v>0.98</v>
      </c>
      <c r="I429" s="30" t="n">
        <v>0.98</v>
      </c>
      <c r="J429" s="30" t="n">
        <v>0.98</v>
      </c>
      <c r="K429" s="31" t="n">
        <v>1</v>
      </c>
      <c r="P429" s="32" t="n">
        <f aca="false">($G429*P$1)/$K429</f>
        <v>1.1025</v>
      </c>
      <c r="Q429" s="32" t="n">
        <f aca="false">($G429*Q$1)/$K429</f>
        <v>1.13925</v>
      </c>
      <c r="R429" s="32" t="n">
        <f aca="false">($G429*R$1)/$K429</f>
        <v>1.176</v>
      </c>
      <c r="S429" s="32" t="n">
        <f aca="false">($G429*S$1)/$K429</f>
        <v>1.21275</v>
      </c>
      <c r="T429" s="32" t="n">
        <f aca="false">($G429*T$1)/$K429</f>
        <v>1.2495</v>
      </c>
      <c r="U429" s="32" t="n">
        <f aca="false">($G429*U$1)/$K429</f>
        <v>1.28625</v>
      </c>
    </row>
    <row r="430" customFormat="false" ht="15" hidden="false" customHeight="false" outlineLevel="0" collapsed="false">
      <c r="A430" s="51" t="s">
        <v>55</v>
      </c>
      <c r="B430" s="52" t="s">
        <v>523</v>
      </c>
      <c r="C430" s="50" t="s">
        <v>524</v>
      </c>
      <c r="D430" s="45" t="n">
        <v>35</v>
      </c>
      <c r="E430" s="53" t="n">
        <v>102.5</v>
      </c>
      <c r="F430" s="30" t="n">
        <v>0.98</v>
      </c>
      <c r="G430" s="30" t="n">
        <v>0.98</v>
      </c>
      <c r="H430" s="30" t="n">
        <v>0.98</v>
      </c>
      <c r="I430" s="30" t="n">
        <v>0.98</v>
      </c>
      <c r="J430" s="30" t="n">
        <v>0.98</v>
      </c>
      <c r="K430" s="31" t="n">
        <v>1</v>
      </c>
      <c r="P430" s="32" t="n">
        <f aca="false">($G430*P$1)/$K430</f>
        <v>1.1025</v>
      </c>
      <c r="Q430" s="32" t="n">
        <f aca="false">($G430*Q$1)/$K430</f>
        <v>1.13925</v>
      </c>
      <c r="R430" s="32" t="n">
        <f aca="false">($G430*R$1)/$K430</f>
        <v>1.176</v>
      </c>
      <c r="S430" s="32" t="n">
        <f aca="false">($G430*S$1)/$K430</f>
        <v>1.21275</v>
      </c>
      <c r="T430" s="32" t="n">
        <f aca="false">($G430*T$1)/$K430</f>
        <v>1.2495</v>
      </c>
      <c r="U430" s="32" t="n">
        <f aca="false">($G430*U$1)/$K430</f>
        <v>1.28625</v>
      </c>
    </row>
    <row r="431" customFormat="false" ht="15" hidden="false" customHeight="false" outlineLevel="0" collapsed="false">
      <c r="A431" s="51" t="s">
        <v>55</v>
      </c>
      <c r="B431" s="52" t="s">
        <v>525</v>
      </c>
      <c r="C431" s="50" t="s">
        <v>526</v>
      </c>
      <c r="D431" s="45" t="n">
        <v>35</v>
      </c>
      <c r="E431" s="53" t="s">
        <v>527</v>
      </c>
      <c r="F431" s="30" t="n">
        <v>0.98</v>
      </c>
      <c r="G431" s="30" t="n">
        <v>0.98</v>
      </c>
      <c r="H431" s="30" t="n">
        <v>0.98</v>
      </c>
      <c r="I431" s="30" t="n">
        <v>0.98</v>
      </c>
      <c r="J431" s="30" t="n">
        <v>0.98</v>
      </c>
      <c r="K431" s="31" t="n">
        <v>1</v>
      </c>
      <c r="P431" s="32" t="n">
        <f aca="false">($G431*P$1)/$K431</f>
        <v>1.1025</v>
      </c>
      <c r="Q431" s="32" t="n">
        <f aca="false">($G431*Q$1)/$K431</f>
        <v>1.13925</v>
      </c>
      <c r="R431" s="32" t="n">
        <f aca="false">($G431*R$1)/$K431</f>
        <v>1.176</v>
      </c>
      <c r="S431" s="32" t="n">
        <f aca="false">($G431*S$1)/$K431</f>
        <v>1.21275</v>
      </c>
      <c r="T431" s="32" t="n">
        <f aca="false">($G431*T$1)/$K431</f>
        <v>1.2495</v>
      </c>
      <c r="U431" s="32" t="n">
        <f aca="false">($G431*U$1)/$K431</f>
        <v>1.28625</v>
      </c>
    </row>
    <row r="432" customFormat="false" ht="15" hidden="false" customHeight="false" outlineLevel="0" collapsed="false">
      <c r="A432" s="51" t="s">
        <v>55</v>
      </c>
      <c r="B432" s="52" t="s">
        <v>528</v>
      </c>
      <c r="C432" s="50" t="s">
        <v>529</v>
      </c>
      <c r="D432" s="45" t="n">
        <v>35</v>
      </c>
      <c r="E432" s="53" t="n">
        <v>103.5</v>
      </c>
      <c r="F432" s="30" t="n">
        <v>0.98</v>
      </c>
      <c r="G432" s="30" t="n">
        <v>0.98</v>
      </c>
      <c r="H432" s="30" t="n">
        <v>0.98</v>
      </c>
      <c r="I432" s="30" t="n">
        <v>0.98</v>
      </c>
      <c r="J432" s="30" t="n">
        <v>0.98</v>
      </c>
      <c r="K432" s="31" t="n">
        <v>1</v>
      </c>
      <c r="P432" s="32" t="n">
        <f aca="false">($G432*P$1)/$K432</f>
        <v>1.1025</v>
      </c>
      <c r="Q432" s="32" t="n">
        <f aca="false">($G432*Q$1)/$K432</f>
        <v>1.13925</v>
      </c>
      <c r="R432" s="32" t="n">
        <f aca="false">($G432*R$1)/$K432</f>
        <v>1.176</v>
      </c>
      <c r="S432" s="32" t="n">
        <f aca="false">($G432*S$1)/$K432</f>
        <v>1.21275</v>
      </c>
      <c r="T432" s="32" t="n">
        <f aca="false">($G432*T$1)/$K432</f>
        <v>1.2495</v>
      </c>
      <c r="U432" s="32" t="n">
        <f aca="false">($G432*U$1)/$K432</f>
        <v>1.28625</v>
      </c>
    </row>
    <row r="433" customFormat="false" ht="15" hidden="false" customHeight="false" outlineLevel="0" collapsed="false">
      <c r="A433" s="51" t="s">
        <v>55</v>
      </c>
      <c r="B433" s="52" t="s">
        <v>530</v>
      </c>
      <c r="C433" s="50" t="s">
        <v>531</v>
      </c>
      <c r="D433" s="45" t="n">
        <v>35</v>
      </c>
      <c r="E433" s="53" t="n">
        <v>104.5</v>
      </c>
      <c r="F433" s="30" t="n">
        <v>0.98</v>
      </c>
      <c r="G433" s="30" t="n">
        <v>0.98</v>
      </c>
      <c r="H433" s="30" t="n">
        <v>0.98</v>
      </c>
      <c r="I433" s="30" t="n">
        <v>0.98</v>
      </c>
      <c r="J433" s="30" t="n">
        <v>0.98</v>
      </c>
      <c r="K433" s="31" t="n">
        <v>1</v>
      </c>
      <c r="P433" s="32" t="n">
        <f aca="false">($G433*P$1)/$K433</f>
        <v>1.1025</v>
      </c>
      <c r="Q433" s="32" t="n">
        <f aca="false">($G433*Q$1)/$K433</f>
        <v>1.13925</v>
      </c>
      <c r="R433" s="32" t="n">
        <f aca="false">($G433*R$1)/$K433</f>
        <v>1.176</v>
      </c>
      <c r="S433" s="32" t="n">
        <f aca="false">($G433*S$1)/$K433</f>
        <v>1.21275</v>
      </c>
      <c r="T433" s="32" t="n">
        <f aca="false">($G433*T$1)/$K433</f>
        <v>1.2495</v>
      </c>
      <c r="U433" s="32" t="n">
        <f aca="false">($G433*U$1)/$K433</f>
        <v>1.28625</v>
      </c>
    </row>
    <row r="434" customFormat="false" ht="15" hidden="false" customHeight="false" outlineLevel="0" collapsed="false">
      <c r="A434" s="51" t="s">
        <v>55</v>
      </c>
      <c r="B434" s="52" t="s">
        <v>532</v>
      </c>
      <c r="C434" s="50" t="s">
        <v>533</v>
      </c>
      <c r="D434" s="45" t="n">
        <v>35</v>
      </c>
      <c r="E434" s="53" t="s">
        <v>527</v>
      </c>
      <c r="F434" s="30" t="n">
        <v>0.98</v>
      </c>
      <c r="G434" s="30" t="n">
        <v>0.98</v>
      </c>
      <c r="H434" s="30" t="n">
        <v>0.98</v>
      </c>
      <c r="I434" s="30" t="n">
        <v>0.98</v>
      </c>
      <c r="J434" s="30" t="n">
        <v>0.98</v>
      </c>
      <c r="K434" s="31" t="n">
        <v>1</v>
      </c>
      <c r="P434" s="32" t="n">
        <f aca="false">($G434*P$1)/$K434</f>
        <v>1.1025</v>
      </c>
      <c r="Q434" s="32" t="n">
        <f aca="false">($G434*Q$1)/$K434</f>
        <v>1.13925</v>
      </c>
      <c r="R434" s="32" t="n">
        <f aca="false">($G434*R$1)/$K434</f>
        <v>1.176</v>
      </c>
      <c r="S434" s="32" t="n">
        <f aca="false">($G434*S$1)/$K434</f>
        <v>1.21275</v>
      </c>
      <c r="T434" s="32" t="n">
        <f aca="false">($G434*T$1)/$K434</f>
        <v>1.2495</v>
      </c>
      <c r="U434" s="32" t="n">
        <f aca="false">($G434*U$1)/$K434</f>
        <v>1.28625</v>
      </c>
    </row>
    <row r="435" customFormat="false" ht="15" hidden="false" customHeight="false" outlineLevel="0" collapsed="false">
      <c r="A435" s="51" t="s">
        <v>55</v>
      </c>
      <c r="B435" s="52" t="s">
        <v>534</v>
      </c>
      <c r="C435" s="50" t="s">
        <v>535</v>
      </c>
      <c r="D435" s="45" t="n">
        <v>35</v>
      </c>
      <c r="E435" s="53" t="n">
        <v>102.5</v>
      </c>
      <c r="F435" s="30" t="n">
        <v>0.98</v>
      </c>
      <c r="G435" s="30" t="n">
        <v>0.98</v>
      </c>
      <c r="H435" s="30" t="n">
        <v>0.98</v>
      </c>
      <c r="I435" s="30" t="n">
        <v>0.98</v>
      </c>
      <c r="J435" s="30" t="n">
        <v>0.98</v>
      </c>
      <c r="K435" s="31" t="n">
        <v>1</v>
      </c>
      <c r="P435" s="32" t="n">
        <f aca="false">($G435*P$1)/$K435</f>
        <v>1.1025</v>
      </c>
      <c r="Q435" s="32" t="n">
        <f aca="false">($G435*Q$1)/$K435</f>
        <v>1.13925</v>
      </c>
      <c r="R435" s="32" t="n">
        <f aca="false">($G435*R$1)/$K435</f>
        <v>1.176</v>
      </c>
      <c r="S435" s="32" t="n">
        <f aca="false">($G435*S$1)/$K435</f>
        <v>1.21275</v>
      </c>
      <c r="T435" s="32" t="n">
        <f aca="false">($G435*T$1)/$K435</f>
        <v>1.2495</v>
      </c>
      <c r="U435" s="32" t="n">
        <f aca="false">($G435*U$1)/$K435</f>
        <v>1.28625</v>
      </c>
    </row>
    <row r="436" customFormat="false" ht="15" hidden="false" customHeight="false" outlineLevel="0" collapsed="false">
      <c r="A436" s="51" t="s">
        <v>55</v>
      </c>
      <c r="B436" s="52" t="s">
        <v>536</v>
      </c>
      <c r="C436" s="50" t="s">
        <v>537</v>
      </c>
      <c r="D436" s="45" t="n">
        <v>35</v>
      </c>
      <c r="E436" s="53" t="s">
        <v>527</v>
      </c>
      <c r="F436" s="30" t="n">
        <v>0.98</v>
      </c>
      <c r="G436" s="30" t="n">
        <v>0.98</v>
      </c>
      <c r="H436" s="30" t="n">
        <v>0.98</v>
      </c>
      <c r="I436" s="30" t="n">
        <v>0.98</v>
      </c>
      <c r="J436" s="30" t="n">
        <v>0.98</v>
      </c>
      <c r="K436" s="31" t="n">
        <v>1</v>
      </c>
      <c r="P436" s="32" t="n">
        <f aca="false">($G436*P$1)/$K436</f>
        <v>1.1025</v>
      </c>
      <c r="Q436" s="32" t="n">
        <f aca="false">($G436*Q$1)/$K436</f>
        <v>1.13925</v>
      </c>
      <c r="R436" s="32" t="n">
        <f aca="false">($G436*R$1)/$K436</f>
        <v>1.176</v>
      </c>
      <c r="S436" s="32" t="n">
        <f aca="false">($G436*S$1)/$K436</f>
        <v>1.21275</v>
      </c>
      <c r="T436" s="32" t="n">
        <f aca="false">($G436*T$1)/$K436</f>
        <v>1.2495</v>
      </c>
      <c r="U436" s="32" t="n">
        <f aca="false">($G436*U$1)/$K436</f>
        <v>1.28625</v>
      </c>
    </row>
    <row r="437" customFormat="false" ht="15" hidden="false" customHeight="false" outlineLevel="0" collapsed="false">
      <c r="A437" s="51" t="s">
        <v>55</v>
      </c>
      <c r="B437" s="52" t="s">
        <v>538</v>
      </c>
      <c r="C437" s="50" t="s">
        <v>539</v>
      </c>
      <c r="D437" s="45" t="n">
        <v>35</v>
      </c>
      <c r="E437" s="53" t="n">
        <v>103.5</v>
      </c>
      <c r="F437" s="30" t="n">
        <v>0.98</v>
      </c>
      <c r="G437" s="30" t="n">
        <v>0.98</v>
      </c>
      <c r="H437" s="30" t="n">
        <v>0.98</v>
      </c>
      <c r="I437" s="30" t="n">
        <v>0.98</v>
      </c>
      <c r="J437" s="30" t="n">
        <v>0.98</v>
      </c>
      <c r="K437" s="31" t="n">
        <v>1</v>
      </c>
      <c r="P437" s="32" t="n">
        <f aca="false">($G437*P$1)/$K437</f>
        <v>1.1025</v>
      </c>
      <c r="Q437" s="32" t="n">
        <f aca="false">($G437*Q$1)/$K437</f>
        <v>1.13925</v>
      </c>
      <c r="R437" s="32" t="n">
        <f aca="false">($G437*R$1)/$K437</f>
        <v>1.176</v>
      </c>
      <c r="S437" s="32" t="n">
        <f aca="false">($G437*S$1)/$K437</f>
        <v>1.21275</v>
      </c>
      <c r="T437" s="32" t="n">
        <f aca="false">($G437*T$1)/$K437</f>
        <v>1.2495</v>
      </c>
      <c r="U437" s="32" t="n">
        <f aca="false">($G437*U$1)/$K437</f>
        <v>1.28625</v>
      </c>
    </row>
    <row r="438" customFormat="false" ht="15" hidden="false" customHeight="false" outlineLevel="0" collapsed="false">
      <c r="A438" s="51" t="s">
        <v>55</v>
      </c>
      <c r="B438" s="52" t="s">
        <v>540</v>
      </c>
      <c r="C438" s="50" t="s">
        <v>541</v>
      </c>
      <c r="D438" s="45" t="n">
        <v>35</v>
      </c>
      <c r="E438" s="53" t="s">
        <v>527</v>
      </c>
      <c r="F438" s="30" t="n">
        <v>0.98</v>
      </c>
      <c r="G438" s="30" t="n">
        <v>0.98</v>
      </c>
      <c r="H438" s="30" t="n">
        <v>0.98</v>
      </c>
      <c r="I438" s="30" t="n">
        <v>0.98</v>
      </c>
      <c r="J438" s="30" t="n">
        <v>0.98</v>
      </c>
      <c r="K438" s="31" t="n">
        <v>1</v>
      </c>
      <c r="P438" s="32" t="n">
        <f aca="false">($G438*P$1)/$K438</f>
        <v>1.1025</v>
      </c>
      <c r="Q438" s="32" t="n">
        <f aca="false">($G438*Q$1)/$K438</f>
        <v>1.13925</v>
      </c>
      <c r="R438" s="32" t="n">
        <f aca="false">($G438*R$1)/$K438</f>
        <v>1.176</v>
      </c>
      <c r="S438" s="32" t="n">
        <f aca="false">($G438*S$1)/$K438</f>
        <v>1.21275</v>
      </c>
      <c r="T438" s="32" t="n">
        <f aca="false">($G438*T$1)/$K438</f>
        <v>1.2495</v>
      </c>
      <c r="U438" s="32" t="n">
        <f aca="false">($G438*U$1)/$K438</f>
        <v>1.28625</v>
      </c>
    </row>
    <row r="439" customFormat="false" ht="15" hidden="false" customHeight="false" outlineLevel="0" collapsed="false">
      <c r="A439" s="51" t="s">
        <v>55</v>
      </c>
      <c r="B439" s="52" t="s">
        <v>542</v>
      </c>
      <c r="C439" s="50" t="s">
        <v>543</v>
      </c>
      <c r="D439" s="45" t="n">
        <v>35</v>
      </c>
      <c r="E439" s="53" t="s">
        <v>527</v>
      </c>
      <c r="F439" s="30" t="n">
        <v>0.98</v>
      </c>
      <c r="G439" s="30" t="n">
        <v>0.98</v>
      </c>
      <c r="H439" s="30" t="n">
        <v>0.98</v>
      </c>
      <c r="I439" s="30" t="n">
        <v>0.98</v>
      </c>
      <c r="J439" s="30" t="n">
        <v>0.98</v>
      </c>
      <c r="K439" s="31" t="n">
        <v>1</v>
      </c>
      <c r="P439" s="32" t="n">
        <f aca="false">($G439*P$1)/$K439</f>
        <v>1.1025</v>
      </c>
      <c r="Q439" s="32" t="n">
        <f aca="false">($G439*Q$1)/$K439</f>
        <v>1.13925</v>
      </c>
      <c r="R439" s="32" t="n">
        <f aca="false">($G439*R$1)/$K439</f>
        <v>1.176</v>
      </c>
      <c r="S439" s="32" t="n">
        <f aca="false">($G439*S$1)/$K439</f>
        <v>1.21275</v>
      </c>
      <c r="T439" s="32" t="n">
        <f aca="false">($G439*T$1)/$K439</f>
        <v>1.2495</v>
      </c>
      <c r="U439" s="32" t="n">
        <f aca="false">($G439*U$1)/$K439</f>
        <v>1.28625</v>
      </c>
    </row>
    <row r="440" customFormat="false" ht="15" hidden="false" customHeight="false" outlineLevel="0" collapsed="false">
      <c r="A440" s="51" t="s">
        <v>55</v>
      </c>
      <c r="B440" s="52" t="s">
        <v>544</v>
      </c>
      <c r="C440" s="50" t="s">
        <v>545</v>
      </c>
      <c r="D440" s="45" t="n">
        <v>35</v>
      </c>
      <c r="E440" s="53" t="n">
        <v>103.5</v>
      </c>
      <c r="F440" s="30" t="n">
        <v>0.98</v>
      </c>
      <c r="G440" s="30" t="n">
        <v>0.98</v>
      </c>
      <c r="H440" s="30" t="n">
        <v>0.98</v>
      </c>
      <c r="I440" s="30" t="n">
        <v>0.98</v>
      </c>
      <c r="J440" s="30" t="n">
        <v>0.98</v>
      </c>
      <c r="K440" s="31" t="n">
        <v>1</v>
      </c>
      <c r="P440" s="32" t="n">
        <f aca="false">($G440*P$1)/$K440</f>
        <v>1.1025</v>
      </c>
      <c r="Q440" s="32" t="n">
        <f aca="false">($G440*Q$1)/$K440</f>
        <v>1.13925</v>
      </c>
      <c r="R440" s="32" t="n">
        <f aca="false">($G440*R$1)/$K440</f>
        <v>1.176</v>
      </c>
      <c r="S440" s="32" t="n">
        <f aca="false">($G440*S$1)/$K440</f>
        <v>1.21275</v>
      </c>
      <c r="T440" s="32" t="n">
        <f aca="false">($G440*T$1)/$K440</f>
        <v>1.2495</v>
      </c>
      <c r="U440" s="32" t="n">
        <f aca="false">($G440*U$1)/$K440</f>
        <v>1.28625</v>
      </c>
    </row>
    <row r="441" customFormat="false" ht="15" hidden="false" customHeight="false" outlineLevel="0" collapsed="false">
      <c r="A441" s="51" t="s">
        <v>55</v>
      </c>
      <c r="B441" s="52" t="s">
        <v>546</v>
      </c>
      <c r="C441" s="50" t="s">
        <v>547</v>
      </c>
      <c r="D441" s="45" t="n">
        <v>35</v>
      </c>
      <c r="E441" s="53" t="n">
        <v>113.5</v>
      </c>
      <c r="F441" s="30" t="n">
        <v>0.98</v>
      </c>
      <c r="G441" s="30" t="n">
        <v>0.98</v>
      </c>
      <c r="H441" s="30" t="n">
        <v>0.98</v>
      </c>
      <c r="I441" s="30" t="n">
        <v>0.98</v>
      </c>
      <c r="J441" s="30" t="n">
        <v>0.98</v>
      </c>
      <c r="K441" s="31" t="n">
        <v>1</v>
      </c>
      <c r="S441" s="32" t="n">
        <f aca="false">($G441*S$1)/$K441</f>
        <v>1.21275</v>
      </c>
      <c r="T441" s="32" t="n">
        <f aca="false">($G441*T$1)/$K441</f>
        <v>1.2495</v>
      </c>
      <c r="U441" s="32" t="n">
        <f aca="false">($G441*U$1)/$K441</f>
        <v>1.28625</v>
      </c>
      <c r="V441" s="33" t="n">
        <f aca="false">($G441*V$1)/$K441</f>
        <v>1.323</v>
      </c>
    </row>
    <row r="442" customFormat="false" ht="15" hidden="false" customHeight="false" outlineLevel="0" collapsed="false">
      <c r="A442" s="51" t="s">
        <v>55</v>
      </c>
      <c r="B442" s="16" t="s">
        <v>548</v>
      </c>
      <c r="C442" s="50" t="s">
        <v>549</v>
      </c>
      <c r="D442" s="45" t="n">
        <v>35</v>
      </c>
      <c r="E442" s="53" t="n">
        <v>103.5</v>
      </c>
      <c r="F442" s="30" t="n">
        <v>0.98</v>
      </c>
      <c r="G442" s="30" t="n">
        <v>0.98</v>
      </c>
      <c r="H442" s="30" t="n">
        <v>0.98</v>
      </c>
      <c r="I442" s="30" t="n">
        <v>0.98</v>
      </c>
      <c r="J442" s="30" t="n">
        <v>0.98</v>
      </c>
      <c r="K442" s="31" t="n">
        <v>1</v>
      </c>
      <c r="P442" s="32" t="n">
        <f aca="false">($G442*P$1)/$K442</f>
        <v>1.1025</v>
      </c>
      <c r="Q442" s="32" t="n">
        <f aca="false">($G442*Q$1)/$K442</f>
        <v>1.13925</v>
      </c>
      <c r="R442" s="32" t="n">
        <f aca="false">($G442*R$1)/$K442</f>
        <v>1.176</v>
      </c>
      <c r="S442" s="32" t="n">
        <f aca="false">($G442*S$1)/$K442</f>
        <v>1.21275</v>
      </c>
      <c r="T442" s="32" t="n">
        <f aca="false">($G442*T$1)/$K442</f>
        <v>1.2495</v>
      </c>
      <c r="U442" s="32" t="n">
        <f aca="false">($G442*U$1)/$K442</f>
        <v>1.28625</v>
      </c>
    </row>
    <row r="443" customFormat="false" ht="15" hidden="false" customHeight="false" outlineLevel="0" collapsed="false">
      <c r="A443" s="51" t="s">
        <v>55</v>
      </c>
      <c r="B443" s="16" t="s">
        <v>550</v>
      </c>
      <c r="C443" s="50" t="s">
        <v>551</v>
      </c>
      <c r="D443" s="45" t="n">
        <v>35</v>
      </c>
      <c r="E443" s="53" t="n">
        <v>104.5</v>
      </c>
      <c r="F443" s="30" t="n">
        <v>0.98</v>
      </c>
      <c r="G443" s="30" t="n">
        <v>0.98</v>
      </c>
      <c r="H443" s="30" t="n">
        <v>0.98</v>
      </c>
      <c r="I443" s="30" t="n">
        <v>0.98</v>
      </c>
      <c r="J443" s="30" t="n">
        <v>0.98</v>
      </c>
      <c r="K443" s="31" t="n">
        <v>1</v>
      </c>
      <c r="P443" s="32" t="n">
        <f aca="false">($G443*P$1)/$K443</f>
        <v>1.1025</v>
      </c>
      <c r="Q443" s="32" t="n">
        <f aca="false">($G443*Q$1)/$K443</f>
        <v>1.13925</v>
      </c>
      <c r="R443" s="32" t="n">
        <f aca="false">($G443*R$1)/$K443</f>
        <v>1.176</v>
      </c>
      <c r="S443" s="32" t="n">
        <f aca="false">($G443*S$1)/$K443</f>
        <v>1.21275</v>
      </c>
      <c r="T443" s="32" t="n">
        <f aca="false">($G443*T$1)/$K443</f>
        <v>1.2495</v>
      </c>
      <c r="U443" s="32" t="n">
        <f aca="false">($G443*U$1)/$K443</f>
        <v>1.28625</v>
      </c>
    </row>
    <row r="444" customFormat="false" ht="15" hidden="false" customHeight="false" outlineLevel="0" collapsed="false">
      <c r="A444" s="51" t="s">
        <v>55</v>
      </c>
      <c r="B444" s="16" t="s">
        <v>552</v>
      </c>
      <c r="C444" s="50" t="s">
        <v>553</v>
      </c>
      <c r="D444" s="45" t="n">
        <v>35</v>
      </c>
      <c r="E444" s="53" t="n">
        <v>102.5</v>
      </c>
      <c r="F444" s="30" t="n">
        <v>0.98</v>
      </c>
      <c r="G444" s="30" t="n">
        <v>0.98</v>
      </c>
      <c r="H444" s="30" t="n">
        <v>0.98</v>
      </c>
      <c r="I444" s="30" t="n">
        <v>0.98</v>
      </c>
      <c r="J444" s="30" t="n">
        <v>0.98</v>
      </c>
      <c r="K444" s="31" t="n">
        <v>1</v>
      </c>
      <c r="P444" s="32" t="n">
        <f aca="false">($G444*P$1)/$K444</f>
        <v>1.1025</v>
      </c>
      <c r="Q444" s="32" t="n">
        <f aca="false">($G444*Q$1)/$K444</f>
        <v>1.13925</v>
      </c>
      <c r="R444" s="32" t="n">
        <f aca="false">($G444*R$1)/$K444</f>
        <v>1.176</v>
      </c>
      <c r="S444" s="32" t="n">
        <f aca="false">($G444*S$1)/$K444</f>
        <v>1.21275</v>
      </c>
      <c r="T444" s="32" t="n">
        <f aca="false">($G444*T$1)/$K444</f>
        <v>1.2495</v>
      </c>
      <c r="U444" s="32" t="n">
        <f aca="false">($G444*U$1)/$K444</f>
        <v>1.28625</v>
      </c>
    </row>
    <row r="445" customFormat="false" ht="15" hidden="false" customHeight="false" outlineLevel="0" collapsed="false">
      <c r="A445" s="51" t="s">
        <v>55</v>
      </c>
      <c r="B445" s="16" t="s">
        <v>554</v>
      </c>
      <c r="C445" s="50" t="s">
        <v>555</v>
      </c>
      <c r="D445" s="45" t="n">
        <v>35</v>
      </c>
      <c r="E445" s="53" t="n">
        <v>105</v>
      </c>
      <c r="F445" s="30" t="n">
        <v>0.98</v>
      </c>
      <c r="G445" s="30" t="n">
        <v>0.98</v>
      </c>
      <c r="H445" s="30" t="n">
        <v>0.98</v>
      </c>
      <c r="I445" s="30" t="n">
        <v>0.98</v>
      </c>
      <c r="J445" s="30" t="n">
        <v>0.98</v>
      </c>
      <c r="K445" s="31" t="n">
        <v>1</v>
      </c>
      <c r="S445" s="32"/>
      <c r="T445" s="32"/>
      <c r="U445" s="32" t="n">
        <f aca="false">($G445*U$1)/$K445</f>
        <v>1.28625</v>
      </c>
      <c r="V445" s="33" t="n">
        <f aca="false">($G445*V$1)/$K445</f>
        <v>1.323</v>
      </c>
      <c r="W445" s="33" t="n">
        <f aca="false">($G445*W$1)/$K445</f>
        <v>1.35975</v>
      </c>
    </row>
    <row r="446" customFormat="false" ht="15" hidden="false" customHeight="false" outlineLevel="0" collapsed="false">
      <c r="A446" s="51" t="s">
        <v>55</v>
      </c>
      <c r="B446" s="16" t="s">
        <v>556</v>
      </c>
      <c r="C446" s="50" t="s">
        <v>557</v>
      </c>
      <c r="D446" s="45" t="n">
        <v>35</v>
      </c>
      <c r="E446" s="53" t="n">
        <v>105</v>
      </c>
      <c r="F446" s="30" t="n">
        <v>0.98</v>
      </c>
      <c r="G446" s="30" t="n">
        <v>0.98</v>
      </c>
      <c r="H446" s="30" t="n">
        <v>0.98</v>
      </c>
      <c r="I446" s="30" t="n">
        <v>0.98</v>
      </c>
      <c r="J446" s="30" t="n">
        <v>0.98</v>
      </c>
      <c r="K446" s="31" t="n">
        <v>1</v>
      </c>
      <c r="S446" s="32" t="n">
        <f aca="false">($G446*S$1)/$K446</f>
        <v>1.21275</v>
      </c>
      <c r="T446" s="32" t="n">
        <f aca="false">($G446*T$1)/$K446</f>
        <v>1.2495</v>
      </c>
      <c r="U446" s="32" t="n">
        <f aca="false">($G446*U$1)/$K446</f>
        <v>1.28625</v>
      </c>
      <c r="V446" s="33" t="n">
        <f aca="false">($G446*V$1)/$K446</f>
        <v>1.323</v>
      </c>
      <c r="W446" s="33"/>
    </row>
    <row r="447" customFormat="false" ht="15" hidden="false" customHeight="false" outlineLevel="0" collapsed="false">
      <c r="A447" s="51" t="s">
        <v>55</v>
      </c>
      <c r="B447" s="16" t="s">
        <v>558</v>
      </c>
      <c r="C447" s="50" t="s">
        <v>559</v>
      </c>
      <c r="D447" s="45" t="n">
        <v>35</v>
      </c>
      <c r="E447" s="53" t="s">
        <v>527</v>
      </c>
      <c r="F447" s="30" t="n">
        <v>0.98</v>
      </c>
      <c r="G447" s="30" t="n">
        <v>0.98</v>
      </c>
      <c r="H447" s="30" t="n">
        <v>0.98</v>
      </c>
      <c r="I447" s="30" t="n">
        <v>0.98</v>
      </c>
      <c r="J447" s="30" t="n">
        <v>0.98</v>
      </c>
      <c r="K447" s="31" t="n">
        <v>1</v>
      </c>
      <c r="S447" s="32" t="n">
        <f aca="false">($G447*S$1)/$K447</f>
        <v>1.21275</v>
      </c>
      <c r="T447" s="32" t="n">
        <f aca="false">($G447*T$1)/$K447</f>
        <v>1.2495</v>
      </c>
      <c r="U447" s="32" t="n">
        <f aca="false">($G447*U$1)/$K447</f>
        <v>1.28625</v>
      </c>
      <c r="V447" s="33" t="n">
        <f aca="false">($G447*V$1)/$K447</f>
        <v>1.323</v>
      </c>
    </row>
    <row r="448" customFormat="false" ht="15" hidden="false" customHeight="false" outlineLevel="0" collapsed="false">
      <c r="A448" s="51" t="s">
        <v>55</v>
      </c>
      <c r="B448" s="16" t="s">
        <v>560</v>
      </c>
      <c r="C448" s="50" t="s">
        <v>561</v>
      </c>
      <c r="D448" s="45" t="n">
        <v>35</v>
      </c>
      <c r="E448" s="53" t="n">
        <v>103.5</v>
      </c>
      <c r="F448" s="30" t="n">
        <v>0.98</v>
      </c>
      <c r="G448" s="30" t="n">
        <v>0.98</v>
      </c>
      <c r="H448" s="30" t="n">
        <v>0.98</v>
      </c>
      <c r="I448" s="30" t="n">
        <v>0.98</v>
      </c>
      <c r="J448" s="30" t="n">
        <v>0.98</v>
      </c>
      <c r="K448" s="31" t="n">
        <v>1</v>
      </c>
      <c r="P448" s="32" t="n">
        <f aca="false">($G448*P$1)/$K448</f>
        <v>1.1025</v>
      </c>
      <c r="Q448" s="32" t="n">
        <f aca="false">($G448*Q$1)/$K448</f>
        <v>1.13925</v>
      </c>
      <c r="R448" s="32" t="n">
        <f aca="false">($G448*R$1)/$K448</f>
        <v>1.176</v>
      </c>
      <c r="S448" s="32" t="n">
        <f aca="false">($G448*S$1)/$K448</f>
        <v>1.21275</v>
      </c>
      <c r="T448" s="32" t="n">
        <f aca="false">($G448*T$1)/$K448</f>
        <v>1.2495</v>
      </c>
      <c r="U448" s="32" t="n">
        <f aca="false">($G448*U$1)/$K448</f>
        <v>1.28625</v>
      </c>
    </row>
    <row r="449" customFormat="false" ht="15" hidden="false" customHeight="false" outlineLevel="0" collapsed="false">
      <c r="A449" s="51" t="s">
        <v>55</v>
      </c>
      <c r="B449" s="16" t="s">
        <v>562</v>
      </c>
      <c r="C449" s="50" t="s">
        <v>563</v>
      </c>
      <c r="D449" s="45" t="n">
        <v>35</v>
      </c>
      <c r="E449" s="53" t="n">
        <v>113.5</v>
      </c>
      <c r="F449" s="30" t="n">
        <v>0.98</v>
      </c>
      <c r="G449" s="30" t="n">
        <v>0.98</v>
      </c>
      <c r="H449" s="30" t="n">
        <v>0.98</v>
      </c>
      <c r="I449" s="30" t="n">
        <v>0.98</v>
      </c>
      <c r="J449" s="30" t="n">
        <v>0.98</v>
      </c>
      <c r="K449" s="31" t="n">
        <v>1</v>
      </c>
      <c r="S449" s="32" t="n">
        <f aca="false">($G449*S$1)/$K449</f>
        <v>1.21275</v>
      </c>
      <c r="T449" s="32" t="n">
        <f aca="false">($G449*T$1)/$K449</f>
        <v>1.2495</v>
      </c>
      <c r="U449" s="32" t="n">
        <f aca="false">($G449*U$1)/$K449</f>
        <v>1.28625</v>
      </c>
      <c r="V449" s="33" t="n">
        <f aca="false">($G449*V$1)/$K449</f>
        <v>1.323</v>
      </c>
    </row>
    <row r="450" customFormat="false" ht="15" hidden="false" customHeight="false" outlineLevel="0" collapsed="false">
      <c r="A450" s="54"/>
      <c r="B450" s="55"/>
      <c r="C450" s="50"/>
      <c r="D450" s="45"/>
      <c r="E450" s="45"/>
    </row>
    <row r="451" customFormat="false" ht="15" hidden="false" customHeight="false" outlineLevel="0" collapsed="false">
      <c r="A451" s="54"/>
      <c r="B451" s="55"/>
      <c r="C451" s="50"/>
      <c r="D451" s="45"/>
      <c r="E451" s="45"/>
    </row>
    <row r="452" customFormat="false" ht="15" hidden="false" customHeight="false" outlineLevel="0" collapsed="false">
      <c r="A452" s="54"/>
      <c r="B452" s="55"/>
      <c r="C452" s="50"/>
      <c r="D452" s="45"/>
      <c r="E452" s="45"/>
    </row>
  </sheetData>
  <autoFilter ref="A2:AJ449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0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C00000"/>
    <pageSetUpPr fitToPage="false"/>
  </sheetPr>
  <dimension ref="A1:J37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A5:D14 D2"/>
    </sheetView>
  </sheetViews>
  <sheetFormatPr defaultRowHeight="15"/>
  <cols>
    <col collapsed="false" hidden="false" max="1" min="1" style="0" width="8.52631578947369"/>
    <col collapsed="false" hidden="false" max="2" min="2" style="0" width="32.3441295546559"/>
    <col collapsed="false" hidden="false" max="3" min="3" style="17" width="18.5384615384615"/>
    <col collapsed="false" hidden="false" max="4" min="4" style="17" width="24.3603238866397"/>
    <col collapsed="false" hidden="false" max="5" min="5" style="46" width="24.3603238866397"/>
    <col collapsed="false" hidden="false" max="7" min="6" style="17" width="11.2348178137652"/>
    <col collapsed="false" hidden="false" max="8" min="8" style="0" width="11.2348178137652"/>
    <col collapsed="false" hidden="false" max="1025" min="9" style="0" width="8.39271255060729"/>
  </cols>
  <sheetData>
    <row r="1" customFormat="false" ht="15" hidden="false" customHeight="false" outlineLevel="0" collapsed="false">
      <c r="B1" s="27" t="s">
        <v>564</v>
      </c>
      <c r="C1" s="28" t="s">
        <v>2</v>
      </c>
      <c r="D1" s="28" t="s">
        <v>565</v>
      </c>
      <c r="E1" s="28" t="s">
        <v>566</v>
      </c>
      <c r="F1" s="56" t="s">
        <v>567</v>
      </c>
      <c r="G1" s="28" t="s">
        <v>568</v>
      </c>
      <c r="H1" s="28" t="s">
        <v>569</v>
      </c>
    </row>
    <row r="2" customFormat="false" ht="15" hidden="false" customHeight="false" outlineLevel="0" collapsed="false">
      <c r="B2" s="0" t="s">
        <v>13</v>
      </c>
      <c r="C2" s="17" t="n">
        <v>1</v>
      </c>
      <c r="D2" s="17" t="s">
        <v>570</v>
      </c>
      <c r="E2" s="46" t="s">
        <v>571</v>
      </c>
      <c r="F2" s="57" t="n">
        <v>0.196875</v>
      </c>
      <c r="G2" s="57" t="n">
        <v>0.219375</v>
      </c>
      <c r="H2" s="57" t="n">
        <v>0.253125</v>
      </c>
    </row>
    <row r="3" customFormat="false" ht="15" hidden="false" customHeight="false" outlineLevel="0" collapsed="false">
      <c r="B3" s="0" t="s">
        <v>14</v>
      </c>
      <c r="C3" s="17" t="n">
        <v>1</v>
      </c>
      <c r="D3" s="17" t="s">
        <v>570</v>
      </c>
      <c r="E3" s="46" t="s">
        <v>571</v>
      </c>
      <c r="F3" s="57" t="n">
        <v>0.13125</v>
      </c>
      <c r="G3" s="57" t="n">
        <v>0.14625</v>
      </c>
      <c r="H3" s="57" t="n">
        <v>0.16875</v>
      </c>
    </row>
    <row r="4" customFormat="false" ht="15" hidden="false" customHeight="false" outlineLevel="0" collapsed="false">
      <c r="B4" s="0" t="s">
        <v>12</v>
      </c>
      <c r="C4" s="17" t="n">
        <v>1</v>
      </c>
      <c r="D4" s="17" t="s">
        <v>570</v>
      </c>
      <c r="E4" s="46" t="s">
        <v>571</v>
      </c>
      <c r="F4" s="57" t="n">
        <v>0.0853125</v>
      </c>
      <c r="G4" s="57" t="n">
        <v>0.0950625</v>
      </c>
      <c r="H4" s="57" t="n">
        <v>0.1096875</v>
      </c>
    </row>
    <row r="5" customFormat="false" ht="15" hidden="false" customHeight="false" outlineLevel="0" collapsed="false">
      <c r="B5" s="0" t="s">
        <v>13</v>
      </c>
      <c r="C5" s="17" t="n">
        <v>2</v>
      </c>
      <c r="D5" s="17" t="s">
        <v>572</v>
      </c>
      <c r="E5" s="46" t="s">
        <v>573</v>
      </c>
      <c r="F5" s="57" t="n">
        <v>0.1640625</v>
      </c>
      <c r="G5" s="57" t="n">
        <v>0.1828125</v>
      </c>
      <c r="H5" s="57" t="n">
        <v>0.2109375</v>
      </c>
    </row>
    <row r="6" customFormat="false" ht="15" hidden="false" customHeight="false" outlineLevel="0" collapsed="false">
      <c r="B6" s="0" t="s">
        <v>14</v>
      </c>
      <c r="C6" s="17" t="n">
        <v>2</v>
      </c>
      <c r="D6" s="17" t="s">
        <v>572</v>
      </c>
      <c r="E6" s="46" t="s">
        <v>573</v>
      </c>
      <c r="F6" s="57" t="n">
        <v>0.18375</v>
      </c>
      <c r="G6" s="57" t="n">
        <v>0.20475</v>
      </c>
      <c r="H6" s="57" t="n">
        <v>0.23625</v>
      </c>
    </row>
    <row r="7" customFormat="false" ht="15" hidden="false" customHeight="false" outlineLevel="0" collapsed="false">
      <c r="B7" s="0" t="s">
        <v>12</v>
      </c>
      <c r="C7" s="17" t="n">
        <v>2</v>
      </c>
      <c r="D7" s="17" t="s">
        <v>572</v>
      </c>
      <c r="E7" s="46" t="s">
        <v>573</v>
      </c>
      <c r="F7" s="57" t="n">
        <v>0.105</v>
      </c>
      <c r="G7" s="57" t="n">
        <v>0.117</v>
      </c>
      <c r="H7" s="57" t="n">
        <v>0.135</v>
      </c>
    </row>
    <row r="8" customFormat="false" ht="15" hidden="false" customHeight="false" outlineLevel="0" collapsed="false">
      <c r="B8" s="0" t="s">
        <v>43</v>
      </c>
      <c r="C8" s="17" t="n">
        <v>3</v>
      </c>
      <c r="D8" s="17" t="s">
        <v>574</v>
      </c>
      <c r="E8" s="46" t="s">
        <v>575</v>
      </c>
      <c r="F8" s="57" t="n">
        <v>0.2821875</v>
      </c>
      <c r="G8" s="57" t="n">
        <v>0.3144375</v>
      </c>
      <c r="H8" s="57" t="n">
        <v>0.3628125</v>
      </c>
    </row>
    <row r="9" customFormat="false" ht="15" hidden="false" customHeight="false" outlineLevel="0" collapsed="false">
      <c r="B9" s="0" t="s">
        <v>29</v>
      </c>
      <c r="C9" s="17" t="n">
        <v>3</v>
      </c>
      <c r="D9" s="17" t="s">
        <v>574</v>
      </c>
      <c r="E9" s="46" t="s">
        <v>575</v>
      </c>
      <c r="F9" s="57" t="n">
        <v>0.0721875</v>
      </c>
      <c r="G9" s="57" t="n">
        <v>0.0804375</v>
      </c>
      <c r="H9" s="57" t="n">
        <v>0.0928125</v>
      </c>
    </row>
    <row r="10" customFormat="false" ht="15" hidden="false" customHeight="false" outlineLevel="0" collapsed="false">
      <c r="B10" s="0" t="s">
        <v>43</v>
      </c>
      <c r="C10" s="17" t="n">
        <v>4</v>
      </c>
      <c r="D10" s="17" t="s">
        <v>576</v>
      </c>
      <c r="E10" s="46" t="s">
        <v>577</v>
      </c>
      <c r="F10" s="57" t="n">
        <v>0.2690625</v>
      </c>
      <c r="G10" s="57" t="n">
        <v>0.2998125</v>
      </c>
      <c r="H10" s="57" t="n">
        <v>0.3459375</v>
      </c>
    </row>
    <row r="11" customFormat="false" ht="15" hidden="false" customHeight="false" outlineLevel="0" collapsed="false">
      <c r="B11" s="0" t="s">
        <v>29</v>
      </c>
      <c r="C11" s="17" t="n">
        <v>4</v>
      </c>
      <c r="D11" s="17" t="s">
        <v>576</v>
      </c>
      <c r="E11" s="46" t="s">
        <v>577</v>
      </c>
      <c r="F11" s="57" t="n">
        <v>0.0853125</v>
      </c>
      <c r="G11" s="57" t="n">
        <v>0.0950625</v>
      </c>
      <c r="H11" s="57" t="n">
        <v>0.1096875</v>
      </c>
    </row>
    <row r="12" customFormat="false" ht="15" hidden="false" customHeight="false" outlineLevel="0" collapsed="false">
      <c r="B12" s="0" t="s">
        <v>578</v>
      </c>
      <c r="C12" s="17" t="n">
        <v>5</v>
      </c>
      <c r="D12" s="17" t="s">
        <v>579</v>
      </c>
      <c r="E12" s="46" t="s">
        <v>18</v>
      </c>
      <c r="F12" s="57" t="n">
        <v>0.70875</v>
      </c>
      <c r="G12" s="57" t="n">
        <v>0.78975</v>
      </c>
      <c r="H12" s="57" t="n">
        <v>0.91125</v>
      </c>
    </row>
    <row r="13" customFormat="false" ht="15" hidden="false" customHeight="false" outlineLevel="0" collapsed="false">
      <c r="B13" s="0" t="s">
        <v>580</v>
      </c>
      <c r="C13" s="17" t="n">
        <v>6</v>
      </c>
      <c r="D13" s="17" t="s">
        <v>581</v>
      </c>
      <c r="E13" s="46" t="s">
        <v>582</v>
      </c>
      <c r="F13" s="57" t="n">
        <v>0.721875</v>
      </c>
      <c r="G13" s="57" t="n">
        <v>0.804375</v>
      </c>
      <c r="H13" s="57" t="n">
        <v>0.928125</v>
      </c>
    </row>
    <row r="14" customFormat="false" ht="15" hidden="false" customHeight="false" outlineLevel="0" collapsed="false">
      <c r="B14" s="0" t="s">
        <v>580</v>
      </c>
      <c r="C14" s="17" t="n">
        <v>7</v>
      </c>
      <c r="D14" s="17" t="s">
        <v>583</v>
      </c>
      <c r="E14" s="46" t="s">
        <v>584</v>
      </c>
      <c r="F14" s="57" t="n">
        <v>0.538125</v>
      </c>
      <c r="G14" s="57" t="n">
        <v>0.599625</v>
      </c>
      <c r="H14" s="57" t="n">
        <v>0.691875</v>
      </c>
    </row>
    <row r="15" customFormat="false" ht="15" hidden="false" customHeight="false" outlineLevel="0" collapsed="false">
      <c r="B15" s="0" t="s">
        <v>12</v>
      </c>
      <c r="C15" s="17" t="n">
        <v>7</v>
      </c>
      <c r="D15" s="17" t="s">
        <v>583</v>
      </c>
      <c r="E15" s="46" t="s">
        <v>584</v>
      </c>
      <c r="F15" s="57" t="n">
        <v>0.105</v>
      </c>
      <c r="G15" s="57" t="n">
        <v>0.117</v>
      </c>
      <c r="H15" s="57" t="n">
        <v>0.135</v>
      </c>
    </row>
    <row r="16" customFormat="false" ht="15" hidden="false" customHeight="false" outlineLevel="0" collapsed="false">
      <c r="B16" s="0" t="s">
        <v>27</v>
      </c>
      <c r="C16" s="17" t="n">
        <v>8</v>
      </c>
      <c r="D16" s="17" t="s">
        <v>585</v>
      </c>
      <c r="E16" s="46" t="s">
        <v>27</v>
      </c>
      <c r="F16" s="57" t="n">
        <v>0.70875</v>
      </c>
      <c r="G16" s="57" t="n">
        <v>0.78975</v>
      </c>
      <c r="H16" s="57" t="n">
        <v>0.91125</v>
      </c>
    </row>
    <row r="17" customFormat="false" ht="15" hidden="false" customHeight="false" outlineLevel="0" collapsed="false">
      <c r="B17" s="0" t="s">
        <v>25</v>
      </c>
      <c r="C17" s="17" t="n">
        <v>9</v>
      </c>
      <c r="D17" s="17" t="s">
        <v>586</v>
      </c>
      <c r="E17" s="46" t="s">
        <v>25</v>
      </c>
      <c r="F17" s="57" t="n">
        <v>0.721875</v>
      </c>
      <c r="G17" s="57" t="n">
        <v>0.804375</v>
      </c>
      <c r="H17" s="57" t="n">
        <v>0.928125</v>
      </c>
    </row>
    <row r="18" customFormat="false" ht="15" hidden="false" customHeight="false" outlineLevel="0" collapsed="false">
      <c r="B18" s="0" t="s">
        <v>100</v>
      </c>
      <c r="C18" s="17" t="n">
        <v>10</v>
      </c>
      <c r="D18" s="17" t="s">
        <v>587</v>
      </c>
      <c r="E18" s="46" t="s">
        <v>100</v>
      </c>
      <c r="F18" s="57" t="n">
        <v>0.695625</v>
      </c>
      <c r="G18" s="57" t="n">
        <v>0.775125</v>
      </c>
      <c r="H18" s="57" t="n">
        <v>0.894375</v>
      </c>
    </row>
    <row r="19" customFormat="false" ht="15" hidden="false" customHeight="false" outlineLevel="0" collapsed="false">
      <c r="B19" s="0" t="s">
        <v>46</v>
      </c>
      <c r="C19" s="17" t="n">
        <v>107</v>
      </c>
      <c r="D19" s="17" t="s">
        <v>588</v>
      </c>
      <c r="E19" s="46" t="s">
        <v>589</v>
      </c>
      <c r="F19" s="57" t="n">
        <v>0.1640625</v>
      </c>
      <c r="G19" s="57" t="n">
        <v>0.1828125</v>
      </c>
      <c r="H19" s="57" t="n">
        <v>0.2109375</v>
      </c>
      <c r="I19" s="58"/>
      <c r="J19" s="58"/>
    </row>
    <row r="20" customFormat="false" ht="15" hidden="false" customHeight="false" outlineLevel="0" collapsed="false">
      <c r="B20" s="0" t="s">
        <v>590</v>
      </c>
      <c r="C20" s="17" t="n">
        <v>107</v>
      </c>
      <c r="D20" s="17" t="s">
        <v>588</v>
      </c>
      <c r="E20" s="46" t="s">
        <v>589</v>
      </c>
      <c r="F20" s="57" t="n">
        <v>0.0984375</v>
      </c>
      <c r="G20" s="57" t="n">
        <v>0.1096875</v>
      </c>
      <c r="H20" s="57" t="n">
        <v>0.1265625</v>
      </c>
      <c r="I20" s="58"/>
      <c r="J20" s="58"/>
    </row>
    <row r="21" customFormat="false" ht="15" hidden="false" customHeight="false" outlineLevel="0" collapsed="false">
      <c r="B21" s="0" t="s">
        <v>100</v>
      </c>
      <c r="C21" s="17" t="n">
        <v>108</v>
      </c>
      <c r="D21" s="17" t="s">
        <v>591</v>
      </c>
      <c r="E21" s="46" t="s">
        <v>592</v>
      </c>
      <c r="F21" s="57" t="n">
        <v>0.34125</v>
      </c>
      <c r="G21" s="57" t="n">
        <v>0.38025</v>
      </c>
      <c r="H21" s="57" t="n">
        <v>0.43875</v>
      </c>
    </row>
    <row r="22" customFormat="false" ht="15" hidden="false" customHeight="false" outlineLevel="0" collapsed="false">
      <c r="B22" s="0" t="s">
        <v>590</v>
      </c>
      <c r="C22" s="17" t="n">
        <v>108</v>
      </c>
      <c r="D22" s="17" t="s">
        <v>591</v>
      </c>
      <c r="E22" s="46" t="s">
        <v>592</v>
      </c>
      <c r="F22" s="57" t="n">
        <v>0.0984375</v>
      </c>
      <c r="G22" s="57" t="n">
        <v>0.1096875</v>
      </c>
      <c r="H22" s="57" t="n">
        <v>0.1265625</v>
      </c>
    </row>
    <row r="23" customFormat="false" ht="15" hidden="false" customHeight="false" outlineLevel="0" collapsed="false">
      <c r="B23" s="0" t="s">
        <v>45</v>
      </c>
      <c r="C23" s="17" t="n">
        <v>109</v>
      </c>
      <c r="D23" s="17" t="s">
        <v>593</v>
      </c>
      <c r="E23" s="46" t="s">
        <v>45</v>
      </c>
      <c r="F23" s="57" t="n">
        <v>0.2559375</v>
      </c>
      <c r="G23" s="57" t="n">
        <v>0.2851875</v>
      </c>
      <c r="H23" s="57" t="n">
        <v>0.3290625</v>
      </c>
    </row>
    <row r="24" customFormat="false" ht="15" hidden="false" customHeight="false" outlineLevel="0" collapsed="false">
      <c r="B24" s="0" t="s">
        <v>594</v>
      </c>
      <c r="C24" s="17" t="n">
        <v>110</v>
      </c>
      <c r="D24" s="59" t="s">
        <v>595</v>
      </c>
      <c r="E24" s="46" t="s">
        <v>49</v>
      </c>
      <c r="F24" s="57" t="n">
        <v>0.18965625</v>
      </c>
      <c r="G24" s="57" t="n">
        <v>0.21133125</v>
      </c>
      <c r="H24" s="57" t="n">
        <v>0.24384375</v>
      </c>
    </row>
    <row r="25" customFormat="false" ht="15" hidden="false" customHeight="false" outlineLevel="0" collapsed="false">
      <c r="B25" s="0" t="s">
        <v>594</v>
      </c>
      <c r="C25" s="17" t="n">
        <v>111</v>
      </c>
      <c r="D25" s="59" t="s">
        <v>596</v>
      </c>
      <c r="E25" s="46" t="s">
        <v>597</v>
      </c>
      <c r="F25" s="57" t="n">
        <v>0.16209375</v>
      </c>
      <c r="G25" s="57" t="n">
        <v>0.18061875</v>
      </c>
      <c r="H25" s="57" t="n">
        <v>0.20840625</v>
      </c>
    </row>
    <row r="26" customFormat="false" ht="15" hidden="false" customHeight="false" outlineLevel="0" collapsed="false">
      <c r="B26" s="0" t="s">
        <v>594</v>
      </c>
      <c r="C26" s="17" t="n">
        <v>112</v>
      </c>
      <c r="D26" s="59" t="s">
        <v>598</v>
      </c>
      <c r="E26" s="46" t="s">
        <v>47</v>
      </c>
      <c r="F26" s="57" t="n">
        <v>0.17259375</v>
      </c>
      <c r="G26" s="57" t="n">
        <v>0.19231875</v>
      </c>
      <c r="H26" s="57" t="n">
        <v>0.22190625</v>
      </c>
    </row>
    <row r="27" customFormat="false" ht="15" hidden="false" customHeight="false" outlineLevel="0" collapsed="false">
      <c r="B27" s="0" t="s">
        <v>594</v>
      </c>
      <c r="C27" s="17" t="n">
        <v>113</v>
      </c>
      <c r="D27" s="59" t="s">
        <v>599</v>
      </c>
      <c r="E27" s="46" t="s">
        <v>48</v>
      </c>
      <c r="F27" s="57" t="n">
        <v>0.14503125</v>
      </c>
      <c r="G27" s="57" t="n">
        <v>0.16160625</v>
      </c>
      <c r="H27" s="57" t="n">
        <v>0.18646875</v>
      </c>
    </row>
    <row r="28" customFormat="false" ht="15" hidden="false" customHeight="false" outlineLevel="0" collapsed="false">
      <c r="B28" s="0" t="s">
        <v>590</v>
      </c>
      <c r="C28" s="17" t="n">
        <v>114</v>
      </c>
      <c r="D28" s="59" t="s">
        <v>600</v>
      </c>
      <c r="E28" s="46" t="s">
        <v>601</v>
      </c>
      <c r="F28" s="57" t="n">
        <v>0.0958125</v>
      </c>
      <c r="G28" s="57" t="n">
        <v>0.1067625</v>
      </c>
      <c r="H28" s="57" t="n">
        <v>0.1231875</v>
      </c>
    </row>
    <row r="29" customFormat="false" ht="15" hidden="false" customHeight="false" outlineLevel="0" collapsed="false">
      <c r="B29" s="0" t="s">
        <v>602</v>
      </c>
      <c r="C29" s="17" t="n">
        <v>114</v>
      </c>
      <c r="D29" s="59" t="s">
        <v>600</v>
      </c>
      <c r="E29" s="46" t="s">
        <v>601</v>
      </c>
      <c r="F29" s="57" t="n">
        <v>0.1141875</v>
      </c>
      <c r="G29" s="57" t="n">
        <v>0.1272375</v>
      </c>
      <c r="H29" s="57" t="n">
        <v>0.1468125</v>
      </c>
    </row>
    <row r="30" customFormat="false" ht="15" hidden="false" customHeight="false" outlineLevel="0" collapsed="false">
      <c r="B30" s="0" t="s">
        <v>590</v>
      </c>
      <c r="C30" s="17" t="n">
        <v>115</v>
      </c>
      <c r="D30" s="59" t="s">
        <v>603</v>
      </c>
      <c r="E30" s="46" t="s">
        <v>604</v>
      </c>
      <c r="F30" s="57" t="n">
        <v>0.0958125</v>
      </c>
      <c r="G30" s="57" t="n">
        <v>0.1067625</v>
      </c>
      <c r="H30" s="57" t="n">
        <v>0.1231875</v>
      </c>
    </row>
    <row r="31" customFormat="false" ht="15" hidden="false" customHeight="false" outlineLevel="0" collapsed="false">
      <c r="B31" s="0" t="s">
        <v>602</v>
      </c>
      <c r="C31" s="17" t="n">
        <v>115</v>
      </c>
      <c r="D31" s="59" t="s">
        <v>603</v>
      </c>
      <c r="E31" s="46" t="s">
        <v>604</v>
      </c>
      <c r="F31" s="57" t="n">
        <v>0.08859375</v>
      </c>
      <c r="G31" s="57" t="n">
        <v>0.09871875</v>
      </c>
      <c r="H31" s="57" t="n">
        <v>0.11390625</v>
      </c>
    </row>
    <row r="32" customFormat="false" ht="15" hidden="false" customHeight="false" outlineLevel="0" collapsed="false">
      <c r="B32" s="0" t="s">
        <v>605</v>
      </c>
      <c r="C32" s="17" t="n">
        <v>116</v>
      </c>
      <c r="D32" s="59" t="s">
        <v>606</v>
      </c>
      <c r="E32" s="46" t="s">
        <v>607</v>
      </c>
      <c r="F32" s="57" t="n">
        <v>0.0538125</v>
      </c>
      <c r="G32" s="57" t="n">
        <v>0.0599625</v>
      </c>
      <c r="H32" s="57" t="n">
        <v>0.0691875</v>
      </c>
    </row>
    <row r="33" customFormat="false" ht="15" hidden="false" customHeight="false" outlineLevel="0" collapsed="false">
      <c r="B33" s="0" t="s">
        <v>602</v>
      </c>
      <c r="C33" s="17" t="n">
        <v>116</v>
      </c>
      <c r="D33" s="59" t="s">
        <v>606</v>
      </c>
      <c r="E33" s="46" t="s">
        <v>607</v>
      </c>
      <c r="F33" s="57" t="n">
        <v>0.1141875</v>
      </c>
      <c r="G33" s="57" t="n">
        <v>0.1272375</v>
      </c>
      <c r="H33" s="57" t="n">
        <v>0.1468125</v>
      </c>
    </row>
    <row r="34" customFormat="false" ht="15" hidden="false" customHeight="false" outlineLevel="0" collapsed="false">
      <c r="B34" s="0" t="s">
        <v>605</v>
      </c>
      <c r="C34" s="17" t="n">
        <v>117</v>
      </c>
      <c r="D34" s="59" t="s">
        <v>608</v>
      </c>
      <c r="E34" s="46" t="s">
        <v>609</v>
      </c>
      <c r="F34" s="57" t="n">
        <v>0.0538125</v>
      </c>
      <c r="G34" s="57" t="n">
        <v>0.0599625</v>
      </c>
      <c r="H34" s="57" t="n">
        <v>0.0691875</v>
      </c>
    </row>
    <row r="35" customFormat="false" ht="15" hidden="false" customHeight="false" outlineLevel="0" collapsed="false">
      <c r="B35" s="0" t="s">
        <v>602</v>
      </c>
      <c r="C35" s="17" t="n">
        <v>117</v>
      </c>
      <c r="D35" s="59" t="s">
        <v>608</v>
      </c>
      <c r="E35" s="46" t="s">
        <v>609</v>
      </c>
      <c r="F35" s="57" t="n">
        <v>0.08859375</v>
      </c>
      <c r="G35" s="57" t="n">
        <v>0.09871875</v>
      </c>
      <c r="H35" s="57" t="n">
        <v>0.11390625</v>
      </c>
    </row>
    <row r="36" customFormat="false" ht="15" hidden="false" customHeight="false" outlineLevel="0" collapsed="false">
      <c r="B36" s="0" t="s">
        <v>605</v>
      </c>
      <c r="C36" s="17" t="n">
        <v>118</v>
      </c>
      <c r="D36" s="59" t="s">
        <v>610</v>
      </c>
      <c r="E36" s="46" t="s">
        <v>611</v>
      </c>
      <c r="F36" s="57" t="n">
        <v>0.0538125</v>
      </c>
      <c r="G36" s="57" t="n">
        <v>0.0599625</v>
      </c>
      <c r="H36" s="57" t="n">
        <v>0.0691875</v>
      </c>
    </row>
    <row r="37" customFormat="false" ht="15" hidden="false" customHeight="false" outlineLevel="0" collapsed="false">
      <c r="B37" s="0" t="s">
        <v>602</v>
      </c>
      <c r="C37" s="17" t="n">
        <v>118</v>
      </c>
      <c r="D37" s="59" t="s">
        <v>610</v>
      </c>
      <c r="E37" s="46" t="s">
        <v>611</v>
      </c>
      <c r="F37" s="57" t="n">
        <v>0.170625</v>
      </c>
      <c r="G37" s="57" t="n">
        <v>0.190125</v>
      </c>
      <c r="H37" s="57" t="n">
        <v>0.219375</v>
      </c>
    </row>
    <row r="38" customFormat="false" ht="15" hidden="false" customHeight="false" outlineLevel="0" collapsed="false">
      <c r="B38" s="0" t="s">
        <v>602</v>
      </c>
      <c r="C38" s="17" t="n">
        <v>119</v>
      </c>
      <c r="D38" s="59" t="s">
        <v>612</v>
      </c>
      <c r="E38" s="46" t="s">
        <v>613</v>
      </c>
      <c r="F38" s="57" t="n">
        <v>0.2625</v>
      </c>
      <c r="G38" s="57" t="n">
        <v>0.2925</v>
      </c>
      <c r="H38" s="57" t="n">
        <v>0.3375</v>
      </c>
    </row>
    <row r="39" customFormat="false" ht="15" hidden="false" customHeight="false" outlineLevel="0" collapsed="false">
      <c r="B39" s="0" t="s">
        <v>594</v>
      </c>
      <c r="C39" s="17" t="n">
        <v>120</v>
      </c>
      <c r="D39" s="59" t="s">
        <v>614</v>
      </c>
      <c r="E39" s="46" t="s">
        <v>615</v>
      </c>
      <c r="F39" s="57" t="n">
        <v>0.21</v>
      </c>
      <c r="G39" s="57" t="n">
        <v>0.234</v>
      </c>
      <c r="H39" s="57" t="n">
        <v>0.27</v>
      </c>
    </row>
    <row r="40" customFormat="false" ht="15" hidden="false" customHeight="false" outlineLevel="0" collapsed="false">
      <c r="D40" s="0"/>
    </row>
    <row r="41" customFormat="false" ht="15" hidden="false" customHeight="false" outlineLevel="0" collapsed="false">
      <c r="A41" s="0" t="s">
        <v>616</v>
      </c>
      <c r="B41" s="54" t="s">
        <v>617</v>
      </c>
      <c r="C41" s="17" t="n">
        <v>19</v>
      </c>
      <c r="D41" s="0" t="s">
        <v>618</v>
      </c>
    </row>
    <row r="42" customFormat="false" ht="15" hidden="false" customHeight="false" outlineLevel="0" collapsed="false">
      <c r="A42" s="0" t="s">
        <v>616</v>
      </c>
      <c r="B42" s="54" t="s">
        <v>617</v>
      </c>
      <c r="C42" s="17" t="n">
        <v>20</v>
      </c>
      <c r="D42" s="0" t="s">
        <v>619</v>
      </c>
    </row>
    <row r="43" customFormat="false" ht="15" hidden="false" customHeight="false" outlineLevel="0" collapsed="false">
      <c r="A43" s="0" t="s">
        <v>616</v>
      </c>
      <c r="B43" s="54" t="s">
        <v>617</v>
      </c>
      <c r="C43" s="17" t="n">
        <v>21</v>
      </c>
      <c r="D43" s="0" t="s">
        <v>620</v>
      </c>
    </row>
    <row r="44" customFormat="false" ht="15" hidden="false" customHeight="false" outlineLevel="0" collapsed="false">
      <c r="A44" s="0" t="s">
        <v>616</v>
      </c>
      <c r="B44" s="54" t="s">
        <v>617</v>
      </c>
      <c r="C44" s="17" t="n">
        <v>22</v>
      </c>
      <c r="D44" s="0" t="s">
        <v>621</v>
      </c>
    </row>
    <row r="45" customFormat="false" ht="15" hidden="false" customHeight="false" outlineLevel="0" collapsed="false">
      <c r="A45" s="0" t="s">
        <v>616</v>
      </c>
      <c r="B45" s="54" t="s">
        <v>617</v>
      </c>
      <c r="C45" s="17" t="n">
        <v>23</v>
      </c>
      <c r="D45" s="0" t="s">
        <v>622</v>
      </c>
    </row>
    <row r="46" customFormat="false" ht="15" hidden="false" customHeight="false" outlineLevel="0" collapsed="false">
      <c r="A46" s="0" t="s">
        <v>616</v>
      </c>
      <c r="B46" s="54" t="s">
        <v>617</v>
      </c>
      <c r="C46" s="17" t="n">
        <v>24</v>
      </c>
      <c r="D46" s="0" t="s">
        <v>623</v>
      </c>
    </row>
    <row r="47" customFormat="false" ht="15" hidden="false" customHeight="false" outlineLevel="0" collapsed="false">
      <c r="A47" s="0" t="s">
        <v>616</v>
      </c>
      <c r="B47" s="54" t="s">
        <v>617</v>
      </c>
      <c r="C47" s="17" t="n">
        <v>25</v>
      </c>
      <c r="D47" s="0" t="s">
        <v>624</v>
      </c>
    </row>
    <row r="48" customFormat="false" ht="15" hidden="false" customHeight="false" outlineLevel="0" collapsed="false">
      <c r="A48" s="0" t="s">
        <v>616</v>
      </c>
      <c r="B48" s="54" t="s">
        <v>617</v>
      </c>
      <c r="C48" s="17" t="n">
        <v>26</v>
      </c>
      <c r="D48" s="0" t="s">
        <v>625</v>
      </c>
    </row>
    <row r="49" customFormat="false" ht="15" hidden="false" customHeight="false" outlineLevel="0" collapsed="false">
      <c r="A49" s="0" t="s">
        <v>616</v>
      </c>
      <c r="B49" s="54" t="s">
        <v>617</v>
      </c>
      <c r="C49" s="17" t="n">
        <v>43</v>
      </c>
      <c r="D49" s="0" t="s">
        <v>626</v>
      </c>
    </row>
    <row r="50" customFormat="false" ht="15" hidden="false" customHeight="false" outlineLevel="0" collapsed="false">
      <c r="A50" s="0" t="s">
        <v>616</v>
      </c>
      <c r="B50" s="54" t="s">
        <v>617</v>
      </c>
      <c r="C50" s="17" t="n">
        <v>44</v>
      </c>
      <c r="D50" s="0" t="s">
        <v>627</v>
      </c>
    </row>
    <row r="51" customFormat="false" ht="15" hidden="false" customHeight="false" outlineLevel="0" collapsed="false">
      <c r="A51" s="0" t="s">
        <v>616</v>
      </c>
      <c r="B51" s="54" t="s">
        <v>617</v>
      </c>
      <c r="C51" s="17" t="n">
        <v>45</v>
      </c>
      <c r="D51" s="0" t="s">
        <v>628</v>
      </c>
    </row>
    <row r="52" customFormat="false" ht="15" hidden="false" customHeight="false" outlineLevel="0" collapsed="false">
      <c r="A52" s="0" t="s">
        <v>616</v>
      </c>
      <c r="B52" s="54" t="s">
        <v>617</v>
      </c>
      <c r="C52" s="17" t="n">
        <v>46</v>
      </c>
      <c r="D52" s="0" t="s">
        <v>629</v>
      </c>
    </row>
    <row r="53" customFormat="false" ht="15" hidden="false" customHeight="false" outlineLevel="0" collapsed="false">
      <c r="A53" s="0" t="s">
        <v>616</v>
      </c>
      <c r="B53" s="54" t="s">
        <v>617</v>
      </c>
      <c r="C53" s="17" t="n">
        <v>47</v>
      </c>
      <c r="D53" s="0" t="s">
        <v>630</v>
      </c>
    </row>
    <row r="54" customFormat="false" ht="15" hidden="false" customHeight="false" outlineLevel="0" collapsed="false">
      <c r="A54" s="0" t="s">
        <v>616</v>
      </c>
      <c r="B54" s="54" t="s">
        <v>617</v>
      </c>
      <c r="C54" s="17" t="n">
        <v>48</v>
      </c>
      <c r="D54" s="0" t="s">
        <v>631</v>
      </c>
    </row>
    <row r="55" customFormat="false" ht="15" hidden="false" customHeight="false" outlineLevel="0" collapsed="false">
      <c r="A55" s="0" t="s">
        <v>616</v>
      </c>
      <c r="B55" s="54" t="s">
        <v>617</v>
      </c>
      <c r="C55" s="17" t="n">
        <v>49</v>
      </c>
      <c r="D55" s="0" t="s">
        <v>632</v>
      </c>
    </row>
    <row r="56" customFormat="false" ht="15" hidden="false" customHeight="false" outlineLevel="0" collapsed="false">
      <c r="A56" s="0" t="s">
        <v>616</v>
      </c>
      <c r="B56" s="54" t="s">
        <v>617</v>
      </c>
      <c r="C56" s="17" t="n">
        <v>50</v>
      </c>
      <c r="D56" s="0" t="s">
        <v>633</v>
      </c>
    </row>
    <row r="57" customFormat="false" ht="15" hidden="false" customHeight="false" outlineLevel="0" collapsed="false">
      <c r="A57" s="0" t="s">
        <v>616</v>
      </c>
      <c r="B57" s="54" t="s">
        <v>617</v>
      </c>
      <c r="C57" s="17" t="n">
        <v>67</v>
      </c>
      <c r="D57" s="0" t="s">
        <v>634</v>
      </c>
    </row>
    <row r="58" customFormat="false" ht="15" hidden="false" customHeight="false" outlineLevel="0" collapsed="false">
      <c r="A58" s="0" t="s">
        <v>616</v>
      </c>
      <c r="B58" s="54" t="s">
        <v>617</v>
      </c>
      <c r="C58" s="17" t="n">
        <v>68</v>
      </c>
      <c r="D58" s="0" t="s">
        <v>635</v>
      </c>
    </row>
    <row r="59" customFormat="false" ht="15" hidden="false" customHeight="false" outlineLevel="0" collapsed="false">
      <c r="A59" s="0" t="s">
        <v>616</v>
      </c>
      <c r="B59" s="54" t="s">
        <v>617</v>
      </c>
      <c r="C59" s="17" t="n">
        <v>69</v>
      </c>
      <c r="D59" s="0" t="s">
        <v>636</v>
      </c>
    </row>
    <row r="60" customFormat="false" ht="15" hidden="false" customHeight="false" outlineLevel="0" collapsed="false">
      <c r="A60" s="0" t="s">
        <v>616</v>
      </c>
      <c r="B60" s="54" t="s">
        <v>617</v>
      </c>
      <c r="C60" s="17" t="n">
        <v>70</v>
      </c>
      <c r="D60" s="0" t="s">
        <v>637</v>
      </c>
    </row>
    <row r="61" customFormat="false" ht="15" hidden="false" customHeight="false" outlineLevel="0" collapsed="false">
      <c r="A61" s="0" t="s">
        <v>616</v>
      </c>
      <c r="B61" s="54" t="s">
        <v>617</v>
      </c>
      <c r="C61" s="17" t="n">
        <v>71</v>
      </c>
      <c r="D61" s="0" t="s">
        <v>638</v>
      </c>
    </row>
    <row r="62" customFormat="false" ht="15" hidden="false" customHeight="false" outlineLevel="0" collapsed="false">
      <c r="A62" s="0" t="s">
        <v>616</v>
      </c>
      <c r="B62" s="54" t="s">
        <v>617</v>
      </c>
      <c r="C62" s="17" t="n">
        <v>72</v>
      </c>
      <c r="D62" s="0" t="s">
        <v>639</v>
      </c>
    </row>
    <row r="63" customFormat="false" ht="15" hidden="false" customHeight="false" outlineLevel="0" collapsed="false">
      <c r="A63" s="0" t="s">
        <v>616</v>
      </c>
      <c r="B63" s="54" t="s">
        <v>617</v>
      </c>
      <c r="C63" s="17" t="n">
        <v>73</v>
      </c>
      <c r="D63" s="0" t="s">
        <v>640</v>
      </c>
    </row>
    <row r="64" customFormat="false" ht="15" hidden="false" customHeight="false" outlineLevel="0" collapsed="false">
      <c r="A64" s="0" t="s">
        <v>616</v>
      </c>
      <c r="B64" s="54" t="s">
        <v>617</v>
      </c>
      <c r="C64" s="17" t="n">
        <v>74</v>
      </c>
      <c r="D64" s="0" t="s">
        <v>641</v>
      </c>
    </row>
    <row r="65" customFormat="false" ht="15" hidden="false" customHeight="false" outlineLevel="0" collapsed="false">
      <c r="A65" s="0" t="s">
        <v>616</v>
      </c>
      <c r="B65" s="54" t="s">
        <v>617</v>
      </c>
      <c r="C65" s="17" t="n">
        <v>91</v>
      </c>
      <c r="D65" s="0" t="s">
        <v>642</v>
      </c>
    </row>
    <row r="66" customFormat="false" ht="15" hidden="false" customHeight="false" outlineLevel="0" collapsed="false">
      <c r="A66" s="0" t="s">
        <v>616</v>
      </c>
      <c r="B66" s="54" t="s">
        <v>617</v>
      </c>
      <c r="C66" s="17" t="n">
        <v>92</v>
      </c>
      <c r="D66" s="0" t="s">
        <v>643</v>
      </c>
    </row>
    <row r="67" customFormat="false" ht="15" hidden="false" customHeight="false" outlineLevel="0" collapsed="false">
      <c r="A67" s="0" t="s">
        <v>616</v>
      </c>
      <c r="B67" s="54" t="s">
        <v>617</v>
      </c>
      <c r="C67" s="17" t="n">
        <v>93</v>
      </c>
      <c r="D67" s="0" t="s">
        <v>644</v>
      </c>
    </row>
    <row r="68" customFormat="false" ht="15" hidden="false" customHeight="false" outlineLevel="0" collapsed="false">
      <c r="A68" s="0" t="s">
        <v>616</v>
      </c>
      <c r="B68" s="54" t="s">
        <v>617</v>
      </c>
      <c r="C68" s="17" t="n">
        <v>94</v>
      </c>
      <c r="D68" s="0" t="s">
        <v>645</v>
      </c>
    </row>
    <row r="69" customFormat="false" ht="15" hidden="false" customHeight="false" outlineLevel="0" collapsed="false">
      <c r="A69" s="0" t="s">
        <v>616</v>
      </c>
      <c r="B69" s="54" t="s">
        <v>617</v>
      </c>
      <c r="C69" s="17" t="n">
        <v>95</v>
      </c>
      <c r="D69" s="0" t="s">
        <v>646</v>
      </c>
    </row>
    <row r="70" customFormat="false" ht="15" hidden="false" customHeight="false" outlineLevel="0" collapsed="false">
      <c r="A70" s="0" t="s">
        <v>616</v>
      </c>
      <c r="B70" s="54" t="s">
        <v>617</v>
      </c>
      <c r="C70" s="17" t="n">
        <v>96</v>
      </c>
      <c r="D70" s="0" t="s">
        <v>647</v>
      </c>
    </row>
    <row r="71" customFormat="false" ht="15" hidden="false" customHeight="false" outlineLevel="0" collapsed="false">
      <c r="A71" s="0" t="s">
        <v>616</v>
      </c>
      <c r="B71" s="54" t="s">
        <v>617</v>
      </c>
      <c r="C71" s="17" t="n">
        <v>97</v>
      </c>
      <c r="D71" s="0" t="s">
        <v>648</v>
      </c>
    </row>
    <row r="72" customFormat="false" ht="15" hidden="false" customHeight="false" outlineLevel="0" collapsed="false">
      <c r="A72" s="0" t="s">
        <v>616</v>
      </c>
      <c r="B72" s="54" t="s">
        <v>617</v>
      </c>
      <c r="C72" s="17" t="n">
        <v>98</v>
      </c>
      <c r="D72" s="0" t="s">
        <v>649</v>
      </c>
    </row>
    <row r="73" customFormat="false" ht="15" hidden="false" customHeight="false" outlineLevel="0" collapsed="false">
      <c r="A73" s="0" t="s">
        <v>650</v>
      </c>
      <c r="B73" s="54" t="s">
        <v>651</v>
      </c>
      <c r="C73" s="17" t="n">
        <v>11</v>
      </c>
      <c r="D73" s="16" t="s">
        <v>652</v>
      </c>
    </row>
    <row r="74" customFormat="false" ht="15" hidden="false" customHeight="false" outlineLevel="0" collapsed="false">
      <c r="A74" s="0" t="s">
        <v>650</v>
      </c>
      <c r="B74" s="54" t="s">
        <v>651</v>
      </c>
      <c r="C74" s="17" t="n">
        <v>12</v>
      </c>
      <c r="D74" s="16" t="s">
        <v>653</v>
      </c>
    </row>
    <row r="75" customFormat="false" ht="15" hidden="false" customHeight="false" outlineLevel="0" collapsed="false">
      <c r="A75" s="0" t="s">
        <v>650</v>
      </c>
      <c r="B75" s="54" t="s">
        <v>651</v>
      </c>
      <c r="C75" s="17" t="n">
        <v>13</v>
      </c>
      <c r="D75" s="16" t="s">
        <v>654</v>
      </c>
    </row>
    <row r="76" customFormat="false" ht="15" hidden="false" customHeight="false" outlineLevel="0" collapsed="false">
      <c r="A76" s="0" t="s">
        <v>650</v>
      </c>
      <c r="B76" s="54" t="s">
        <v>651</v>
      </c>
      <c r="C76" s="17" t="n">
        <v>14</v>
      </c>
      <c r="D76" s="16" t="s">
        <v>655</v>
      </c>
    </row>
    <row r="77" customFormat="false" ht="15" hidden="false" customHeight="false" outlineLevel="0" collapsed="false">
      <c r="A77" s="0" t="s">
        <v>650</v>
      </c>
      <c r="B77" s="54" t="s">
        <v>651</v>
      </c>
      <c r="C77" s="17" t="n">
        <v>15</v>
      </c>
      <c r="D77" s="0" t="s">
        <v>656</v>
      </c>
    </row>
    <row r="78" customFormat="false" ht="15" hidden="false" customHeight="false" outlineLevel="0" collapsed="false">
      <c r="A78" s="0" t="s">
        <v>650</v>
      </c>
      <c r="B78" s="54" t="s">
        <v>651</v>
      </c>
      <c r="C78" s="17" t="n">
        <v>16</v>
      </c>
      <c r="D78" s="0" t="s">
        <v>657</v>
      </c>
    </row>
    <row r="79" customFormat="false" ht="15" hidden="false" customHeight="false" outlineLevel="0" collapsed="false">
      <c r="A79" s="0" t="s">
        <v>650</v>
      </c>
      <c r="B79" s="54" t="s">
        <v>651</v>
      </c>
      <c r="C79" s="17" t="n">
        <v>17</v>
      </c>
      <c r="D79" s="0" t="s">
        <v>658</v>
      </c>
    </row>
    <row r="80" customFormat="false" ht="15" hidden="false" customHeight="false" outlineLevel="0" collapsed="false">
      <c r="A80" s="0" t="s">
        <v>650</v>
      </c>
      <c r="B80" s="54" t="s">
        <v>651</v>
      </c>
      <c r="C80" s="17" t="n">
        <v>18</v>
      </c>
      <c r="D80" s="0" t="s">
        <v>659</v>
      </c>
    </row>
    <row r="81" customFormat="false" ht="15" hidden="false" customHeight="false" outlineLevel="0" collapsed="false">
      <c r="A81" s="0" t="s">
        <v>650</v>
      </c>
      <c r="B81" s="54" t="s">
        <v>651</v>
      </c>
      <c r="C81" s="17" t="n">
        <v>35</v>
      </c>
      <c r="D81" s="0" t="s">
        <v>660</v>
      </c>
    </row>
    <row r="82" customFormat="false" ht="15" hidden="false" customHeight="false" outlineLevel="0" collapsed="false">
      <c r="A82" s="0" t="s">
        <v>650</v>
      </c>
      <c r="B82" s="54" t="s">
        <v>651</v>
      </c>
      <c r="C82" s="17" t="n">
        <v>36</v>
      </c>
      <c r="D82" s="0" t="s">
        <v>661</v>
      </c>
    </row>
    <row r="83" customFormat="false" ht="15" hidden="false" customHeight="false" outlineLevel="0" collapsed="false">
      <c r="A83" s="0" t="s">
        <v>650</v>
      </c>
      <c r="B83" s="54" t="s">
        <v>651</v>
      </c>
      <c r="C83" s="17" t="n">
        <v>37</v>
      </c>
      <c r="D83" s="0" t="s">
        <v>662</v>
      </c>
    </row>
    <row r="84" customFormat="false" ht="15" hidden="false" customHeight="false" outlineLevel="0" collapsed="false">
      <c r="A84" s="0" t="s">
        <v>650</v>
      </c>
      <c r="B84" s="54" t="s">
        <v>651</v>
      </c>
      <c r="C84" s="17" t="n">
        <v>38</v>
      </c>
      <c r="D84" s="0" t="s">
        <v>663</v>
      </c>
    </row>
    <row r="85" customFormat="false" ht="15" hidden="false" customHeight="false" outlineLevel="0" collapsed="false">
      <c r="A85" s="0" t="s">
        <v>650</v>
      </c>
      <c r="B85" s="54" t="s">
        <v>651</v>
      </c>
      <c r="C85" s="17" t="n">
        <v>39</v>
      </c>
      <c r="D85" s="0" t="s">
        <v>664</v>
      </c>
    </row>
    <row r="86" customFormat="false" ht="15" hidden="false" customHeight="false" outlineLevel="0" collapsed="false">
      <c r="A86" s="0" t="s">
        <v>650</v>
      </c>
      <c r="B86" s="54" t="s">
        <v>651</v>
      </c>
      <c r="C86" s="17" t="n">
        <v>40</v>
      </c>
      <c r="D86" s="0" t="s">
        <v>665</v>
      </c>
    </row>
    <row r="87" customFormat="false" ht="15" hidden="false" customHeight="false" outlineLevel="0" collapsed="false">
      <c r="A87" s="0" t="s">
        <v>650</v>
      </c>
      <c r="B87" s="54" t="s">
        <v>651</v>
      </c>
      <c r="C87" s="17" t="n">
        <v>41</v>
      </c>
      <c r="D87" s="0" t="s">
        <v>666</v>
      </c>
    </row>
    <row r="88" customFormat="false" ht="15" hidden="false" customHeight="false" outlineLevel="0" collapsed="false">
      <c r="A88" s="0" t="s">
        <v>650</v>
      </c>
      <c r="B88" s="54" t="s">
        <v>651</v>
      </c>
      <c r="C88" s="17" t="n">
        <v>42</v>
      </c>
      <c r="D88" s="0" t="s">
        <v>667</v>
      </c>
    </row>
    <row r="89" customFormat="false" ht="15" hidden="false" customHeight="false" outlineLevel="0" collapsed="false">
      <c r="A89" s="0" t="s">
        <v>650</v>
      </c>
      <c r="B89" s="54" t="s">
        <v>651</v>
      </c>
      <c r="C89" s="17" t="n">
        <v>59</v>
      </c>
      <c r="D89" s="0" t="s">
        <v>668</v>
      </c>
    </row>
    <row r="90" customFormat="false" ht="15" hidden="false" customHeight="false" outlineLevel="0" collapsed="false">
      <c r="A90" s="0" t="s">
        <v>650</v>
      </c>
      <c r="B90" s="54" t="s">
        <v>651</v>
      </c>
      <c r="C90" s="17" t="n">
        <v>60</v>
      </c>
      <c r="D90" s="0" t="s">
        <v>669</v>
      </c>
    </row>
    <row r="91" customFormat="false" ht="15" hidden="false" customHeight="false" outlineLevel="0" collapsed="false">
      <c r="A91" s="0" t="s">
        <v>650</v>
      </c>
      <c r="B91" s="54" t="s">
        <v>651</v>
      </c>
      <c r="C91" s="17" t="n">
        <v>61</v>
      </c>
      <c r="D91" s="0" t="s">
        <v>670</v>
      </c>
    </row>
    <row r="92" customFormat="false" ht="15" hidden="false" customHeight="false" outlineLevel="0" collapsed="false">
      <c r="A92" s="0" t="s">
        <v>650</v>
      </c>
      <c r="B92" s="54" t="s">
        <v>651</v>
      </c>
      <c r="C92" s="17" t="n">
        <v>62</v>
      </c>
      <c r="D92" s="0" t="s">
        <v>671</v>
      </c>
    </row>
    <row r="93" customFormat="false" ht="15" hidden="false" customHeight="false" outlineLevel="0" collapsed="false">
      <c r="A93" s="0" t="s">
        <v>650</v>
      </c>
      <c r="B93" s="54" t="s">
        <v>651</v>
      </c>
      <c r="C93" s="17" t="n">
        <v>63</v>
      </c>
      <c r="D93" s="0" t="s">
        <v>672</v>
      </c>
    </row>
    <row r="94" customFormat="false" ht="15" hidden="false" customHeight="false" outlineLevel="0" collapsed="false">
      <c r="A94" s="0" t="s">
        <v>650</v>
      </c>
      <c r="B94" s="54" t="s">
        <v>651</v>
      </c>
      <c r="C94" s="17" t="n">
        <v>64</v>
      </c>
      <c r="D94" s="0" t="s">
        <v>673</v>
      </c>
    </row>
    <row r="95" customFormat="false" ht="15" hidden="false" customHeight="false" outlineLevel="0" collapsed="false">
      <c r="A95" s="0" t="s">
        <v>650</v>
      </c>
      <c r="B95" s="54" t="s">
        <v>651</v>
      </c>
      <c r="C95" s="17" t="n">
        <v>65</v>
      </c>
      <c r="D95" s="0" t="s">
        <v>674</v>
      </c>
    </row>
    <row r="96" customFormat="false" ht="15" hidden="false" customHeight="false" outlineLevel="0" collapsed="false">
      <c r="A96" s="0" t="s">
        <v>650</v>
      </c>
      <c r="B96" s="54" t="s">
        <v>651</v>
      </c>
      <c r="C96" s="17" t="n">
        <v>66</v>
      </c>
      <c r="D96" s="0" t="s">
        <v>675</v>
      </c>
    </row>
    <row r="97" customFormat="false" ht="15" hidden="false" customHeight="false" outlineLevel="0" collapsed="false">
      <c r="A97" s="0" t="s">
        <v>650</v>
      </c>
      <c r="B97" s="54" t="s">
        <v>651</v>
      </c>
      <c r="C97" s="17" t="n">
        <v>83</v>
      </c>
      <c r="D97" s="0" t="s">
        <v>676</v>
      </c>
    </row>
    <row r="98" customFormat="false" ht="15" hidden="false" customHeight="false" outlineLevel="0" collapsed="false">
      <c r="A98" s="0" t="s">
        <v>650</v>
      </c>
      <c r="B98" s="54" t="s">
        <v>651</v>
      </c>
      <c r="C98" s="17" t="n">
        <v>84</v>
      </c>
      <c r="D98" s="0" t="s">
        <v>677</v>
      </c>
    </row>
    <row r="99" customFormat="false" ht="15" hidden="false" customHeight="false" outlineLevel="0" collapsed="false">
      <c r="A99" s="0" t="s">
        <v>650</v>
      </c>
      <c r="B99" s="54" t="s">
        <v>651</v>
      </c>
      <c r="C99" s="17" t="n">
        <v>85</v>
      </c>
      <c r="D99" s="0" t="s">
        <v>678</v>
      </c>
    </row>
    <row r="100" customFormat="false" ht="15" hidden="false" customHeight="false" outlineLevel="0" collapsed="false">
      <c r="A100" s="0" t="s">
        <v>650</v>
      </c>
      <c r="B100" s="54" t="s">
        <v>651</v>
      </c>
      <c r="C100" s="17" t="n">
        <v>86</v>
      </c>
      <c r="D100" s="0" t="s">
        <v>679</v>
      </c>
    </row>
    <row r="101" customFormat="false" ht="15" hidden="false" customHeight="false" outlineLevel="0" collapsed="false">
      <c r="A101" s="0" t="s">
        <v>650</v>
      </c>
      <c r="B101" s="54" t="s">
        <v>651</v>
      </c>
      <c r="C101" s="17" t="n">
        <v>87</v>
      </c>
      <c r="D101" s="0" t="s">
        <v>680</v>
      </c>
    </row>
    <row r="102" customFormat="false" ht="15" hidden="false" customHeight="false" outlineLevel="0" collapsed="false">
      <c r="A102" s="0" t="s">
        <v>650</v>
      </c>
      <c r="B102" s="54" t="s">
        <v>651</v>
      </c>
      <c r="C102" s="17" t="n">
        <v>88</v>
      </c>
      <c r="D102" s="0" t="s">
        <v>681</v>
      </c>
    </row>
    <row r="103" customFormat="false" ht="15" hidden="false" customHeight="false" outlineLevel="0" collapsed="false">
      <c r="A103" s="0" t="s">
        <v>650</v>
      </c>
      <c r="B103" s="54" t="s">
        <v>651</v>
      </c>
      <c r="C103" s="17" t="n">
        <v>89</v>
      </c>
      <c r="D103" s="0" t="s">
        <v>682</v>
      </c>
    </row>
    <row r="104" customFormat="false" ht="15" hidden="false" customHeight="false" outlineLevel="0" collapsed="false">
      <c r="A104" s="0" t="s">
        <v>650</v>
      </c>
      <c r="B104" s="54" t="s">
        <v>651</v>
      </c>
      <c r="C104" s="17" t="n">
        <v>90</v>
      </c>
      <c r="D104" s="0" t="s">
        <v>683</v>
      </c>
    </row>
    <row r="105" customFormat="false" ht="15" hidden="false" customHeight="false" outlineLevel="0" collapsed="false">
      <c r="A105" s="0" t="s">
        <v>684</v>
      </c>
      <c r="B105" s="54" t="s">
        <v>685</v>
      </c>
      <c r="C105" s="17" t="n">
        <v>11</v>
      </c>
      <c r="D105" s="16" t="s">
        <v>652</v>
      </c>
    </row>
    <row r="106" customFormat="false" ht="15" hidden="false" customHeight="false" outlineLevel="0" collapsed="false">
      <c r="A106" s="0" t="s">
        <v>684</v>
      </c>
      <c r="B106" s="54" t="s">
        <v>685</v>
      </c>
      <c r="C106" s="17" t="n">
        <v>19</v>
      </c>
      <c r="D106" s="0" t="s">
        <v>618</v>
      </c>
    </row>
    <row r="107" customFormat="false" ht="15" hidden="false" customHeight="false" outlineLevel="0" collapsed="false">
      <c r="A107" s="0" t="s">
        <v>684</v>
      </c>
      <c r="B107" s="54" t="s">
        <v>685</v>
      </c>
      <c r="C107" s="17" t="n">
        <v>27</v>
      </c>
      <c r="D107" s="0" t="s">
        <v>686</v>
      </c>
    </row>
    <row r="108" customFormat="false" ht="15" hidden="false" customHeight="false" outlineLevel="0" collapsed="false">
      <c r="A108" s="0" t="s">
        <v>684</v>
      </c>
      <c r="B108" s="54" t="s">
        <v>685</v>
      </c>
      <c r="C108" s="17" t="n">
        <v>35</v>
      </c>
      <c r="D108" s="0" t="s">
        <v>660</v>
      </c>
    </row>
    <row r="109" customFormat="false" ht="15" hidden="false" customHeight="false" outlineLevel="0" collapsed="false">
      <c r="A109" s="0" t="s">
        <v>684</v>
      </c>
      <c r="B109" s="54" t="s">
        <v>685</v>
      </c>
      <c r="C109" s="17" t="n">
        <v>43</v>
      </c>
      <c r="D109" s="0" t="s">
        <v>626</v>
      </c>
    </row>
    <row r="110" customFormat="false" ht="15" hidden="false" customHeight="false" outlineLevel="0" collapsed="false">
      <c r="A110" s="0" t="s">
        <v>684</v>
      </c>
      <c r="B110" s="54" t="s">
        <v>685</v>
      </c>
      <c r="C110" s="17" t="n">
        <v>51</v>
      </c>
      <c r="D110" s="0" t="s">
        <v>687</v>
      </c>
    </row>
    <row r="111" customFormat="false" ht="15" hidden="false" customHeight="false" outlineLevel="0" collapsed="false">
      <c r="A111" s="0" t="s">
        <v>684</v>
      </c>
      <c r="B111" s="54" t="s">
        <v>685</v>
      </c>
      <c r="C111" s="17" t="n">
        <v>59</v>
      </c>
      <c r="D111" s="0" t="s">
        <v>668</v>
      </c>
    </row>
    <row r="112" customFormat="false" ht="15" hidden="false" customHeight="false" outlineLevel="0" collapsed="false">
      <c r="A112" s="0" t="s">
        <v>684</v>
      </c>
      <c r="B112" s="54" t="s">
        <v>685</v>
      </c>
      <c r="C112" s="17" t="n">
        <v>67</v>
      </c>
      <c r="D112" s="0" t="s">
        <v>634</v>
      </c>
    </row>
    <row r="113" customFormat="false" ht="15" hidden="false" customHeight="false" outlineLevel="0" collapsed="false">
      <c r="A113" s="0" t="s">
        <v>684</v>
      </c>
      <c r="B113" s="54" t="s">
        <v>685</v>
      </c>
      <c r="C113" s="17" t="n">
        <v>75</v>
      </c>
      <c r="D113" s="0" t="s">
        <v>688</v>
      </c>
    </row>
    <row r="114" customFormat="false" ht="15" hidden="false" customHeight="false" outlineLevel="0" collapsed="false">
      <c r="A114" s="0" t="s">
        <v>684</v>
      </c>
      <c r="B114" s="54" t="s">
        <v>685</v>
      </c>
      <c r="C114" s="17" t="n">
        <v>83</v>
      </c>
      <c r="D114" s="0" t="s">
        <v>676</v>
      </c>
    </row>
    <row r="115" customFormat="false" ht="15" hidden="false" customHeight="false" outlineLevel="0" collapsed="false">
      <c r="A115" s="0" t="s">
        <v>684</v>
      </c>
      <c r="B115" s="54" t="s">
        <v>685</v>
      </c>
      <c r="C115" s="17" t="n">
        <v>91</v>
      </c>
      <c r="D115" s="0" t="s">
        <v>642</v>
      </c>
    </row>
    <row r="116" customFormat="false" ht="15" hidden="false" customHeight="false" outlineLevel="0" collapsed="false">
      <c r="A116" s="0" t="s">
        <v>684</v>
      </c>
      <c r="B116" s="54" t="s">
        <v>685</v>
      </c>
      <c r="C116" s="17" t="n">
        <v>99</v>
      </c>
      <c r="D116" s="0" t="s">
        <v>689</v>
      </c>
    </row>
    <row r="117" customFormat="false" ht="15" hidden="false" customHeight="false" outlineLevel="0" collapsed="false">
      <c r="A117" s="0" t="s">
        <v>690</v>
      </c>
      <c r="B117" s="54" t="s">
        <v>691</v>
      </c>
      <c r="C117" s="17" t="n">
        <v>12</v>
      </c>
      <c r="D117" s="16" t="s">
        <v>653</v>
      </c>
    </row>
    <row r="118" customFormat="false" ht="15" hidden="false" customHeight="false" outlineLevel="0" collapsed="false">
      <c r="A118" s="0" t="s">
        <v>690</v>
      </c>
      <c r="B118" s="54" t="s">
        <v>691</v>
      </c>
      <c r="C118" s="17" t="n">
        <v>20</v>
      </c>
      <c r="D118" s="0" t="s">
        <v>619</v>
      </c>
    </row>
    <row r="119" customFormat="false" ht="15" hidden="false" customHeight="false" outlineLevel="0" collapsed="false">
      <c r="A119" s="0" t="s">
        <v>690</v>
      </c>
      <c r="B119" s="54" t="s">
        <v>691</v>
      </c>
      <c r="C119" s="17" t="n">
        <v>28</v>
      </c>
      <c r="D119" s="0" t="s">
        <v>692</v>
      </c>
    </row>
    <row r="120" customFormat="false" ht="15" hidden="false" customHeight="false" outlineLevel="0" collapsed="false">
      <c r="A120" s="0" t="s">
        <v>690</v>
      </c>
      <c r="B120" s="54" t="s">
        <v>691</v>
      </c>
      <c r="C120" s="17" t="n">
        <v>36</v>
      </c>
      <c r="D120" s="0" t="s">
        <v>661</v>
      </c>
    </row>
    <row r="121" customFormat="false" ht="15" hidden="false" customHeight="false" outlineLevel="0" collapsed="false">
      <c r="A121" s="0" t="s">
        <v>690</v>
      </c>
      <c r="B121" s="54" t="s">
        <v>691</v>
      </c>
      <c r="C121" s="17" t="n">
        <v>44</v>
      </c>
      <c r="D121" s="0" t="s">
        <v>627</v>
      </c>
    </row>
    <row r="122" customFormat="false" ht="15" hidden="false" customHeight="false" outlineLevel="0" collapsed="false">
      <c r="A122" s="0" t="s">
        <v>690</v>
      </c>
      <c r="B122" s="54" t="s">
        <v>691</v>
      </c>
      <c r="C122" s="17" t="n">
        <v>52</v>
      </c>
      <c r="D122" s="0" t="s">
        <v>693</v>
      </c>
    </row>
    <row r="123" customFormat="false" ht="15" hidden="false" customHeight="false" outlineLevel="0" collapsed="false">
      <c r="A123" s="0" t="s">
        <v>690</v>
      </c>
      <c r="B123" s="54" t="s">
        <v>691</v>
      </c>
      <c r="C123" s="17" t="n">
        <v>60</v>
      </c>
      <c r="D123" s="0" t="s">
        <v>669</v>
      </c>
    </row>
    <row r="124" customFormat="false" ht="15" hidden="false" customHeight="false" outlineLevel="0" collapsed="false">
      <c r="A124" s="0" t="s">
        <v>690</v>
      </c>
      <c r="B124" s="54" t="s">
        <v>691</v>
      </c>
      <c r="C124" s="17" t="n">
        <v>68</v>
      </c>
      <c r="D124" s="0" t="s">
        <v>635</v>
      </c>
    </row>
    <row r="125" customFormat="false" ht="15" hidden="false" customHeight="false" outlineLevel="0" collapsed="false">
      <c r="A125" s="0" t="s">
        <v>690</v>
      </c>
      <c r="B125" s="54" t="s">
        <v>691</v>
      </c>
      <c r="C125" s="17" t="n">
        <v>76</v>
      </c>
      <c r="D125" s="0" t="s">
        <v>694</v>
      </c>
    </row>
    <row r="126" customFormat="false" ht="15" hidden="false" customHeight="false" outlineLevel="0" collapsed="false">
      <c r="A126" s="0" t="s">
        <v>690</v>
      </c>
      <c r="B126" s="54" t="s">
        <v>691</v>
      </c>
      <c r="C126" s="17" t="n">
        <v>84</v>
      </c>
      <c r="D126" s="0" t="s">
        <v>677</v>
      </c>
    </row>
    <row r="127" customFormat="false" ht="15" hidden="false" customHeight="false" outlineLevel="0" collapsed="false">
      <c r="A127" s="0" t="s">
        <v>690</v>
      </c>
      <c r="B127" s="54" t="s">
        <v>691</v>
      </c>
      <c r="C127" s="17" t="n">
        <v>92</v>
      </c>
      <c r="D127" s="0" t="s">
        <v>643</v>
      </c>
    </row>
    <row r="128" customFormat="false" ht="15" hidden="false" customHeight="false" outlineLevel="0" collapsed="false">
      <c r="A128" s="0" t="s">
        <v>690</v>
      </c>
      <c r="B128" s="54" t="s">
        <v>691</v>
      </c>
      <c r="C128" s="17" t="n">
        <v>100</v>
      </c>
      <c r="D128" s="0" t="s">
        <v>695</v>
      </c>
    </row>
    <row r="129" customFormat="false" ht="15" hidden="false" customHeight="false" outlineLevel="0" collapsed="false">
      <c r="A129" s="0" t="s">
        <v>696</v>
      </c>
      <c r="B129" s="54" t="s">
        <v>697</v>
      </c>
      <c r="C129" s="17" t="n">
        <v>112</v>
      </c>
      <c r="D129" s="16" t="s">
        <v>598</v>
      </c>
    </row>
    <row r="130" customFormat="false" ht="15" hidden="false" customHeight="false" outlineLevel="0" collapsed="false">
      <c r="A130" s="0" t="s">
        <v>698</v>
      </c>
      <c r="B130" s="54" t="s">
        <v>699</v>
      </c>
      <c r="C130" s="17" t="n">
        <v>117</v>
      </c>
      <c r="D130" s="16" t="s">
        <v>608</v>
      </c>
    </row>
    <row r="131" customFormat="false" ht="15" hidden="false" customHeight="false" outlineLevel="0" collapsed="false">
      <c r="A131" s="0" t="s">
        <v>698</v>
      </c>
      <c r="B131" s="54" t="s">
        <v>699</v>
      </c>
      <c r="C131" s="17" t="n">
        <v>118</v>
      </c>
      <c r="D131" s="16" t="s">
        <v>610</v>
      </c>
    </row>
    <row r="132" customFormat="false" ht="15" hidden="false" customHeight="false" outlineLevel="0" collapsed="false">
      <c r="A132" s="0" t="s">
        <v>700</v>
      </c>
      <c r="B132" s="54" t="s">
        <v>701</v>
      </c>
      <c r="C132" s="17" t="n">
        <v>113</v>
      </c>
      <c r="D132" s="16" t="s">
        <v>599</v>
      </c>
    </row>
    <row r="133" customFormat="false" ht="15" hidden="false" customHeight="false" outlineLevel="0" collapsed="false">
      <c r="A133" s="0" t="s">
        <v>702</v>
      </c>
      <c r="B133" s="54" t="s">
        <v>703</v>
      </c>
      <c r="C133" s="17" t="n">
        <v>120</v>
      </c>
      <c r="D133" s="16" t="s">
        <v>614</v>
      </c>
    </row>
    <row r="134" customFormat="false" ht="15" hidden="false" customHeight="false" outlineLevel="0" collapsed="false">
      <c r="A134" s="0" t="s">
        <v>704</v>
      </c>
      <c r="B134" s="55" t="s">
        <v>705</v>
      </c>
      <c r="C134" s="17" t="n">
        <v>119</v>
      </c>
      <c r="D134" s="16" t="s">
        <v>612</v>
      </c>
    </row>
    <row r="135" customFormat="false" ht="15" hidden="false" customHeight="false" outlineLevel="0" collapsed="false">
      <c r="A135" s="0" t="s">
        <v>706</v>
      </c>
      <c r="B135" s="54" t="s">
        <v>705</v>
      </c>
      <c r="C135" s="17" t="n">
        <v>115</v>
      </c>
      <c r="D135" s="16" t="s">
        <v>603</v>
      </c>
    </row>
    <row r="136" customFormat="false" ht="15" hidden="false" customHeight="false" outlineLevel="0" collapsed="false">
      <c r="A136" s="0" t="s">
        <v>707</v>
      </c>
      <c r="B136" s="54" t="s">
        <v>708</v>
      </c>
      <c r="C136" s="17" t="n">
        <v>114</v>
      </c>
      <c r="D136" s="16" t="s">
        <v>600</v>
      </c>
    </row>
    <row r="137" customFormat="false" ht="15" hidden="false" customHeight="false" outlineLevel="0" collapsed="false">
      <c r="A137" s="0" t="s">
        <v>707</v>
      </c>
      <c r="B137" s="54" t="s">
        <v>708</v>
      </c>
      <c r="C137" s="17" t="n">
        <v>116</v>
      </c>
      <c r="D137" s="16" t="s">
        <v>606</v>
      </c>
    </row>
    <row r="138" customFormat="false" ht="15" hidden="false" customHeight="false" outlineLevel="0" collapsed="false">
      <c r="A138" s="0" t="s">
        <v>709</v>
      </c>
      <c r="B138" s="54" t="s">
        <v>710</v>
      </c>
      <c r="C138" s="17" t="n">
        <v>110</v>
      </c>
      <c r="D138" s="16" t="s">
        <v>595</v>
      </c>
    </row>
    <row r="139" customFormat="false" ht="15" hidden="false" customHeight="false" outlineLevel="0" collapsed="false">
      <c r="A139" s="0" t="s">
        <v>711</v>
      </c>
      <c r="B139" s="54" t="s">
        <v>712</v>
      </c>
      <c r="C139" s="17" t="n">
        <v>27</v>
      </c>
      <c r="D139" s="0" t="s">
        <v>686</v>
      </c>
    </row>
    <row r="140" customFormat="false" ht="15" hidden="false" customHeight="false" outlineLevel="0" collapsed="false">
      <c r="A140" s="0" t="s">
        <v>711</v>
      </c>
      <c r="B140" s="54" t="s">
        <v>712</v>
      </c>
      <c r="C140" s="17" t="n">
        <v>28</v>
      </c>
      <c r="D140" s="0" t="s">
        <v>692</v>
      </c>
    </row>
    <row r="141" customFormat="false" ht="15" hidden="false" customHeight="false" outlineLevel="0" collapsed="false">
      <c r="A141" s="0" t="s">
        <v>711</v>
      </c>
      <c r="B141" s="54" t="s">
        <v>712</v>
      </c>
      <c r="C141" s="17" t="n">
        <v>29</v>
      </c>
      <c r="D141" s="0" t="s">
        <v>713</v>
      </c>
    </row>
    <row r="142" customFormat="false" ht="15" hidden="false" customHeight="false" outlineLevel="0" collapsed="false">
      <c r="A142" s="0" t="s">
        <v>711</v>
      </c>
      <c r="B142" s="54" t="s">
        <v>712</v>
      </c>
      <c r="C142" s="17" t="n">
        <v>30</v>
      </c>
      <c r="D142" s="0" t="s">
        <v>714</v>
      </c>
    </row>
    <row r="143" customFormat="false" ht="15" hidden="false" customHeight="false" outlineLevel="0" collapsed="false">
      <c r="A143" s="0" t="s">
        <v>711</v>
      </c>
      <c r="B143" s="54" t="s">
        <v>712</v>
      </c>
      <c r="C143" s="17" t="n">
        <v>31</v>
      </c>
      <c r="D143" s="0" t="s">
        <v>715</v>
      </c>
    </row>
    <row r="144" customFormat="false" ht="15" hidden="false" customHeight="false" outlineLevel="0" collapsed="false">
      <c r="A144" s="0" t="s">
        <v>711</v>
      </c>
      <c r="B144" s="54" t="s">
        <v>712</v>
      </c>
      <c r="C144" s="17" t="n">
        <v>32</v>
      </c>
      <c r="D144" s="0" t="s">
        <v>716</v>
      </c>
    </row>
    <row r="145" customFormat="false" ht="15" hidden="false" customHeight="false" outlineLevel="0" collapsed="false">
      <c r="A145" s="0" t="s">
        <v>711</v>
      </c>
      <c r="B145" s="54" t="s">
        <v>712</v>
      </c>
      <c r="C145" s="17" t="n">
        <v>33</v>
      </c>
      <c r="D145" s="0" t="s">
        <v>717</v>
      </c>
    </row>
    <row r="146" customFormat="false" ht="15" hidden="false" customHeight="false" outlineLevel="0" collapsed="false">
      <c r="A146" s="0" t="s">
        <v>711</v>
      </c>
      <c r="B146" s="54" t="s">
        <v>712</v>
      </c>
      <c r="C146" s="17" t="n">
        <v>34</v>
      </c>
      <c r="D146" s="0" t="s">
        <v>718</v>
      </c>
    </row>
    <row r="147" customFormat="false" ht="15" hidden="false" customHeight="false" outlineLevel="0" collapsed="false">
      <c r="A147" s="0" t="s">
        <v>711</v>
      </c>
      <c r="B147" s="54" t="s">
        <v>712</v>
      </c>
      <c r="C147" s="17" t="n">
        <v>51</v>
      </c>
      <c r="D147" s="0" t="s">
        <v>687</v>
      </c>
    </row>
    <row r="148" customFormat="false" ht="15" hidden="false" customHeight="false" outlineLevel="0" collapsed="false">
      <c r="A148" s="0" t="s">
        <v>711</v>
      </c>
      <c r="B148" s="54" t="s">
        <v>712</v>
      </c>
      <c r="C148" s="17" t="n">
        <v>52</v>
      </c>
      <c r="D148" s="0" t="s">
        <v>693</v>
      </c>
    </row>
    <row r="149" customFormat="false" ht="15" hidden="false" customHeight="false" outlineLevel="0" collapsed="false">
      <c r="A149" s="0" t="s">
        <v>711</v>
      </c>
      <c r="B149" s="54" t="s">
        <v>712</v>
      </c>
      <c r="C149" s="17" t="n">
        <v>53</v>
      </c>
      <c r="D149" s="0" t="s">
        <v>719</v>
      </c>
    </row>
    <row r="150" customFormat="false" ht="15" hidden="false" customHeight="false" outlineLevel="0" collapsed="false">
      <c r="A150" s="0" t="s">
        <v>711</v>
      </c>
      <c r="B150" s="54" t="s">
        <v>712</v>
      </c>
      <c r="C150" s="17" t="n">
        <v>54</v>
      </c>
      <c r="D150" s="0" t="s">
        <v>720</v>
      </c>
    </row>
    <row r="151" customFormat="false" ht="15" hidden="false" customHeight="false" outlineLevel="0" collapsed="false">
      <c r="A151" s="0" t="s">
        <v>711</v>
      </c>
      <c r="B151" s="54" t="s">
        <v>712</v>
      </c>
      <c r="C151" s="17" t="n">
        <v>55</v>
      </c>
      <c r="D151" s="0" t="s">
        <v>721</v>
      </c>
    </row>
    <row r="152" customFormat="false" ht="15" hidden="false" customHeight="false" outlineLevel="0" collapsed="false">
      <c r="A152" s="0" t="s">
        <v>711</v>
      </c>
      <c r="B152" s="54" t="s">
        <v>712</v>
      </c>
      <c r="C152" s="17" t="n">
        <v>56</v>
      </c>
      <c r="D152" s="0" t="s">
        <v>722</v>
      </c>
    </row>
    <row r="153" customFormat="false" ht="15" hidden="false" customHeight="false" outlineLevel="0" collapsed="false">
      <c r="A153" s="0" t="s">
        <v>711</v>
      </c>
      <c r="B153" s="54" t="s">
        <v>712</v>
      </c>
      <c r="C153" s="17" t="n">
        <v>57</v>
      </c>
      <c r="D153" s="0" t="s">
        <v>723</v>
      </c>
    </row>
    <row r="154" customFormat="false" ht="15" hidden="false" customHeight="false" outlineLevel="0" collapsed="false">
      <c r="A154" s="0" t="s">
        <v>711</v>
      </c>
      <c r="B154" s="54" t="s">
        <v>712</v>
      </c>
      <c r="C154" s="17" t="n">
        <v>58</v>
      </c>
      <c r="D154" s="0" t="s">
        <v>724</v>
      </c>
    </row>
    <row r="155" customFormat="false" ht="15" hidden="false" customHeight="false" outlineLevel="0" collapsed="false">
      <c r="A155" s="0" t="s">
        <v>711</v>
      </c>
      <c r="B155" s="54" t="s">
        <v>712</v>
      </c>
      <c r="C155" s="17" t="n">
        <v>75</v>
      </c>
      <c r="D155" s="0" t="s">
        <v>688</v>
      </c>
    </row>
    <row r="156" customFormat="false" ht="15" hidden="false" customHeight="false" outlineLevel="0" collapsed="false">
      <c r="A156" s="0" t="s">
        <v>711</v>
      </c>
      <c r="B156" s="54" t="s">
        <v>712</v>
      </c>
      <c r="C156" s="17" t="n">
        <v>76</v>
      </c>
      <c r="D156" s="0" t="s">
        <v>694</v>
      </c>
    </row>
    <row r="157" customFormat="false" ht="15" hidden="false" customHeight="false" outlineLevel="0" collapsed="false">
      <c r="A157" s="0" t="s">
        <v>711</v>
      </c>
      <c r="B157" s="54" t="s">
        <v>712</v>
      </c>
      <c r="C157" s="17" t="n">
        <v>77</v>
      </c>
      <c r="D157" s="0" t="s">
        <v>725</v>
      </c>
    </row>
    <row r="158" customFormat="false" ht="15" hidden="false" customHeight="false" outlineLevel="0" collapsed="false">
      <c r="A158" s="0" t="s">
        <v>711</v>
      </c>
      <c r="B158" s="54" t="s">
        <v>712</v>
      </c>
      <c r="C158" s="17" t="n">
        <v>78</v>
      </c>
      <c r="D158" s="0" t="s">
        <v>726</v>
      </c>
    </row>
    <row r="159" customFormat="false" ht="15" hidden="false" customHeight="false" outlineLevel="0" collapsed="false">
      <c r="A159" s="0" t="s">
        <v>711</v>
      </c>
      <c r="B159" s="54" t="s">
        <v>712</v>
      </c>
      <c r="C159" s="17" t="n">
        <v>79</v>
      </c>
      <c r="D159" s="0" t="s">
        <v>727</v>
      </c>
    </row>
    <row r="160" customFormat="false" ht="15" hidden="false" customHeight="false" outlineLevel="0" collapsed="false">
      <c r="A160" s="0" t="s">
        <v>711</v>
      </c>
      <c r="B160" s="54" t="s">
        <v>712</v>
      </c>
      <c r="C160" s="17" t="n">
        <v>80</v>
      </c>
      <c r="D160" s="0" t="s">
        <v>728</v>
      </c>
    </row>
    <row r="161" customFormat="false" ht="15" hidden="false" customHeight="false" outlineLevel="0" collapsed="false">
      <c r="A161" s="0" t="s">
        <v>711</v>
      </c>
      <c r="B161" s="54" t="s">
        <v>712</v>
      </c>
      <c r="C161" s="17" t="n">
        <v>81</v>
      </c>
      <c r="D161" s="0" t="s">
        <v>729</v>
      </c>
    </row>
    <row r="162" customFormat="false" ht="15" hidden="false" customHeight="false" outlineLevel="0" collapsed="false">
      <c r="A162" s="0" t="s">
        <v>711</v>
      </c>
      <c r="B162" s="54" t="s">
        <v>712</v>
      </c>
      <c r="C162" s="17" t="n">
        <v>82</v>
      </c>
      <c r="D162" s="0" t="s">
        <v>730</v>
      </c>
    </row>
    <row r="163" customFormat="false" ht="15" hidden="false" customHeight="false" outlineLevel="0" collapsed="false">
      <c r="A163" s="0" t="s">
        <v>711</v>
      </c>
      <c r="B163" s="54" t="s">
        <v>712</v>
      </c>
      <c r="C163" s="17" t="n">
        <v>99</v>
      </c>
      <c r="D163" s="0" t="s">
        <v>689</v>
      </c>
    </row>
    <row r="164" customFormat="false" ht="15" hidden="false" customHeight="false" outlineLevel="0" collapsed="false">
      <c r="A164" s="0" t="s">
        <v>711</v>
      </c>
      <c r="B164" s="54" t="s">
        <v>712</v>
      </c>
      <c r="C164" s="17" t="n">
        <v>100</v>
      </c>
      <c r="D164" s="0" t="s">
        <v>695</v>
      </c>
    </row>
    <row r="165" customFormat="false" ht="15" hidden="false" customHeight="false" outlineLevel="0" collapsed="false">
      <c r="A165" s="0" t="s">
        <v>711</v>
      </c>
      <c r="B165" s="54" t="s">
        <v>712</v>
      </c>
      <c r="C165" s="17" t="n">
        <v>101</v>
      </c>
      <c r="D165" s="0" t="s">
        <v>731</v>
      </c>
    </row>
    <row r="166" customFormat="false" ht="15" hidden="false" customHeight="false" outlineLevel="0" collapsed="false">
      <c r="A166" s="0" t="s">
        <v>711</v>
      </c>
      <c r="B166" s="54" t="s">
        <v>712</v>
      </c>
      <c r="C166" s="17" t="n">
        <v>102</v>
      </c>
      <c r="D166" s="0" t="s">
        <v>732</v>
      </c>
    </row>
    <row r="167" customFormat="false" ht="15" hidden="false" customHeight="false" outlineLevel="0" collapsed="false">
      <c r="A167" s="0" t="s">
        <v>711</v>
      </c>
      <c r="B167" s="54" t="s">
        <v>712</v>
      </c>
      <c r="C167" s="17" t="n">
        <v>103</v>
      </c>
      <c r="D167" s="0" t="s">
        <v>733</v>
      </c>
    </row>
    <row r="168" customFormat="false" ht="15" hidden="false" customHeight="false" outlineLevel="0" collapsed="false">
      <c r="A168" s="0" t="s">
        <v>711</v>
      </c>
      <c r="B168" s="54" t="s">
        <v>712</v>
      </c>
      <c r="C168" s="17" t="n">
        <v>104</v>
      </c>
      <c r="D168" s="0" t="s">
        <v>734</v>
      </c>
    </row>
    <row r="169" customFormat="false" ht="15" hidden="false" customHeight="false" outlineLevel="0" collapsed="false">
      <c r="A169" s="0" t="s">
        <v>711</v>
      </c>
      <c r="B169" s="54" t="s">
        <v>712</v>
      </c>
      <c r="C169" s="17" t="n">
        <v>105</v>
      </c>
      <c r="D169" s="0" t="s">
        <v>735</v>
      </c>
    </row>
    <row r="170" customFormat="false" ht="15" hidden="false" customHeight="false" outlineLevel="0" collapsed="false">
      <c r="A170" s="0" t="s">
        <v>711</v>
      </c>
      <c r="B170" s="54" t="s">
        <v>712</v>
      </c>
      <c r="C170" s="17" t="n">
        <v>106</v>
      </c>
      <c r="D170" s="0" t="s">
        <v>736</v>
      </c>
    </row>
    <row r="171" customFormat="false" ht="15" hidden="false" customHeight="false" outlineLevel="0" collapsed="false">
      <c r="A171" s="0" t="s">
        <v>707</v>
      </c>
      <c r="B171" s="54" t="s">
        <v>737</v>
      </c>
      <c r="C171" s="17" t="n">
        <v>114</v>
      </c>
      <c r="D171" s="16" t="s">
        <v>600</v>
      </c>
    </row>
    <row r="172" customFormat="false" ht="15" hidden="false" customHeight="false" outlineLevel="0" collapsed="false">
      <c r="A172" s="0" t="s">
        <v>738</v>
      </c>
      <c r="B172" s="54" t="s">
        <v>739</v>
      </c>
      <c r="C172" s="17" t="n">
        <v>11</v>
      </c>
      <c r="D172" s="16" t="s">
        <v>652</v>
      </c>
    </row>
    <row r="173" customFormat="false" ht="15" hidden="false" customHeight="false" outlineLevel="0" collapsed="false">
      <c r="A173" s="0" t="s">
        <v>738</v>
      </c>
      <c r="B173" s="54" t="s">
        <v>739</v>
      </c>
      <c r="C173" s="17" t="n">
        <v>12</v>
      </c>
      <c r="D173" s="16" t="s">
        <v>653</v>
      </c>
    </row>
    <row r="174" customFormat="false" ht="15" hidden="false" customHeight="false" outlineLevel="0" collapsed="false">
      <c r="A174" s="0" t="s">
        <v>738</v>
      </c>
      <c r="B174" s="54" t="s">
        <v>739</v>
      </c>
      <c r="C174" s="17" t="n">
        <v>13</v>
      </c>
      <c r="D174" s="16" t="s">
        <v>654</v>
      </c>
    </row>
    <row r="175" customFormat="false" ht="15" hidden="false" customHeight="false" outlineLevel="0" collapsed="false">
      <c r="A175" s="0" t="s">
        <v>738</v>
      </c>
      <c r="B175" s="54" t="s">
        <v>739</v>
      </c>
      <c r="C175" s="17" t="n">
        <v>14</v>
      </c>
      <c r="D175" s="16" t="s">
        <v>655</v>
      </c>
    </row>
    <row r="176" customFormat="false" ht="15" hidden="false" customHeight="false" outlineLevel="0" collapsed="false">
      <c r="A176" s="0" t="s">
        <v>738</v>
      </c>
      <c r="B176" s="54" t="s">
        <v>739</v>
      </c>
      <c r="C176" s="17" t="n">
        <v>15</v>
      </c>
      <c r="D176" s="0" t="s">
        <v>656</v>
      </c>
    </row>
    <row r="177" customFormat="false" ht="15" hidden="false" customHeight="false" outlineLevel="0" collapsed="false">
      <c r="A177" s="0" t="s">
        <v>738</v>
      </c>
      <c r="B177" s="54" t="s">
        <v>739</v>
      </c>
      <c r="C177" s="17" t="n">
        <v>16</v>
      </c>
      <c r="D177" s="0" t="s">
        <v>657</v>
      </c>
    </row>
    <row r="178" customFormat="false" ht="15" hidden="false" customHeight="false" outlineLevel="0" collapsed="false">
      <c r="A178" s="0" t="s">
        <v>738</v>
      </c>
      <c r="B178" s="54" t="s">
        <v>739</v>
      </c>
      <c r="C178" s="17" t="n">
        <v>17</v>
      </c>
      <c r="D178" s="0" t="s">
        <v>658</v>
      </c>
    </row>
    <row r="179" customFormat="false" ht="15" hidden="false" customHeight="false" outlineLevel="0" collapsed="false">
      <c r="A179" s="0" t="s">
        <v>738</v>
      </c>
      <c r="B179" s="54" t="s">
        <v>739</v>
      </c>
      <c r="C179" s="17" t="n">
        <v>18</v>
      </c>
      <c r="D179" s="0" t="s">
        <v>659</v>
      </c>
    </row>
    <row r="180" customFormat="false" ht="15" hidden="false" customHeight="false" outlineLevel="0" collapsed="false">
      <c r="A180" s="0" t="s">
        <v>738</v>
      </c>
      <c r="B180" s="54" t="s">
        <v>739</v>
      </c>
      <c r="C180" s="17" t="n">
        <v>19</v>
      </c>
      <c r="D180" s="0" t="s">
        <v>618</v>
      </c>
    </row>
    <row r="181" customFormat="false" ht="15" hidden="false" customHeight="false" outlineLevel="0" collapsed="false">
      <c r="A181" s="0" t="s">
        <v>738</v>
      </c>
      <c r="B181" s="54" t="s">
        <v>739</v>
      </c>
      <c r="C181" s="17" t="n">
        <v>20</v>
      </c>
      <c r="D181" s="0" t="s">
        <v>619</v>
      </c>
    </row>
    <row r="182" customFormat="false" ht="15" hidden="false" customHeight="false" outlineLevel="0" collapsed="false">
      <c r="A182" s="0" t="s">
        <v>738</v>
      </c>
      <c r="B182" s="54" t="s">
        <v>739</v>
      </c>
      <c r="C182" s="17" t="n">
        <v>21</v>
      </c>
      <c r="D182" s="0" t="s">
        <v>620</v>
      </c>
    </row>
    <row r="183" customFormat="false" ht="15" hidden="false" customHeight="false" outlineLevel="0" collapsed="false">
      <c r="A183" s="0" t="s">
        <v>738</v>
      </c>
      <c r="B183" s="54" t="s">
        <v>739</v>
      </c>
      <c r="C183" s="17" t="n">
        <v>22</v>
      </c>
      <c r="D183" s="0" t="s">
        <v>621</v>
      </c>
    </row>
    <row r="184" customFormat="false" ht="15" hidden="false" customHeight="false" outlineLevel="0" collapsed="false">
      <c r="A184" s="0" t="s">
        <v>738</v>
      </c>
      <c r="B184" s="54" t="s">
        <v>739</v>
      </c>
      <c r="C184" s="17" t="n">
        <v>23</v>
      </c>
      <c r="D184" s="0" t="s">
        <v>622</v>
      </c>
    </row>
    <row r="185" customFormat="false" ht="15" hidden="false" customHeight="false" outlineLevel="0" collapsed="false">
      <c r="A185" s="0" t="s">
        <v>738</v>
      </c>
      <c r="B185" s="54" t="s">
        <v>739</v>
      </c>
      <c r="C185" s="17" t="n">
        <v>24</v>
      </c>
      <c r="D185" s="0" t="s">
        <v>623</v>
      </c>
    </row>
    <row r="186" customFormat="false" ht="15" hidden="false" customHeight="false" outlineLevel="0" collapsed="false">
      <c r="A186" s="0" t="s">
        <v>738</v>
      </c>
      <c r="B186" s="54" t="s">
        <v>739</v>
      </c>
      <c r="C186" s="17" t="n">
        <v>25</v>
      </c>
      <c r="D186" s="0" t="s">
        <v>624</v>
      </c>
    </row>
    <row r="187" customFormat="false" ht="15" hidden="false" customHeight="false" outlineLevel="0" collapsed="false">
      <c r="A187" s="0" t="s">
        <v>738</v>
      </c>
      <c r="B187" s="54" t="s">
        <v>739</v>
      </c>
      <c r="C187" s="17" t="n">
        <v>26</v>
      </c>
      <c r="D187" s="0" t="s">
        <v>625</v>
      </c>
    </row>
    <row r="188" customFormat="false" ht="15" hidden="false" customHeight="false" outlineLevel="0" collapsed="false">
      <c r="A188" s="0" t="s">
        <v>738</v>
      </c>
      <c r="B188" s="54" t="s">
        <v>739</v>
      </c>
      <c r="C188" s="17" t="n">
        <v>27</v>
      </c>
      <c r="D188" s="0" t="s">
        <v>686</v>
      </c>
    </row>
    <row r="189" customFormat="false" ht="15" hidden="false" customHeight="false" outlineLevel="0" collapsed="false">
      <c r="A189" s="0" t="s">
        <v>738</v>
      </c>
      <c r="B189" s="54" t="s">
        <v>739</v>
      </c>
      <c r="C189" s="17" t="n">
        <v>28</v>
      </c>
      <c r="D189" s="0" t="s">
        <v>692</v>
      </c>
    </row>
    <row r="190" customFormat="false" ht="15" hidden="false" customHeight="false" outlineLevel="0" collapsed="false">
      <c r="A190" s="0" t="s">
        <v>738</v>
      </c>
      <c r="B190" s="54" t="s">
        <v>739</v>
      </c>
      <c r="C190" s="17" t="n">
        <v>29</v>
      </c>
      <c r="D190" s="0" t="s">
        <v>713</v>
      </c>
    </row>
    <row r="191" customFormat="false" ht="15" hidden="false" customHeight="false" outlineLevel="0" collapsed="false">
      <c r="A191" s="0" t="s">
        <v>738</v>
      </c>
      <c r="B191" s="54" t="s">
        <v>739</v>
      </c>
      <c r="C191" s="17" t="n">
        <v>30</v>
      </c>
      <c r="D191" s="0" t="s">
        <v>714</v>
      </c>
    </row>
    <row r="192" customFormat="false" ht="15" hidden="false" customHeight="false" outlineLevel="0" collapsed="false">
      <c r="A192" s="0" t="s">
        <v>738</v>
      </c>
      <c r="B192" s="54" t="s">
        <v>739</v>
      </c>
      <c r="C192" s="17" t="n">
        <v>31</v>
      </c>
      <c r="D192" s="0" t="s">
        <v>715</v>
      </c>
    </row>
    <row r="193" customFormat="false" ht="15" hidden="false" customHeight="false" outlineLevel="0" collapsed="false">
      <c r="A193" s="0" t="s">
        <v>738</v>
      </c>
      <c r="B193" s="54" t="s">
        <v>739</v>
      </c>
      <c r="C193" s="17" t="n">
        <v>32</v>
      </c>
      <c r="D193" s="0" t="s">
        <v>716</v>
      </c>
    </row>
    <row r="194" customFormat="false" ht="15" hidden="false" customHeight="false" outlineLevel="0" collapsed="false">
      <c r="A194" s="0" t="s">
        <v>738</v>
      </c>
      <c r="B194" s="54" t="s">
        <v>739</v>
      </c>
      <c r="C194" s="17" t="n">
        <v>33</v>
      </c>
      <c r="D194" s="0" t="s">
        <v>717</v>
      </c>
    </row>
    <row r="195" customFormat="false" ht="15" hidden="false" customHeight="false" outlineLevel="0" collapsed="false">
      <c r="A195" s="0" t="s">
        <v>738</v>
      </c>
      <c r="B195" s="54" t="s">
        <v>739</v>
      </c>
      <c r="C195" s="17" t="n">
        <v>34</v>
      </c>
      <c r="D195" s="0" t="s">
        <v>718</v>
      </c>
    </row>
    <row r="196" customFormat="false" ht="15" hidden="false" customHeight="false" outlineLevel="0" collapsed="false">
      <c r="A196" s="0" t="s">
        <v>740</v>
      </c>
      <c r="B196" s="54" t="s">
        <v>741</v>
      </c>
      <c r="C196" s="17" t="n">
        <v>59</v>
      </c>
      <c r="D196" s="0" t="s">
        <v>668</v>
      </c>
    </row>
    <row r="197" customFormat="false" ht="15" hidden="false" customHeight="false" outlineLevel="0" collapsed="false">
      <c r="A197" s="0" t="s">
        <v>740</v>
      </c>
      <c r="B197" s="54" t="s">
        <v>741</v>
      </c>
      <c r="C197" s="17" t="n">
        <v>60</v>
      </c>
      <c r="D197" s="0" t="s">
        <v>669</v>
      </c>
    </row>
    <row r="198" customFormat="false" ht="15" hidden="false" customHeight="false" outlineLevel="0" collapsed="false">
      <c r="A198" s="0" t="s">
        <v>740</v>
      </c>
      <c r="B198" s="54" t="s">
        <v>741</v>
      </c>
      <c r="C198" s="17" t="n">
        <v>61</v>
      </c>
      <c r="D198" s="0" t="s">
        <v>670</v>
      </c>
    </row>
    <row r="199" customFormat="false" ht="15" hidden="false" customHeight="false" outlineLevel="0" collapsed="false">
      <c r="A199" s="0" t="s">
        <v>740</v>
      </c>
      <c r="B199" s="54" t="s">
        <v>741</v>
      </c>
      <c r="C199" s="17" t="n">
        <v>62</v>
      </c>
      <c r="D199" s="0" t="s">
        <v>671</v>
      </c>
    </row>
    <row r="200" customFormat="false" ht="15" hidden="false" customHeight="false" outlineLevel="0" collapsed="false">
      <c r="A200" s="0" t="s">
        <v>740</v>
      </c>
      <c r="B200" s="54" t="s">
        <v>741</v>
      </c>
      <c r="C200" s="17" t="n">
        <v>63</v>
      </c>
      <c r="D200" s="0" t="s">
        <v>672</v>
      </c>
    </row>
    <row r="201" customFormat="false" ht="15" hidden="false" customHeight="false" outlineLevel="0" collapsed="false">
      <c r="A201" s="0" t="s">
        <v>740</v>
      </c>
      <c r="B201" s="54" t="s">
        <v>741</v>
      </c>
      <c r="C201" s="17" t="n">
        <v>64</v>
      </c>
      <c r="D201" s="0" t="s">
        <v>673</v>
      </c>
    </row>
    <row r="202" customFormat="false" ht="15" hidden="false" customHeight="false" outlineLevel="0" collapsed="false">
      <c r="A202" s="0" t="s">
        <v>740</v>
      </c>
      <c r="B202" s="54" t="s">
        <v>741</v>
      </c>
      <c r="C202" s="17" t="n">
        <v>65</v>
      </c>
      <c r="D202" s="0" t="s">
        <v>674</v>
      </c>
    </row>
    <row r="203" customFormat="false" ht="15" hidden="false" customHeight="false" outlineLevel="0" collapsed="false">
      <c r="A203" s="0" t="s">
        <v>740</v>
      </c>
      <c r="B203" s="54" t="s">
        <v>741</v>
      </c>
      <c r="C203" s="17" t="n">
        <v>66</v>
      </c>
      <c r="D203" s="0" t="s">
        <v>675</v>
      </c>
    </row>
    <row r="204" customFormat="false" ht="15" hidden="false" customHeight="false" outlineLevel="0" collapsed="false">
      <c r="A204" s="0" t="s">
        <v>740</v>
      </c>
      <c r="B204" s="54" t="s">
        <v>741</v>
      </c>
      <c r="C204" s="17" t="n">
        <v>67</v>
      </c>
      <c r="D204" s="0" t="s">
        <v>634</v>
      </c>
    </row>
    <row r="205" customFormat="false" ht="15" hidden="false" customHeight="false" outlineLevel="0" collapsed="false">
      <c r="A205" s="0" t="s">
        <v>740</v>
      </c>
      <c r="B205" s="54" t="s">
        <v>741</v>
      </c>
      <c r="C205" s="17" t="n">
        <v>68</v>
      </c>
      <c r="D205" s="0" t="s">
        <v>635</v>
      </c>
    </row>
    <row r="206" customFormat="false" ht="15" hidden="false" customHeight="false" outlineLevel="0" collapsed="false">
      <c r="A206" s="0" t="s">
        <v>740</v>
      </c>
      <c r="B206" s="54" t="s">
        <v>741</v>
      </c>
      <c r="C206" s="17" t="n">
        <v>69</v>
      </c>
      <c r="D206" s="0" t="s">
        <v>636</v>
      </c>
    </row>
    <row r="207" customFormat="false" ht="15" hidden="false" customHeight="false" outlineLevel="0" collapsed="false">
      <c r="A207" s="0" t="s">
        <v>740</v>
      </c>
      <c r="B207" s="54" t="s">
        <v>741</v>
      </c>
      <c r="C207" s="17" t="n">
        <v>70</v>
      </c>
      <c r="D207" s="0" t="s">
        <v>637</v>
      </c>
    </row>
    <row r="208" customFormat="false" ht="15" hidden="false" customHeight="false" outlineLevel="0" collapsed="false">
      <c r="A208" s="0" t="s">
        <v>740</v>
      </c>
      <c r="B208" s="54" t="s">
        <v>741</v>
      </c>
      <c r="C208" s="17" t="n">
        <v>71</v>
      </c>
      <c r="D208" s="0" t="s">
        <v>638</v>
      </c>
    </row>
    <row r="209" customFormat="false" ht="15" hidden="false" customHeight="false" outlineLevel="0" collapsed="false">
      <c r="A209" s="0" t="s">
        <v>740</v>
      </c>
      <c r="B209" s="54" t="s">
        <v>741</v>
      </c>
      <c r="C209" s="17" t="n">
        <v>72</v>
      </c>
      <c r="D209" s="0" t="s">
        <v>639</v>
      </c>
    </row>
    <row r="210" customFormat="false" ht="15" hidden="false" customHeight="false" outlineLevel="0" collapsed="false">
      <c r="A210" s="0" t="s">
        <v>740</v>
      </c>
      <c r="B210" s="54" t="s">
        <v>741</v>
      </c>
      <c r="C210" s="17" t="n">
        <v>73</v>
      </c>
      <c r="D210" s="0" t="s">
        <v>640</v>
      </c>
    </row>
    <row r="211" customFormat="false" ht="15" hidden="false" customHeight="false" outlineLevel="0" collapsed="false">
      <c r="A211" s="0" t="s">
        <v>740</v>
      </c>
      <c r="B211" s="54" t="s">
        <v>741</v>
      </c>
      <c r="C211" s="17" t="n">
        <v>74</v>
      </c>
      <c r="D211" s="0" t="s">
        <v>641</v>
      </c>
    </row>
    <row r="212" customFormat="false" ht="15" hidden="false" customHeight="false" outlineLevel="0" collapsed="false">
      <c r="A212" s="0" t="s">
        <v>740</v>
      </c>
      <c r="B212" s="54" t="s">
        <v>741</v>
      </c>
      <c r="C212" s="17" t="n">
        <v>75</v>
      </c>
      <c r="D212" s="0" t="s">
        <v>688</v>
      </c>
    </row>
    <row r="213" customFormat="false" ht="15" hidden="false" customHeight="false" outlineLevel="0" collapsed="false">
      <c r="A213" s="0" t="s">
        <v>740</v>
      </c>
      <c r="B213" s="54" t="s">
        <v>741</v>
      </c>
      <c r="C213" s="17" t="n">
        <v>76</v>
      </c>
      <c r="D213" s="0" t="s">
        <v>694</v>
      </c>
    </row>
    <row r="214" customFormat="false" ht="15" hidden="false" customHeight="false" outlineLevel="0" collapsed="false">
      <c r="A214" s="0" t="s">
        <v>740</v>
      </c>
      <c r="B214" s="54" t="s">
        <v>741</v>
      </c>
      <c r="C214" s="17" t="n">
        <v>77</v>
      </c>
      <c r="D214" s="0" t="s">
        <v>725</v>
      </c>
    </row>
    <row r="215" customFormat="false" ht="15" hidden="false" customHeight="false" outlineLevel="0" collapsed="false">
      <c r="A215" s="0" t="s">
        <v>740</v>
      </c>
      <c r="B215" s="54" t="s">
        <v>741</v>
      </c>
      <c r="C215" s="17" t="n">
        <v>78</v>
      </c>
      <c r="D215" s="0" t="s">
        <v>726</v>
      </c>
    </row>
    <row r="216" customFormat="false" ht="15" hidden="false" customHeight="false" outlineLevel="0" collapsed="false">
      <c r="A216" s="0" t="s">
        <v>740</v>
      </c>
      <c r="B216" s="54" t="s">
        <v>741</v>
      </c>
      <c r="C216" s="17" t="n">
        <v>79</v>
      </c>
      <c r="D216" s="0" t="s">
        <v>727</v>
      </c>
    </row>
    <row r="217" customFormat="false" ht="15" hidden="false" customHeight="false" outlineLevel="0" collapsed="false">
      <c r="A217" s="0" t="s">
        <v>740</v>
      </c>
      <c r="B217" s="54" t="s">
        <v>741</v>
      </c>
      <c r="C217" s="17" t="n">
        <v>80</v>
      </c>
      <c r="D217" s="0" t="s">
        <v>728</v>
      </c>
    </row>
    <row r="218" customFormat="false" ht="15" hidden="false" customHeight="false" outlineLevel="0" collapsed="false">
      <c r="A218" s="0" t="s">
        <v>740</v>
      </c>
      <c r="B218" s="54" t="s">
        <v>741</v>
      </c>
      <c r="C218" s="17" t="n">
        <v>81</v>
      </c>
      <c r="D218" s="0" t="s">
        <v>729</v>
      </c>
    </row>
    <row r="219" customFormat="false" ht="15" hidden="false" customHeight="false" outlineLevel="0" collapsed="false">
      <c r="A219" s="0" t="s">
        <v>740</v>
      </c>
      <c r="B219" s="54" t="s">
        <v>741</v>
      </c>
      <c r="C219" s="17" t="n">
        <v>82</v>
      </c>
      <c r="D219" s="0" t="s">
        <v>730</v>
      </c>
    </row>
    <row r="220" customFormat="false" ht="15" hidden="false" customHeight="false" outlineLevel="0" collapsed="false">
      <c r="A220" s="0" t="s">
        <v>742</v>
      </c>
      <c r="B220" s="54" t="s">
        <v>743</v>
      </c>
      <c r="C220" s="17" t="n">
        <v>83</v>
      </c>
      <c r="D220" s="0" t="s">
        <v>676</v>
      </c>
    </row>
    <row r="221" customFormat="false" ht="15" hidden="false" customHeight="false" outlineLevel="0" collapsed="false">
      <c r="A221" s="0" t="s">
        <v>742</v>
      </c>
      <c r="B221" s="54" t="s">
        <v>743</v>
      </c>
      <c r="C221" s="17" t="n">
        <v>84</v>
      </c>
      <c r="D221" s="0" t="s">
        <v>677</v>
      </c>
    </row>
    <row r="222" customFormat="false" ht="15" hidden="false" customHeight="false" outlineLevel="0" collapsed="false">
      <c r="A222" s="0" t="s">
        <v>742</v>
      </c>
      <c r="B222" s="54" t="s">
        <v>743</v>
      </c>
      <c r="C222" s="17" t="n">
        <v>85</v>
      </c>
      <c r="D222" s="0" t="s">
        <v>678</v>
      </c>
    </row>
    <row r="223" customFormat="false" ht="15" hidden="false" customHeight="false" outlineLevel="0" collapsed="false">
      <c r="A223" s="0" t="s">
        <v>742</v>
      </c>
      <c r="B223" s="54" t="s">
        <v>743</v>
      </c>
      <c r="C223" s="17" t="n">
        <v>86</v>
      </c>
      <c r="D223" s="0" t="s">
        <v>679</v>
      </c>
    </row>
    <row r="224" customFormat="false" ht="15" hidden="false" customHeight="false" outlineLevel="0" collapsed="false">
      <c r="A224" s="0" t="s">
        <v>742</v>
      </c>
      <c r="B224" s="54" t="s">
        <v>743</v>
      </c>
      <c r="C224" s="17" t="n">
        <v>87</v>
      </c>
      <c r="D224" s="0" t="s">
        <v>680</v>
      </c>
    </row>
    <row r="225" customFormat="false" ht="15" hidden="false" customHeight="false" outlineLevel="0" collapsed="false">
      <c r="A225" s="0" t="s">
        <v>742</v>
      </c>
      <c r="B225" s="54" t="s">
        <v>743</v>
      </c>
      <c r="C225" s="17" t="n">
        <v>88</v>
      </c>
      <c r="D225" s="0" t="s">
        <v>681</v>
      </c>
    </row>
    <row r="226" customFormat="false" ht="15" hidden="false" customHeight="false" outlineLevel="0" collapsed="false">
      <c r="A226" s="0" t="s">
        <v>742</v>
      </c>
      <c r="B226" s="54" t="s">
        <v>743</v>
      </c>
      <c r="C226" s="17" t="n">
        <v>89</v>
      </c>
      <c r="D226" s="0" t="s">
        <v>682</v>
      </c>
    </row>
    <row r="227" customFormat="false" ht="15" hidden="false" customHeight="false" outlineLevel="0" collapsed="false">
      <c r="A227" s="0" t="s">
        <v>742</v>
      </c>
      <c r="B227" s="54" t="s">
        <v>743</v>
      </c>
      <c r="C227" s="17" t="n">
        <v>90</v>
      </c>
      <c r="D227" s="0" t="s">
        <v>683</v>
      </c>
    </row>
    <row r="228" customFormat="false" ht="15" hidden="false" customHeight="false" outlineLevel="0" collapsed="false">
      <c r="A228" s="0" t="s">
        <v>742</v>
      </c>
      <c r="B228" s="54" t="s">
        <v>743</v>
      </c>
      <c r="C228" s="17" t="n">
        <v>91</v>
      </c>
      <c r="D228" s="0" t="s">
        <v>642</v>
      </c>
    </row>
    <row r="229" customFormat="false" ht="15" hidden="false" customHeight="false" outlineLevel="0" collapsed="false">
      <c r="A229" s="0" t="s">
        <v>742</v>
      </c>
      <c r="B229" s="54" t="s">
        <v>743</v>
      </c>
      <c r="C229" s="17" t="n">
        <v>92</v>
      </c>
      <c r="D229" s="0" t="s">
        <v>643</v>
      </c>
    </row>
    <row r="230" customFormat="false" ht="15" hidden="false" customHeight="false" outlineLevel="0" collapsed="false">
      <c r="A230" s="0" t="s">
        <v>742</v>
      </c>
      <c r="B230" s="54" t="s">
        <v>743</v>
      </c>
      <c r="C230" s="17" t="n">
        <v>93</v>
      </c>
      <c r="D230" s="0" t="s">
        <v>644</v>
      </c>
    </row>
    <row r="231" customFormat="false" ht="15" hidden="false" customHeight="false" outlineLevel="0" collapsed="false">
      <c r="A231" s="0" t="s">
        <v>742</v>
      </c>
      <c r="B231" s="54" t="s">
        <v>743</v>
      </c>
      <c r="C231" s="17" t="n">
        <v>94</v>
      </c>
      <c r="D231" s="0" t="s">
        <v>645</v>
      </c>
    </row>
    <row r="232" customFormat="false" ht="15" hidden="false" customHeight="false" outlineLevel="0" collapsed="false">
      <c r="A232" s="0" t="s">
        <v>742</v>
      </c>
      <c r="B232" s="54" t="s">
        <v>743</v>
      </c>
      <c r="C232" s="17" t="n">
        <v>95</v>
      </c>
      <c r="D232" s="0" t="s">
        <v>646</v>
      </c>
    </row>
    <row r="233" customFormat="false" ht="15" hidden="false" customHeight="false" outlineLevel="0" collapsed="false">
      <c r="A233" s="0" t="s">
        <v>742</v>
      </c>
      <c r="B233" s="54" t="s">
        <v>743</v>
      </c>
      <c r="C233" s="17" t="n">
        <v>96</v>
      </c>
      <c r="D233" s="0" t="s">
        <v>647</v>
      </c>
    </row>
    <row r="234" customFormat="false" ht="15" hidden="false" customHeight="false" outlineLevel="0" collapsed="false">
      <c r="A234" s="0" t="s">
        <v>742</v>
      </c>
      <c r="B234" s="54" t="s">
        <v>743</v>
      </c>
      <c r="C234" s="17" t="n">
        <v>97</v>
      </c>
      <c r="D234" s="0" t="s">
        <v>648</v>
      </c>
    </row>
    <row r="235" customFormat="false" ht="15" hidden="false" customHeight="false" outlineLevel="0" collapsed="false">
      <c r="A235" s="0" t="s">
        <v>742</v>
      </c>
      <c r="B235" s="54" t="s">
        <v>743</v>
      </c>
      <c r="C235" s="17" t="n">
        <v>98</v>
      </c>
      <c r="D235" s="0" t="s">
        <v>649</v>
      </c>
    </row>
    <row r="236" customFormat="false" ht="15" hidden="false" customHeight="false" outlineLevel="0" collapsed="false">
      <c r="A236" s="0" t="s">
        <v>742</v>
      </c>
      <c r="B236" s="54" t="s">
        <v>743</v>
      </c>
      <c r="C236" s="17" t="n">
        <v>99</v>
      </c>
      <c r="D236" s="0" t="s">
        <v>689</v>
      </c>
    </row>
    <row r="237" customFormat="false" ht="15" hidden="false" customHeight="false" outlineLevel="0" collapsed="false">
      <c r="A237" s="0" t="s">
        <v>742</v>
      </c>
      <c r="B237" s="54" t="s">
        <v>743</v>
      </c>
      <c r="C237" s="17" t="n">
        <v>100</v>
      </c>
      <c r="D237" s="0" t="s">
        <v>695</v>
      </c>
    </row>
    <row r="238" customFormat="false" ht="15" hidden="false" customHeight="false" outlineLevel="0" collapsed="false">
      <c r="A238" s="0" t="s">
        <v>742</v>
      </c>
      <c r="B238" s="54" t="s">
        <v>743</v>
      </c>
      <c r="C238" s="17" t="n">
        <v>101</v>
      </c>
      <c r="D238" s="0" t="s">
        <v>731</v>
      </c>
    </row>
    <row r="239" customFormat="false" ht="15" hidden="false" customHeight="false" outlineLevel="0" collapsed="false">
      <c r="A239" s="0" t="s">
        <v>742</v>
      </c>
      <c r="B239" s="54" t="s">
        <v>743</v>
      </c>
      <c r="C239" s="17" t="n">
        <v>102</v>
      </c>
      <c r="D239" s="0" t="s">
        <v>732</v>
      </c>
    </row>
    <row r="240" customFormat="false" ht="15" hidden="false" customHeight="false" outlineLevel="0" collapsed="false">
      <c r="A240" s="0" t="s">
        <v>742</v>
      </c>
      <c r="B240" s="54" t="s">
        <v>743</v>
      </c>
      <c r="C240" s="17" t="n">
        <v>103</v>
      </c>
      <c r="D240" s="0" t="s">
        <v>733</v>
      </c>
    </row>
    <row r="241" customFormat="false" ht="15" hidden="false" customHeight="false" outlineLevel="0" collapsed="false">
      <c r="A241" s="0" t="s">
        <v>742</v>
      </c>
      <c r="B241" s="54" t="s">
        <v>743</v>
      </c>
      <c r="C241" s="17" t="n">
        <v>104</v>
      </c>
      <c r="D241" s="0" t="s">
        <v>734</v>
      </c>
    </row>
    <row r="242" customFormat="false" ht="15" hidden="false" customHeight="false" outlineLevel="0" collapsed="false">
      <c r="A242" s="0" t="s">
        <v>742</v>
      </c>
      <c r="B242" s="54" t="s">
        <v>743</v>
      </c>
      <c r="C242" s="17" t="n">
        <v>105</v>
      </c>
      <c r="D242" s="0" t="s">
        <v>735</v>
      </c>
    </row>
    <row r="243" customFormat="false" ht="15" hidden="false" customHeight="false" outlineLevel="0" collapsed="false">
      <c r="A243" s="0" t="s">
        <v>742</v>
      </c>
      <c r="B243" s="54" t="s">
        <v>743</v>
      </c>
      <c r="C243" s="17" t="n">
        <v>106</v>
      </c>
      <c r="D243" s="0" t="s">
        <v>736</v>
      </c>
    </row>
    <row r="244" customFormat="false" ht="15" hidden="false" customHeight="false" outlineLevel="0" collapsed="false">
      <c r="A244" s="0" t="s">
        <v>744</v>
      </c>
      <c r="B244" s="54" t="s">
        <v>745</v>
      </c>
      <c r="C244" s="17" t="n">
        <v>35</v>
      </c>
      <c r="D244" s="0" t="s">
        <v>660</v>
      </c>
    </row>
    <row r="245" customFormat="false" ht="15" hidden="false" customHeight="false" outlineLevel="0" collapsed="false">
      <c r="A245" s="0" t="s">
        <v>744</v>
      </c>
      <c r="B245" s="54" t="s">
        <v>745</v>
      </c>
      <c r="C245" s="17" t="n">
        <v>36</v>
      </c>
      <c r="D245" s="0" t="s">
        <v>661</v>
      </c>
    </row>
    <row r="246" customFormat="false" ht="15" hidden="false" customHeight="false" outlineLevel="0" collapsed="false">
      <c r="A246" s="0" t="s">
        <v>744</v>
      </c>
      <c r="B246" s="54" t="s">
        <v>745</v>
      </c>
      <c r="C246" s="17" t="n">
        <v>37</v>
      </c>
      <c r="D246" s="0" t="s">
        <v>662</v>
      </c>
    </row>
    <row r="247" customFormat="false" ht="15" hidden="false" customHeight="false" outlineLevel="0" collapsed="false">
      <c r="A247" s="0" t="s">
        <v>744</v>
      </c>
      <c r="B247" s="54" t="s">
        <v>745</v>
      </c>
      <c r="C247" s="17" t="n">
        <v>38</v>
      </c>
      <c r="D247" s="0" t="s">
        <v>663</v>
      </c>
    </row>
    <row r="248" customFormat="false" ht="15" hidden="false" customHeight="false" outlineLevel="0" collapsed="false">
      <c r="A248" s="0" t="s">
        <v>744</v>
      </c>
      <c r="B248" s="54" t="s">
        <v>745</v>
      </c>
      <c r="C248" s="17" t="n">
        <v>39</v>
      </c>
      <c r="D248" s="0" t="s">
        <v>664</v>
      </c>
    </row>
    <row r="249" customFormat="false" ht="15" hidden="false" customHeight="false" outlineLevel="0" collapsed="false">
      <c r="A249" s="0" t="s">
        <v>744</v>
      </c>
      <c r="B249" s="54" t="s">
        <v>745</v>
      </c>
      <c r="C249" s="17" t="n">
        <v>40</v>
      </c>
      <c r="D249" s="0" t="s">
        <v>665</v>
      </c>
    </row>
    <row r="250" customFormat="false" ht="15" hidden="false" customHeight="false" outlineLevel="0" collapsed="false">
      <c r="A250" s="0" t="s">
        <v>744</v>
      </c>
      <c r="B250" s="54" t="s">
        <v>745</v>
      </c>
      <c r="C250" s="17" t="n">
        <v>41</v>
      </c>
      <c r="D250" s="0" t="s">
        <v>666</v>
      </c>
    </row>
    <row r="251" customFormat="false" ht="15" hidden="false" customHeight="false" outlineLevel="0" collapsed="false">
      <c r="A251" s="0" t="s">
        <v>744</v>
      </c>
      <c r="B251" s="54" t="s">
        <v>745</v>
      </c>
      <c r="C251" s="17" t="n">
        <v>42</v>
      </c>
      <c r="D251" s="0" t="s">
        <v>667</v>
      </c>
    </row>
    <row r="252" customFormat="false" ht="15" hidden="false" customHeight="false" outlineLevel="0" collapsed="false">
      <c r="A252" s="0" t="s">
        <v>744</v>
      </c>
      <c r="B252" s="54" t="s">
        <v>745</v>
      </c>
      <c r="C252" s="17" t="n">
        <v>43</v>
      </c>
      <c r="D252" s="0" t="s">
        <v>626</v>
      </c>
    </row>
    <row r="253" customFormat="false" ht="15" hidden="false" customHeight="false" outlineLevel="0" collapsed="false">
      <c r="A253" s="0" t="s">
        <v>744</v>
      </c>
      <c r="B253" s="54" t="s">
        <v>745</v>
      </c>
      <c r="C253" s="17" t="n">
        <v>44</v>
      </c>
      <c r="D253" s="0" t="s">
        <v>627</v>
      </c>
    </row>
    <row r="254" customFormat="false" ht="15" hidden="false" customHeight="false" outlineLevel="0" collapsed="false">
      <c r="A254" s="0" t="s">
        <v>744</v>
      </c>
      <c r="B254" s="54" t="s">
        <v>745</v>
      </c>
      <c r="C254" s="17" t="n">
        <v>45</v>
      </c>
      <c r="D254" s="0" t="s">
        <v>628</v>
      </c>
    </row>
    <row r="255" customFormat="false" ht="15" hidden="false" customHeight="false" outlineLevel="0" collapsed="false">
      <c r="A255" s="0" t="s">
        <v>744</v>
      </c>
      <c r="B255" s="54" t="s">
        <v>745</v>
      </c>
      <c r="C255" s="17" t="n">
        <v>46</v>
      </c>
      <c r="D255" s="0" t="s">
        <v>629</v>
      </c>
    </row>
    <row r="256" customFormat="false" ht="15" hidden="false" customHeight="false" outlineLevel="0" collapsed="false">
      <c r="A256" s="0" t="s">
        <v>744</v>
      </c>
      <c r="B256" s="54" t="s">
        <v>745</v>
      </c>
      <c r="C256" s="17" t="n">
        <v>47</v>
      </c>
      <c r="D256" s="0" t="s">
        <v>630</v>
      </c>
    </row>
    <row r="257" customFormat="false" ht="15" hidden="false" customHeight="false" outlineLevel="0" collapsed="false">
      <c r="A257" s="0" t="s">
        <v>744</v>
      </c>
      <c r="B257" s="54" t="s">
        <v>745</v>
      </c>
      <c r="C257" s="17" t="n">
        <v>48</v>
      </c>
      <c r="D257" s="0" t="s">
        <v>631</v>
      </c>
    </row>
    <row r="258" customFormat="false" ht="15" hidden="false" customHeight="false" outlineLevel="0" collapsed="false">
      <c r="A258" s="0" t="s">
        <v>744</v>
      </c>
      <c r="B258" s="54" t="s">
        <v>745</v>
      </c>
      <c r="C258" s="17" t="n">
        <v>49</v>
      </c>
      <c r="D258" s="0" t="s">
        <v>632</v>
      </c>
    </row>
    <row r="259" customFormat="false" ht="15" hidden="false" customHeight="false" outlineLevel="0" collapsed="false">
      <c r="A259" s="0" t="s">
        <v>744</v>
      </c>
      <c r="B259" s="54" t="s">
        <v>745</v>
      </c>
      <c r="C259" s="17" t="n">
        <v>50</v>
      </c>
      <c r="D259" s="0" t="s">
        <v>633</v>
      </c>
    </row>
    <row r="260" customFormat="false" ht="15" hidden="false" customHeight="false" outlineLevel="0" collapsed="false">
      <c r="A260" s="0" t="s">
        <v>744</v>
      </c>
      <c r="B260" s="54" t="s">
        <v>745</v>
      </c>
      <c r="C260" s="17" t="n">
        <v>51</v>
      </c>
      <c r="D260" s="0" t="s">
        <v>687</v>
      </c>
    </row>
    <row r="261" customFormat="false" ht="15" hidden="false" customHeight="false" outlineLevel="0" collapsed="false">
      <c r="A261" s="0" t="s">
        <v>744</v>
      </c>
      <c r="B261" s="54" t="s">
        <v>745</v>
      </c>
      <c r="C261" s="17" t="n">
        <v>52</v>
      </c>
      <c r="D261" s="0" t="s">
        <v>693</v>
      </c>
    </row>
    <row r="262" customFormat="false" ht="15" hidden="false" customHeight="false" outlineLevel="0" collapsed="false">
      <c r="A262" s="0" t="s">
        <v>744</v>
      </c>
      <c r="B262" s="54" t="s">
        <v>745</v>
      </c>
      <c r="C262" s="17" t="n">
        <v>53</v>
      </c>
      <c r="D262" s="0" t="s">
        <v>719</v>
      </c>
    </row>
    <row r="263" customFormat="false" ht="15" hidden="false" customHeight="false" outlineLevel="0" collapsed="false">
      <c r="A263" s="0" t="s">
        <v>744</v>
      </c>
      <c r="B263" s="54" t="s">
        <v>745</v>
      </c>
      <c r="C263" s="17" t="n">
        <v>54</v>
      </c>
      <c r="D263" s="0" t="s">
        <v>720</v>
      </c>
    </row>
    <row r="264" customFormat="false" ht="15" hidden="false" customHeight="false" outlineLevel="0" collapsed="false">
      <c r="A264" s="0" t="s">
        <v>744</v>
      </c>
      <c r="B264" s="54" t="s">
        <v>745</v>
      </c>
      <c r="C264" s="17" t="n">
        <v>55</v>
      </c>
      <c r="D264" s="0" t="s">
        <v>721</v>
      </c>
    </row>
    <row r="265" customFormat="false" ht="15" hidden="false" customHeight="false" outlineLevel="0" collapsed="false">
      <c r="A265" s="0" t="s">
        <v>744</v>
      </c>
      <c r="B265" s="54" t="s">
        <v>745</v>
      </c>
      <c r="C265" s="17" t="n">
        <v>56</v>
      </c>
      <c r="D265" s="0" t="s">
        <v>722</v>
      </c>
    </row>
    <row r="266" customFormat="false" ht="15" hidden="false" customHeight="false" outlineLevel="0" collapsed="false">
      <c r="A266" s="0" t="s">
        <v>744</v>
      </c>
      <c r="B266" s="54" t="s">
        <v>745</v>
      </c>
      <c r="C266" s="17" t="n">
        <v>57</v>
      </c>
      <c r="D266" s="0" t="s">
        <v>723</v>
      </c>
    </row>
    <row r="267" customFormat="false" ht="15" hidden="false" customHeight="false" outlineLevel="0" collapsed="false">
      <c r="A267" s="0" t="s">
        <v>744</v>
      </c>
      <c r="B267" s="54" t="s">
        <v>745</v>
      </c>
      <c r="C267" s="17" t="n">
        <v>58</v>
      </c>
      <c r="D267" s="0" t="s">
        <v>724</v>
      </c>
    </row>
    <row r="268" customFormat="false" ht="15" hidden="false" customHeight="false" outlineLevel="0" collapsed="false">
      <c r="A268" s="0" t="s">
        <v>711</v>
      </c>
      <c r="B268" s="54" t="s">
        <v>746</v>
      </c>
      <c r="C268" s="17" t="n">
        <v>27</v>
      </c>
      <c r="D268" s="0" t="s">
        <v>686</v>
      </c>
    </row>
    <row r="269" customFormat="false" ht="15" hidden="false" customHeight="false" outlineLevel="0" collapsed="false">
      <c r="A269" s="0" t="s">
        <v>711</v>
      </c>
      <c r="B269" s="54" t="s">
        <v>746</v>
      </c>
      <c r="C269" s="17" t="n">
        <v>28</v>
      </c>
      <c r="D269" s="0" t="s">
        <v>692</v>
      </c>
    </row>
    <row r="270" customFormat="false" ht="15" hidden="false" customHeight="false" outlineLevel="0" collapsed="false">
      <c r="A270" s="0" t="s">
        <v>711</v>
      </c>
      <c r="B270" s="54" t="s">
        <v>746</v>
      </c>
      <c r="C270" s="17" t="n">
        <v>29</v>
      </c>
      <c r="D270" s="0" t="s">
        <v>713</v>
      </c>
    </row>
    <row r="271" customFormat="false" ht="15" hidden="false" customHeight="false" outlineLevel="0" collapsed="false">
      <c r="A271" s="0" t="s">
        <v>711</v>
      </c>
      <c r="B271" s="54" t="s">
        <v>746</v>
      </c>
      <c r="C271" s="17" t="n">
        <v>30</v>
      </c>
      <c r="D271" s="0" t="s">
        <v>714</v>
      </c>
    </row>
    <row r="272" customFormat="false" ht="15" hidden="false" customHeight="false" outlineLevel="0" collapsed="false">
      <c r="A272" s="0" t="s">
        <v>711</v>
      </c>
      <c r="B272" s="54" t="s">
        <v>746</v>
      </c>
      <c r="C272" s="17" t="n">
        <v>31</v>
      </c>
      <c r="D272" s="0" t="s">
        <v>715</v>
      </c>
    </row>
    <row r="273" customFormat="false" ht="15" hidden="false" customHeight="false" outlineLevel="0" collapsed="false">
      <c r="A273" s="0" t="s">
        <v>711</v>
      </c>
      <c r="B273" s="54" t="s">
        <v>746</v>
      </c>
      <c r="C273" s="17" t="n">
        <v>32</v>
      </c>
      <c r="D273" s="0" t="s">
        <v>716</v>
      </c>
    </row>
    <row r="274" customFormat="false" ht="15" hidden="false" customHeight="false" outlineLevel="0" collapsed="false">
      <c r="A274" s="0" t="s">
        <v>711</v>
      </c>
      <c r="B274" s="54" t="s">
        <v>746</v>
      </c>
      <c r="C274" s="17" t="n">
        <v>33</v>
      </c>
      <c r="D274" s="0" t="s">
        <v>717</v>
      </c>
    </row>
    <row r="275" customFormat="false" ht="15" hidden="false" customHeight="false" outlineLevel="0" collapsed="false">
      <c r="A275" s="0" t="s">
        <v>711</v>
      </c>
      <c r="B275" s="54" t="s">
        <v>746</v>
      </c>
      <c r="C275" s="17" t="n">
        <v>34</v>
      </c>
      <c r="D275" s="0" t="s">
        <v>718</v>
      </c>
    </row>
    <row r="276" customFormat="false" ht="15" hidden="false" customHeight="false" outlineLevel="0" collapsed="false">
      <c r="A276" s="0" t="s">
        <v>711</v>
      </c>
      <c r="B276" s="54" t="s">
        <v>746</v>
      </c>
      <c r="C276" s="17" t="n">
        <v>51</v>
      </c>
      <c r="D276" s="0" t="s">
        <v>687</v>
      </c>
    </row>
    <row r="277" customFormat="false" ht="15" hidden="false" customHeight="false" outlineLevel="0" collapsed="false">
      <c r="A277" s="0" t="s">
        <v>711</v>
      </c>
      <c r="B277" s="54" t="s">
        <v>746</v>
      </c>
      <c r="C277" s="17" t="n">
        <v>52</v>
      </c>
      <c r="D277" s="0" t="s">
        <v>693</v>
      </c>
    </row>
    <row r="278" customFormat="false" ht="15" hidden="false" customHeight="false" outlineLevel="0" collapsed="false">
      <c r="A278" s="0" t="s">
        <v>711</v>
      </c>
      <c r="B278" s="54" t="s">
        <v>746</v>
      </c>
      <c r="C278" s="17" t="n">
        <v>53</v>
      </c>
      <c r="D278" s="0" t="s">
        <v>719</v>
      </c>
    </row>
    <row r="279" customFormat="false" ht="15" hidden="false" customHeight="false" outlineLevel="0" collapsed="false">
      <c r="A279" s="0" t="s">
        <v>711</v>
      </c>
      <c r="B279" s="54" t="s">
        <v>746</v>
      </c>
      <c r="C279" s="17" t="n">
        <v>54</v>
      </c>
      <c r="D279" s="0" t="s">
        <v>720</v>
      </c>
    </row>
    <row r="280" customFormat="false" ht="15" hidden="false" customHeight="false" outlineLevel="0" collapsed="false">
      <c r="A280" s="0" t="s">
        <v>711</v>
      </c>
      <c r="B280" s="54" t="s">
        <v>746</v>
      </c>
      <c r="C280" s="17" t="n">
        <v>55</v>
      </c>
      <c r="D280" s="0" t="s">
        <v>721</v>
      </c>
    </row>
    <row r="281" customFormat="false" ht="15" hidden="false" customHeight="false" outlineLevel="0" collapsed="false">
      <c r="A281" s="0" t="s">
        <v>711</v>
      </c>
      <c r="B281" s="54" t="s">
        <v>746</v>
      </c>
      <c r="C281" s="17" t="n">
        <v>56</v>
      </c>
      <c r="D281" s="0" t="s">
        <v>722</v>
      </c>
    </row>
    <row r="282" customFormat="false" ht="15" hidden="false" customHeight="false" outlineLevel="0" collapsed="false">
      <c r="A282" s="0" t="s">
        <v>711</v>
      </c>
      <c r="B282" s="54" t="s">
        <v>746</v>
      </c>
      <c r="C282" s="17" t="n">
        <v>57</v>
      </c>
      <c r="D282" s="0" t="s">
        <v>723</v>
      </c>
    </row>
    <row r="283" customFormat="false" ht="15" hidden="false" customHeight="false" outlineLevel="0" collapsed="false">
      <c r="A283" s="0" t="s">
        <v>711</v>
      </c>
      <c r="B283" s="54" t="s">
        <v>746</v>
      </c>
      <c r="C283" s="17" t="n">
        <v>58</v>
      </c>
      <c r="D283" s="0" t="s">
        <v>724</v>
      </c>
    </row>
    <row r="284" customFormat="false" ht="15" hidden="false" customHeight="false" outlineLevel="0" collapsed="false">
      <c r="A284" s="0" t="s">
        <v>711</v>
      </c>
      <c r="B284" s="54" t="s">
        <v>746</v>
      </c>
      <c r="C284" s="17" t="n">
        <v>75</v>
      </c>
      <c r="D284" s="0" t="s">
        <v>688</v>
      </c>
    </row>
    <row r="285" customFormat="false" ht="15" hidden="false" customHeight="false" outlineLevel="0" collapsed="false">
      <c r="A285" s="0" t="s">
        <v>711</v>
      </c>
      <c r="B285" s="54" t="s">
        <v>746</v>
      </c>
      <c r="C285" s="17" t="n">
        <v>76</v>
      </c>
      <c r="D285" s="0" t="s">
        <v>694</v>
      </c>
    </row>
    <row r="286" customFormat="false" ht="15" hidden="false" customHeight="false" outlineLevel="0" collapsed="false">
      <c r="A286" s="0" t="s">
        <v>711</v>
      </c>
      <c r="B286" s="54" t="s">
        <v>746</v>
      </c>
      <c r="C286" s="17" t="n">
        <v>77</v>
      </c>
      <c r="D286" s="0" t="s">
        <v>725</v>
      </c>
    </row>
    <row r="287" customFormat="false" ht="15" hidden="false" customHeight="false" outlineLevel="0" collapsed="false">
      <c r="A287" s="0" t="s">
        <v>711</v>
      </c>
      <c r="B287" s="54" t="s">
        <v>746</v>
      </c>
      <c r="C287" s="17" t="n">
        <v>78</v>
      </c>
      <c r="D287" s="0" t="s">
        <v>726</v>
      </c>
    </row>
    <row r="288" customFormat="false" ht="15" hidden="false" customHeight="false" outlineLevel="0" collapsed="false">
      <c r="A288" s="0" t="s">
        <v>711</v>
      </c>
      <c r="B288" s="54" t="s">
        <v>746</v>
      </c>
      <c r="C288" s="17" t="n">
        <v>79</v>
      </c>
      <c r="D288" s="0" t="s">
        <v>727</v>
      </c>
    </row>
    <row r="289" customFormat="false" ht="15" hidden="false" customHeight="false" outlineLevel="0" collapsed="false">
      <c r="A289" s="0" t="s">
        <v>711</v>
      </c>
      <c r="B289" s="54" t="s">
        <v>746</v>
      </c>
      <c r="C289" s="17" t="n">
        <v>80</v>
      </c>
      <c r="D289" s="0" t="s">
        <v>728</v>
      </c>
    </row>
    <row r="290" customFormat="false" ht="15" hidden="false" customHeight="false" outlineLevel="0" collapsed="false">
      <c r="A290" s="0" t="s">
        <v>711</v>
      </c>
      <c r="B290" s="54" t="s">
        <v>746</v>
      </c>
      <c r="C290" s="17" t="n">
        <v>81</v>
      </c>
      <c r="D290" s="0" t="s">
        <v>729</v>
      </c>
    </row>
    <row r="291" customFormat="false" ht="15" hidden="false" customHeight="false" outlineLevel="0" collapsed="false">
      <c r="A291" s="0" t="s">
        <v>711</v>
      </c>
      <c r="B291" s="54" t="s">
        <v>746</v>
      </c>
      <c r="C291" s="17" t="n">
        <v>82</v>
      </c>
      <c r="D291" s="0" t="s">
        <v>730</v>
      </c>
    </row>
    <row r="292" customFormat="false" ht="15" hidden="false" customHeight="false" outlineLevel="0" collapsed="false">
      <c r="A292" s="0" t="s">
        <v>711</v>
      </c>
      <c r="B292" s="54" t="s">
        <v>746</v>
      </c>
      <c r="C292" s="17" t="n">
        <v>99</v>
      </c>
      <c r="D292" s="0" t="s">
        <v>689</v>
      </c>
    </row>
    <row r="293" customFormat="false" ht="15" hidden="false" customHeight="false" outlineLevel="0" collapsed="false">
      <c r="A293" s="0" t="s">
        <v>711</v>
      </c>
      <c r="B293" s="54" t="s">
        <v>746</v>
      </c>
      <c r="C293" s="17" t="n">
        <v>100</v>
      </c>
      <c r="D293" s="0" t="s">
        <v>695</v>
      </c>
    </row>
    <row r="294" customFormat="false" ht="15" hidden="false" customHeight="false" outlineLevel="0" collapsed="false">
      <c r="A294" s="0" t="s">
        <v>711</v>
      </c>
      <c r="B294" s="54" t="s">
        <v>746</v>
      </c>
      <c r="C294" s="17" t="n">
        <v>101</v>
      </c>
      <c r="D294" s="0" t="s">
        <v>731</v>
      </c>
    </row>
    <row r="295" customFormat="false" ht="15" hidden="false" customHeight="false" outlineLevel="0" collapsed="false">
      <c r="A295" s="0" t="s">
        <v>711</v>
      </c>
      <c r="B295" s="54" t="s">
        <v>746</v>
      </c>
      <c r="C295" s="17" t="n">
        <v>102</v>
      </c>
      <c r="D295" s="0" t="s">
        <v>732</v>
      </c>
    </row>
    <row r="296" customFormat="false" ht="15" hidden="false" customHeight="false" outlineLevel="0" collapsed="false">
      <c r="A296" s="0" t="s">
        <v>711</v>
      </c>
      <c r="B296" s="54" t="s">
        <v>746</v>
      </c>
      <c r="C296" s="17" t="n">
        <v>103</v>
      </c>
      <c r="D296" s="0" t="s">
        <v>733</v>
      </c>
    </row>
    <row r="297" customFormat="false" ht="15" hidden="false" customHeight="false" outlineLevel="0" collapsed="false">
      <c r="A297" s="0" t="s">
        <v>711</v>
      </c>
      <c r="B297" s="54" t="s">
        <v>746</v>
      </c>
      <c r="C297" s="17" t="n">
        <v>104</v>
      </c>
      <c r="D297" s="0" t="s">
        <v>734</v>
      </c>
    </row>
    <row r="298" customFormat="false" ht="15" hidden="false" customHeight="false" outlineLevel="0" collapsed="false">
      <c r="A298" s="0" t="s">
        <v>711</v>
      </c>
      <c r="B298" s="54" t="s">
        <v>746</v>
      </c>
      <c r="C298" s="17" t="n">
        <v>105</v>
      </c>
      <c r="D298" s="0" t="s">
        <v>735</v>
      </c>
    </row>
    <row r="299" customFormat="false" ht="15" hidden="false" customHeight="false" outlineLevel="0" collapsed="false">
      <c r="A299" s="0" t="s">
        <v>711</v>
      </c>
      <c r="B299" s="54" t="s">
        <v>746</v>
      </c>
      <c r="C299" s="17" t="n">
        <v>106</v>
      </c>
      <c r="D299" s="0" t="s">
        <v>736</v>
      </c>
    </row>
    <row r="300" customFormat="false" ht="15" hidden="false" customHeight="false" outlineLevel="0" collapsed="false">
      <c r="A300" s="0" t="s">
        <v>747</v>
      </c>
      <c r="B300" s="55" t="s">
        <v>748</v>
      </c>
      <c r="C300" s="17" t="n">
        <v>13</v>
      </c>
      <c r="D300" s="16" t="s">
        <v>654</v>
      </c>
    </row>
    <row r="301" customFormat="false" ht="15" hidden="false" customHeight="false" outlineLevel="0" collapsed="false">
      <c r="A301" s="0" t="s">
        <v>747</v>
      </c>
      <c r="B301" s="55" t="s">
        <v>748</v>
      </c>
      <c r="C301" s="17" t="n">
        <v>21</v>
      </c>
      <c r="D301" s="0" t="s">
        <v>620</v>
      </c>
    </row>
    <row r="302" customFormat="false" ht="15" hidden="false" customHeight="false" outlineLevel="0" collapsed="false">
      <c r="A302" s="0" t="s">
        <v>747</v>
      </c>
      <c r="B302" s="55" t="s">
        <v>748</v>
      </c>
      <c r="C302" s="17" t="n">
        <v>29</v>
      </c>
      <c r="D302" s="0" t="s">
        <v>713</v>
      </c>
    </row>
    <row r="303" customFormat="false" ht="15" hidden="false" customHeight="false" outlineLevel="0" collapsed="false">
      <c r="A303" s="0" t="s">
        <v>747</v>
      </c>
      <c r="B303" s="55" t="s">
        <v>748</v>
      </c>
      <c r="C303" s="17" t="n">
        <v>37</v>
      </c>
      <c r="D303" s="0" t="s">
        <v>662</v>
      </c>
    </row>
    <row r="304" customFormat="false" ht="15" hidden="false" customHeight="false" outlineLevel="0" collapsed="false">
      <c r="A304" s="0" t="s">
        <v>747</v>
      </c>
      <c r="B304" s="55" t="s">
        <v>748</v>
      </c>
      <c r="C304" s="17" t="n">
        <v>45</v>
      </c>
      <c r="D304" s="0" t="s">
        <v>628</v>
      </c>
    </row>
    <row r="305" customFormat="false" ht="15" hidden="false" customHeight="false" outlineLevel="0" collapsed="false">
      <c r="A305" s="0" t="s">
        <v>747</v>
      </c>
      <c r="B305" s="55" t="s">
        <v>748</v>
      </c>
      <c r="C305" s="17" t="n">
        <v>53</v>
      </c>
      <c r="D305" s="0" t="s">
        <v>719</v>
      </c>
    </row>
    <row r="306" customFormat="false" ht="15" hidden="false" customHeight="false" outlineLevel="0" collapsed="false">
      <c r="A306" s="0" t="s">
        <v>747</v>
      </c>
      <c r="B306" s="55" t="s">
        <v>748</v>
      </c>
      <c r="C306" s="17" t="n">
        <v>61</v>
      </c>
      <c r="D306" s="0" t="s">
        <v>670</v>
      </c>
    </row>
    <row r="307" customFormat="false" ht="15" hidden="false" customHeight="false" outlineLevel="0" collapsed="false">
      <c r="A307" s="0" t="s">
        <v>747</v>
      </c>
      <c r="B307" s="55" t="s">
        <v>748</v>
      </c>
      <c r="C307" s="17" t="n">
        <v>69</v>
      </c>
      <c r="D307" s="0" t="s">
        <v>636</v>
      </c>
    </row>
    <row r="308" customFormat="false" ht="15" hidden="false" customHeight="false" outlineLevel="0" collapsed="false">
      <c r="A308" s="0" t="s">
        <v>747</v>
      </c>
      <c r="B308" s="55" t="s">
        <v>748</v>
      </c>
      <c r="C308" s="17" t="n">
        <v>77</v>
      </c>
      <c r="D308" s="0" t="s">
        <v>725</v>
      </c>
    </row>
    <row r="309" customFormat="false" ht="15" hidden="false" customHeight="false" outlineLevel="0" collapsed="false">
      <c r="A309" s="0" t="s">
        <v>747</v>
      </c>
      <c r="B309" s="55" t="s">
        <v>748</v>
      </c>
      <c r="C309" s="17" t="n">
        <v>85</v>
      </c>
      <c r="D309" s="0" t="s">
        <v>678</v>
      </c>
    </row>
    <row r="310" customFormat="false" ht="15" hidden="false" customHeight="false" outlineLevel="0" collapsed="false">
      <c r="A310" s="0" t="s">
        <v>747</v>
      </c>
      <c r="B310" s="55" t="s">
        <v>748</v>
      </c>
      <c r="C310" s="17" t="n">
        <v>93</v>
      </c>
      <c r="D310" s="0" t="s">
        <v>644</v>
      </c>
    </row>
    <row r="311" customFormat="false" ht="15" hidden="false" customHeight="false" outlineLevel="0" collapsed="false">
      <c r="A311" s="0" t="s">
        <v>747</v>
      </c>
      <c r="B311" s="55" t="s">
        <v>748</v>
      </c>
      <c r="C311" s="17" t="n">
        <v>101</v>
      </c>
      <c r="D311" s="0" t="s">
        <v>731</v>
      </c>
    </row>
    <row r="312" customFormat="false" ht="15" hidden="false" customHeight="false" outlineLevel="0" collapsed="false">
      <c r="A312" s="0" t="s">
        <v>749</v>
      </c>
      <c r="B312" s="54" t="s">
        <v>750</v>
      </c>
      <c r="C312" s="17" t="n">
        <v>18</v>
      </c>
      <c r="D312" s="0" t="s">
        <v>659</v>
      </c>
    </row>
    <row r="313" customFormat="false" ht="15" hidden="false" customHeight="false" outlineLevel="0" collapsed="false">
      <c r="A313" s="0" t="s">
        <v>749</v>
      </c>
      <c r="B313" s="54" t="s">
        <v>750</v>
      </c>
      <c r="C313" s="17" t="n">
        <v>26</v>
      </c>
      <c r="D313" s="0" t="s">
        <v>625</v>
      </c>
    </row>
    <row r="314" customFormat="false" ht="15" hidden="false" customHeight="false" outlineLevel="0" collapsed="false">
      <c r="A314" s="0" t="s">
        <v>749</v>
      </c>
      <c r="B314" s="54" t="s">
        <v>750</v>
      </c>
      <c r="C314" s="17" t="n">
        <v>34</v>
      </c>
      <c r="D314" s="0" t="s">
        <v>718</v>
      </c>
    </row>
    <row r="315" customFormat="false" ht="15" hidden="false" customHeight="false" outlineLevel="0" collapsed="false">
      <c r="A315" s="0" t="s">
        <v>749</v>
      </c>
      <c r="B315" s="54" t="s">
        <v>750</v>
      </c>
      <c r="C315" s="17" t="n">
        <v>42</v>
      </c>
      <c r="D315" s="0" t="s">
        <v>667</v>
      </c>
    </row>
    <row r="316" customFormat="false" ht="15" hidden="false" customHeight="false" outlineLevel="0" collapsed="false">
      <c r="A316" s="0" t="s">
        <v>749</v>
      </c>
      <c r="B316" s="54" t="s">
        <v>750</v>
      </c>
      <c r="C316" s="17" t="n">
        <v>50</v>
      </c>
      <c r="D316" s="0" t="s">
        <v>633</v>
      </c>
    </row>
    <row r="317" customFormat="false" ht="15" hidden="false" customHeight="false" outlineLevel="0" collapsed="false">
      <c r="A317" s="0" t="s">
        <v>749</v>
      </c>
      <c r="B317" s="54" t="s">
        <v>750</v>
      </c>
      <c r="C317" s="17" t="n">
        <v>58</v>
      </c>
      <c r="D317" s="0" t="s">
        <v>724</v>
      </c>
    </row>
    <row r="318" customFormat="false" ht="15" hidden="false" customHeight="false" outlineLevel="0" collapsed="false">
      <c r="A318" s="0" t="s">
        <v>749</v>
      </c>
      <c r="B318" s="54" t="s">
        <v>750</v>
      </c>
      <c r="C318" s="17" t="n">
        <v>66</v>
      </c>
      <c r="D318" s="0" t="s">
        <v>675</v>
      </c>
    </row>
    <row r="319" customFormat="false" ht="15" hidden="false" customHeight="false" outlineLevel="0" collapsed="false">
      <c r="A319" s="0" t="s">
        <v>749</v>
      </c>
      <c r="B319" s="54" t="s">
        <v>750</v>
      </c>
      <c r="C319" s="17" t="n">
        <v>74</v>
      </c>
      <c r="D319" s="0" t="s">
        <v>641</v>
      </c>
    </row>
    <row r="320" customFormat="false" ht="15" hidden="false" customHeight="false" outlineLevel="0" collapsed="false">
      <c r="A320" s="0" t="s">
        <v>749</v>
      </c>
      <c r="B320" s="54" t="s">
        <v>750</v>
      </c>
      <c r="C320" s="17" t="n">
        <v>82</v>
      </c>
      <c r="D320" s="0" t="s">
        <v>730</v>
      </c>
    </row>
    <row r="321" customFormat="false" ht="15" hidden="false" customHeight="false" outlineLevel="0" collapsed="false">
      <c r="A321" s="0" t="s">
        <v>749</v>
      </c>
      <c r="B321" s="54" t="s">
        <v>750</v>
      </c>
      <c r="C321" s="17" t="n">
        <v>90</v>
      </c>
      <c r="D321" s="0" t="s">
        <v>683</v>
      </c>
    </row>
    <row r="322" customFormat="false" ht="15" hidden="false" customHeight="false" outlineLevel="0" collapsed="false">
      <c r="A322" s="0" t="s">
        <v>749</v>
      </c>
      <c r="B322" s="54" t="s">
        <v>750</v>
      </c>
      <c r="C322" s="17" t="n">
        <v>98</v>
      </c>
      <c r="D322" s="0" t="s">
        <v>649</v>
      </c>
    </row>
    <row r="323" customFormat="false" ht="15" hidden="false" customHeight="false" outlineLevel="0" collapsed="false">
      <c r="A323" s="0" t="s">
        <v>749</v>
      </c>
      <c r="B323" s="54" t="s">
        <v>750</v>
      </c>
      <c r="C323" s="17" t="n">
        <v>106</v>
      </c>
      <c r="D323" s="0" t="s">
        <v>736</v>
      </c>
    </row>
    <row r="324" customFormat="false" ht="15" hidden="false" customHeight="false" outlineLevel="0" collapsed="false">
      <c r="A324" s="0" t="s">
        <v>751</v>
      </c>
      <c r="B324" s="54" t="s">
        <v>752</v>
      </c>
      <c r="C324" s="17" t="n">
        <v>17</v>
      </c>
      <c r="D324" s="0" t="s">
        <v>658</v>
      </c>
    </row>
    <row r="325" customFormat="false" ht="15" hidden="false" customHeight="false" outlineLevel="0" collapsed="false">
      <c r="A325" s="0" t="s">
        <v>751</v>
      </c>
      <c r="B325" s="54" t="s">
        <v>752</v>
      </c>
      <c r="C325" s="17" t="n">
        <v>25</v>
      </c>
      <c r="D325" s="0" t="s">
        <v>624</v>
      </c>
    </row>
    <row r="326" customFormat="false" ht="15" hidden="false" customHeight="false" outlineLevel="0" collapsed="false">
      <c r="A326" s="0" t="s">
        <v>751</v>
      </c>
      <c r="B326" s="54" t="s">
        <v>752</v>
      </c>
      <c r="C326" s="17" t="n">
        <v>33</v>
      </c>
      <c r="D326" s="0" t="s">
        <v>717</v>
      </c>
    </row>
    <row r="327" customFormat="false" ht="15" hidden="false" customHeight="false" outlineLevel="0" collapsed="false">
      <c r="A327" s="0" t="s">
        <v>751</v>
      </c>
      <c r="B327" s="54" t="s">
        <v>752</v>
      </c>
      <c r="C327" s="17" t="n">
        <v>41</v>
      </c>
      <c r="D327" s="0" t="s">
        <v>666</v>
      </c>
    </row>
    <row r="328" customFormat="false" ht="15" hidden="false" customHeight="false" outlineLevel="0" collapsed="false">
      <c r="A328" s="0" t="s">
        <v>751</v>
      </c>
      <c r="B328" s="54" t="s">
        <v>752</v>
      </c>
      <c r="C328" s="17" t="n">
        <v>49</v>
      </c>
      <c r="D328" s="0" t="s">
        <v>632</v>
      </c>
    </row>
    <row r="329" customFormat="false" ht="15" hidden="false" customHeight="false" outlineLevel="0" collapsed="false">
      <c r="A329" s="0" t="s">
        <v>751</v>
      </c>
      <c r="B329" s="54" t="s">
        <v>752</v>
      </c>
      <c r="C329" s="17" t="n">
        <v>57</v>
      </c>
      <c r="D329" s="0" t="s">
        <v>723</v>
      </c>
    </row>
    <row r="330" customFormat="false" ht="15" hidden="false" customHeight="false" outlineLevel="0" collapsed="false">
      <c r="A330" s="0" t="s">
        <v>751</v>
      </c>
      <c r="B330" s="54" t="s">
        <v>752</v>
      </c>
      <c r="C330" s="17" t="n">
        <v>65</v>
      </c>
      <c r="D330" s="0" t="s">
        <v>674</v>
      </c>
    </row>
    <row r="331" customFormat="false" ht="15" hidden="false" customHeight="false" outlineLevel="0" collapsed="false">
      <c r="A331" s="0" t="s">
        <v>751</v>
      </c>
      <c r="B331" s="54" t="s">
        <v>752</v>
      </c>
      <c r="C331" s="17" t="n">
        <v>73</v>
      </c>
      <c r="D331" s="0" t="s">
        <v>640</v>
      </c>
    </row>
    <row r="332" customFormat="false" ht="15" hidden="false" customHeight="false" outlineLevel="0" collapsed="false">
      <c r="A332" s="0" t="s">
        <v>751</v>
      </c>
      <c r="B332" s="54" t="s">
        <v>752</v>
      </c>
      <c r="C332" s="17" t="n">
        <v>81</v>
      </c>
      <c r="D332" s="0" t="s">
        <v>729</v>
      </c>
    </row>
    <row r="333" customFormat="false" ht="15" hidden="false" customHeight="false" outlineLevel="0" collapsed="false">
      <c r="A333" s="0" t="s">
        <v>751</v>
      </c>
      <c r="B333" s="54" t="s">
        <v>752</v>
      </c>
      <c r="C333" s="17" t="n">
        <v>89</v>
      </c>
      <c r="D333" s="0" t="s">
        <v>682</v>
      </c>
    </row>
    <row r="334" customFormat="false" ht="15" hidden="false" customHeight="false" outlineLevel="0" collapsed="false">
      <c r="A334" s="0" t="s">
        <v>751</v>
      </c>
      <c r="B334" s="54" t="s">
        <v>752</v>
      </c>
      <c r="C334" s="17" t="n">
        <v>97</v>
      </c>
      <c r="D334" s="0" t="s">
        <v>648</v>
      </c>
    </row>
    <row r="335" customFormat="false" ht="15" hidden="false" customHeight="false" outlineLevel="0" collapsed="false">
      <c r="A335" s="0" t="s">
        <v>751</v>
      </c>
      <c r="B335" s="54" t="s">
        <v>752</v>
      </c>
      <c r="C335" s="17" t="n">
        <v>105</v>
      </c>
      <c r="D335" s="0" t="s">
        <v>735</v>
      </c>
    </row>
    <row r="336" customFormat="false" ht="15" hidden="false" customHeight="false" outlineLevel="0" collapsed="false">
      <c r="A336" s="0" t="s">
        <v>753</v>
      </c>
      <c r="B336" s="54" t="s">
        <v>754</v>
      </c>
      <c r="C336" s="17" t="n">
        <v>16</v>
      </c>
      <c r="D336" s="0" t="s">
        <v>657</v>
      </c>
    </row>
    <row r="337" customFormat="false" ht="15" hidden="false" customHeight="false" outlineLevel="0" collapsed="false">
      <c r="A337" s="0" t="s">
        <v>753</v>
      </c>
      <c r="B337" s="54" t="s">
        <v>754</v>
      </c>
      <c r="C337" s="17" t="n">
        <v>24</v>
      </c>
      <c r="D337" s="0" t="s">
        <v>623</v>
      </c>
    </row>
    <row r="338" customFormat="false" ht="15" hidden="false" customHeight="false" outlineLevel="0" collapsed="false">
      <c r="A338" s="0" t="s">
        <v>753</v>
      </c>
      <c r="B338" s="54" t="s">
        <v>754</v>
      </c>
      <c r="C338" s="17" t="n">
        <v>32</v>
      </c>
      <c r="D338" s="0" t="s">
        <v>716</v>
      </c>
    </row>
    <row r="339" customFormat="false" ht="15" hidden="false" customHeight="false" outlineLevel="0" collapsed="false">
      <c r="A339" s="0" t="s">
        <v>753</v>
      </c>
      <c r="B339" s="54" t="s">
        <v>754</v>
      </c>
      <c r="C339" s="17" t="n">
        <v>40</v>
      </c>
      <c r="D339" s="0" t="s">
        <v>665</v>
      </c>
    </row>
    <row r="340" customFormat="false" ht="15" hidden="false" customHeight="false" outlineLevel="0" collapsed="false">
      <c r="A340" s="0" t="s">
        <v>753</v>
      </c>
      <c r="B340" s="54" t="s">
        <v>754</v>
      </c>
      <c r="C340" s="17" t="n">
        <v>48</v>
      </c>
      <c r="D340" s="0" t="s">
        <v>631</v>
      </c>
    </row>
    <row r="341" customFormat="false" ht="15" hidden="false" customHeight="false" outlineLevel="0" collapsed="false">
      <c r="A341" s="0" t="s">
        <v>753</v>
      </c>
      <c r="B341" s="54" t="s">
        <v>754</v>
      </c>
      <c r="C341" s="17" t="n">
        <v>56</v>
      </c>
      <c r="D341" s="0" t="s">
        <v>722</v>
      </c>
    </row>
    <row r="342" customFormat="false" ht="15" hidden="false" customHeight="false" outlineLevel="0" collapsed="false">
      <c r="A342" s="0" t="s">
        <v>753</v>
      </c>
      <c r="B342" s="54" t="s">
        <v>754</v>
      </c>
      <c r="C342" s="17" t="n">
        <v>64</v>
      </c>
      <c r="D342" s="0" t="s">
        <v>673</v>
      </c>
    </row>
    <row r="343" customFormat="false" ht="15" hidden="false" customHeight="false" outlineLevel="0" collapsed="false">
      <c r="A343" s="0" t="s">
        <v>753</v>
      </c>
      <c r="B343" s="54" t="s">
        <v>754</v>
      </c>
      <c r="C343" s="17" t="n">
        <v>72</v>
      </c>
      <c r="D343" s="0" t="s">
        <v>639</v>
      </c>
    </row>
    <row r="344" customFormat="false" ht="15" hidden="false" customHeight="false" outlineLevel="0" collapsed="false">
      <c r="A344" s="0" t="s">
        <v>753</v>
      </c>
      <c r="B344" s="54" t="s">
        <v>754</v>
      </c>
      <c r="C344" s="17" t="n">
        <v>80</v>
      </c>
      <c r="D344" s="0" t="s">
        <v>728</v>
      </c>
    </row>
    <row r="345" customFormat="false" ht="15" hidden="false" customHeight="false" outlineLevel="0" collapsed="false">
      <c r="A345" s="0" t="s">
        <v>753</v>
      </c>
      <c r="B345" s="54" t="s">
        <v>754</v>
      </c>
      <c r="C345" s="17" t="n">
        <v>88</v>
      </c>
      <c r="D345" s="0" t="s">
        <v>681</v>
      </c>
    </row>
    <row r="346" customFormat="false" ht="15" hidden="false" customHeight="false" outlineLevel="0" collapsed="false">
      <c r="A346" s="0" t="s">
        <v>753</v>
      </c>
      <c r="B346" s="54" t="s">
        <v>754</v>
      </c>
      <c r="C346" s="17" t="n">
        <v>96</v>
      </c>
      <c r="D346" s="0" t="s">
        <v>647</v>
      </c>
    </row>
    <row r="347" customFormat="false" ht="15" hidden="false" customHeight="false" outlineLevel="0" collapsed="false">
      <c r="A347" s="0" t="s">
        <v>753</v>
      </c>
      <c r="B347" s="54" t="s">
        <v>754</v>
      </c>
      <c r="C347" s="17" t="n">
        <v>104</v>
      </c>
      <c r="D347" s="0" t="s">
        <v>734</v>
      </c>
    </row>
    <row r="348" customFormat="false" ht="15" hidden="false" customHeight="false" outlineLevel="0" collapsed="false">
      <c r="A348" s="0" t="s">
        <v>755</v>
      </c>
      <c r="B348" s="54" t="s">
        <v>756</v>
      </c>
      <c r="C348" s="17" t="n">
        <v>15</v>
      </c>
      <c r="D348" s="0" t="s">
        <v>656</v>
      </c>
    </row>
    <row r="349" customFormat="false" ht="15" hidden="false" customHeight="false" outlineLevel="0" collapsed="false">
      <c r="A349" s="0" t="s">
        <v>755</v>
      </c>
      <c r="B349" s="54" t="s">
        <v>756</v>
      </c>
      <c r="C349" s="17" t="n">
        <v>23</v>
      </c>
      <c r="D349" s="0" t="s">
        <v>622</v>
      </c>
    </row>
    <row r="350" customFormat="false" ht="15" hidden="false" customHeight="false" outlineLevel="0" collapsed="false">
      <c r="A350" s="0" t="s">
        <v>755</v>
      </c>
      <c r="B350" s="54" t="s">
        <v>756</v>
      </c>
      <c r="C350" s="17" t="n">
        <v>31</v>
      </c>
      <c r="D350" s="0" t="s">
        <v>715</v>
      </c>
    </row>
    <row r="351" customFormat="false" ht="15" hidden="false" customHeight="false" outlineLevel="0" collapsed="false">
      <c r="A351" s="0" t="s">
        <v>755</v>
      </c>
      <c r="B351" s="54" t="s">
        <v>756</v>
      </c>
      <c r="C351" s="17" t="n">
        <v>39</v>
      </c>
      <c r="D351" s="0" t="s">
        <v>664</v>
      </c>
    </row>
    <row r="352" customFormat="false" ht="15" hidden="false" customHeight="false" outlineLevel="0" collapsed="false">
      <c r="A352" s="0" t="s">
        <v>755</v>
      </c>
      <c r="B352" s="54" t="s">
        <v>756</v>
      </c>
      <c r="C352" s="17" t="n">
        <v>47</v>
      </c>
      <c r="D352" s="0" t="s">
        <v>630</v>
      </c>
    </row>
    <row r="353" customFormat="false" ht="15" hidden="false" customHeight="false" outlineLevel="0" collapsed="false">
      <c r="A353" s="0" t="s">
        <v>755</v>
      </c>
      <c r="B353" s="54" t="s">
        <v>756</v>
      </c>
      <c r="C353" s="17" t="n">
        <v>55</v>
      </c>
      <c r="D353" s="0" t="s">
        <v>721</v>
      </c>
    </row>
    <row r="354" customFormat="false" ht="15" hidden="false" customHeight="false" outlineLevel="0" collapsed="false">
      <c r="A354" s="0" t="s">
        <v>755</v>
      </c>
      <c r="B354" s="54" t="s">
        <v>756</v>
      </c>
      <c r="C354" s="17" t="n">
        <v>63</v>
      </c>
      <c r="D354" s="0" t="s">
        <v>672</v>
      </c>
    </row>
    <row r="355" customFormat="false" ht="15" hidden="false" customHeight="false" outlineLevel="0" collapsed="false">
      <c r="A355" s="0" t="s">
        <v>755</v>
      </c>
      <c r="B355" s="54" t="s">
        <v>756</v>
      </c>
      <c r="C355" s="17" t="n">
        <v>71</v>
      </c>
      <c r="D355" s="0" t="s">
        <v>638</v>
      </c>
    </row>
    <row r="356" customFormat="false" ht="15" hidden="false" customHeight="false" outlineLevel="0" collapsed="false">
      <c r="A356" s="0" t="s">
        <v>755</v>
      </c>
      <c r="B356" s="54" t="s">
        <v>756</v>
      </c>
      <c r="C356" s="17" t="n">
        <v>79</v>
      </c>
      <c r="D356" s="0" t="s">
        <v>727</v>
      </c>
    </row>
    <row r="357" customFormat="false" ht="15" hidden="false" customHeight="false" outlineLevel="0" collapsed="false">
      <c r="A357" s="0" t="s">
        <v>755</v>
      </c>
      <c r="B357" s="54" t="s">
        <v>756</v>
      </c>
      <c r="C357" s="17" t="n">
        <v>87</v>
      </c>
      <c r="D357" s="0" t="s">
        <v>680</v>
      </c>
    </row>
    <row r="358" customFormat="false" ht="15" hidden="false" customHeight="false" outlineLevel="0" collapsed="false">
      <c r="A358" s="0" t="s">
        <v>755</v>
      </c>
      <c r="B358" s="54" t="s">
        <v>756</v>
      </c>
      <c r="C358" s="17" t="n">
        <v>95</v>
      </c>
      <c r="D358" s="0" t="s">
        <v>646</v>
      </c>
    </row>
    <row r="359" customFormat="false" ht="15" hidden="false" customHeight="false" outlineLevel="0" collapsed="false">
      <c r="A359" s="0" t="s">
        <v>755</v>
      </c>
      <c r="B359" s="54" t="s">
        <v>756</v>
      </c>
      <c r="C359" s="17" t="n">
        <v>103</v>
      </c>
      <c r="D359" s="0" t="s">
        <v>733</v>
      </c>
    </row>
    <row r="360" customFormat="false" ht="15" hidden="false" customHeight="false" outlineLevel="0" collapsed="false">
      <c r="A360" s="0" t="s">
        <v>757</v>
      </c>
      <c r="B360" s="54" t="s">
        <v>758</v>
      </c>
      <c r="C360" s="17" t="n">
        <v>14</v>
      </c>
      <c r="D360" s="16" t="s">
        <v>655</v>
      </c>
    </row>
    <row r="361" customFormat="false" ht="15" hidden="false" customHeight="false" outlineLevel="0" collapsed="false">
      <c r="A361" s="0" t="s">
        <v>757</v>
      </c>
      <c r="B361" s="54" t="s">
        <v>758</v>
      </c>
      <c r="C361" s="17" t="n">
        <v>22</v>
      </c>
      <c r="D361" s="17" t="s">
        <v>621</v>
      </c>
    </row>
    <row r="362" customFormat="false" ht="15" hidden="false" customHeight="false" outlineLevel="0" collapsed="false">
      <c r="A362" s="0" t="s">
        <v>757</v>
      </c>
      <c r="B362" s="54" t="s">
        <v>758</v>
      </c>
      <c r="C362" s="17" t="n">
        <v>30</v>
      </c>
      <c r="D362" s="17" t="s">
        <v>714</v>
      </c>
    </row>
    <row r="363" customFormat="false" ht="15" hidden="false" customHeight="false" outlineLevel="0" collapsed="false">
      <c r="A363" s="0" t="s">
        <v>757</v>
      </c>
      <c r="B363" s="54" t="s">
        <v>758</v>
      </c>
      <c r="C363" s="17" t="n">
        <v>38</v>
      </c>
      <c r="D363" s="17" t="s">
        <v>663</v>
      </c>
    </row>
    <row r="364" customFormat="false" ht="15" hidden="false" customHeight="false" outlineLevel="0" collapsed="false">
      <c r="A364" s="0" t="s">
        <v>757</v>
      </c>
      <c r="B364" s="54" t="s">
        <v>758</v>
      </c>
      <c r="C364" s="17" t="n">
        <v>46</v>
      </c>
      <c r="D364" s="17" t="s">
        <v>629</v>
      </c>
    </row>
    <row r="365" customFormat="false" ht="15" hidden="false" customHeight="false" outlineLevel="0" collapsed="false">
      <c r="A365" s="0" t="s">
        <v>757</v>
      </c>
      <c r="B365" s="54" t="s">
        <v>758</v>
      </c>
      <c r="C365" s="17" t="n">
        <v>54</v>
      </c>
      <c r="D365" s="17" t="s">
        <v>720</v>
      </c>
    </row>
    <row r="366" customFormat="false" ht="15" hidden="false" customHeight="false" outlineLevel="0" collapsed="false">
      <c r="A366" s="0" t="s">
        <v>757</v>
      </c>
      <c r="B366" s="54" t="s">
        <v>758</v>
      </c>
      <c r="C366" s="17" t="n">
        <v>62</v>
      </c>
      <c r="D366" s="17" t="s">
        <v>671</v>
      </c>
    </row>
    <row r="367" customFormat="false" ht="15" hidden="false" customHeight="false" outlineLevel="0" collapsed="false">
      <c r="A367" s="0" t="s">
        <v>757</v>
      </c>
      <c r="B367" s="54" t="s">
        <v>758</v>
      </c>
      <c r="C367" s="17" t="n">
        <v>70</v>
      </c>
      <c r="D367" s="17" t="s">
        <v>637</v>
      </c>
    </row>
    <row r="368" customFormat="false" ht="15" hidden="false" customHeight="false" outlineLevel="0" collapsed="false">
      <c r="A368" s="0" t="s">
        <v>757</v>
      </c>
      <c r="B368" s="54" t="s">
        <v>758</v>
      </c>
      <c r="C368" s="17" t="n">
        <v>78</v>
      </c>
      <c r="D368" s="17" t="s">
        <v>726</v>
      </c>
    </row>
    <row r="369" customFormat="false" ht="15" hidden="false" customHeight="false" outlineLevel="0" collapsed="false">
      <c r="A369" s="0" t="s">
        <v>757</v>
      </c>
      <c r="B369" s="54" t="s">
        <v>758</v>
      </c>
      <c r="C369" s="17" t="n">
        <v>86</v>
      </c>
      <c r="D369" s="17" t="s">
        <v>679</v>
      </c>
    </row>
    <row r="370" customFormat="false" ht="15" hidden="false" customHeight="false" outlineLevel="0" collapsed="false">
      <c r="A370" s="0" t="s">
        <v>757</v>
      </c>
      <c r="B370" s="54" t="s">
        <v>758</v>
      </c>
      <c r="C370" s="17" t="n">
        <v>94</v>
      </c>
      <c r="D370" s="17" t="s">
        <v>645</v>
      </c>
    </row>
    <row r="371" customFormat="false" ht="15" hidden="false" customHeight="false" outlineLevel="0" collapsed="false">
      <c r="A371" s="0" t="s">
        <v>757</v>
      </c>
      <c r="B371" s="54" t="s">
        <v>758</v>
      </c>
      <c r="C371" s="17" t="n">
        <v>102</v>
      </c>
      <c r="D371" s="17" t="s">
        <v>732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I269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C261" activeCellId="1" sqref="A5:D14 C261"/>
    </sheetView>
  </sheetViews>
  <sheetFormatPr defaultRowHeight="15"/>
  <cols>
    <col collapsed="false" hidden="false" max="1" min="1" style="16" width="10.4210526315789"/>
    <col collapsed="false" hidden="false" max="2" min="2" style="16" width="19.6153846153846"/>
    <col collapsed="false" hidden="false" max="3" min="3" style="0" width="37.748987854251"/>
    <col collapsed="false" hidden="false" max="5" min="4" style="0" width="17.0445344129555"/>
    <col collapsed="false" hidden="false" max="6" min="6" style="60" width="23"/>
    <col collapsed="false" hidden="false" max="7" min="7" style="60" width="12.1740890688259"/>
    <col collapsed="false" hidden="false" max="8" min="8" style="60" width="9.60323886639676"/>
    <col collapsed="false" hidden="false" max="9" min="9" style="0" width="16.6477732793522"/>
    <col collapsed="false" hidden="false" max="10" min="10" style="0" width="9.06072874493927"/>
    <col collapsed="false" hidden="false" max="11" min="11" style="0" width="11.2348178137652"/>
    <col collapsed="false" hidden="false" max="1022" min="12" style="0" width="9.06072874493927"/>
    <col collapsed="false" hidden="false" max="1025" min="1023" style="0" width="8.52631578947369"/>
  </cols>
  <sheetData>
    <row r="1" customFormat="false" ht="15" hidden="false" customHeight="false" outlineLevel="0" collapsed="false">
      <c r="A1" s="16" t="s">
        <v>759</v>
      </c>
      <c r="B1" s="16" t="s">
        <v>760</v>
      </c>
      <c r="C1" s="16" t="s">
        <v>761</v>
      </c>
      <c r="D1" s="16" t="s">
        <v>762</v>
      </c>
      <c r="E1" s="16"/>
      <c r="F1" s="61" t="s">
        <v>763</v>
      </c>
      <c r="G1" s="61" t="s">
        <v>764</v>
      </c>
      <c r="H1" s="61" t="s">
        <v>765</v>
      </c>
      <c r="I1" s="16" t="s">
        <v>60</v>
      </c>
    </row>
    <row r="2" customFormat="false" ht="15" hidden="false" customHeight="false" outlineLevel="0" collapsed="false">
      <c r="A2" s="16" t="s">
        <v>766</v>
      </c>
      <c r="B2" s="16" t="s">
        <v>234</v>
      </c>
      <c r="C2" s="0" t="s">
        <v>767</v>
      </c>
      <c r="D2" s="0" t="s">
        <v>233</v>
      </c>
      <c r="E2" s="0" t="n">
        <f aca="false">+VLOOKUP(B2,'Yield (2)'!B:K,9,0)</f>
        <v>0.26674367384993</v>
      </c>
      <c r="F2" s="60" t="s">
        <v>768</v>
      </c>
      <c r="G2" s="60" t="n">
        <v>1.6</v>
      </c>
      <c r="H2" s="60" t="n">
        <v>2.3</v>
      </c>
      <c r="I2" s="62" t="n">
        <f aca="false">+VLOOKUP(B2,'Yield (2)'!B:D,3,0)</f>
        <v>9</v>
      </c>
    </row>
    <row r="3" customFormat="false" ht="15" hidden="false" customHeight="false" outlineLevel="0" collapsed="false">
      <c r="A3" s="16" t="s">
        <v>769</v>
      </c>
      <c r="B3" s="16" t="s">
        <v>236</v>
      </c>
      <c r="C3" s="0" t="s">
        <v>770</v>
      </c>
      <c r="D3" s="0" t="s">
        <v>233</v>
      </c>
      <c r="E3" s="0" t="n">
        <f aca="false">+VLOOKUP(B3,'Yield (2)'!B:K,9,0)</f>
        <v>0.26674367384993</v>
      </c>
      <c r="F3" s="60" t="s">
        <v>768</v>
      </c>
      <c r="G3" s="60" t="n">
        <v>1.6</v>
      </c>
      <c r="H3" s="60" t="n">
        <v>2.3</v>
      </c>
      <c r="I3" s="62" t="n">
        <f aca="false">+VLOOKUP(B3,'Yield (2)'!B:D,3,0)</f>
        <v>9</v>
      </c>
    </row>
    <row r="4" customFormat="false" ht="15" hidden="false" customHeight="false" outlineLevel="0" collapsed="false">
      <c r="A4" s="16" t="s">
        <v>771</v>
      </c>
      <c r="B4" s="16" t="s">
        <v>237</v>
      </c>
      <c r="C4" s="0" t="s">
        <v>772</v>
      </c>
      <c r="D4" s="0" t="s">
        <v>233</v>
      </c>
      <c r="E4" s="0" t="n">
        <f aca="false">+VLOOKUP(B4,'Yield (2)'!B:K,9,0)</f>
        <v>0.26674367384993</v>
      </c>
      <c r="F4" s="60" t="s">
        <v>768</v>
      </c>
      <c r="G4" s="60" t="n">
        <v>1.6</v>
      </c>
      <c r="H4" s="60" t="n">
        <v>2.3</v>
      </c>
      <c r="I4" s="62" t="n">
        <f aca="false">+VLOOKUP(B4,'Yield (2)'!B:D,3,0)</f>
        <v>9</v>
      </c>
    </row>
    <row r="5" customFormat="false" ht="15" hidden="false" customHeight="false" outlineLevel="0" collapsed="false">
      <c r="A5" s="16" t="s">
        <v>773</v>
      </c>
      <c r="B5" s="16" t="s">
        <v>240</v>
      </c>
      <c r="C5" s="0" t="s">
        <v>241</v>
      </c>
      <c r="D5" s="0" t="s">
        <v>239</v>
      </c>
      <c r="E5" s="0" t="n">
        <f aca="false">+VLOOKUP(B5,'Yield (2)'!B:K,9,0)</f>
        <v>0.286232911771569</v>
      </c>
      <c r="F5" s="60" t="s">
        <v>774</v>
      </c>
      <c r="G5" s="60" t="n">
        <v>1.6</v>
      </c>
      <c r="H5" s="60" t="n">
        <v>1.7</v>
      </c>
      <c r="I5" s="62" t="n">
        <f aca="false">+VLOOKUP(B5,'Yield (2)'!B:D,3,0)</f>
        <v>11</v>
      </c>
    </row>
    <row r="6" customFormat="false" ht="15" hidden="false" customHeight="false" outlineLevel="0" collapsed="false">
      <c r="A6" s="16" t="s">
        <v>775</v>
      </c>
      <c r="B6" s="16" t="s">
        <v>245</v>
      </c>
      <c r="C6" s="0" t="s">
        <v>776</v>
      </c>
      <c r="D6" s="0" t="s">
        <v>242</v>
      </c>
      <c r="E6" s="0" t="n">
        <f aca="false">+VLOOKUP(B6,'Yield (2)'!B:K,9,0)</f>
        <v>0.230208122470512</v>
      </c>
      <c r="F6" s="60" t="s">
        <v>768</v>
      </c>
      <c r="G6" s="60" t="n">
        <v>1.6</v>
      </c>
      <c r="H6" s="60" t="n">
        <v>2.3</v>
      </c>
      <c r="I6" s="62" t="n">
        <f aca="false">+VLOOKUP(B6,'Yield (2)'!B:D,3,0)</f>
        <v>10</v>
      </c>
    </row>
    <row r="7" customFormat="false" ht="15" hidden="false" customHeight="false" outlineLevel="0" collapsed="false">
      <c r="A7" s="16" t="s">
        <v>777</v>
      </c>
      <c r="B7" s="16" t="s">
        <v>258</v>
      </c>
      <c r="C7" s="0" t="s">
        <v>778</v>
      </c>
      <c r="D7" s="0" t="s">
        <v>242</v>
      </c>
      <c r="E7" s="0" t="n">
        <f aca="false">+VLOOKUP(B7,'Yield (2)'!B:K,9,0)</f>
        <v>0.230208122470512</v>
      </c>
      <c r="F7" s="60" t="s">
        <v>768</v>
      </c>
      <c r="G7" s="60" t="n">
        <v>1.6</v>
      </c>
      <c r="H7" s="60" t="n">
        <v>2.3</v>
      </c>
      <c r="I7" s="62" t="n">
        <f aca="false">+VLOOKUP(B7,'Yield (2)'!B:D,3,0)</f>
        <v>10</v>
      </c>
    </row>
    <row r="8" customFormat="false" ht="15" hidden="false" customHeight="false" outlineLevel="0" collapsed="false">
      <c r="A8" s="16" t="s">
        <v>779</v>
      </c>
      <c r="B8" s="16" t="s">
        <v>260</v>
      </c>
      <c r="C8" s="0" t="s">
        <v>780</v>
      </c>
      <c r="D8" s="0" t="s">
        <v>242</v>
      </c>
      <c r="E8" s="0" t="n">
        <f aca="false">+VLOOKUP(B8,'Yield (2)'!B:K,9,0)</f>
        <v>0.230208122470512</v>
      </c>
      <c r="F8" s="60" t="s">
        <v>768</v>
      </c>
      <c r="G8" s="60" t="n">
        <v>1.6</v>
      </c>
      <c r="H8" s="60" t="n">
        <v>2.3</v>
      </c>
      <c r="I8" s="62" t="n">
        <f aca="false">+VLOOKUP(B8,'Yield (2)'!B:D,3,0)</f>
        <v>10</v>
      </c>
    </row>
    <row r="9" customFormat="false" ht="15" hidden="false" customHeight="false" outlineLevel="0" collapsed="false">
      <c r="A9" s="16" t="s">
        <v>781</v>
      </c>
      <c r="B9" s="16" t="s">
        <v>261</v>
      </c>
      <c r="C9" s="0" t="s">
        <v>782</v>
      </c>
      <c r="D9" s="0" t="s">
        <v>242</v>
      </c>
      <c r="E9" s="0" t="n">
        <f aca="false">+VLOOKUP(B9,'Yield (2)'!B:K,9,0)</f>
        <v>0.230208122470512</v>
      </c>
      <c r="F9" s="60" t="s">
        <v>768</v>
      </c>
      <c r="G9" s="60" t="n">
        <v>1.6</v>
      </c>
      <c r="H9" s="60" t="n">
        <v>2.3</v>
      </c>
      <c r="I9" s="62" t="n">
        <f aca="false">+VLOOKUP(B9,'Yield (2)'!B:D,3,0)</f>
        <v>10</v>
      </c>
    </row>
    <row r="10" customFormat="false" ht="15" hidden="false" customHeight="false" outlineLevel="0" collapsed="false">
      <c r="A10" s="16" t="s">
        <v>783</v>
      </c>
      <c r="B10" s="16" t="s">
        <v>262</v>
      </c>
      <c r="C10" s="0" t="s">
        <v>784</v>
      </c>
      <c r="D10" s="0" t="s">
        <v>242</v>
      </c>
      <c r="E10" s="0" t="n">
        <f aca="false">+VLOOKUP(B10,'Yield (2)'!B:K,9,0)</f>
        <v>0.230208122470512</v>
      </c>
      <c r="F10" s="60" t="s">
        <v>768</v>
      </c>
      <c r="G10" s="60" t="n">
        <v>1.6</v>
      </c>
      <c r="H10" s="60" t="n">
        <v>2.3</v>
      </c>
      <c r="I10" s="62" t="n">
        <f aca="false">+VLOOKUP(B10,'Yield (2)'!B:D,3,0)</f>
        <v>10</v>
      </c>
    </row>
    <row r="11" customFormat="false" ht="15" hidden="false" customHeight="false" outlineLevel="0" collapsed="false">
      <c r="A11" s="16" t="s">
        <v>785</v>
      </c>
      <c r="B11" s="16" t="s">
        <v>263</v>
      </c>
      <c r="C11" s="0" t="s">
        <v>786</v>
      </c>
      <c r="D11" s="0" t="s">
        <v>242</v>
      </c>
      <c r="E11" s="0" t="n">
        <f aca="false">+VLOOKUP(B11,'Yield (2)'!B:K,9,0)</f>
        <v>0.230208122470512</v>
      </c>
      <c r="F11" s="60" t="s">
        <v>768</v>
      </c>
      <c r="G11" s="60" t="n">
        <v>1.6</v>
      </c>
      <c r="H11" s="60" t="n">
        <v>2.3</v>
      </c>
      <c r="I11" s="62" t="n">
        <f aca="false">+VLOOKUP(B11,'Yield (2)'!B:D,3,0)</f>
        <v>10</v>
      </c>
    </row>
    <row r="12" customFormat="false" ht="15" hidden="false" customHeight="false" outlineLevel="0" collapsed="false">
      <c r="A12" s="16" t="s">
        <v>787</v>
      </c>
      <c r="B12" s="16" t="s">
        <v>264</v>
      </c>
      <c r="C12" s="0" t="s">
        <v>788</v>
      </c>
      <c r="D12" s="0" t="s">
        <v>242</v>
      </c>
      <c r="E12" s="0" t="n">
        <f aca="false">+VLOOKUP(B12,'Yield (2)'!B:K,9,0)</f>
        <v>0.230208122470512</v>
      </c>
      <c r="F12" s="60" t="s">
        <v>768</v>
      </c>
      <c r="G12" s="60" t="n">
        <v>1.6</v>
      </c>
      <c r="H12" s="60" t="n">
        <v>2.3</v>
      </c>
      <c r="I12" s="62" t="n">
        <f aca="false">+VLOOKUP(B12,'Yield (2)'!B:D,3,0)</f>
        <v>10</v>
      </c>
    </row>
    <row r="13" customFormat="false" ht="15" hidden="false" customHeight="false" outlineLevel="0" collapsed="false">
      <c r="A13" s="16" t="s">
        <v>789</v>
      </c>
      <c r="B13" s="16" t="s">
        <v>265</v>
      </c>
      <c r="C13" s="0" t="s">
        <v>790</v>
      </c>
      <c r="D13" s="0" t="s">
        <v>242</v>
      </c>
      <c r="E13" s="0" t="n">
        <f aca="false">+VLOOKUP(B13,'Yield (2)'!B:K,9,0)</f>
        <v>0.230208122470512</v>
      </c>
      <c r="F13" s="60" t="s">
        <v>768</v>
      </c>
      <c r="G13" s="60" t="n">
        <v>1.6</v>
      </c>
      <c r="H13" s="60" t="n">
        <v>2.3</v>
      </c>
      <c r="I13" s="62" t="n">
        <f aca="false">+VLOOKUP(B13,'Yield (2)'!B:D,3,0)</f>
        <v>10</v>
      </c>
    </row>
    <row r="14" customFormat="false" ht="15" hidden="false" customHeight="false" outlineLevel="0" collapsed="false">
      <c r="A14" s="16" t="s">
        <v>791</v>
      </c>
      <c r="B14" s="16" t="s">
        <v>267</v>
      </c>
      <c r="C14" s="0" t="s">
        <v>792</v>
      </c>
      <c r="D14" s="0" t="s">
        <v>242</v>
      </c>
      <c r="E14" s="0" t="n">
        <f aca="false">+VLOOKUP(B14,'Yield (2)'!B:K,9,0)</f>
        <v>0.230208122470512</v>
      </c>
      <c r="F14" s="60" t="s">
        <v>768</v>
      </c>
      <c r="G14" s="60" t="n">
        <v>1.6</v>
      </c>
      <c r="H14" s="60" t="n">
        <v>2.3</v>
      </c>
      <c r="I14" s="62" t="n">
        <f aca="false">+VLOOKUP(B14,'Yield (2)'!B:D,3,0)</f>
        <v>10</v>
      </c>
    </row>
    <row r="15" customFormat="false" ht="15" hidden="false" customHeight="false" outlineLevel="0" collapsed="false">
      <c r="A15" s="16" t="s">
        <v>793</v>
      </c>
      <c r="B15" s="16" t="s">
        <v>269</v>
      </c>
      <c r="C15" s="0" t="s">
        <v>794</v>
      </c>
      <c r="D15" s="0" t="s">
        <v>242</v>
      </c>
      <c r="E15" s="0" t="n">
        <f aca="false">+VLOOKUP(B15,'Yield (2)'!B:K,9,0)</f>
        <v>0.230208122470512</v>
      </c>
      <c r="F15" s="60" t="s">
        <v>768</v>
      </c>
      <c r="G15" s="60" t="n">
        <v>1.6</v>
      </c>
      <c r="H15" s="60" t="n">
        <v>2.3</v>
      </c>
      <c r="I15" s="62" t="n">
        <f aca="false">+VLOOKUP(B15,'Yield (2)'!B:D,3,0)</f>
        <v>10</v>
      </c>
    </row>
    <row r="16" customFormat="false" ht="15" hidden="false" customHeight="false" outlineLevel="0" collapsed="false">
      <c r="A16" s="16" t="s">
        <v>795</v>
      </c>
      <c r="B16" s="16" t="s">
        <v>271</v>
      </c>
      <c r="C16" s="0" t="s">
        <v>796</v>
      </c>
      <c r="D16" s="0" t="s">
        <v>242</v>
      </c>
      <c r="E16" s="0" t="n">
        <f aca="false">+VLOOKUP(B16,'Yield (2)'!B:K,9,0)</f>
        <v>0.230208122470512</v>
      </c>
      <c r="F16" s="60" t="s">
        <v>768</v>
      </c>
      <c r="G16" s="60" t="n">
        <v>1.6</v>
      </c>
      <c r="H16" s="60" t="n">
        <v>2.3</v>
      </c>
      <c r="I16" s="62" t="n">
        <f aca="false">+VLOOKUP(B16,'Yield (2)'!B:D,3,0)</f>
        <v>10</v>
      </c>
    </row>
    <row r="17" customFormat="false" ht="15" hidden="false" customHeight="false" outlineLevel="0" collapsed="false">
      <c r="A17" s="16" t="s">
        <v>797</v>
      </c>
      <c r="B17" s="16" t="s">
        <v>243</v>
      </c>
      <c r="C17" s="0" t="s">
        <v>244</v>
      </c>
      <c r="D17" s="0" t="s">
        <v>242</v>
      </c>
      <c r="E17" s="0" t="n">
        <f aca="false">+VLOOKUP(B17,'Yield (2)'!B:K,9,0)</f>
        <v>0.230208122470512</v>
      </c>
      <c r="F17" s="60" t="s">
        <v>768</v>
      </c>
      <c r="G17" s="60" t="n">
        <v>1.6</v>
      </c>
      <c r="H17" s="60" t="n">
        <v>2.3</v>
      </c>
      <c r="I17" s="62" t="n">
        <f aca="false">+VLOOKUP(B17,'Yield (2)'!B:D,3,0)</f>
        <v>10</v>
      </c>
    </row>
    <row r="18" customFormat="false" ht="15" hidden="false" customHeight="false" outlineLevel="0" collapsed="false">
      <c r="A18" s="16" t="s">
        <v>798</v>
      </c>
      <c r="B18" s="16" t="s">
        <v>247</v>
      </c>
      <c r="C18" s="0" t="s">
        <v>799</v>
      </c>
      <c r="D18" s="0" t="s">
        <v>242</v>
      </c>
      <c r="E18" s="0" t="n">
        <f aca="false">+VLOOKUP(B18,'Yield (2)'!B:K,9,0)</f>
        <v>0.230208122470512</v>
      </c>
      <c r="F18" s="60" t="s">
        <v>768</v>
      </c>
      <c r="G18" s="60" t="n">
        <v>1.6</v>
      </c>
      <c r="H18" s="60" t="n">
        <v>2.3</v>
      </c>
      <c r="I18" s="62" t="n">
        <f aca="false">+VLOOKUP(B18,'Yield (2)'!B:D,3,0)</f>
        <v>10</v>
      </c>
    </row>
    <row r="19" customFormat="false" ht="15" hidden="false" customHeight="false" outlineLevel="0" collapsed="false">
      <c r="A19" s="16" t="s">
        <v>800</v>
      </c>
      <c r="B19" s="16" t="s">
        <v>272</v>
      </c>
      <c r="C19" s="0" t="s">
        <v>801</v>
      </c>
      <c r="D19" s="0" t="s">
        <v>242</v>
      </c>
      <c r="E19" s="0" t="n">
        <f aca="false">+VLOOKUP(B19,'Yield (2)'!B:K,9,0)</f>
        <v>0.230208122470512</v>
      </c>
      <c r="F19" s="60" t="s">
        <v>768</v>
      </c>
      <c r="G19" s="60" t="n">
        <v>1.6</v>
      </c>
      <c r="H19" s="60" t="n">
        <v>2.3</v>
      </c>
      <c r="I19" s="62" t="n">
        <f aca="false">+VLOOKUP(B19,'Yield (2)'!B:D,3,0)</f>
        <v>10</v>
      </c>
    </row>
    <row r="20" customFormat="false" ht="15" hidden="false" customHeight="false" outlineLevel="0" collapsed="false">
      <c r="A20" s="16" t="s">
        <v>802</v>
      </c>
      <c r="B20" s="16" t="s">
        <v>249</v>
      </c>
      <c r="C20" s="0" t="s">
        <v>803</v>
      </c>
      <c r="D20" s="0" t="s">
        <v>242</v>
      </c>
      <c r="E20" s="0" t="n">
        <f aca="false">+VLOOKUP(B20,'Yield (2)'!B:K,9,0)</f>
        <v>0.230208122470512</v>
      </c>
      <c r="F20" s="60" t="s">
        <v>768</v>
      </c>
      <c r="G20" s="60" t="n">
        <v>1.6</v>
      </c>
      <c r="H20" s="60" t="n">
        <v>2.3</v>
      </c>
      <c r="I20" s="62" t="n">
        <f aca="false">+VLOOKUP(B20,'Yield (2)'!B:D,3,0)</f>
        <v>10</v>
      </c>
    </row>
    <row r="21" customFormat="false" ht="15" hidden="false" customHeight="false" outlineLevel="0" collapsed="false">
      <c r="A21" s="16" t="s">
        <v>804</v>
      </c>
      <c r="B21" s="16" t="s">
        <v>251</v>
      </c>
      <c r="C21" s="0" t="s">
        <v>805</v>
      </c>
      <c r="D21" s="0" t="s">
        <v>242</v>
      </c>
      <c r="E21" s="0" t="n">
        <f aca="false">+VLOOKUP(B21,'Yield (2)'!B:K,9,0)</f>
        <v>0.230208122470512</v>
      </c>
      <c r="F21" s="60" t="s">
        <v>768</v>
      </c>
      <c r="G21" s="60" t="n">
        <v>1.6</v>
      </c>
      <c r="H21" s="60" t="n">
        <v>2.3</v>
      </c>
      <c r="I21" s="62" t="n">
        <f aca="false">+VLOOKUP(B21,'Yield (2)'!B:D,3,0)</f>
        <v>10</v>
      </c>
    </row>
    <row r="22" customFormat="false" ht="15" hidden="false" customHeight="false" outlineLevel="0" collapsed="false">
      <c r="A22" s="16" t="s">
        <v>806</v>
      </c>
      <c r="B22" s="16" t="s">
        <v>253</v>
      </c>
      <c r="C22" s="0" t="s">
        <v>807</v>
      </c>
      <c r="D22" s="0" t="s">
        <v>242</v>
      </c>
      <c r="E22" s="0" t="n">
        <f aca="false">+VLOOKUP(B22,'Yield (2)'!B:K,9,0)</f>
        <v>0.230208122470512</v>
      </c>
      <c r="F22" s="60" t="s">
        <v>768</v>
      </c>
      <c r="G22" s="60" t="n">
        <v>1.6</v>
      </c>
      <c r="H22" s="60" t="n">
        <v>2.3</v>
      </c>
      <c r="I22" s="62" t="n">
        <f aca="false">+VLOOKUP(B22,'Yield (2)'!B:D,3,0)</f>
        <v>10</v>
      </c>
    </row>
    <row r="23" customFormat="false" ht="15" hidden="false" customHeight="false" outlineLevel="0" collapsed="false">
      <c r="A23" s="16" t="s">
        <v>808</v>
      </c>
      <c r="B23" s="16" t="s">
        <v>255</v>
      </c>
      <c r="C23" s="0" t="s">
        <v>809</v>
      </c>
      <c r="D23" s="0" t="s">
        <v>242</v>
      </c>
      <c r="E23" s="0" t="n">
        <f aca="false">+VLOOKUP(B23,'Yield (2)'!B:K,9,0)</f>
        <v>0.230208122470512</v>
      </c>
      <c r="F23" s="60" t="s">
        <v>768</v>
      </c>
      <c r="G23" s="60" t="n">
        <v>1.6</v>
      </c>
      <c r="H23" s="60" t="n">
        <v>2.3</v>
      </c>
      <c r="I23" s="62" t="n">
        <f aca="false">+VLOOKUP(B23,'Yield (2)'!B:D,3,0)</f>
        <v>10</v>
      </c>
    </row>
    <row r="24" customFormat="false" ht="15" hidden="false" customHeight="false" outlineLevel="0" collapsed="false">
      <c r="A24" s="16" t="s">
        <v>810</v>
      </c>
      <c r="B24" s="16" t="s">
        <v>275</v>
      </c>
      <c r="C24" s="0" t="s">
        <v>276</v>
      </c>
      <c r="D24" s="0" t="s">
        <v>274</v>
      </c>
      <c r="E24" s="0" t="n">
        <f aca="false">+VLOOKUP(B24,'Yield (2)'!B:K,9,0)</f>
        <v>0.230208122470512</v>
      </c>
      <c r="F24" s="60" t="s">
        <v>774</v>
      </c>
      <c r="G24" s="60" t="n">
        <v>1.6</v>
      </c>
      <c r="H24" s="60" t="n">
        <v>1.75</v>
      </c>
      <c r="I24" s="62" t="n">
        <f aca="false">+VLOOKUP(B24,'Yield (2)'!B:D,3,0)</f>
        <v>12</v>
      </c>
    </row>
    <row r="25" customFormat="false" ht="15" hidden="false" customHeight="false" outlineLevel="0" collapsed="false">
      <c r="A25" s="16" t="s">
        <v>811</v>
      </c>
      <c r="B25" s="16" t="s">
        <v>277</v>
      </c>
      <c r="C25" s="0" t="s">
        <v>278</v>
      </c>
      <c r="D25" s="0" t="s">
        <v>274</v>
      </c>
      <c r="E25" s="0" t="n">
        <f aca="false">+VLOOKUP(B25,'Yield (2)'!B:K,9,0)</f>
        <v>0.230208122470512</v>
      </c>
      <c r="F25" s="60" t="s">
        <v>774</v>
      </c>
      <c r="G25" s="60" t="n">
        <v>1.6</v>
      </c>
      <c r="H25" s="60" t="n">
        <v>1.75</v>
      </c>
      <c r="I25" s="62" t="n">
        <f aca="false">+VLOOKUP(B25,'Yield (2)'!B:D,3,0)</f>
        <v>12</v>
      </c>
    </row>
    <row r="26" customFormat="false" ht="15" hidden="false" customHeight="false" outlineLevel="0" collapsed="false">
      <c r="A26" s="16" t="s">
        <v>812</v>
      </c>
      <c r="B26" s="16" t="s">
        <v>279</v>
      </c>
      <c r="C26" s="0" t="s">
        <v>280</v>
      </c>
      <c r="D26" s="0" t="s">
        <v>274</v>
      </c>
      <c r="E26" s="0" t="n">
        <f aca="false">+VLOOKUP(B26,'Yield (2)'!B:K,9,0)</f>
        <v>0.230208122470512</v>
      </c>
      <c r="F26" s="60" t="s">
        <v>774</v>
      </c>
      <c r="G26" s="60" t="n">
        <v>1.6</v>
      </c>
      <c r="H26" s="60" t="n">
        <v>1.75</v>
      </c>
      <c r="I26" s="62" t="n">
        <f aca="false">+VLOOKUP(B26,'Yield (2)'!B:D,3,0)</f>
        <v>12</v>
      </c>
    </row>
    <row r="27" customFormat="false" ht="15" hidden="false" customHeight="false" outlineLevel="0" collapsed="false">
      <c r="A27" s="16" t="s">
        <v>813</v>
      </c>
      <c r="B27" s="16" t="s">
        <v>281</v>
      </c>
      <c r="C27" s="0" t="s">
        <v>282</v>
      </c>
      <c r="D27" s="0" t="s">
        <v>274</v>
      </c>
      <c r="E27" s="0" t="n">
        <f aca="false">+VLOOKUP(B27,'Yield (2)'!B:K,9,0)</f>
        <v>0.230208122470512</v>
      </c>
      <c r="F27" s="60" t="s">
        <v>774</v>
      </c>
      <c r="G27" s="60" t="n">
        <v>1.6</v>
      </c>
      <c r="H27" s="60" t="n">
        <v>1.75</v>
      </c>
      <c r="I27" s="62" t="n">
        <f aca="false">+VLOOKUP(B27,'Yield (2)'!B:D,3,0)</f>
        <v>12</v>
      </c>
    </row>
    <row r="28" customFormat="false" ht="15" hidden="false" customHeight="false" outlineLevel="0" collapsed="false">
      <c r="A28" s="16" t="s">
        <v>814</v>
      </c>
      <c r="B28" s="16" t="s">
        <v>283</v>
      </c>
      <c r="C28" s="0" t="s">
        <v>284</v>
      </c>
      <c r="D28" s="0" t="s">
        <v>274</v>
      </c>
      <c r="E28" s="0" t="n">
        <f aca="false">+VLOOKUP(B28,'Yield (2)'!B:K,9,0)</f>
        <v>0.230208122470512</v>
      </c>
      <c r="F28" s="60" t="s">
        <v>774</v>
      </c>
      <c r="G28" s="60" t="n">
        <v>1.6</v>
      </c>
      <c r="H28" s="60" t="n">
        <v>1.75</v>
      </c>
      <c r="I28" s="62" t="n">
        <f aca="false">+VLOOKUP(B28,'Yield (2)'!B:D,3,0)</f>
        <v>12</v>
      </c>
    </row>
    <row r="29" customFormat="false" ht="15" hidden="false" customHeight="false" outlineLevel="0" collapsed="false">
      <c r="A29" s="16" t="s">
        <v>815</v>
      </c>
      <c r="B29" s="16" t="s">
        <v>285</v>
      </c>
      <c r="C29" s="0" t="s">
        <v>286</v>
      </c>
      <c r="D29" s="5" t="s">
        <v>39</v>
      </c>
      <c r="E29" s="0" t="n">
        <f aca="false">+VLOOKUP(B29,'Yield (2)'!B:K,9,0)</f>
        <v>0.230208122470512</v>
      </c>
      <c r="F29" s="60" t="s">
        <v>816</v>
      </c>
      <c r="G29" s="60" t="n">
        <v>1.8</v>
      </c>
      <c r="H29" s="60" t="n">
        <v>2</v>
      </c>
      <c r="I29" s="62" t="n">
        <f aca="false">+VLOOKUP(B29,'Yield (2)'!B:D,3,0)</f>
        <v>13</v>
      </c>
    </row>
    <row r="30" customFormat="false" ht="15" hidden="false" customHeight="false" outlineLevel="0" collapsed="false">
      <c r="A30" s="16" t="s">
        <v>817</v>
      </c>
      <c r="B30" s="16" t="s">
        <v>287</v>
      </c>
      <c r="C30" s="0" t="s">
        <v>288</v>
      </c>
      <c r="D30" s="5" t="s">
        <v>39</v>
      </c>
      <c r="E30" s="0" t="n">
        <f aca="false">+VLOOKUP(B30,'Yield (2)'!B:K,9,0)</f>
        <v>0.230208122470512</v>
      </c>
      <c r="F30" s="60" t="s">
        <v>816</v>
      </c>
      <c r="G30" s="60" t="n">
        <v>1.8</v>
      </c>
      <c r="H30" s="60" t="n">
        <v>2</v>
      </c>
      <c r="I30" s="62" t="n">
        <f aca="false">+VLOOKUP(B30,'Yield (2)'!B:D,3,0)</f>
        <v>13</v>
      </c>
    </row>
    <row r="31" customFormat="false" ht="15" hidden="false" customHeight="false" outlineLevel="0" collapsed="false">
      <c r="A31" s="16" t="s">
        <v>818</v>
      </c>
      <c r="B31" s="16" t="s">
        <v>289</v>
      </c>
      <c r="C31" s="0" t="s">
        <v>290</v>
      </c>
      <c r="D31" s="5" t="s">
        <v>39</v>
      </c>
      <c r="E31" s="0" t="n">
        <f aca="false">+VLOOKUP(B31,'Yield (2)'!B:K,9,0)</f>
        <v>0.230208122470512</v>
      </c>
      <c r="F31" s="60" t="s">
        <v>774</v>
      </c>
      <c r="G31" s="60" t="n">
        <v>1.6</v>
      </c>
      <c r="H31" s="60" t="n">
        <v>1.75</v>
      </c>
      <c r="I31" s="62" t="n">
        <f aca="false">+VLOOKUP(B31,'Yield (2)'!B:D,3,0)</f>
        <v>13</v>
      </c>
    </row>
    <row r="32" customFormat="false" ht="15" hidden="false" customHeight="false" outlineLevel="0" collapsed="false">
      <c r="A32" s="16" t="s">
        <v>819</v>
      </c>
      <c r="B32" s="16" t="s">
        <v>256</v>
      </c>
      <c r="C32" s="0" t="s">
        <v>291</v>
      </c>
      <c r="D32" s="5" t="s">
        <v>40</v>
      </c>
      <c r="E32" s="0" t="n">
        <f aca="false">+VLOOKUP(B32,'Yield (2)'!B:K,9,0)</f>
        <v>0.230208122470512</v>
      </c>
      <c r="F32" s="60" t="s">
        <v>768</v>
      </c>
      <c r="G32" s="60" t="n">
        <v>1.6</v>
      </c>
      <c r="H32" s="60" t="n">
        <v>2.3</v>
      </c>
      <c r="I32" s="62" t="n">
        <f aca="false">+VLOOKUP(B32,'Yield (2)'!B:D,3,0)</f>
        <v>10</v>
      </c>
    </row>
    <row r="33" customFormat="false" ht="15" hidden="false" customHeight="false" outlineLevel="0" collapsed="false">
      <c r="A33" s="16" t="s">
        <v>820</v>
      </c>
      <c r="B33" s="16" t="s">
        <v>292</v>
      </c>
      <c r="C33" s="0" t="s">
        <v>293</v>
      </c>
      <c r="D33" s="5" t="s">
        <v>40</v>
      </c>
      <c r="E33" s="0" t="n">
        <f aca="false">+VLOOKUP(B33,'Yield (2)'!B:K,9,0)</f>
        <v>0.20718731022346</v>
      </c>
      <c r="F33" s="60" t="s">
        <v>768</v>
      </c>
      <c r="G33" s="60" t="n">
        <v>1.6</v>
      </c>
      <c r="H33" s="60" t="n">
        <v>2.3</v>
      </c>
      <c r="I33" s="62" t="n">
        <f aca="false">+VLOOKUP(B33,'Yield (2)'!B:D,3,0)</f>
        <v>14</v>
      </c>
    </row>
    <row r="34" customFormat="false" ht="15" hidden="false" customHeight="false" outlineLevel="0" collapsed="false">
      <c r="A34" s="16" t="s">
        <v>821</v>
      </c>
      <c r="B34" s="16" t="s">
        <v>294</v>
      </c>
      <c r="C34" s="0" t="s">
        <v>295</v>
      </c>
      <c r="D34" s="5" t="s">
        <v>22</v>
      </c>
      <c r="E34" s="0" t="n">
        <f aca="false">+VLOOKUP(B34,'Yield (2)'!B:K,9,0)</f>
        <v>0.230208122470512</v>
      </c>
      <c r="F34" s="60" t="s">
        <v>768</v>
      </c>
      <c r="G34" s="60" t="n">
        <v>1.6</v>
      </c>
      <c r="H34" s="60" t="n">
        <v>2.3</v>
      </c>
      <c r="I34" s="62" t="n">
        <f aca="false">+VLOOKUP(B34,'Yield (2)'!B:D,3,0)</f>
        <v>15</v>
      </c>
    </row>
    <row r="35" customFormat="false" ht="15" hidden="false" customHeight="false" outlineLevel="0" collapsed="false">
      <c r="A35" s="16" t="s">
        <v>822</v>
      </c>
      <c r="B35" s="16" t="s">
        <v>296</v>
      </c>
      <c r="C35" s="0" t="s">
        <v>297</v>
      </c>
      <c r="D35" s="5" t="s">
        <v>22</v>
      </c>
      <c r="E35" s="0" t="n">
        <f aca="false">+VLOOKUP(B35,'Yield (2)'!B:K,9,0)</f>
        <v>0.230208122470512</v>
      </c>
      <c r="F35" s="60" t="s">
        <v>768</v>
      </c>
      <c r="G35" s="60" t="n">
        <v>1.6</v>
      </c>
      <c r="H35" s="60" t="n">
        <v>2.3</v>
      </c>
      <c r="I35" s="62" t="n">
        <f aca="false">+VLOOKUP(B35,'Yield (2)'!B:D,3,0)</f>
        <v>15</v>
      </c>
    </row>
    <row r="36" customFormat="false" ht="15" hidden="false" customHeight="false" outlineLevel="0" collapsed="false">
      <c r="A36" s="16" t="s">
        <v>823</v>
      </c>
      <c r="B36" s="16" t="s">
        <v>298</v>
      </c>
      <c r="C36" s="0" t="s">
        <v>299</v>
      </c>
      <c r="D36" s="5" t="s">
        <v>29</v>
      </c>
      <c r="E36" s="0" t="n">
        <f aca="false">+VLOOKUP(B36,'Yield (2)'!B:K,9,0)</f>
        <v>0.102259213446914</v>
      </c>
      <c r="F36" s="60" t="s">
        <v>768</v>
      </c>
      <c r="G36" s="60" t="n">
        <v>2.2</v>
      </c>
      <c r="H36" s="60" t="n">
        <v>2.4</v>
      </c>
      <c r="I36" s="62" t="n">
        <f aca="false">+VLOOKUP(B36,'Yield (2)'!B:D,3,0)</f>
        <v>6</v>
      </c>
    </row>
    <row r="37" customFormat="false" ht="15" hidden="false" customHeight="false" outlineLevel="0" collapsed="false">
      <c r="A37" s="16" t="s">
        <v>824</v>
      </c>
      <c r="B37" s="16" t="s">
        <v>300</v>
      </c>
      <c r="C37" s="0" t="s">
        <v>301</v>
      </c>
      <c r="D37" s="5" t="s">
        <v>29</v>
      </c>
      <c r="E37" s="0" t="n">
        <f aca="false">+VLOOKUP(B37,'Yield (2)'!B:K,9,0)</f>
        <v>0.102259213446914</v>
      </c>
      <c r="F37" s="60" t="s">
        <v>816</v>
      </c>
      <c r="G37" s="60" t="n">
        <v>1.6</v>
      </c>
      <c r="H37" s="60" t="n">
        <v>2.3</v>
      </c>
      <c r="I37" s="62" t="n">
        <f aca="false">+VLOOKUP(B37,'Yield (2)'!B:D,3,0)</f>
        <v>6</v>
      </c>
    </row>
    <row r="38" customFormat="false" ht="15" hidden="false" customHeight="false" outlineLevel="0" collapsed="false">
      <c r="A38" s="16" t="s">
        <v>825</v>
      </c>
      <c r="B38" s="16" t="s">
        <v>302</v>
      </c>
      <c r="C38" s="0" t="s">
        <v>303</v>
      </c>
      <c r="D38" s="5" t="s">
        <v>29</v>
      </c>
      <c r="E38" s="0" t="n">
        <f aca="false">+VLOOKUP(B38,'Yield (2)'!B:K,9,0)</f>
        <v>0.102259213446914</v>
      </c>
      <c r="F38" s="60" t="s">
        <v>816</v>
      </c>
      <c r="G38" s="60" t="n">
        <v>1.85</v>
      </c>
      <c r="H38" s="60" t="n">
        <v>2.35</v>
      </c>
      <c r="I38" s="62" t="n">
        <f aca="false">+VLOOKUP(B38,'Yield (2)'!B:D,3,0)</f>
        <v>6</v>
      </c>
    </row>
    <row r="39" customFormat="false" ht="15" hidden="false" customHeight="false" outlineLevel="0" collapsed="false">
      <c r="A39" s="16" t="s">
        <v>826</v>
      </c>
      <c r="B39" s="16" t="s">
        <v>304</v>
      </c>
      <c r="C39" s="0" t="s">
        <v>305</v>
      </c>
      <c r="D39" s="5" t="s">
        <v>29</v>
      </c>
      <c r="E39" s="0" t="n">
        <f aca="false">+VLOOKUP(B39,'Yield (2)'!B:K,9,0)</f>
        <v>0.102259213446914</v>
      </c>
      <c r="F39" s="60" t="s">
        <v>816</v>
      </c>
      <c r="G39" s="60" t="n">
        <v>1.85</v>
      </c>
      <c r="H39" s="60" t="n">
        <v>2.35</v>
      </c>
      <c r="I39" s="62" t="n">
        <f aca="false">+VLOOKUP(B39,'Yield (2)'!B:D,3,0)</f>
        <v>6</v>
      </c>
    </row>
    <row r="40" customFormat="false" ht="15" hidden="false" customHeight="false" outlineLevel="0" collapsed="false">
      <c r="A40" s="16" t="s">
        <v>827</v>
      </c>
      <c r="B40" s="16" t="s">
        <v>306</v>
      </c>
      <c r="C40" s="0" t="s">
        <v>307</v>
      </c>
      <c r="D40" s="5" t="s">
        <v>29</v>
      </c>
      <c r="E40" s="0" t="n">
        <f aca="false">+VLOOKUP(B40,'Yield (2)'!B:K,9,0)</f>
        <v>0.102259213446914</v>
      </c>
      <c r="F40" s="60" t="s">
        <v>768</v>
      </c>
      <c r="G40" s="60" t="n">
        <v>2.05</v>
      </c>
      <c r="H40" s="60" t="n">
        <v>2.4</v>
      </c>
      <c r="I40" s="62" t="n">
        <f aca="false">+VLOOKUP(B40,'Yield (2)'!B:D,3,0)</f>
        <v>6</v>
      </c>
    </row>
    <row r="41" customFormat="false" ht="15" hidden="false" customHeight="false" outlineLevel="0" collapsed="false">
      <c r="A41" s="16" t="s">
        <v>828</v>
      </c>
      <c r="B41" s="16" t="s">
        <v>308</v>
      </c>
      <c r="C41" s="0" t="s">
        <v>309</v>
      </c>
      <c r="D41" s="5" t="s">
        <v>29</v>
      </c>
      <c r="E41" s="0" t="n">
        <f aca="false">+VLOOKUP(B41,'Yield (2)'!B:K,9,0)</f>
        <v>0.102259213446914</v>
      </c>
      <c r="F41" s="60" t="s">
        <v>768</v>
      </c>
      <c r="G41" s="60" t="n">
        <v>2.05</v>
      </c>
      <c r="H41" s="60" t="n">
        <v>2.4</v>
      </c>
      <c r="I41" s="62" t="n">
        <f aca="false">+VLOOKUP(B41,'Yield (2)'!B:D,3,0)</f>
        <v>6</v>
      </c>
    </row>
    <row r="42" customFormat="false" ht="15" hidden="false" customHeight="false" outlineLevel="0" collapsed="false">
      <c r="A42" s="16" t="s">
        <v>829</v>
      </c>
      <c r="B42" s="16" t="s">
        <v>310</v>
      </c>
      <c r="C42" s="0" t="s">
        <v>311</v>
      </c>
      <c r="D42" s="5" t="s">
        <v>29</v>
      </c>
      <c r="E42" s="0" t="n">
        <f aca="false">+VLOOKUP(B42,'Yield (2)'!B:K,9,0)</f>
        <v>0.102259213446914</v>
      </c>
      <c r="F42" s="60" t="s">
        <v>774</v>
      </c>
      <c r="G42" s="60" t="n">
        <v>16</v>
      </c>
      <c r="H42" s="60" t="n">
        <v>1.75</v>
      </c>
      <c r="I42" s="62" t="n">
        <f aca="false">+VLOOKUP(B42,'Yield (2)'!B:D,3,0)</f>
        <v>6</v>
      </c>
    </row>
    <row r="43" customFormat="false" ht="15" hidden="false" customHeight="false" outlineLevel="0" collapsed="false">
      <c r="A43" s="16" t="s">
        <v>830</v>
      </c>
      <c r="B43" s="16" t="s">
        <v>312</v>
      </c>
      <c r="C43" s="0" t="s">
        <v>313</v>
      </c>
      <c r="D43" s="5" t="s">
        <v>29</v>
      </c>
      <c r="E43" s="0" t="n">
        <f aca="false">+VLOOKUP(B43,'Yield (2)'!B:K,9,0)</f>
        <v>0.102259213446914</v>
      </c>
      <c r="F43" s="60" t="s">
        <v>774</v>
      </c>
      <c r="G43" s="60" t="n">
        <v>16</v>
      </c>
      <c r="H43" s="60" t="n">
        <v>1.75</v>
      </c>
      <c r="I43" s="62" t="n">
        <f aca="false">+VLOOKUP(B43,'Yield (2)'!B:D,3,0)</f>
        <v>6</v>
      </c>
    </row>
    <row r="44" customFormat="false" ht="15" hidden="false" customHeight="false" outlineLevel="0" collapsed="false">
      <c r="A44" s="16" t="s">
        <v>831</v>
      </c>
      <c r="B44" s="16" t="s">
        <v>314</v>
      </c>
      <c r="C44" s="0" t="s">
        <v>315</v>
      </c>
      <c r="D44" s="5" t="s">
        <v>29</v>
      </c>
      <c r="E44" s="0" t="n">
        <f aca="false">+VLOOKUP(B44,'Yield (2)'!B:K,9,0)</f>
        <v>0.102259213446914</v>
      </c>
      <c r="F44" s="60" t="s">
        <v>768</v>
      </c>
      <c r="G44" s="60" t="n">
        <v>1.6</v>
      </c>
      <c r="H44" s="60" t="n">
        <v>2.3</v>
      </c>
      <c r="I44" s="62" t="n">
        <f aca="false">+VLOOKUP(B44,'Yield (2)'!B:D,3,0)</f>
        <v>6</v>
      </c>
    </row>
    <row r="45" customFormat="false" ht="15" hidden="false" customHeight="false" outlineLevel="0" collapsed="false">
      <c r="A45" s="16" t="s">
        <v>832</v>
      </c>
      <c r="B45" s="16" t="s">
        <v>316</v>
      </c>
      <c r="C45" s="0" t="s">
        <v>317</v>
      </c>
      <c r="D45" s="5" t="s">
        <v>29</v>
      </c>
      <c r="E45" s="0" t="n">
        <f aca="false">+VLOOKUP(B45,'Yield (2)'!B:K,9,0)</f>
        <v>0.102259213446914</v>
      </c>
      <c r="F45" s="60" t="s">
        <v>768</v>
      </c>
      <c r="G45" s="60" t="n">
        <v>1.6</v>
      </c>
      <c r="H45" s="60" t="n">
        <v>2.3</v>
      </c>
      <c r="I45" s="62" t="n">
        <f aca="false">+VLOOKUP(B45,'Yield (2)'!B:D,3,0)</f>
        <v>6</v>
      </c>
    </row>
    <row r="46" customFormat="false" ht="15" hidden="false" customHeight="false" outlineLevel="0" collapsed="false">
      <c r="A46" s="16" t="s">
        <v>833</v>
      </c>
      <c r="B46" s="16" t="s">
        <v>318</v>
      </c>
      <c r="C46" s="0" t="s">
        <v>319</v>
      </c>
      <c r="D46" s="5" t="s">
        <v>29</v>
      </c>
      <c r="E46" s="0" t="n">
        <f aca="false">+VLOOKUP(B46,'Yield (2)'!B:K,9,0)</f>
        <v>0.102259213446914</v>
      </c>
      <c r="F46" s="60" t="s">
        <v>768</v>
      </c>
      <c r="G46" s="60" t="n">
        <v>1.6</v>
      </c>
      <c r="H46" s="60" t="n">
        <v>2.3</v>
      </c>
      <c r="I46" s="62" t="n">
        <f aca="false">+VLOOKUP(B46,'Yield (2)'!B:D,3,0)</f>
        <v>6</v>
      </c>
    </row>
    <row r="47" customFormat="false" ht="15" hidden="false" customHeight="false" outlineLevel="0" collapsed="false">
      <c r="A47" s="16" t="s">
        <v>834</v>
      </c>
      <c r="B47" s="16" t="s">
        <v>320</v>
      </c>
      <c r="C47" s="0" t="s">
        <v>321</v>
      </c>
      <c r="D47" s="5" t="s">
        <v>29</v>
      </c>
      <c r="E47" s="0" t="n">
        <f aca="false">+VLOOKUP(B47,'Yield (2)'!B:K,9,0)</f>
        <v>0.102259213446914</v>
      </c>
      <c r="F47" s="60" t="s">
        <v>768</v>
      </c>
      <c r="G47" s="60" t="n">
        <v>1.6</v>
      </c>
      <c r="H47" s="60" t="n">
        <v>2.3</v>
      </c>
      <c r="I47" s="62" t="n">
        <f aca="false">+VLOOKUP(B47,'Yield (2)'!B:D,3,0)</f>
        <v>6</v>
      </c>
    </row>
    <row r="48" customFormat="false" ht="15" hidden="false" customHeight="false" outlineLevel="0" collapsed="false">
      <c r="A48" s="16" t="s">
        <v>835</v>
      </c>
      <c r="B48" s="16" t="s">
        <v>322</v>
      </c>
      <c r="C48" s="0" t="s">
        <v>323</v>
      </c>
      <c r="D48" s="5" t="s">
        <v>31</v>
      </c>
      <c r="E48" s="0" t="n">
        <f aca="false">+VLOOKUP(B48,'Yield (2)'!B:K,9,0)</f>
        <v>0.046</v>
      </c>
      <c r="F48" s="60" t="s">
        <v>774</v>
      </c>
      <c r="G48" s="60" t="n">
        <v>1.6</v>
      </c>
      <c r="H48" s="60" t="n">
        <v>1.95</v>
      </c>
      <c r="I48" s="62" t="n">
        <f aca="false">+VLOOKUP(B48,'Yield (2)'!B:D,3,0)</f>
        <v>7</v>
      </c>
    </row>
    <row r="49" customFormat="false" ht="15" hidden="false" customHeight="false" outlineLevel="0" collapsed="false">
      <c r="A49" s="16" t="s">
        <v>836</v>
      </c>
      <c r="B49" s="16" t="s">
        <v>324</v>
      </c>
      <c r="C49" s="0" t="s">
        <v>325</v>
      </c>
      <c r="D49" s="5" t="s">
        <v>31</v>
      </c>
      <c r="E49" s="0" t="n">
        <f aca="false">+VLOOKUP(B49,'Yield (2)'!B:K,9,0)</f>
        <v>0.046</v>
      </c>
      <c r="F49" s="60" t="s">
        <v>774</v>
      </c>
      <c r="G49" s="60" t="n">
        <v>1.6</v>
      </c>
      <c r="H49" s="60" t="n">
        <v>1.95</v>
      </c>
      <c r="I49" s="62" t="n">
        <f aca="false">+VLOOKUP(B49,'Yield (2)'!B:D,3,0)</f>
        <v>7</v>
      </c>
    </row>
    <row r="50" customFormat="false" ht="15" hidden="false" customHeight="false" outlineLevel="0" collapsed="false">
      <c r="A50" s="16" t="s">
        <v>837</v>
      </c>
      <c r="B50" s="16" t="s">
        <v>326</v>
      </c>
      <c r="C50" s="0" t="s">
        <v>327</v>
      </c>
      <c r="D50" s="5" t="s">
        <v>31</v>
      </c>
      <c r="E50" s="0" t="n">
        <f aca="false">+VLOOKUP(B50,'Yield (2)'!B:K,9,0)</f>
        <v>0.046</v>
      </c>
      <c r="F50" s="60" t="s">
        <v>774</v>
      </c>
      <c r="G50" s="60" t="n">
        <v>1.6</v>
      </c>
      <c r="H50" s="60" t="n">
        <v>1.95</v>
      </c>
      <c r="I50" s="62" t="n">
        <f aca="false">+VLOOKUP(B50,'Yield (2)'!B:D,3,0)</f>
        <v>7</v>
      </c>
    </row>
    <row r="51" customFormat="false" ht="15" hidden="false" customHeight="false" outlineLevel="0" collapsed="false">
      <c r="A51" s="16" t="s">
        <v>838</v>
      </c>
      <c r="B51" s="16" t="s">
        <v>328</v>
      </c>
      <c r="C51" s="0" t="s">
        <v>329</v>
      </c>
      <c r="D51" s="5" t="s">
        <v>30</v>
      </c>
      <c r="E51" s="0" t="n">
        <f aca="false">+VLOOKUP(B51,'Yield (2)'!B:K,9,0)</f>
        <v>0.0555481286485601</v>
      </c>
      <c r="F51" s="60" t="s">
        <v>768</v>
      </c>
      <c r="G51" s="60" t="n">
        <v>1.6</v>
      </c>
      <c r="H51" s="60" t="n">
        <v>2.3</v>
      </c>
      <c r="I51" s="62" t="n">
        <f aca="false">+VLOOKUP(B51,'Yield (2)'!B:D,3,0)</f>
        <v>7</v>
      </c>
    </row>
    <row r="52" customFormat="false" ht="15" hidden="false" customHeight="false" outlineLevel="0" collapsed="false">
      <c r="A52" s="16" t="s">
        <v>839</v>
      </c>
      <c r="B52" s="16" t="s">
        <v>330</v>
      </c>
      <c r="C52" s="0" t="s">
        <v>331</v>
      </c>
      <c r="D52" s="5" t="s">
        <v>30</v>
      </c>
      <c r="E52" s="0" t="n">
        <f aca="false">+VLOOKUP(B52,'Yield (2)'!B:K,9,0)</f>
        <v>0.0555481286485601</v>
      </c>
      <c r="F52" s="60" t="s">
        <v>768</v>
      </c>
      <c r="G52" s="60" t="n">
        <v>1.6</v>
      </c>
      <c r="H52" s="60" t="n">
        <v>2.3</v>
      </c>
      <c r="I52" s="62" t="n">
        <f aca="false">+VLOOKUP(B52,'Yield (2)'!B:D,3,0)</f>
        <v>7</v>
      </c>
    </row>
    <row r="53" customFormat="false" ht="15" hidden="false" customHeight="false" outlineLevel="0" collapsed="false">
      <c r="A53" s="16" t="s">
        <v>840</v>
      </c>
      <c r="B53" s="16" t="s">
        <v>332</v>
      </c>
      <c r="C53" s="0" t="s">
        <v>333</v>
      </c>
      <c r="D53" s="5" t="s">
        <v>30</v>
      </c>
      <c r="E53" s="0" t="n">
        <f aca="false">+VLOOKUP(B53,'Yield (2)'!B:K,9,0)</f>
        <v>0.0555481286485601</v>
      </c>
      <c r="F53" s="60" t="s">
        <v>816</v>
      </c>
      <c r="G53" s="60" t="n">
        <v>1.8</v>
      </c>
      <c r="H53" s="60" t="n">
        <v>1.95</v>
      </c>
      <c r="I53" s="62" t="n">
        <f aca="false">+VLOOKUP(B53,'Yield (2)'!B:D,3,0)</f>
        <v>7</v>
      </c>
    </row>
    <row r="54" customFormat="false" ht="15" hidden="false" customHeight="false" outlineLevel="0" collapsed="false">
      <c r="A54" s="16" t="s">
        <v>841</v>
      </c>
      <c r="B54" s="16" t="s">
        <v>334</v>
      </c>
      <c r="C54" s="0" t="s">
        <v>335</v>
      </c>
      <c r="D54" s="5" t="s">
        <v>30</v>
      </c>
      <c r="E54" s="0" t="n">
        <f aca="false">+VLOOKUP(B54,'Yield (2)'!B:K,9,0)</f>
        <v>0.0555481286485601</v>
      </c>
      <c r="F54" s="60" t="s">
        <v>816</v>
      </c>
      <c r="G54" s="60" t="n">
        <v>1.9</v>
      </c>
      <c r="H54" s="60" t="n">
        <v>2.4</v>
      </c>
      <c r="I54" s="62" t="n">
        <f aca="false">+VLOOKUP(B54,'Yield (2)'!B:D,3,0)</f>
        <v>7</v>
      </c>
    </row>
    <row r="55" customFormat="false" ht="15" hidden="false" customHeight="false" outlineLevel="0" collapsed="false">
      <c r="A55" s="16" t="s">
        <v>842</v>
      </c>
      <c r="B55" s="16" t="s">
        <v>336</v>
      </c>
      <c r="C55" s="0" t="s">
        <v>337</v>
      </c>
      <c r="D55" s="5" t="s">
        <v>30</v>
      </c>
      <c r="E55" s="0" t="n">
        <f aca="false">+VLOOKUP(B55,'Yield (2)'!B:K,9,0)</f>
        <v>0.0555481286485601</v>
      </c>
      <c r="F55" s="60" t="s">
        <v>768</v>
      </c>
      <c r="G55" s="60" t="n">
        <v>1.6</v>
      </c>
      <c r="H55" s="60" t="n">
        <v>2.3</v>
      </c>
      <c r="I55" s="62" t="n">
        <f aca="false">+VLOOKUP(B55,'Yield (2)'!B:D,3,0)</f>
        <v>7</v>
      </c>
    </row>
    <row r="56" customFormat="false" ht="15" hidden="false" customHeight="false" outlineLevel="0" collapsed="false">
      <c r="A56" s="16" t="s">
        <v>843</v>
      </c>
      <c r="B56" s="16" t="s">
        <v>338</v>
      </c>
      <c r="C56" s="0" t="s">
        <v>339</v>
      </c>
      <c r="D56" s="5" t="s">
        <v>30</v>
      </c>
      <c r="E56" s="0" t="n">
        <f aca="false">+VLOOKUP(B56,'Yield (2)'!B:K,9,0)</f>
        <v>0.0555481286485601</v>
      </c>
      <c r="F56" s="60" t="s">
        <v>774</v>
      </c>
      <c r="G56" s="60" t="n">
        <v>1.6</v>
      </c>
      <c r="H56" s="60" t="n">
        <v>1.75</v>
      </c>
      <c r="I56" s="62" t="n">
        <f aca="false">+VLOOKUP(B56,'Yield (2)'!B:D,3,0)</f>
        <v>7</v>
      </c>
    </row>
    <row r="57" customFormat="false" ht="15" hidden="false" customHeight="false" outlineLevel="0" collapsed="false">
      <c r="A57" s="16" t="s">
        <v>844</v>
      </c>
      <c r="B57" s="16" t="s">
        <v>340</v>
      </c>
      <c r="C57" s="0" t="s">
        <v>341</v>
      </c>
      <c r="D57" s="5" t="s">
        <v>30</v>
      </c>
      <c r="E57" s="0" t="n">
        <f aca="false">+VLOOKUP(B57,'Yield (2)'!B:K,9,0)</f>
        <v>0.0555481286485601</v>
      </c>
      <c r="F57" s="60" t="s">
        <v>768</v>
      </c>
      <c r="G57" s="60" t="n">
        <v>1.6</v>
      </c>
      <c r="H57" s="60" t="n">
        <v>2.3</v>
      </c>
      <c r="I57" s="62" t="n">
        <f aca="false">+VLOOKUP(B57,'Yield (2)'!B:D,3,0)</f>
        <v>7</v>
      </c>
    </row>
    <row r="58" customFormat="false" ht="15" hidden="false" customHeight="false" outlineLevel="0" collapsed="false">
      <c r="A58" s="16" t="s">
        <v>845</v>
      </c>
      <c r="B58" s="16" t="s">
        <v>342</v>
      </c>
      <c r="C58" s="0" t="s">
        <v>343</v>
      </c>
      <c r="D58" s="5" t="s">
        <v>30</v>
      </c>
      <c r="E58" s="0" t="n">
        <f aca="false">+VLOOKUP(B58,'Yield (2)'!B:K,9,0)</f>
        <v>0.0555481286485601</v>
      </c>
      <c r="F58" s="60" t="s">
        <v>768</v>
      </c>
      <c r="G58" s="60" t="n">
        <v>1.6</v>
      </c>
      <c r="H58" s="60" t="n">
        <v>2.3</v>
      </c>
      <c r="I58" s="62" t="n">
        <f aca="false">+VLOOKUP(B58,'Yield (2)'!B:D,3,0)</f>
        <v>7</v>
      </c>
    </row>
    <row r="59" customFormat="false" ht="15" hidden="false" customHeight="false" outlineLevel="0" collapsed="false">
      <c r="A59" s="16" t="s">
        <v>846</v>
      </c>
      <c r="B59" s="16" t="s">
        <v>344</v>
      </c>
      <c r="C59" s="0" t="s">
        <v>345</v>
      </c>
      <c r="D59" s="5" t="s">
        <v>30</v>
      </c>
      <c r="E59" s="0" t="n">
        <f aca="false">+VLOOKUP(B59,'Yield (2)'!B:K,9,0)</f>
        <v>0.0555481286485601</v>
      </c>
      <c r="F59" s="60" t="s">
        <v>768</v>
      </c>
      <c r="G59" s="60" t="n">
        <v>2.05</v>
      </c>
      <c r="H59" s="60" t="n">
        <v>2.3</v>
      </c>
      <c r="I59" s="62" t="n">
        <f aca="false">+VLOOKUP(B59,'Yield (2)'!B:D,3,0)</f>
        <v>7</v>
      </c>
    </row>
    <row r="60" customFormat="false" ht="15" hidden="false" customHeight="false" outlineLevel="0" collapsed="false">
      <c r="A60" s="16" t="s">
        <v>847</v>
      </c>
      <c r="B60" s="16" t="s">
        <v>346</v>
      </c>
      <c r="C60" s="0" t="s">
        <v>347</v>
      </c>
      <c r="D60" s="5" t="s">
        <v>30</v>
      </c>
      <c r="E60" s="0" t="n">
        <f aca="false">+VLOOKUP(B60,'Yield (2)'!B:K,9,0)</f>
        <v>0.0555481286485601</v>
      </c>
      <c r="F60" s="60" t="s">
        <v>768</v>
      </c>
      <c r="G60" s="60" t="n">
        <v>2.05</v>
      </c>
      <c r="H60" s="60" t="n">
        <v>2.3</v>
      </c>
      <c r="I60" s="62" t="n">
        <f aca="false">+VLOOKUP(B60,'Yield (2)'!B:D,3,0)</f>
        <v>7</v>
      </c>
    </row>
    <row r="61" customFormat="false" ht="15" hidden="false" customHeight="false" outlineLevel="0" collapsed="false">
      <c r="A61" s="16" t="s">
        <v>848</v>
      </c>
      <c r="B61" s="16" t="s">
        <v>348</v>
      </c>
      <c r="C61" s="0" t="s">
        <v>349</v>
      </c>
      <c r="D61" s="5" t="s">
        <v>30</v>
      </c>
      <c r="E61" s="0" t="n">
        <f aca="false">+VLOOKUP(B61,'Yield (2)'!B:K,9,0)</f>
        <v>0.0555481286485601</v>
      </c>
      <c r="F61" s="60" t="s">
        <v>768</v>
      </c>
      <c r="G61" s="60" t="n">
        <v>1.6</v>
      </c>
      <c r="H61" s="60" t="n">
        <v>2.3</v>
      </c>
      <c r="I61" s="62" t="n">
        <f aca="false">+VLOOKUP(B61,'Yield (2)'!B:D,3,0)</f>
        <v>7</v>
      </c>
    </row>
    <row r="62" customFormat="false" ht="15" hidden="false" customHeight="false" outlineLevel="0" collapsed="false">
      <c r="A62" s="16" t="s">
        <v>849</v>
      </c>
      <c r="B62" s="16" t="s">
        <v>350</v>
      </c>
      <c r="C62" s="0" t="s">
        <v>351</v>
      </c>
      <c r="D62" s="5" t="s">
        <v>33</v>
      </c>
      <c r="E62" s="0" t="n">
        <f aca="false">+VLOOKUP(B62,'Yield (2)'!B:K,9,0)</f>
        <v>0.0344058354486358</v>
      </c>
      <c r="F62" s="60" t="s">
        <v>768</v>
      </c>
      <c r="G62" s="60" t="n">
        <v>1.6</v>
      </c>
      <c r="H62" s="60" t="n">
        <v>2.3</v>
      </c>
      <c r="I62" s="62" t="n">
        <f aca="false">+VLOOKUP(B62,'Yield (2)'!B:D,3,0)</f>
        <v>8</v>
      </c>
    </row>
    <row r="63" customFormat="false" ht="15" hidden="false" customHeight="false" outlineLevel="0" collapsed="false">
      <c r="A63" s="16" t="s">
        <v>850</v>
      </c>
      <c r="B63" s="16" t="s">
        <v>352</v>
      </c>
      <c r="C63" s="0" t="s">
        <v>353</v>
      </c>
      <c r="D63" s="5" t="s">
        <v>33</v>
      </c>
      <c r="E63" s="0" t="n">
        <f aca="false">+VLOOKUP(B63,'Yield (2)'!B:K,9,0)</f>
        <v>0.0344058354486358</v>
      </c>
      <c r="F63" s="60" t="s">
        <v>768</v>
      </c>
      <c r="G63" s="60" t="n">
        <v>1.6</v>
      </c>
      <c r="H63" s="60" t="n">
        <v>2.3</v>
      </c>
      <c r="I63" s="62" t="n">
        <f aca="false">+VLOOKUP(B63,'Yield (2)'!B:D,3,0)</f>
        <v>8</v>
      </c>
    </row>
    <row r="64" customFormat="false" ht="15" hidden="false" customHeight="false" outlineLevel="0" collapsed="false">
      <c r="A64" s="16" t="s">
        <v>851</v>
      </c>
      <c r="B64" s="16" t="s">
        <v>354</v>
      </c>
      <c r="C64" s="0" t="s">
        <v>355</v>
      </c>
      <c r="D64" s="5" t="s">
        <v>33</v>
      </c>
      <c r="E64" s="0" t="n">
        <f aca="false">+VLOOKUP(B64,'Yield (2)'!B:K,9,0)</f>
        <v>0.0344058354486358</v>
      </c>
      <c r="F64" s="60" t="s">
        <v>768</v>
      </c>
      <c r="G64" s="60" t="n">
        <v>2.05</v>
      </c>
      <c r="H64" s="60" t="n">
        <v>2.3</v>
      </c>
      <c r="I64" s="62" t="n">
        <f aca="false">+VLOOKUP(B64,'Yield (2)'!B:D,3,0)</f>
        <v>8</v>
      </c>
    </row>
    <row r="65" customFormat="false" ht="15" hidden="false" customHeight="false" outlineLevel="0" collapsed="false">
      <c r="A65" s="16" t="s">
        <v>852</v>
      </c>
      <c r="B65" s="16" t="s">
        <v>356</v>
      </c>
      <c r="C65" s="0" t="s">
        <v>357</v>
      </c>
      <c r="D65" s="5" t="s">
        <v>33</v>
      </c>
      <c r="E65" s="0" t="n">
        <f aca="false">+VLOOKUP(B65,'Yield (2)'!B:K,9,0)</f>
        <v>0.0344058354486358</v>
      </c>
      <c r="F65" s="60" t="s">
        <v>768</v>
      </c>
      <c r="G65" s="60" t="n">
        <v>1.6</v>
      </c>
      <c r="H65" s="60" t="n">
        <v>2.3</v>
      </c>
      <c r="I65" s="62" t="n">
        <f aca="false">+VLOOKUP(B65,'Yield (2)'!B:D,3,0)</f>
        <v>8</v>
      </c>
    </row>
    <row r="66" customFormat="false" ht="15" hidden="false" customHeight="false" outlineLevel="0" collapsed="false">
      <c r="A66" s="16" t="s">
        <v>853</v>
      </c>
      <c r="B66" s="16" t="s">
        <v>358</v>
      </c>
      <c r="C66" s="0" t="s">
        <v>359</v>
      </c>
      <c r="D66" s="5" t="s">
        <v>33</v>
      </c>
      <c r="E66" s="0" t="n">
        <f aca="false">+VLOOKUP(B66,'Yield (2)'!B:K,9,0)</f>
        <v>0.0344058354486358</v>
      </c>
      <c r="F66" s="60" t="s">
        <v>768</v>
      </c>
      <c r="G66" s="60" t="n">
        <v>1.6</v>
      </c>
      <c r="H66" s="60" t="n">
        <v>2.3</v>
      </c>
      <c r="I66" s="62" t="n">
        <f aca="false">+VLOOKUP(B66,'Yield (2)'!B:D,3,0)</f>
        <v>8</v>
      </c>
    </row>
    <row r="67" customFormat="false" ht="15" hidden="false" customHeight="false" outlineLevel="0" collapsed="false">
      <c r="A67" s="16" t="s">
        <v>854</v>
      </c>
      <c r="B67" s="16" t="s">
        <v>360</v>
      </c>
      <c r="C67" s="0" t="s">
        <v>361</v>
      </c>
      <c r="D67" s="5" t="s">
        <v>33</v>
      </c>
      <c r="E67" s="0" t="n">
        <f aca="false">+VLOOKUP(B67,'Yield (2)'!B:K,9,0)</f>
        <v>0.0344058354486358</v>
      </c>
      <c r="F67" s="60" t="s">
        <v>768</v>
      </c>
      <c r="G67" s="60" t="n">
        <v>1.6</v>
      </c>
      <c r="H67" s="60" t="n">
        <v>2.3</v>
      </c>
      <c r="I67" s="62" t="n">
        <f aca="false">+VLOOKUP(B67,'Yield (2)'!B:D,3,0)</f>
        <v>8</v>
      </c>
    </row>
    <row r="68" customFormat="false" ht="15" hidden="false" customHeight="false" outlineLevel="0" collapsed="false">
      <c r="A68" s="16" t="s">
        <v>855</v>
      </c>
      <c r="B68" s="16" t="s">
        <v>362</v>
      </c>
      <c r="C68" s="0" t="s">
        <v>363</v>
      </c>
      <c r="D68" s="5" t="s">
        <v>33</v>
      </c>
      <c r="E68" s="0" t="n">
        <f aca="false">+VLOOKUP(B68,'Yield (2)'!B:K,9,0)</f>
        <v>0.0344058354486358</v>
      </c>
      <c r="F68" s="60" t="s">
        <v>768</v>
      </c>
      <c r="G68" s="60" t="n">
        <v>1.6</v>
      </c>
      <c r="H68" s="60" t="n">
        <v>2.3</v>
      </c>
      <c r="I68" s="62" t="n">
        <f aca="false">+VLOOKUP(B68,'Yield (2)'!B:D,3,0)</f>
        <v>8</v>
      </c>
    </row>
    <row r="69" customFormat="false" ht="15" hidden="false" customHeight="false" outlineLevel="0" collapsed="false">
      <c r="A69" s="16" t="s">
        <v>856</v>
      </c>
      <c r="B69" s="16" t="s">
        <v>364</v>
      </c>
      <c r="C69" s="0" t="s">
        <v>365</v>
      </c>
      <c r="D69" s="5" t="s">
        <v>33</v>
      </c>
      <c r="E69" s="0" t="n">
        <f aca="false">+VLOOKUP(B69,'Yield (2)'!B:K,9,0)</f>
        <v>0.0344058354486358</v>
      </c>
      <c r="F69" s="60" t="s">
        <v>768</v>
      </c>
      <c r="G69" s="60" t="n">
        <v>2.2</v>
      </c>
      <c r="H69" s="60" t="n">
        <v>2.4</v>
      </c>
      <c r="I69" s="62" t="n">
        <f aca="false">+VLOOKUP(B69,'Yield (2)'!B:D,3,0)</f>
        <v>8</v>
      </c>
    </row>
    <row r="70" customFormat="false" ht="15" hidden="false" customHeight="false" outlineLevel="0" collapsed="false">
      <c r="A70" s="16" t="s">
        <v>857</v>
      </c>
      <c r="B70" s="16" t="s">
        <v>366</v>
      </c>
      <c r="C70" s="0" t="s">
        <v>367</v>
      </c>
      <c r="D70" s="5" t="s">
        <v>33</v>
      </c>
      <c r="E70" s="0" t="n">
        <f aca="false">+VLOOKUP(B70,'Yield (2)'!B:K,9,0)</f>
        <v>0.0344058354486358</v>
      </c>
      <c r="F70" s="60" t="s">
        <v>768</v>
      </c>
      <c r="G70" s="60" t="n">
        <v>2.2</v>
      </c>
      <c r="H70" s="60" t="n">
        <v>2.4</v>
      </c>
      <c r="I70" s="62" t="n">
        <f aca="false">+VLOOKUP(B70,'Yield (2)'!B:D,3,0)</f>
        <v>8</v>
      </c>
    </row>
    <row r="71" customFormat="false" ht="15" hidden="false" customHeight="false" outlineLevel="0" collapsed="false">
      <c r="A71" s="16" t="s">
        <v>858</v>
      </c>
      <c r="B71" s="16" t="s">
        <v>368</v>
      </c>
      <c r="C71" s="0" t="s">
        <v>369</v>
      </c>
      <c r="D71" s="5" t="s">
        <v>33</v>
      </c>
      <c r="E71" s="0" t="n">
        <f aca="false">+VLOOKUP(B71,'Yield (2)'!B:K,9,0)</f>
        <v>0.0344058354486358</v>
      </c>
      <c r="F71" s="60" t="s">
        <v>768</v>
      </c>
      <c r="G71" s="60" t="n">
        <v>1.6</v>
      </c>
      <c r="H71" s="60" t="n">
        <v>2.3</v>
      </c>
      <c r="I71" s="62" t="n">
        <f aca="false">+VLOOKUP(B71,'Yield (2)'!B:D,3,0)</f>
        <v>8</v>
      </c>
    </row>
    <row r="72" customFormat="false" ht="15" hidden="false" customHeight="false" outlineLevel="0" collapsed="false">
      <c r="A72" s="51" t="s">
        <v>859</v>
      </c>
      <c r="B72" s="16" t="s">
        <v>370</v>
      </c>
      <c r="C72" s="0" t="s">
        <v>371</v>
      </c>
      <c r="D72" s="5" t="s">
        <v>35</v>
      </c>
      <c r="E72" s="0" t="n">
        <f aca="false">+VLOOKUP(B72,'Yield (2)'!B:K,9,0)</f>
        <v>0.0501600633427114</v>
      </c>
      <c r="F72" s="60" t="s">
        <v>768</v>
      </c>
      <c r="G72" s="60" t="n">
        <v>1.6</v>
      </c>
      <c r="H72" s="60" t="n">
        <v>2.3</v>
      </c>
      <c r="I72" s="62" t="n">
        <f aca="false">+VLOOKUP(B72,'Yield (2)'!B:D,3,0)</f>
        <v>9</v>
      </c>
    </row>
    <row r="73" customFormat="false" ht="15" hidden="false" customHeight="false" outlineLevel="0" collapsed="false">
      <c r="A73" s="51" t="s">
        <v>860</v>
      </c>
      <c r="B73" s="16" t="s">
        <v>372</v>
      </c>
      <c r="C73" s="0" t="s">
        <v>373</v>
      </c>
      <c r="D73" s="5" t="s">
        <v>35</v>
      </c>
      <c r="E73" s="0" t="n">
        <f aca="false">+VLOOKUP(B73,'Yield (2)'!B:K,9,0)</f>
        <v>0.0501600633427114</v>
      </c>
      <c r="F73" s="60" t="s">
        <v>768</v>
      </c>
      <c r="G73" s="60" t="n">
        <v>1.6</v>
      </c>
      <c r="H73" s="60" t="n">
        <v>2.3</v>
      </c>
      <c r="I73" s="62" t="n">
        <f aca="false">+VLOOKUP(B73,'Yield (2)'!B:D,3,0)</f>
        <v>9</v>
      </c>
    </row>
    <row r="74" customFormat="false" ht="15" hidden="false" customHeight="false" outlineLevel="0" collapsed="false">
      <c r="A74" s="51" t="s">
        <v>861</v>
      </c>
      <c r="B74" s="16" t="s">
        <v>374</v>
      </c>
      <c r="C74" s="0" t="s">
        <v>375</v>
      </c>
      <c r="D74" s="5" t="s">
        <v>35</v>
      </c>
      <c r="E74" s="0" t="n">
        <f aca="false">+VLOOKUP(B74,'Yield (2)'!B:K,9,0)</f>
        <v>0.0501600633427114</v>
      </c>
      <c r="F74" s="60" t="s">
        <v>768</v>
      </c>
      <c r="G74" s="60" t="n">
        <v>1.6</v>
      </c>
      <c r="H74" s="60" t="n">
        <v>2.3</v>
      </c>
      <c r="I74" s="62" t="n">
        <f aca="false">+VLOOKUP(B74,'Yield (2)'!B:D,3,0)</f>
        <v>9</v>
      </c>
    </row>
    <row r="75" customFormat="false" ht="15" hidden="false" customHeight="false" outlineLevel="0" collapsed="false">
      <c r="A75" s="51" t="s">
        <v>862</v>
      </c>
      <c r="B75" s="16" t="s">
        <v>376</v>
      </c>
      <c r="C75" s="0" t="s">
        <v>377</v>
      </c>
      <c r="D75" s="5" t="s">
        <v>35</v>
      </c>
      <c r="E75" s="0" t="n">
        <f aca="false">+VLOOKUP(B75,'Yield (2)'!B:K,9,0)</f>
        <v>0.0501600633427114</v>
      </c>
      <c r="F75" s="60" t="s">
        <v>774</v>
      </c>
      <c r="G75" s="60" t="n">
        <v>1.6</v>
      </c>
      <c r="H75" s="60" t="n">
        <v>1.8</v>
      </c>
      <c r="I75" s="62" t="n">
        <f aca="false">+VLOOKUP(B75,'Yield (2)'!B:D,3,0)</f>
        <v>9</v>
      </c>
    </row>
    <row r="76" customFormat="false" ht="15" hidden="false" customHeight="false" outlineLevel="0" collapsed="false">
      <c r="A76" s="51" t="s">
        <v>863</v>
      </c>
      <c r="B76" s="16" t="s">
        <v>378</v>
      </c>
      <c r="C76" s="0" t="s">
        <v>379</v>
      </c>
      <c r="D76" s="5" t="s">
        <v>35</v>
      </c>
      <c r="E76" s="0" t="n">
        <f aca="false">+VLOOKUP(B76,'Yield (2)'!B:K,9,0)</f>
        <v>0.0501600633427114</v>
      </c>
      <c r="F76" s="60" t="s">
        <v>768</v>
      </c>
      <c r="G76" s="60" t="n">
        <v>1.6</v>
      </c>
      <c r="H76" s="60" t="n">
        <v>2.3</v>
      </c>
      <c r="I76" s="62" t="n">
        <f aca="false">+VLOOKUP(B76,'Yield (2)'!B:D,3,0)</f>
        <v>9</v>
      </c>
    </row>
    <row r="77" customFormat="false" ht="15" hidden="false" customHeight="false" outlineLevel="0" collapsed="false">
      <c r="A77" s="51" t="s">
        <v>864</v>
      </c>
      <c r="B77" s="16" t="s">
        <v>380</v>
      </c>
      <c r="C77" s="0" t="s">
        <v>381</v>
      </c>
      <c r="D77" s="5" t="s">
        <v>41</v>
      </c>
      <c r="E77" s="0" t="n">
        <f aca="false">+VLOOKUP(B77,'Yield (2)'!B:K,9,0)</f>
        <v>0.0483315161361219</v>
      </c>
      <c r="F77" s="60" t="s">
        <v>768</v>
      </c>
      <c r="G77" s="60" t="n">
        <v>1.6</v>
      </c>
      <c r="H77" s="60" t="n">
        <v>2.3</v>
      </c>
      <c r="I77" s="62" t="n">
        <f aca="false">+VLOOKUP(B77,'Yield (2)'!B:D,3,0)</f>
        <v>16</v>
      </c>
    </row>
    <row r="78" customFormat="false" ht="15" hidden="false" customHeight="false" outlineLevel="0" collapsed="false">
      <c r="A78" s="51" t="s">
        <v>865</v>
      </c>
      <c r="B78" s="16" t="s">
        <v>382</v>
      </c>
      <c r="C78" s="0" t="s">
        <v>383</v>
      </c>
      <c r="D78" s="5" t="s">
        <v>41</v>
      </c>
      <c r="E78" s="0" t="n">
        <f aca="false">+VLOOKUP(B78,'Yield (2)'!B:K,9,0)</f>
        <v>0.0483315161361219</v>
      </c>
      <c r="F78" s="60" t="s">
        <v>768</v>
      </c>
      <c r="G78" s="60" t="n">
        <v>1.6</v>
      </c>
      <c r="H78" s="60" t="n">
        <v>2.3</v>
      </c>
      <c r="I78" s="62" t="n">
        <f aca="false">+VLOOKUP(B78,'Yield (2)'!B:D,3,0)</f>
        <v>16</v>
      </c>
    </row>
    <row r="79" customFormat="false" ht="15" hidden="false" customHeight="false" outlineLevel="0" collapsed="false">
      <c r="A79" s="51" t="s">
        <v>866</v>
      </c>
      <c r="B79" s="16" t="s">
        <v>384</v>
      </c>
      <c r="C79" s="0" t="s">
        <v>385</v>
      </c>
      <c r="D79" s="5" t="s">
        <v>41</v>
      </c>
      <c r="E79" s="0" t="n">
        <f aca="false">+VLOOKUP(B79,'Yield (2)'!B:K,9,0)</f>
        <v>0.0483315161361219</v>
      </c>
      <c r="F79" s="60" t="s">
        <v>768</v>
      </c>
      <c r="G79" s="60" t="n">
        <v>1.85</v>
      </c>
      <c r="H79" s="60" t="n">
        <v>2.3</v>
      </c>
      <c r="I79" s="62" t="n">
        <f aca="false">+VLOOKUP(B79,'Yield (2)'!B:D,3,0)</f>
        <v>16</v>
      </c>
    </row>
    <row r="80" customFormat="false" ht="15" hidden="false" customHeight="false" outlineLevel="0" collapsed="false">
      <c r="A80" s="51" t="s">
        <v>867</v>
      </c>
      <c r="B80" s="16" t="s">
        <v>386</v>
      </c>
      <c r="C80" s="0" t="s">
        <v>387</v>
      </c>
      <c r="D80" s="5" t="s">
        <v>41</v>
      </c>
      <c r="E80" s="0" t="n">
        <f aca="false">+VLOOKUP(B80,'Yield (2)'!B:K,9,0)</f>
        <v>0.0483315161361219</v>
      </c>
      <c r="F80" s="60" t="s">
        <v>774</v>
      </c>
      <c r="G80" s="60" t="n">
        <v>1.6</v>
      </c>
      <c r="H80" s="60" t="n">
        <v>1.9</v>
      </c>
      <c r="I80" s="62" t="n">
        <f aca="false">+VLOOKUP(B80,'Yield (2)'!B:D,3,0)</f>
        <v>16</v>
      </c>
    </row>
    <row r="81" customFormat="false" ht="15" hidden="false" customHeight="false" outlineLevel="0" collapsed="false">
      <c r="A81" s="51" t="s">
        <v>868</v>
      </c>
      <c r="B81" s="16" t="s">
        <v>388</v>
      </c>
      <c r="C81" s="0" t="s">
        <v>389</v>
      </c>
      <c r="D81" s="5" t="s">
        <v>41</v>
      </c>
      <c r="E81" s="0" t="n">
        <f aca="false">+VLOOKUP(B81,'Yield (2)'!B:K,9,0)</f>
        <v>0.0483315161361219</v>
      </c>
      <c r="F81" s="60" t="s">
        <v>768</v>
      </c>
      <c r="G81" s="60" t="n">
        <v>1.85</v>
      </c>
      <c r="H81" s="60" t="n">
        <v>2.3</v>
      </c>
      <c r="I81" s="62" t="n">
        <f aca="false">+VLOOKUP(B81,'Yield (2)'!B:D,3,0)</f>
        <v>16</v>
      </c>
    </row>
    <row r="82" customFormat="false" ht="15" hidden="false" customHeight="false" outlineLevel="0" collapsed="false">
      <c r="A82" s="51" t="s">
        <v>869</v>
      </c>
      <c r="B82" s="16" t="s">
        <v>390</v>
      </c>
      <c r="C82" s="0" t="s">
        <v>391</v>
      </c>
      <c r="D82" s="5" t="s">
        <v>41</v>
      </c>
      <c r="E82" s="0" t="n">
        <f aca="false">+VLOOKUP(B82,'Yield (2)'!B:K,9,0)</f>
        <v>0.0483315161361219</v>
      </c>
      <c r="F82" s="60" t="s">
        <v>768</v>
      </c>
      <c r="G82" s="60" t="n">
        <v>1.6</v>
      </c>
      <c r="H82" s="60" t="n">
        <v>2.3</v>
      </c>
      <c r="I82" s="62" t="n">
        <f aca="false">+VLOOKUP(B82,'Yield (2)'!B:D,3,0)</f>
        <v>16</v>
      </c>
    </row>
    <row r="83" customFormat="false" ht="15" hidden="false" customHeight="false" outlineLevel="0" collapsed="false">
      <c r="A83" s="51" t="s">
        <v>870</v>
      </c>
      <c r="B83" s="16" t="s">
        <v>392</v>
      </c>
      <c r="C83" s="0" t="s">
        <v>393</v>
      </c>
      <c r="D83" s="0" t="s">
        <v>42</v>
      </c>
      <c r="E83" s="0" t="n">
        <f aca="false">+VLOOKUP(B83,'Yield (2)'!B:K,9,0)</f>
        <v>0.0483315161361219</v>
      </c>
      <c r="F83" s="60" t="s">
        <v>768</v>
      </c>
      <c r="G83" s="60" t="n">
        <v>1.6</v>
      </c>
      <c r="H83" s="60" t="n">
        <v>2.3</v>
      </c>
      <c r="I83" s="62" t="n">
        <f aca="false">+VLOOKUP(B83,'Yield (2)'!B:D,3,0)</f>
        <v>22</v>
      </c>
    </row>
    <row r="84" customFormat="false" ht="15" hidden="false" customHeight="false" outlineLevel="0" collapsed="false">
      <c r="A84" s="51" t="s">
        <v>871</v>
      </c>
      <c r="B84" s="16" t="s">
        <v>394</v>
      </c>
      <c r="C84" s="0" t="s">
        <v>395</v>
      </c>
      <c r="D84" s="0" t="s">
        <v>49</v>
      </c>
      <c r="E84" s="0" t="n">
        <f aca="false">+VLOOKUP(B84,'Yield (2)'!B:K,9,0)</f>
        <v>0.283899657656849</v>
      </c>
      <c r="F84" s="60" t="s">
        <v>816</v>
      </c>
      <c r="G84" s="60" t="n">
        <v>1.85</v>
      </c>
      <c r="H84" s="60" t="n">
        <v>2.15</v>
      </c>
      <c r="I84" s="62" t="n">
        <f aca="false">+VLOOKUP(B84,'Yield (2)'!B:D,3,0)</f>
        <v>29</v>
      </c>
    </row>
    <row r="85" customFormat="false" ht="15" hidden="false" customHeight="false" outlineLevel="0" collapsed="false">
      <c r="A85" s="51" t="s">
        <v>872</v>
      </c>
      <c r="B85" s="16" t="s">
        <v>396</v>
      </c>
      <c r="C85" s="0" t="s">
        <v>397</v>
      </c>
      <c r="D85" s="0" t="s">
        <v>49</v>
      </c>
      <c r="E85" s="0" t="n">
        <f aca="false">+VLOOKUP(B85,'Yield (2)'!B:K,9,0)</f>
        <v>0.283899657656849</v>
      </c>
      <c r="F85" s="60" t="s">
        <v>774</v>
      </c>
      <c r="G85" s="60" t="n">
        <v>1.6</v>
      </c>
      <c r="H85" s="60" t="n">
        <v>1.75</v>
      </c>
      <c r="I85" s="62" t="n">
        <f aca="false">+VLOOKUP(B85,'Yield (2)'!B:D,3,0)</f>
        <v>29</v>
      </c>
    </row>
    <row r="86" customFormat="false" ht="15" hidden="false" customHeight="false" outlineLevel="0" collapsed="false">
      <c r="A86" s="51" t="s">
        <v>873</v>
      </c>
      <c r="B86" s="16" t="s">
        <v>398</v>
      </c>
      <c r="C86" s="0" t="s">
        <v>399</v>
      </c>
      <c r="D86" s="0" t="s">
        <v>49</v>
      </c>
      <c r="E86" s="0" t="n">
        <f aca="false">+VLOOKUP(B86,'Yield (2)'!B:K,9,0)</f>
        <v>0.283899657656849</v>
      </c>
      <c r="F86" s="60" t="s">
        <v>816</v>
      </c>
      <c r="G86" s="60" t="n">
        <v>1.85</v>
      </c>
      <c r="H86" s="60" t="n">
        <v>2.15</v>
      </c>
      <c r="I86" s="62" t="n">
        <f aca="false">+VLOOKUP(B86,'Yield (2)'!B:D,3,0)</f>
        <v>29</v>
      </c>
    </row>
    <row r="87" customFormat="false" ht="15" hidden="false" customHeight="false" outlineLevel="0" collapsed="false">
      <c r="A87" s="51" t="s">
        <v>874</v>
      </c>
      <c r="B87" s="16" t="s">
        <v>400</v>
      </c>
      <c r="C87" s="0" t="s">
        <v>401</v>
      </c>
      <c r="D87" s="0" t="s">
        <v>49</v>
      </c>
      <c r="E87" s="0" t="n">
        <f aca="false">+VLOOKUP(B87,'Yield (2)'!B:K,9,0)</f>
        <v>0.283899657656849</v>
      </c>
      <c r="F87" s="60" t="s">
        <v>768</v>
      </c>
      <c r="G87" s="60" t="n">
        <v>2.1</v>
      </c>
      <c r="H87" s="60" t="n">
        <v>2.25</v>
      </c>
      <c r="I87" s="62" t="n">
        <f aca="false">+VLOOKUP(B87,'Yield (2)'!B:D,3,0)</f>
        <v>29</v>
      </c>
    </row>
    <row r="88" customFormat="false" ht="15" hidden="false" customHeight="false" outlineLevel="0" collapsed="false">
      <c r="A88" s="51" t="s">
        <v>875</v>
      </c>
      <c r="B88" s="16" t="s">
        <v>402</v>
      </c>
      <c r="C88" s="0" t="s">
        <v>403</v>
      </c>
      <c r="D88" s="0" t="s">
        <v>47</v>
      </c>
      <c r="E88" s="0" t="n">
        <f aca="false">+VLOOKUP(B88,'Yield (2)'!B:K,9,0)</f>
        <v>0.257984112860373</v>
      </c>
      <c r="F88" s="60" t="s">
        <v>768</v>
      </c>
      <c r="G88" s="60" t="n">
        <v>1.6</v>
      </c>
      <c r="H88" s="60" t="n">
        <v>2.3</v>
      </c>
      <c r="I88" s="62" t="n">
        <f aca="false">+VLOOKUP(B88,'Yield (2)'!B:D,3,0)</f>
        <v>27</v>
      </c>
    </row>
    <row r="89" customFormat="false" ht="15" hidden="false" customHeight="false" outlineLevel="0" collapsed="false">
      <c r="A89" s="51" t="s">
        <v>876</v>
      </c>
      <c r="B89" s="16" t="s">
        <v>404</v>
      </c>
      <c r="C89" s="0" t="s">
        <v>405</v>
      </c>
      <c r="D89" s="0" t="s">
        <v>47</v>
      </c>
      <c r="E89" s="0" t="n">
        <f aca="false">+VLOOKUP(B89,'Yield (2)'!B:K,9,0)</f>
        <v>0.257984112860373</v>
      </c>
      <c r="F89" s="60" t="s">
        <v>768</v>
      </c>
      <c r="G89" s="60" t="n">
        <v>1.6</v>
      </c>
      <c r="H89" s="60" t="n">
        <v>2.3</v>
      </c>
      <c r="I89" s="62" t="n">
        <f aca="false">+VLOOKUP(B89,'Yield (2)'!B:D,3,0)</f>
        <v>27</v>
      </c>
    </row>
    <row r="90" customFormat="false" ht="15" hidden="false" customHeight="false" outlineLevel="0" collapsed="false">
      <c r="A90" s="51" t="s">
        <v>877</v>
      </c>
      <c r="B90" s="16" t="s">
        <v>406</v>
      </c>
      <c r="C90" s="0" t="s">
        <v>407</v>
      </c>
      <c r="D90" s="0" t="s">
        <v>47</v>
      </c>
      <c r="E90" s="0" t="n">
        <f aca="false">+VLOOKUP(B90,'Yield (2)'!B:K,9,0)</f>
        <v>0.257984112860373</v>
      </c>
      <c r="F90" s="60" t="s">
        <v>768</v>
      </c>
      <c r="G90" s="60" t="n">
        <v>1.95</v>
      </c>
      <c r="H90" s="60" t="n">
        <v>2.4</v>
      </c>
      <c r="I90" s="62" t="n">
        <f aca="false">+VLOOKUP(B90,'Yield (2)'!B:D,3,0)</f>
        <v>27</v>
      </c>
    </row>
    <row r="91" customFormat="false" ht="15" hidden="false" customHeight="false" outlineLevel="0" collapsed="false">
      <c r="A91" s="51" t="s">
        <v>878</v>
      </c>
      <c r="B91" s="16" t="s">
        <v>408</v>
      </c>
      <c r="C91" s="0" t="s">
        <v>409</v>
      </c>
      <c r="D91" s="0" t="s">
        <v>47</v>
      </c>
      <c r="E91" s="0" t="n">
        <f aca="false">+VLOOKUP(B91,'Yield (2)'!B:K,9,0)</f>
        <v>0.257984112860373</v>
      </c>
      <c r="F91" s="60" t="s">
        <v>768</v>
      </c>
      <c r="G91" s="60" t="n">
        <v>1.6</v>
      </c>
      <c r="H91" s="60" t="n">
        <v>2.3</v>
      </c>
      <c r="I91" s="62" t="n">
        <f aca="false">+VLOOKUP(B91,'Yield (2)'!B:D,3,0)</f>
        <v>27</v>
      </c>
    </row>
    <row r="92" customFormat="false" ht="15" hidden="false" customHeight="false" outlineLevel="0" collapsed="false">
      <c r="A92" s="51" t="s">
        <v>879</v>
      </c>
      <c r="B92" s="16" t="s">
        <v>410</v>
      </c>
      <c r="C92" s="0" t="s">
        <v>411</v>
      </c>
      <c r="D92" s="0" t="s">
        <v>48</v>
      </c>
      <c r="E92" s="0" t="n">
        <f aca="false">+VLOOKUP(B92,'Yield (2)'!B:K,9,0)</f>
        <v>0.223682586038622</v>
      </c>
      <c r="F92" s="60" t="s">
        <v>774</v>
      </c>
      <c r="G92" s="60" t="n">
        <v>1.6</v>
      </c>
      <c r="H92" s="60" t="n">
        <v>1.65</v>
      </c>
      <c r="I92" s="62" t="n">
        <f aca="false">+VLOOKUP(B92,'Yield (2)'!B:D,3,0)</f>
        <v>28</v>
      </c>
    </row>
    <row r="93" customFormat="false" ht="15" hidden="false" customHeight="false" outlineLevel="0" collapsed="false">
      <c r="A93" s="51" t="s">
        <v>880</v>
      </c>
      <c r="B93" s="16" t="s">
        <v>412</v>
      </c>
      <c r="C93" s="0" t="s">
        <v>413</v>
      </c>
      <c r="D93" s="0" t="s">
        <v>48</v>
      </c>
      <c r="E93" s="0" t="n">
        <f aca="false">+VLOOKUP(B93,'Yield (2)'!B:K,9,0)</f>
        <v>0.223682586038622</v>
      </c>
      <c r="F93" s="60" t="s">
        <v>768</v>
      </c>
      <c r="G93" s="60" t="n">
        <v>1.6</v>
      </c>
      <c r="H93" s="60" t="n">
        <v>2.3</v>
      </c>
      <c r="I93" s="62" t="n">
        <f aca="false">+VLOOKUP(B93,'Yield (2)'!B:D,3,0)</f>
        <v>28</v>
      </c>
    </row>
    <row r="94" customFormat="false" ht="15" hidden="false" customHeight="false" outlineLevel="0" collapsed="false">
      <c r="A94" s="51" t="s">
        <v>881</v>
      </c>
      <c r="B94" s="16" t="s">
        <v>414</v>
      </c>
      <c r="C94" s="0" t="s">
        <v>415</v>
      </c>
      <c r="D94" s="0" t="s">
        <v>48</v>
      </c>
      <c r="E94" s="0" t="n">
        <f aca="false">+VLOOKUP(B94,'Yield (2)'!B:K,9,0)</f>
        <v>0.223682586038622</v>
      </c>
      <c r="F94" s="60" t="s">
        <v>768</v>
      </c>
      <c r="G94" s="60" t="n">
        <v>1.6</v>
      </c>
      <c r="H94" s="60" t="n">
        <v>2.3</v>
      </c>
      <c r="I94" s="62" t="n">
        <f aca="false">+VLOOKUP(B94,'Yield (2)'!B:D,3,0)</f>
        <v>28</v>
      </c>
    </row>
    <row r="95" customFormat="false" ht="15" hidden="false" customHeight="false" outlineLevel="0" collapsed="false">
      <c r="A95" s="51" t="s">
        <v>882</v>
      </c>
      <c r="B95" s="16" t="s">
        <v>416</v>
      </c>
      <c r="C95" s="0" t="s">
        <v>417</v>
      </c>
      <c r="D95" s="0" t="s">
        <v>48</v>
      </c>
      <c r="E95" s="0" t="n">
        <f aca="false">+VLOOKUP(B95,'Yield (2)'!B:K,9,0)</f>
        <v>0.223682586038622</v>
      </c>
      <c r="F95" s="60" t="s">
        <v>768</v>
      </c>
      <c r="G95" s="60" t="n">
        <v>1.6</v>
      </c>
      <c r="H95" s="60" t="n">
        <v>2.3</v>
      </c>
      <c r="I95" s="62" t="n">
        <f aca="false">+VLOOKUP(B95,'Yield (2)'!B:D,3,0)</f>
        <v>28</v>
      </c>
    </row>
    <row r="96" customFormat="false" ht="15" hidden="false" customHeight="false" outlineLevel="0" collapsed="false">
      <c r="A96" s="51" t="s">
        <v>883</v>
      </c>
      <c r="B96" s="16" t="s">
        <v>418</v>
      </c>
      <c r="C96" s="0" t="s">
        <v>419</v>
      </c>
      <c r="D96" s="0" t="s">
        <v>48</v>
      </c>
      <c r="E96" s="0" t="n">
        <f aca="false">+VLOOKUP(B96,'Yield (2)'!B:K,9,0)</f>
        <v>0.223682586038622</v>
      </c>
      <c r="F96" s="60" t="s">
        <v>768</v>
      </c>
      <c r="G96" s="60" t="n">
        <v>1.6</v>
      </c>
      <c r="H96" s="60" t="n">
        <v>2.3</v>
      </c>
      <c r="I96" s="62" t="n">
        <f aca="false">+VLOOKUP(B96,'Yield (2)'!B:D,3,0)</f>
        <v>28</v>
      </c>
    </row>
    <row r="97" customFormat="false" ht="15" hidden="false" customHeight="false" outlineLevel="0" collapsed="false">
      <c r="A97" s="51" t="s">
        <v>884</v>
      </c>
      <c r="B97" s="16" t="s">
        <v>420</v>
      </c>
      <c r="C97" s="0" t="s">
        <v>421</v>
      </c>
      <c r="D97" s="0" t="s">
        <v>48</v>
      </c>
      <c r="E97" s="0" t="n">
        <f aca="false">+VLOOKUP(B97,'Yield (2)'!B:K,9,0)</f>
        <v>0.223682586038622</v>
      </c>
      <c r="F97" s="60" t="s">
        <v>768</v>
      </c>
      <c r="G97" s="60" t="n">
        <v>1.6</v>
      </c>
      <c r="H97" s="60" t="n">
        <v>2.3</v>
      </c>
      <c r="I97" s="62" t="n">
        <f aca="false">+VLOOKUP(B97,'Yield (2)'!B:D,3,0)</f>
        <v>28</v>
      </c>
    </row>
    <row r="98" customFormat="false" ht="15" hidden="false" customHeight="false" outlineLevel="0" collapsed="false">
      <c r="A98" s="51" t="s">
        <v>885</v>
      </c>
      <c r="B98" s="16" t="s">
        <v>422</v>
      </c>
      <c r="C98" s="0" t="s">
        <v>423</v>
      </c>
      <c r="D98" s="0" t="s">
        <v>15</v>
      </c>
      <c r="E98" s="0" t="n">
        <f aca="false">+VLOOKUP(B98,'Yield (2)'!B:K,9,0)</f>
        <v>0.136590471202138</v>
      </c>
      <c r="F98" s="60" t="s">
        <v>816</v>
      </c>
      <c r="G98" s="60" t="n">
        <v>1.65</v>
      </c>
      <c r="H98" s="60" t="n">
        <v>2.4</v>
      </c>
      <c r="I98" s="62" t="n">
        <f aca="false">+VLOOKUP(B98,'Yield (2)'!B:D,3,0)</f>
        <v>26</v>
      </c>
    </row>
    <row r="99" customFormat="false" ht="15" hidden="false" customHeight="false" outlineLevel="0" collapsed="false">
      <c r="A99" s="51" t="s">
        <v>886</v>
      </c>
      <c r="B99" s="16" t="s">
        <v>424</v>
      </c>
      <c r="C99" s="0" t="s">
        <v>425</v>
      </c>
      <c r="D99" s="0" t="s">
        <v>50</v>
      </c>
      <c r="E99" s="0" t="n">
        <f aca="false">+VLOOKUP(B99,'Yield (2)'!B:K,9,0)</f>
        <v>0.169281787727845</v>
      </c>
      <c r="F99" s="60" t="s">
        <v>768</v>
      </c>
      <c r="G99" s="60" t="n">
        <v>1.6</v>
      </c>
      <c r="H99" s="60" t="n">
        <v>2.3</v>
      </c>
      <c r="I99" s="62" t="n">
        <f aca="false">+VLOOKUP(B99,'Yield (2)'!B:D,3,0)</f>
        <v>30</v>
      </c>
    </row>
    <row r="100" customFormat="false" ht="15" hidden="false" customHeight="false" outlineLevel="0" collapsed="false">
      <c r="A100" s="51" t="s">
        <v>887</v>
      </c>
      <c r="B100" s="16" t="s">
        <v>426</v>
      </c>
      <c r="C100" s="0" t="s">
        <v>427</v>
      </c>
      <c r="D100" s="0" t="s">
        <v>50</v>
      </c>
      <c r="E100" s="0" t="n">
        <f aca="false">+VLOOKUP(B100,'Yield (2)'!B:K,9,0)</f>
        <v>0.169281787727845</v>
      </c>
      <c r="F100" s="60" t="s">
        <v>768</v>
      </c>
      <c r="G100" s="60" t="n">
        <v>1.6</v>
      </c>
      <c r="H100" s="60" t="n">
        <v>2.3</v>
      </c>
      <c r="I100" s="62" t="n">
        <f aca="false">+VLOOKUP(B100,'Yield (2)'!B:D,3,0)</f>
        <v>30</v>
      </c>
    </row>
    <row r="101" customFormat="false" ht="15" hidden="false" customHeight="false" outlineLevel="0" collapsed="false">
      <c r="A101" s="51" t="s">
        <v>888</v>
      </c>
      <c r="B101" s="16" t="s">
        <v>428</v>
      </c>
      <c r="C101" s="0" t="s">
        <v>429</v>
      </c>
      <c r="D101" s="0" t="s">
        <v>50</v>
      </c>
      <c r="E101" s="0" t="n">
        <f aca="false">+VLOOKUP(B101,'Yield (2)'!B:K,9,0)</f>
        <v>0.169281787727845</v>
      </c>
      <c r="F101" s="60" t="s">
        <v>816</v>
      </c>
      <c r="G101" s="60" t="n">
        <v>1.8</v>
      </c>
      <c r="H101" s="60" t="n">
        <v>2.15</v>
      </c>
      <c r="I101" s="62" t="n">
        <f aca="false">+VLOOKUP(B101,'Yield (2)'!B:D,3,0)</f>
        <v>30</v>
      </c>
    </row>
    <row r="102" customFormat="false" ht="15" hidden="false" customHeight="false" outlineLevel="0" collapsed="false">
      <c r="A102" s="51" t="s">
        <v>889</v>
      </c>
      <c r="B102" s="16" t="s">
        <v>430</v>
      </c>
      <c r="C102" s="0" t="s">
        <v>431</v>
      </c>
      <c r="D102" s="0" t="s">
        <v>50</v>
      </c>
      <c r="E102" s="0" t="n">
        <f aca="false">+VLOOKUP(B102,'Yield (2)'!B:K,9,0)</f>
        <v>0.169281787727845</v>
      </c>
      <c r="F102" s="60" t="s">
        <v>816</v>
      </c>
      <c r="G102" s="60" t="n">
        <v>1.8</v>
      </c>
      <c r="H102" s="60" t="n">
        <v>2.15</v>
      </c>
      <c r="I102" s="62" t="n">
        <f aca="false">+VLOOKUP(B102,'Yield (2)'!B:D,3,0)</f>
        <v>30</v>
      </c>
    </row>
    <row r="103" customFormat="false" ht="15" hidden="false" customHeight="false" outlineLevel="0" collapsed="false">
      <c r="A103" s="51" t="s">
        <v>890</v>
      </c>
      <c r="B103" s="16" t="s">
        <v>432</v>
      </c>
      <c r="C103" s="0" t="s">
        <v>433</v>
      </c>
      <c r="D103" s="0" t="s">
        <v>50</v>
      </c>
      <c r="E103" s="0" t="n">
        <f aca="false">+VLOOKUP(B103,'Yield (2)'!B:K,9,0)</f>
        <v>0.169281787727845</v>
      </c>
      <c r="F103" s="60" t="s">
        <v>768</v>
      </c>
      <c r="G103" s="60" t="n">
        <v>1.9</v>
      </c>
      <c r="H103" s="60" t="n">
        <v>2.15</v>
      </c>
      <c r="I103" s="62" t="n">
        <f aca="false">+VLOOKUP(B103,'Yield (2)'!B:D,3,0)</f>
        <v>30</v>
      </c>
    </row>
    <row r="104" customFormat="false" ht="15" hidden="false" customHeight="false" outlineLevel="0" collapsed="false">
      <c r="A104" s="51" t="s">
        <v>891</v>
      </c>
      <c r="B104" s="16" t="s">
        <v>434</v>
      </c>
      <c r="C104" s="0" t="s">
        <v>435</v>
      </c>
      <c r="D104" s="0" t="s">
        <v>50</v>
      </c>
      <c r="E104" s="0" t="n">
        <f aca="false">+VLOOKUP(B104,'Yield (2)'!B:K,9,0)</f>
        <v>0.169281787727845</v>
      </c>
      <c r="F104" s="60" t="s">
        <v>768</v>
      </c>
      <c r="G104" s="60" t="n">
        <v>1.9</v>
      </c>
      <c r="H104" s="60" t="n">
        <v>2.15</v>
      </c>
      <c r="I104" s="62" t="n">
        <f aca="false">+VLOOKUP(B104,'Yield (2)'!B:D,3,0)</f>
        <v>30</v>
      </c>
    </row>
    <row r="105" customFormat="false" ht="15" hidden="false" customHeight="false" outlineLevel="0" collapsed="false">
      <c r="A105" s="51" t="s">
        <v>892</v>
      </c>
      <c r="B105" s="16" t="s">
        <v>436</v>
      </c>
      <c r="C105" s="0" t="s">
        <v>437</v>
      </c>
      <c r="D105" s="0" t="s">
        <v>50</v>
      </c>
      <c r="E105" s="0" t="n">
        <f aca="false">+VLOOKUP(B105,'Yield (2)'!B:K,9,0)</f>
        <v>0.169281787727845</v>
      </c>
      <c r="F105" s="60" t="s">
        <v>768</v>
      </c>
      <c r="G105" s="60" t="n">
        <v>1.6</v>
      </c>
      <c r="H105" s="60" t="n">
        <v>2.3</v>
      </c>
      <c r="I105" s="62" t="n">
        <f aca="false">+VLOOKUP(B105,'Yield (2)'!B:D,3,0)</f>
        <v>30</v>
      </c>
    </row>
    <row r="106" customFormat="false" ht="15" hidden="false" customHeight="false" outlineLevel="0" collapsed="false">
      <c r="A106" s="51" t="s">
        <v>893</v>
      </c>
      <c r="B106" s="16" t="s">
        <v>438</v>
      </c>
      <c r="C106" s="0" t="s">
        <v>439</v>
      </c>
      <c r="D106" s="0" t="s">
        <v>50</v>
      </c>
      <c r="E106" s="0" t="n">
        <f aca="false">+VLOOKUP(B106,'Yield (2)'!B:K,9,0)</f>
        <v>0.169281787727845</v>
      </c>
      <c r="F106" s="60" t="s">
        <v>768</v>
      </c>
      <c r="G106" s="60" t="n">
        <v>1.9</v>
      </c>
      <c r="H106" s="60" t="n">
        <v>2.15</v>
      </c>
      <c r="I106" s="62" t="n">
        <f aca="false">+VLOOKUP(B106,'Yield (2)'!B:D,3,0)</f>
        <v>30</v>
      </c>
    </row>
    <row r="107" customFormat="false" ht="15" hidden="false" customHeight="false" outlineLevel="0" collapsed="false">
      <c r="A107" s="51" t="s">
        <v>894</v>
      </c>
      <c r="B107" s="16" t="s">
        <v>440</v>
      </c>
      <c r="C107" s="0" t="s">
        <v>441</v>
      </c>
      <c r="D107" s="0" t="s">
        <v>50</v>
      </c>
      <c r="E107" s="0" t="n">
        <f aca="false">+VLOOKUP(B107,'Yield (2)'!B:K,9,0)</f>
        <v>0.169281787727845</v>
      </c>
      <c r="F107" s="60" t="s">
        <v>774</v>
      </c>
      <c r="G107" s="60" t="n">
        <v>1.6</v>
      </c>
      <c r="H107" s="60" t="n">
        <v>1.75</v>
      </c>
      <c r="I107" s="62" t="n">
        <f aca="false">+VLOOKUP(B107,'Yield (2)'!B:D,3,0)</f>
        <v>30</v>
      </c>
    </row>
    <row r="108" customFormat="false" ht="15" hidden="false" customHeight="false" outlineLevel="0" collapsed="false">
      <c r="A108" s="51" t="s">
        <v>895</v>
      </c>
      <c r="B108" s="16" t="s">
        <v>442</v>
      </c>
      <c r="C108" s="0" t="s">
        <v>443</v>
      </c>
      <c r="D108" s="0" t="s">
        <v>50</v>
      </c>
      <c r="E108" s="0" t="n">
        <f aca="false">+VLOOKUP(B108,'Yield (2)'!B:K,9,0)</f>
        <v>0.169281787727845</v>
      </c>
      <c r="F108" s="60" t="s">
        <v>768</v>
      </c>
      <c r="G108" s="60" t="n">
        <v>1.6</v>
      </c>
      <c r="H108" s="60" t="n">
        <v>2.3</v>
      </c>
      <c r="I108" s="62" t="n">
        <f aca="false">+VLOOKUP(B108,'Yield (2)'!B:D,3,0)</f>
        <v>30</v>
      </c>
    </row>
    <row r="109" customFormat="false" ht="15" hidden="false" customHeight="false" outlineLevel="0" collapsed="false">
      <c r="A109" s="51" t="s">
        <v>896</v>
      </c>
      <c r="B109" s="16" t="s">
        <v>444</v>
      </c>
      <c r="C109" s="0" t="s">
        <v>445</v>
      </c>
      <c r="D109" s="5" t="s">
        <v>51</v>
      </c>
      <c r="E109" s="0" t="n">
        <f aca="false">+VLOOKUP(B109,'Yield (2)'!B:K,9,0)</f>
        <v>0.14189303832344</v>
      </c>
      <c r="F109" s="60" t="s">
        <v>768</v>
      </c>
      <c r="G109" s="60" t="n">
        <v>1.6</v>
      </c>
      <c r="H109" s="60" t="n">
        <v>2.3</v>
      </c>
      <c r="I109" s="62" t="n">
        <f aca="false">+VLOOKUP(B109,'Yield (2)'!B:D,3,0)</f>
        <v>31</v>
      </c>
    </row>
    <row r="110" customFormat="false" ht="15" hidden="false" customHeight="false" outlineLevel="0" collapsed="false">
      <c r="A110" s="51" t="s">
        <v>897</v>
      </c>
      <c r="B110" s="16" t="s">
        <v>446</v>
      </c>
      <c r="C110" s="0" t="s">
        <v>447</v>
      </c>
      <c r="D110" s="5" t="s">
        <v>51</v>
      </c>
      <c r="E110" s="0" t="n">
        <f aca="false">+VLOOKUP(B110,'Yield (2)'!B:K,9,0)</f>
        <v>0.14189303832344</v>
      </c>
      <c r="F110" s="60" t="s">
        <v>768</v>
      </c>
      <c r="G110" s="60" t="n">
        <v>1.6</v>
      </c>
      <c r="H110" s="60" t="n">
        <v>2.3</v>
      </c>
      <c r="I110" s="62" t="n">
        <f aca="false">+VLOOKUP(B110,'Yield (2)'!B:D,3,0)</f>
        <v>31</v>
      </c>
    </row>
    <row r="111" customFormat="false" ht="15" hidden="false" customHeight="false" outlineLevel="0" collapsed="false">
      <c r="A111" s="51" t="s">
        <v>898</v>
      </c>
      <c r="B111" s="16" t="s">
        <v>448</v>
      </c>
      <c r="C111" s="0" t="s">
        <v>449</v>
      </c>
      <c r="D111" s="5" t="s">
        <v>51</v>
      </c>
      <c r="E111" s="0" t="n">
        <f aca="false">+VLOOKUP(B111,'Yield (2)'!B:K,9,0)</f>
        <v>0.14189303832344</v>
      </c>
      <c r="F111" s="60" t="s">
        <v>768</v>
      </c>
      <c r="G111" s="60" t="n">
        <v>1.6</v>
      </c>
      <c r="H111" s="60" t="n">
        <v>2.3</v>
      </c>
      <c r="I111" s="62" t="n">
        <f aca="false">+VLOOKUP(B111,'Yield (2)'!B:D,3,0)</f>
        <v>31</v>
      </c>
    </row>
    <row r="112" customFormat="false" ht="15" hidden="false" customHeight="false" outlineLevel="0" collapsed="false">
      <c r="A112" s="51" t="s">
        <v>899</v>
      </c>
      <c r="B112" s="16" t="s">
        <v>450</v>
      </c>
      <c r="C112" s="0" t="s">
        <v>451</v>
      </c>
      <c r="D112" s="5" t="s">
        <v>51</v>
      </c>
      <c r="E112" s="0" t="n">
        <f aca="false">+VLOOKUP(B112,'Yield (2)'!B:K,9,0)</f>
        <v>0.14189303832344</v>
      </c>
      <c r="F112" s="60" t="s">
        <v>768</v>
      </c>
      <c r="G112" s="60" t="n">
        <v>1.6</v>
      </c>
      <c r="H112" s="60" t="n">
        <v>2.3</v>
      </c>
      <c r="I112" s="62" t="n">
        <f aca="false">+VLOOKUP(B112,'Yield (2)'!B:D,3,0)</f>
        <v>31</v>
      </c>
    </row>
    <row r="113" customFormat="false" ht="15" hidden="false" customHeight="false" outlineLevel="0" collapsed="false">
      <c r="A113" s="51" t="s">
        <v>900</v>
      </c>
      <c r="B113" s="16" t="s">
        <v>452</v>
      </c>
      <c r="C113" s="0" t="s">
        <v>453</v>
      </c>
      <c r="D113" s="5" t="s">
        <v>51</v>
      </c>
      <c r="E113" s="0" t="n">
        <f aca="false">+VLOOKUP(B113,'Yield (2)'!B:K,9,0)</f>
        <v>0.14189303832344</v>
      </c>
      <c r="F113" s="60" t="s">
        <v>768</v>
      </c>
      <c r="G113" s="60" t="n">
        <v>1.6</v>
      </c>
      <c r="H113" s="60" t="n">
        <v>2.3</v>
      </c>
      <c r="I113" s="62" t="n">
        <f aca="false">+VLOOKUP(B113,'Yield (2)'!B:D,3,0)</f>
        <v>31</v>
      </c>
    </row>
    <row r="114" customFormat="false" ht="15" hidden="false" customHeight="false" outlineLevel="0" collapsed="false">
      <c r="A114" s="51" t="s">
        <v>901</v>
      </c>
      <c r="B114" s="16" t="s">
        <v>454</v>
      </c>
      <c r="C114" s="0" t="s">
        <v>455</v>
      </c>
      <c r="D114" s="5" t="s">
        <v>51</v>
      </c>
      <c r="E114" s="0" t="n">
        <f aca="false">+VLOOKUP(B114,'Yield (2)'!B:K,9,0)</f>
        <v>0.14189303832344</v>
      </c>
      <c r="F114" s="60" t="s">
        <v>768</v>
      </c>
      <c r="G114" s="60" t="n">
        <v>1.6</v>
      </c>
      <c r="H114" s="60" t="n">
        <v>2.3</v>
      </c>
      <c r="I114" s="62" t="n">
        <f aca="false">+VLOOKUP(B114,'Yield (2)'!B:D,3,0)</f>
        <v>31</v>
      </c>
    </row>
    <row r="115" customFormat="false" ht="15" hidden="false" customHeight="false" outlineLevel="0" collapsed="false">
      <c r="A115" s="51" t="s">
        <v>902</v>
      </c>
      <c r="B115" s="16" t="s">
        <v>456</v>
      </c>
      <c r="C115" s="0" t="s">
        <v>457</v>
      </c>
      <c r="D115" s="5" t="s">
        <v>51</v>
      </c>
      <c r="E115" s="0" t="n">
        <f aca="false">+VLOOKUP(B115,'Yield (2)'!B:K,9,0)</f>
        <v>0.14189303832344</v>
      </c>
      <c r="F115" s="60" t="s">
        <v>768</v>
      </c>
      <c r="G115" s="60" t="n">
        <v>1.6</v>
      </c>
      <c r="H115" s="60" t="n">
        <v>2.3</v>
      </c>
      <c r="I115" s="62" t="n">
        <f aca="false">+VLOOKUP(B115,'Yield (2)'!B:D,3,0)</f>
        <v>31</v>
      </c>
    </row>
    <row r="116" customFormat="false" ht="15" hidden="false" customHeight="false" outlineLevel="0" collapsed="false">
      <c r="A116" s="51" t="s">
        <v>903</v>
      </c>
      <c r="B116" s="16" t="s">
        <v>458</v>
      </c>
      <c r="C116" s="0" t="s">
        <v>459</v>
      </c>
      <c r="D116" s="5" t="s">
        <v>51</v>
      </c>
      <c r="E116" s="0" t="n">
        <f aca="false">+VLOOKUP(B116,'Yield (2)'!B:K,9,0)</f>
        <v>0.14189303832344</v>
      </c>
      <c r="F116" s="60" t="s">
        <v>816</v>
      </c>
      <c r="G116" s="60" t="n">
        <v>1.9</v>
      </c>
      <c r="H116" s="60" t="n">
        <v>2.2</v>
      </c>
      <c r="I116" s="62" t="n">
        <f aca="false">+VLOOKUP(B116,'Yield (2)'!B:D,3,0)</f>
        <v>31</v>
      </c>
    </row>
    <row r="117" customFormat="false" ht="15" hidden="false" customHeight="false" outlineLevel="0" collapsed="false">
      <c r="A117" s="51" t="s">
        <v>904</v>
      </c>
      <c r="B117" s="16" t="s">
        <v>460</v>
      </c>
      <c r="C117" s="0" t="s">
        <v>461</v>
      </c>
      <c r="D117" s="5" t="s">
        <v>51</v>
      </c>
      <c r="E117" s="0" t="n">
        <f aca="false">+VLOOKUP(B117,'Yield (2)'!B:K,9,0)</f>
        <v>0.14189303832344</v>
      </c>
      <c r="F117" s="60" t="s">
        <v>774</v>
      </c>
      <c r="G117" s="60" t="n">
        <v>1.6</v>
      </c>
      <c r="H117" s="60" t="n">
        <v>1.75</v>
      </c>
      <c r="I117" s="62" t="n">
        <f aca="false">+VLOOKUP(B117,'Yield (2)'!B:D,3,0)</f>
        <v>31</v>
      </c>
    </row>
    <row r="118" customFormat="false" ht="15" hidden="false" customHeight="false" outlineLevel="0" collapsed="false">
      <c r="A118" s="51" t="s">
        <v>905</v>
      </c>
      <c r="B118" s="16" t="s">
        <v>462</v>
      </c>
      <c r="C118" s="0" t="s">
        <v>463</v>
      </c>
      <c r="D118" s="5" t="s">
        <v>51</v>
      </c>
      <c r="E118" s="0" t="n">
        <f aca="false">+VLOOKUP(B118,'Yield (2)'!B:K,9,0)</f>
        <v>0.14189303832344</v>
      </c>
      <c r="F118" s="60" t="s">
        <v>774</v>
      </c>
      <c r="G118" s="60" t="n">
        <v>1.6</v>
      </c>
      <c r="H118" s="60" t="n">
        <v>1.75</v>
      </c>
      <c r="I118" s="62" t="n">
        <f aca="false">+VLOOKUP(B118,'Yield (2)'!B:D,3,0)</f>
        <v>31</v>
      </c>
    </row>
    <row r="119" customFormat="false" ht="15" hidden="false" customHeight="false" outlineLevel="0" collapsed="false">
      <c r="A119" s="51" t="s">
        <v>906</v>
      </c>
      <c r="B119" s="16" t="s">
        <v>464</v>
      </c>
      <c r="C119" s="0" t="s">
        <v>465</v>
      </c>
      <c r="D119" s="5" t="s">
        <v>51</v>
      </c>
      <c r="E119" s="0" t="n">
        <f aca="false">+VLOOKUP(B119,'Yield (2)'!B:K,9,0)</f>
        <v>0.14189303832344</v>
      </c>
      <c r="F119" s="60" t="s">
        <v>816</v>
      </c>
      <c r="G119" s="60" t="n">
        <v>1.8</v>
      </c>
      <c r="H119" s="60" t="n">
        <v>2.15</v>
      </c>
      <c r="I119" s="62" t="n">
        <f aca="false">+VLOOKUP(B119,'Yield (2)'!B:D,3,0)</f>
        <v>31</v>
      </c>
    </row>
    <row r="120" customFormat="false" ht="15" hidden="false" customHeight="false" outlineLevel="0" collapsed="false">
      <c r="A120" s="51" t="s">
        <v>907</v>
      </c>
      <c r="B120" s="16" t="s">
        <v>466</v>
      </c>
      <c r="C120" s="0" t="s">
        <v>467</v>
      </c>
      <c r="D120" s="5" t="s">
        <v>51</v>
      </c>
      <c r="E120" s="0" t="n">
        <f aca="false">+VLOOKUP(B120,'Yield (2)'!B:K,9,0)</f>
        <v>0.14189303832344</v>
      </c>
      <c r="F120" s="60" t="s">
        <v>816</v>
      </c>
      <c r="G120" s="60" t="n">
        <v>1.7</v>
      </c>
      <c r="H120" s="60" t="n">
        <v>1.95</v>
      </c>
      <c r="I120" s="62" t="n">
        <f aca="false">+VLOOKUP(B120,'Yield (2)'!B:D,3,0)</f>
        <v>31</v>
      </c>
    </row>
    <row r="121" customFormat="false" ht="15" hidden="false" customHeight="false" outlineLevel="0" collapsed="false">
      <c r="A121" s="51" t="s">
        <v>908</v>
      </c>
      <c r="B121" s="16" t="s">
        <v>470</v>
      </c>
      <c r="C121" s="0" t="s">
        <v>471</v>
      </c>
      <c r="D121" s="0" t="s">
        <v>52</v>
      </c>
      <c r="E121" s="0" t="n">
        <f aca="false">+VLOOKUP(B121,'Yield (2)'!B:K,9,0)</f>
        <v>0.0787337631541904</v>
      </c>
      <c r="F121" s="60" t="s">
        <v>768</v>
      </c>
      <c r="G121" s="60" t="n">
        <v>1.6</v>
      </c>
      <c r="H121" s="60" t="n">
        <v>2.3</v>
      </c>
      <c r="I121" s="62" t="n">
        <f aca="false">+VLOOKUP(B121,'Yield (2)'!B:D,3,0)</f>
        <v>32</v>
      </c>
    </row>
    <row r="122" customFormat="false" ht="15" hidden="false" customHeight="false" outlineLevel="0" collapsed="false">
      <c r="A122" s="51" t="s">
        <v>909</v>
      </c>
      <c r="B122" s="16" t="s">
        <v>472</v>
      </c>
      <c r="C122" s="0" t="s">
        <v>471</v>
      </c>
      <c r="D122" s="0" t="s">
        <v>52</v>
      </c>
      <c r="E122" s="0" t="n">
        <f aca="false">+VLOOKUP(B122,'Yield (2)'!B:K,9,0)</f>
        <v>0.0787337631541904</v>
      </c>
      <c r="F122" s="60" t="s">
        <v>768</v>
      </c>
      <c r="G122" s="60" t="n">
        <v>1.6</v>
      </c>
      <c r="H122" s="60" t="n">
        <v>2.3</v>
      </c>
      <c r="I122" s="62" t="n">
        <f aca="false">+VLOOKUP(B122,'Yield (2)'!B:D,3,0)</f>
        <v>32</v>
      </c>
    </row>
    <row r="123" customFormat="false" ht="15" hidden="false" customHeight="false" outlineLevel="0" collapsed="false">
      <c r="A123" s="51" t="s">
        <v>910</v>
      </c>
      <c r="B123" s="16" t="s">
        <v>468</v>
      </c>
      <c r="C123" s="0" t="s">
        <v>469</v>
      </c>
      <c r="D123" s="5" t="s">
        <v>53</v>
      </c>
      <c r="E123" s="0" t="n">
        <f aca="false">+VLOOKUP(B123,'Yield (2)'!B:K,9,0)</f>
        <v>0.223682586038622</v>
      </c>
      <c r="F123" s="60" t="s">
        <v>768</v>
      </c>
      <c r="G123" s="60" t="n">
        <v>1.6</v>
      </c>
      <c r="H123" s="60" t="n">
        <v>2.3</v>
      </c>
      <c r="I123" s="62" t="n">
        <f aca="false">+VLOOKUP(B123,'Yield (2)'!B:D,3,0)</f>
        <v>33</v>
      </c>
    </row>
    <row r="124" customFormat="false" ht="15" hidden="false" customHeight="false" outlineLevel="0" collapsed="false">
      <c r="A124" s="51" t="s">
        <v>911</v>
      </c>
      <c r="B124" s="16" t="s">
        <v>473</v>
      </c>
      <c r="C124" s="0" t="s">
        <v>474</v>
      </c>
      <c r="D124" s="0" t="s">
        <v>54</v>
      </c>
      <c r="E124" s="0" t="n">
        <f aca="false">+VLOOKUP(B124,'Yield (2)'!B:K,9,0)</f>
        <v>0.223682586038622</v>
      </c>
      <c r="F124" s="60" t="s">
        <v>768</v>
      </c>
      <c r="G124" s="60" t="n">
        <v>1.6</v>
      </c>
      <c r="H124" s="60" t="n">
        <v>2.3</v>
      </c>
      <c r="I124" s="62" t="n">
        <f aca="false">+VLOOKUP(B124,'Yield (2)'!B:D,3,0)</f>
        <v>34</v>
      </c>
    </row>
    <row r="125" customFormat="false" ht="15" hidden="false" customHeight="false" outlineLevel="0" collapsed="false">
      <c r="A125" s="16" t="s">
        <v>912</v>
      </c>
      <c r="B125" s="16" t="s">
        <v>113</v>
      </c>
      <c r="C125" s="0" t="s">
        <v>114</v>
      </c>
      <c r="D125" s="0" t="s">
        <v>12</v>
      </c>
      <c r="E125" s="0" t="n">
        <f aca="false">+VLOOKUP(B125,'Yield (2)'!B:K,9,0)</f>
        <v>0.16</v>
      </c>
      <c r="F125" s="60" t="s">
        <v>774</v>
      </c>
      <c r="G125" s="60" t="n">
        <v>1.6</v>
      </c>
      <c r="H125" s="60" t="n">
        <v>1.75</v>
      </c>
      <c r="I125" s="62" t="n">
        <f aca="false">+VLOOKUP(B125,'Yield (2)'!B:D,3,0)</f>
        <v>1</v>
      </c>
    </row>
    <row r="126" customFormat="false" ht="15" hidden="false" customHeight="false" outlineLevel="0" collapsed="false">
      <c r="A126" s="16" t="s">
        <v>913</v>
      </c>
      <c r="B126" s="16" t="s">
        <v>115</v>
      </c>
      <c r="C126" s="0" t="s">
        <v>114</v>
      </c>
      <c r="D126" s="0" t="s">
        <v>12</v>
      </c>
      <c r="E126" s="0" t="n">
        <f aca="false">+VLOOKUP(B126,'Yield (2)'!B:K,9,0)</f>
        <v>0.16</v>
      </c>
      <c r="F126" s="60" t="s">
        <v>774</v>
      </c>
      <c r="G126" s="60" t="n">
        <v>1.6</v>
      </c>
      <c r="H126" s="60" t="n">
        <v>1.75</v>
      </c>
      <c r="I126" s="62" t="n">
        <f aca="false">+VLOOKUP(B126,'Yield (2)'!B:D,3,0)</f>
        <v>1</v>
      </c>
    </row>
    <row r="127" customFormat="false" ht="15" hidden="false" customHeight="false" outlineLevel="0" collapsed="false">
      <c r="A127" s="16" t="s">
        <v>914</v>
      </c>
      <c r="B127" s="16" t="s">
        <v>116</v>
      </c>
      <c r="C127" s="0" t="s">
        <v>117</v>
      </c>
      <c r="D127" s="0" t="s">
        <v>12</v>
      </c>
      <c r="E127" s="0" t="n">
        <f aca="false">+VLOOKUP(B127,'Yield (2)'!B:K,9,0)</f>
        <v>0.16</v>
      </c>
      <c r="F127" s="60" t="s">
        <v>774</v>
      </c>
      <c r="G127" s="60" t="n">
        <v>1.6</v>
      </c>
      <c r="H127" s="60" t="n">
        <v>1.75</v>
      </c>
      <c r="I127" s="62" t="n">
        <f aca="false">+VLOOKUP(B127,'Yield (2)'!B:D,3,0)</f>
        <v>1</v>
      </c>
    </row>
    <row r="128" customFormat="false" ht="15" hidden="false" customHeight="false" outlineLevel="0" collapsed="false">
      <c r="A128" s="16" t="s">
        <v>915</v>
      </c>
      <c r="B128" s="16" t="s">
        <v>118</v>
      </c>
      <c r="C128" s="0" t="s">
        <v>119</v>
      </c>
      <c r="D128" s="0" t="s">
        <v>12</v>
      </c>
      <c r="E128" s="0" t="n">
        <f aca="false">+VLOOKUP(B128,'Yield (2)'!B:K,9,0)</f>
        <v>0.16</v>
      </c>
      <c r="F128" s="60" t="s">
        <v>816</v>
      </c>
      <c r="G128" s="60" t="n">
        <v>1.8</v>
      </c>
      <c r="H128" s="60" t="n">
        <v>2.1</v>
      </c>
      <c r="I128" s="62" t="n">
        <f aca="false">+VLOOKUP(B128,'Yield (2)'!B:D,3,0)</f>
        <v>1</v>
      </c>
    </row>
    <row r="129" customFormat="false" ht="15" hidden="false" customHeight="false" outlineLevel="0" collapsed="false">
      <c r="A129" s="16" t="s">
        <v>916</v>
      </c>
      <c r="B129" s="16" t="s">
        <v>120</v>
      </c>
      <c r="C129" s="0" t="s">
        <v>121</v>
      </c>
      <c r="D129" s="0" t="s">
        <v>12</v>
      </c>
      <c r="E129" s="0" t="n">
        <f aca="false">+VLOOKUP(B129,'Yield (2)'!B:K,9,0)</f>
        <v>0.16</v>
      </c>
      <c r="F129" s="60" t="s">
        <v>816</v>
      </c>
      <c r="G129" s="60" t="n">
        <v>1.8</v>
      </c>
      <c r="H129" s="60" t="n">
        <v>2.2</v>
      </c>
      <c r="I129" s="62" t="n">
        <f aca="false">+VLOOKUP(B129,'Yield (2)'!B:D,3,0)</f>
        <v>1</v>
      </c>
    </row>
    <row r="130" customFormat="false" ht="15" hidden="false" customHeight="false" outlineLevel="0" collapsed="false">
      <c r="A130" s="16" t="s">
        <v>917</v>
      </c>
      <c r="B130" s="16" t="s">
        <v>122</v>
      </c>
      <c r="C130" s="0" t="s">
        <v>121</v>
      </c>
      <c r="D130" s="0" t="s">
        <v>12</v>
      </c>
      <c r="E130" s="0" t="n">
        <f aca="false">+VLOOKUP(B130,'Yield (2)'!B:K,9,0)</f>
        <v>0.16</v>
      </c>
      <c r="F130" s="60" t="s">
        <v>816</v>
      </c>
      <c r="G130" s="60" t="n">
        <v>1.8</v>
      </c>
      <c r="H130" s="60" t="n">
        <v>2.2</v>
      </c>
      <c r="I130" s="62" t="n">
        <f aca="false">+VLOOKUP(B130,'Yield (2)'!B:D,3,0)</f>
        <v>1</v>
      </c>
    </row>
    <row r="131" customFormat="false" ht="15" hidden="false" customHeight="false" outlineLevel="0" collapsed="false">
      <c r="A131" s="16" t="s">
        <v>918</v>
      </c>
      <c r="B131" s="16" t="s">
        <v>123</v>
      </c>
      <c r="C131" s="0" t="s">
        <v>124</v>
      </c>
      <c r="D131" s="0" t="s">
        <v>12</v>
      </c>
      <c r="E131" s="0" t="n">
        <f aca="false">+VLOOKUP(B131,'Yield (2)'!B:K,9,0)</f>
        <v>0.16</v>
      </c>
      <c r="F131" s="60" t="s">
        <v>816</v>
      </c>
      <c r="G131" s="60" t="n">
        <v>1.8</v>
      </c>
      <c r="H131" s="60" t="n">
        <v>2.2</v>
      </c>
      <c r="I131" s="62" t="n">
        <f aca="false">+VLOOKUP(B131,'Yield (2)'!B:D,3,0)</f>
        <v>1</v>
      </c>
    </row>
    <row r="132" customFormat="false" ht="15" hidden="false" customHeight="false" outlineLevel="0" collapsed="false">
      <c r="A132" s="16" t="s">
        <v>919</v>
      </c>
      <c r="B132" s="16" t="s">
        <v>125</v>
      </c>
      <c r="C132" s="0" t="s">
        <v>124</v>
      </c>
      <c r="D132" s="0" t="s">
        <v>12</v>
      </c>
      <c r="E132" s="0" t="n">
        <f aca="false">+VLOOKUP(B132,'Yield (2)'!B:K,9,0)</f>
        <v>0.16</v>
      </c>
      <c r="F132" s="60" t="s">
        <v>816</v>
      </c>
      <c r="G132" s="60" t="n">
        <v>1.8</v>
      </c>
      <c r="H132" s="60" t="n">
        <v>2.2</v>
      </c>
      <c r="I132" s="62" t="n">
        <f aca="false">+VLOOKUP(B132,'Yield (2)'!B:D,3,0)</f>
        <v>1</v>
      </c>
    </row>
    <row r="133" customFormat="false" ht="15" hidden="false" customHeight="false" outlineLevel="0" collapsed="false">
      <c r="A133" s="16" t="s">
        <v>920</v>
      </c>
      <c r="B133" s="16" t="s">
        <v>126</v>
      </c>
      <c r="C133" s="0" t="s">
        <v>127</v>
      </c>
      <c r="D133" s="0" t="s">
        <v>12</v>
      </c>
      <c r="E133" s="0" t="n">
        <f aca="false">+VLOOKUP(B133,'Yield (2)'!B:K,9,0)</f>
        <v>0.16</v>
      </c>
      <c r="F133" s="60" t="s">
        <v>774</v>
      </c>
      <c r="G133" s="60" t="n">
        <v>1.6</v>
      </c>
      <c r="H133" s="60" t="n">
        <v>2.2</v>
      </c>
      <c r="I133" s="62" t="n">
        <f aca="false">+VLOOKUP(B133,'Yield (2)'!B:D,3,0)</f>
        <v>1</v>
      </c>
    </row>
    <row r="134" customFormat="false" ht="15" hidden="false" customHeight="false" outlineLevel="0" collapsed="false">
      <c r="A134" s="16" t="s">
        <v>921</v>
      </c>
      <c r="B134" s="16" t="s">
        <v>128</v>
      </c>
      <c r="C134" s="0" t="s">
        <v>129</v>
      </c>
      <c r="D134" s="0" t="s">
        <v>12</v>
      </c>
      <c r="E134" s="0" t="n">
        <f aca="false">+VLOOKUP(B134,'Yield (2)'!B:K,9,0)</f>
        <v>0.16</v>
      </c>
      <c r="F134" s="60" t="s">
        <v>774</v>
      </c>
      <c r="G134" s="60" t="n">
        <v>1.6</v>
      </c>
      <c r="H134" s="60" t="n">
        <v>1.75</v>
      </c>
      <c r="I134" s="62" t="n">
        <f aca="false">+VLOOKUP(B134,'Yield (2)'!B:D,3,0)</f>
        <v>1</v>
      </c>
    </row>
    <row r="135" customFormat="false" ht="15" hidden="false" customHeight="false" outlineLevel="0" collapsed="false">
      <c r="A135" s="16" t="s">
        <v>922</v>
      </c>
      <c r="B135" s="16" t="s">
        <v>130</v>
      </c>
      <c r="C135" s="0" t="s">
        <v>131</v>
      </c>
      <c r="D135" s="0" t="s">
        <v>12</v>
      </c>
      <c r="E135" s="0" t="n">
        <f aca="false">+VLOOKUP(B135,'Yield (2)'!B:K,9,0)</f>
        <v>0.16</v>
      </c>
      <c r="F135" s="60" t="s">
        <v>774</v>
      </c>
      <c r="G135" s="60" t="n">
        <v>1.6</v>
      </c>
      <c r="H135" s="60" t="n">
        <v>2.2</v>
      </c>
      <c r="I135" s="62" t="n">
        <f aca="false">+VLOOKUP(B135,'Yield (2)'!B:D,3,0)</f>
        <v>1</v>
      </c>
    </row>
    <row r="136" customFormat="false" ht="15" hidden="false" customHeight="false" outlineLevel="0" collapsed="false">
      <c r="A136" s="16" t="s">
        <v>923</v>
      </c>
      <c r="B136" s="16" t="s">
        <v>132</v>
      </c>
      <c r="C136" s="0" t="s">
        <v>133</v>
      </c>
      <c r="D136" s="0" t="s">
        <v>12</v>
      </c>
      <c r="E136" s="0" t="n">
        <f aca="false">+VLOOKUP(B136,'Yield (2)'!B:K,9,0)</f>
        <v>0.16</v>
      </c>
      <c r="F136" s="60" t="s">
        <v>774</v>
      </c>
      <c r="G136" s="60" t="n">
        <v>1.6</v>
      </c>
      <c r="H136" s="60" t="n">
        <v>2.2</v>
      </c>
      <c r="I136" s="62" t="n">
        <f aca="false">+VLOOKUP(B136,'Yield (2)'!B:D,3,0)</f>
        <v>1</v>
      </c>
    </row>
    <row r="137" customFormat="false" ht="15" hidden="false" customHeight="false" outlineLevel="0" collapsed="false">
      <c r="A137" s="16" t="s">
        <v>924</v>
      </c>
      <c r="B137" s="16" t="s">
        <v>101</v>
      </c>
      <c r="C137" s="0" t="s">
        <v>102</v>
      </c>
      <c r="D137" s="0" t="s">
        <v>100</v>
      </c>
      <c r="E137" s="0" t="n">
        <f aca="false">+VLOOKUP(B137,'Yield (2)'!B:K,9,0)</f>
        <v>0.9</v>
      </c>
      <c r="F137" s="60" t="s">
        <v>774</v>
      </c>
      <c r="G137" s="60" t="n">
        <v>1.6</v>
      </c>
      <c r="H137" s="60" t="n">
        <v>2.15</v>
      </c>
      <c r="I137" s="62" t="n">
        <f aca="false">+VLOOKUP(B137,'Yield (2)'!B:D,3,0)</f>
        <v>3</v>
      </c>
    </row>
    <row r="138" customFormat="false" ht="15" hidden="false" customHeight="false" outlineLevel="0" collapsed="false">
      <c r="A138" s="16" t="s">
        <v>925</v>
      </c>
      <c r="B138" s="16" t="s">
        <v>103</v>
      </c>
      <c r="C138" s="0" t="s">
        <v>102</v>
      </c>
      <c r="D138" s="0" t="s">
        <v>100</v>
      </c>
      <c r="E138" s="0" t="n">
        <f aca="false">+VLOOKUP(B138,'Yield (2)'!B:K,9,0)</f>
        <v>0.9</v>
      </c>
      <c r="F138" s="60" t="s">
        <v>774</v>
      </c>
      <c r="G138" s="60" t="n">
        <v>1.6</v>
      </c>
      <c r="H138" s="60" t="n">
        <v>2.15</v>
      </c>
      <c r="I138" s="62" t="n">
        <f aca="false">+VLOOKUP(B138,'Yield (2)'!B:D,3,0)</f>
        <v>3</v>
      </c>
    </row>
    <row r="139" customFormat="false" ht="15" hidden="false" customHeight="false" outlineLevel="0" collapsed="false">
      <c r="A139" s="16" t="s">
        <v>926</v>
      </c>
      <c r="B139" s="16" t="s">
        <v>104</v>
      </c>
      <c r="C139" s="0" t="s">
        <v>102</v>
      </c>
      <c r="D139" s="0" t="s">
        <v>100</v>
      </c>
      <c r="E139" s="0" t="n">
        <f aca="false">+VLOOKUP(B139,'Yield (2)'!B:K,9,0)</f>
        <v>0.9</v>
      </c>
      <c r="F139" s="60" t="s">
        <v>774</v>
      </c>
      <c r="G139" s="60" t="n">
        <v>1.6</v>
      </c>
      <c r="H139" s="60" t="n">
        <v>2.15</v>
      </c>
      <c r="I139" s="62" t="n">
        <f aca="false">+VLOOKUP(B139,'Yield (2)'!B:D,3,0)</f>
        <v>3</v>
      </c>
    </row>
    <row r="140" customFormat="false" ht="15" hidden="false" customHeight="false" outlineLevel="0" collapsed="false">
      <c r="A140" s="16" t="s">
        <v>927</v>
      </c>
      <c r="B140" s="16" t="s">
        <v>105</v>
      </c>
      <c r="C140" s="0" t="s">
        <v>106</v>
      </c>
      <c r="D140" s="0" t="s">
        <v>100</v>
      </c>
      <c r="E140" s="0" t="n">
        <f aca="false">+VLOOKUP(B140,'Yield (2)'!B:K,9,0)</f>
        <v>0.9</v>
      </c>
      <c r="F140" s="60" t="s">
        <v>774</v>
      </c>
      <c r="G140" s="60" t="n">
        <v>1.6</v>
      </c>
      <c r="H140" s="60" t="n">
        <v>2.15</v>
      </c>
      <c r="I140" s="62" t="n">
        <f aca="false">+VLOOKUP(B140,'Yield (2)'!B:D,3,0)</f>
        <v>3</v>
      </c>
    </row>
    <row r="141" customFormat="false" ht="15" hidden="false" customHeight="false" outlineLevel="0" collapsed="false">
      <c r="A141" s="16" t="s">
        <v>928</v>
      </c>
      <c r="B141" s="16" t="s">
        <v>107</v>
      </c>
      <c r="C141" s="0" t="s">
        <v>102</v>
      </c>
      <c r="D141" s="0" t="s">
        <v>100</v>
      </c>
      <c r="E141" s="0" t="n">
        <f aca="false">+VLOOKUP(B141,'Yield (2)'!B:K,9,0)</f>
        <v>0.9</v>
      </c>
      <c r="F141" s="60" t="s">
        <v>774</v>
      </c>
      <c r="G141" s="60" t="n">
        <v>1.6</v>
      </c>
      <c r="H141" s="60" t="n">
        <v>2.15</v>
      </c>
      <c r="I141" s="62" t="n">
        <f aca="false">+VLOOKUP(B141,'Yield (2)'!B:D,3,0)</f>
        <v>3</v>
      </c>
    </row>
    <row r="142" customFormat="false" ht="15" hidden="false" customHeight="false" outlineLevel="0" collapsed="false">
      <c r="A142" s="16" t="s">
        <v>929</v>
      </c>
      <c r="B142" s="16" t="s">
        <v>108</v>
      </c>
      <c r="C142" s="0" t="s">
        <v>102</v>
      </c>
      <c r="D142" s="0" t="s">
        <v>100</v>
      </c>
      <c r="E142" s="0" t="n">
        <f aca="false">+VLOOKUP(B142,'Yield (2)'!B:K,9,0)</f>
        <v>0.9</v>
      </c>
      <c r="F142" s="60" t="s">
        <v>774</v>
      </c>
      <c r="G142" s="60" t="n">
        <v>1.6</v>
      </c>
      <c r="H142" s="60" t="n">
        <v>2.15</v>
      </c>
      <c r="I142" s="62" t="n">
        <f aca="false">+VLOOKUP(B142,'Yield (2)'!B:D,3,0)</f>
        <v>3</v>
      </c>
    </row>
    <row r="143" customFormat="false" ht="15" hidden="false" customHeight="false" outlineLevel="0" collapsed="false">
      <c r="A143" s="16" t="s">
        <v>930</v>
      </c>
      <c r="B143" s="16" t="s">
        <v>109</v>
      </c>
      <c r="C143" s="0" t="s">
        <v>110</v>
      </c>
      <c r="D143" s="0" t="s">
        <v>100</v>
      </c>
      <c r="E143" s="0" t="n">
        <f aca="false">+VLOOKUP(B143,'Yield (2)'!B:K,9,0)</f>
        <v>0.13</v>
      </c>
      <c r="F143" s="60" t="s">
        <v>774</v>
      </c>
      <c r="G143" s="60" t="n">
        <v>1.6</v>
      </c>
      <c r="H143" s="60" t="n">
        <v>2.15</v>
      </c>
      <c r="I143" s="62" t="n">
        <f aca="false">+VLOOKUP(B143,'Yield (2)'!B:D,3,0)</f>
        <v>3</v>
      </c>
    </row>
    <row r="144" customFormat="false" ht="15" hidden="false" customHeight="false" outlineLevel="0" collapsed="false">
      <c r="A144" s="16" t="s">
        <v>931</v>
      </c>
      <c r="B144" s="16" t="s">
        <v>111</v>
      </c>
      <c r="C144" s="0" t="s">
        <v>112</v>
      </c>
      <c r="D144" s="0" t="s">
        <v>100</v>
      </c>
      <c r="E144" s="0" t="n">
        <f aca="false">+VLOOKUP(B144,'Yield (2)'!B:K,9,0)</f>
        <v>0.13</v>
      </c>
      <c r="F144" s="60" t="s">
        <v>774</v>
      </c>
      <c r="G144" s="60" t="n">
        <v>1.6</v>
      </c>
      <c r="H144" s="60" t="n">
        <v>2.15</v>
      </c>
      <c r="I144" s="62" t="n">
        <f aca="false">+VLOOKUP(B144,'Yield (2)'!B:D,3,0)</f>
        <v>3</v>
      </c>
    </row>
    <row r="145" customFormat="false" ht="15" hidden="false" customHeight="false" outlineLevel="0" collapsed="false">
      <c r="A145" s="16" t="s">
        <v>932</v>
      </c>
      <c r="B145" s="16" t="s">
        <v>200</v>
      </c>
      <c r="C145" s="0" t="s">
        <v>201</v>
      </c>
      <c r="D145" s="0" t="s">
        <v>15</v>
      </c>
      <c r="E145" s="0" t="n">
        <f aca="false">+VLOOKUP(B145,'Yield (2)'!B:K,9,0)</f>
        <v>0.16</v>
      </c>
      <c r="F145" s="60" t="s">
        <v>816</v>
      </c>
      <c r="G145" s="60" t="n">
        <v>1.8</v>
      </c>
      <c r="H145" s="60" t="n">
        <v>2.25</v>
      </c>
      <c r="I145" s="62" t="n">
        <f aca="false">+VLOOKUP(B145,'Yield (2)'!B:D,3,0)</f>
        <v>26</v>
      </c>
    </row>
    <row r="146" customFormat="false" ht="15" hidden="false" customHeight="false" outlineLevel="0" collapsed="false">
      <c r="A146" s="16" t="s">
        <v>933</v>
      </c>
      <c r="B146" s="16" t="s">
        <v>202</v>
      </c>
      <c r="C146" s="0" t="s">
        <v>201</v>
      </c>
      <c r="D146" s="0" t="s">
        <v>15</v>
      </c>
      <c r="E146" s="0" t="n">
        <f aca="false">+VLOOKUP(B146,'Yield (2)'!B:K,9,0)</f>
        <v>0.16</v>
      </c>
      <c r="F146" s="60" t="s">
        <v>816</v>
      </c>
      <c r="G146" s="60" t="n">
        <v>1.8</v>
      </c>
      <c r="H146" s="60" t="n">
        <v>2.25</v>
      </c>
      <c r="I146" s="62" t="n">
        <f aca="false">+VLOOKUP(B146,'Yield (2)'!B:D,3,0)</f>
        <v>26</v>
      </c>
    </row>
    <row r="147" customFormat="false" ht="15" hidden="false" customHeight="false" outlineLevel="0" collapsed="false">
      <c r="A147" s="16" t="s">
        <v>934</v>
      </c>
      <c r="B147" s="16" t="s">
        <v>203</v>
      </c>
      <c r="C147" s="0" t="s">
        <v>204</v>
      </c>
      <c r="D147" s="0" t="s">
        <v>15</v>
      </c>
      <c r="E147" s="0" t="n">
        <f aca="false">+VLOOKUP(B147,'Yield (2)'!B:K,9,0)</f>
        <v>0.16</v>
      </c>
      <c r="F147" s="60" t="s">
        <v>816</v>
      </c>
      <c r="G147" s="60" t="n">
        <v>1.8</v>
      </c>
      <c r="H147" s="60" t="n">
        <v>2.25</v>
      </c>
      <c r="I147" s="62" t="n">
        <f aca="false">+VLOOKUP(B147,'Yield (2)'!B:D,3,0)</f>
        <v>26</v>
      </c>
    </row>
    <row r="148" customFormat="false" ht="15" hidden="false" customHeight="false" outlineLevel="0" collapsed="false">
      <c r="A148" s="16" t="s">
        <v>935</v>
      </c>
      <c r="B148" s="16" t="s">
        <v>205</v>
      </c>
      <c r="C148" s="0" t="s">
        <v>206</v>
      </c>
      <c r="D148" s="0" t="s">
        <v>15</v>
      </c>
      <c r="E148" s="0" t="n">
        <f aca="false">+VLOOKUP(B148,'Yield (2)'!B:K,9,0)</f>
        <v>0.16</v>
      </c>
      <c r="F148" s="60" t="s">
        <v>816</v>
      </c>
      <c r="G148" s="60" t="n">
        <v>1.8</v>
      </c>
      <c r="H148" s="60" t="n">
        <v>2.25</v>
      </c>
      <c r="I148" s="62" t="n">
        <f aca="false">+VLOOKUP(B148,'Yield (2)'!B:D,3,0)</f>
        <v>26</v>
      </c>
    </row>
    <row r="149" customFormat="false" ht="15" hidden="false" customHeight="false" outlineLevel="0" collapsed="false">
      <c r="A149" s="16" t="s">
        <v>936</v>
      </c>
      <c r="B149" s="16" t="s">
        <v>207</v>
      </c>
      <c r="C149" s="0" t="s">
        <v>208</v>
      </c>
      <c r="D149" s="0" t="s">
        <v>15</v>
      </c>
      <c r="E149" s="0" t="n">
        <f aca="false">+VLOOKUP(B149,'Yield (2)'!B:K,9,0)</f>
        <v>0.16</v>
      </c>
      <c r="F149" s="60" t="s">
        <v>774</v>
      </c>
      <c r="G149" s="60" t="n">
        <v>1.6</v>
      </c>
      <c r="H149" s="60" t="n">
        <v>1.95</v>
      </c>
      <c r="I149" s="62" t="n">
        <f aca="false">+VLOOKUP(B149,'Yield (2)'!B:D,3,0)</f>
        <v>26</v>
      </c>
    </row>
    <row r="150" customFormat="false" ht="15" hidden="false" customHeight="false" outlineLevel="0" collapsed="false">
      <c r="A150" s="16" t="s">
        <v>937</v>
      </c>
      <c r="B150" s="16" t="s">
        <v>209</v>
      </c>
      <c r="C150" s="0" t="s">
        <v>210</v>
      </c>
      <c r="D150" s="0" t="s">
        <v>15</v>
      </c>
      <c r="E150" s="0" t="n">
        <f aca="false">+VLOOKUP(B150,'Yield (2)'!B:K,9,0)</f>
        <v>0.16</v>
      </c>
      <c r="F150" s="60" t="s">
        <v>816</v>
      </c>
      <c r="G150" s="60" t="n">
        <v>1.8</v>
      </c>
      <c r="H150" s="60" t="n">
        <v>2.25</v>
      </c>
      <c r="I150" s="62" t="n">
        <f aca="false">+VLOOKUP(B150,'Yield (2)'!B:D,3,0)</f>
        <v>26</v>
      </c>
    </row>
    <row r="151" customFormat="false" ht="15" hidden="false" customHeight="false" outlineLevel="0" collapsed="false">
      <c r="A151" s="16" t="s">
        <v>938</v>
      </c>
      <c r="B151" s="16" t="s">
        <v>211</v>
      </c>
      <c r="C151" s="0" t="s">
        <v>210</v>
      </c>
      <c r="D151" s="0" t="s">
        <v>15</v>
      </c>
      <c r="E151" s="0" t="n">
        <f aca="false">+VLOOKUP(B151,'Yield (2)'!B:K,9,0)</f>
        <v>0.16</v>
      </c>
      <c r="F151" s="60" t="s">
        <v>816</v>
      </c>
      <c r="G151" s="60" t="n">
        <v>1.8</v>
      </c>
      <c r="H151" s="60" t="n">
        <v>2.25</v>
      </c>
      <c r="I151" s="62" t="n">
        <f aca="false">+VLOOKUP(B151,'Yield (2)'!B:D,3,0)</f>
        <v>26</v>
      </c>
    </row>
    <row r="152" customFormat="false" ht="15" hidden="false" customHeight="false" outlineLevel="0" collapsed="false">
      <c r="A152" s="16" t="s">
        <v>939</v>
      </c>
      <c r="B152" s="16" t="s">
        <v>212</v>
      </c>
      <c r="C152" s="0" t="s">
        <v>213</v>
      </c>
      <c r="D152" s="0" t="s">
        <v>15</v>
      </c>
      <c r="E152" s="0" t="n">
        <f aca="false">+VLOOKUP(B152,'Yield (2)'!B:K,9,0)</f>
        <v>0.16</v>
      </c>
      <c r="F152" s="60" t="s">
        <v>774</v>
      </c>
      <c r="G152" s="60" t="n">
        <v>1.6</v>
      </c>
      <c r="H152" s="60" t="n">
        <v>1.95</v>
      </c>
      <c r="I152" s="62" t="n">
        <f aca="false">+VLOOKUP(B152,'Yield (2)'!B:D,3,0)</f>
        <v>26</v>
      </c>
    </row>
    <row r="153" customFormat="false" ht="15" hidden="false" customHeight="false" outlineLevel="0" collapsed="false">
      <c r="A153" s="16" t="s">
        <v>940</v>
      </c>
      <c r="B153" s="16" t="s">
        <v>214</v>
      </c>
      <c r="C153" s="0" t="s">
        <v>213</v>
      </c>
      <c r="D153" s="0" t="s">
        <v>15</v>
      </c>
      <c r="E153" s="0" t="n">
        <f aca="false">+VLOOKUP(B153,'Yield (2)'!B:K,9,0)</f>
        <v>0.16</v>
      </c>
      <c r="F153" s="60" t="s">
        <v>774</v>
      </c>
      <c r="G153" s="60" t="n">
        <v>1.6</v>
      </c>
      <c r="H153" s="60" t="n">
        <v>1.95</v>
      </c>
      <c r="I153" s="62" t="n">
        <f aca="false">+VLOOKUP(B153,'Yield (2)'!B:D,3,0)</f>
        <v>26</v>
      </c>
    </row>
    <row r="154" customFormat="false" ht="15" hidden="false" customHeight="false" outlineLevel="0" collapsed="false">
      <c r="A154" s="16" t="s">
        <v>941</v>
      </c>
      <c r="B154" s="16" t="s">
        <v>215</v>
      </c>
      <c r="C154" s="0" t="s">
        <v>216</v>
      </c>
      <c r="D154" s="0" t="s">
        <v>15</v>
      </c>
      <c r="E154" s="0" t="n">
        <f aca="false">+VLOOKUP(B154,'Yield (2)'!B:K,9,0)</f>
        <v>0.16</v>
      </c>
      <c r="F154" s="60" t="s">
        <v>816</v>
      </c>
      <c r="G154" s="60" t="n">
        <v>1.8</v>
      </c>
      <c r="H154" s="60" t="n">
        <v>2.25</v>
      </c>
      <c r="I154" s="62" t="n">
        <f aca="false">+VLOOKUP(B154,'Yield (2)'!B:D,3,0)</f>
        <v>26</v>
      </c>
    </row>
    <row r="155" customFormat="false" ht="15" hidden="false" customHeight="false" outlineLevel="0" collapsed="false">
      <c r="A155" s="16" t="s">
        <v>942</v>
      </c>
      <c r="B155" s="16" t="s">
        <v>217</v>
      </c>
      <c r="C155" s="0" t="s">
        <v>218</v>
      </c>
      <c r="D155" s="0" t="s">
        <v>15</v>
      </c>
      <c r="E155" s="0" t="n">
        <f aca="false">+VLOOKUP(B155,'Yield (2)'!B:K,9,0)</f>
        <v>0.16</v>
      </c>
      <c r="F155" s="60" t="s">
        <v>816</v>
      </c>
      <c r="G155" s="60" t="n">
        <v>1.65</v>
      </c>
      <c r="H155" s="60" t="n">
        <v>2.4</v>
      </c>
      <c r="I155" s="62" t="n">
        <f aca="false">+VLOOKUP(B155,'Yield (2)'!B:D,3,0)</f>
        <v>26</v>
      </c>
    </row>
    <row r="156" customFormat="false" ht="15" hidden="false" customHeight="false" outlineLevel="0" collapsed="false">
      <c r="A156" s="16" t="s">
        <v>943</v>
      </c>
      <c r="B156" s="16" t="s">
        <v>219</v>
      </c>
      <c r="C156" s="0" t="s">
        <v>220</v>
      </c>
      <c r="D156" s="0" t="s">
        <v>15</v>
      </c>
      <c r="E156" s="0" t="n">
        <f aca="false">+VLOOKUP(B156,'Yield (2)'!B:K,9,0)</f>
        <v>0.16</v>
      </c>
      <c r="F156" s="60" t="s">
        <v>774</v>
      </c>
      <c r="G156" s="60" t="n">
        <v>1.6</v>
      </c>
      <c r="H156" s="60" t="n">
        <v>1.65</v>
      </c>
      <c r="I156" s="62" t="n">
        <f aca="false">+VLOOKUP(B156,'Yield (2)'!B:D,3,0)</f>
        <v>26</v>
      </c>
    </row>
    <row r="157" customFormat="false" ht="15" hidden="false" customHeight="false" outlineLevel="0" collapsed="false">
      <c r="A157" s="16" t="s">
        <v>944</v>
      </c>
      <c r="B157" s="16" t="s">
        <v>221</v>
      </c>
      <c r="C157" s="0" t="s">
        <v>220</v>
      </c>
      <c r="D157" s="0" t="s">
        <v>15</v>
      </c>
      <c r="E157" s="0" t="n">
        <f aca="false">+VLOOKUP(B157,'Yield (2)'!B:K,9,0)</f>
        <v>0.16</v>
      </c>
      <c r="F157" s="60" t="s">
        <v>774</v>
      </c>
      <c r="G157" s="60" t="n">
        <v>1.6</v>
      </c>
      <c r="H157" s="60" t="n">
        <v>1.65</v>
      </c>
      <c r="I157" s="62" t="n">
        <f aca="false">+VLOOKUP(B157,'Yield (2)'!B:D,3,0)</f>
        <v>26</v>
      </c>
    </row>
    <row r="158" customFormat="false" ht="15" hidden="false" customHeight="false" outlineLevel="0" collapsed="false">
      <c r="A158" s="16" t="s">
        <v>945</v>
      </c>
      <c r="B158" s="16" t="s">
        <v>222</v>
      </c>
      <c r="C158" s="0" t="s">
        <v>223</v>
      </c>
      <c r="D158" s="0" t="s">
        <v>15</v>
      </c>
      <c r="E158" s="0" t="n">
        <f aca="false">+VLOOKUP(B158,'Yield (2)'!B:K,9,0)</f>
        <v>0.16</v>
      </c>
      <c r="F158" s="60" t="s">
        <v>816</v>
      </c>
      <c r="G158" s="60" t="n">
        <v>1.8</v>
      </c>
      <c r="H158" s="60" t="n">
        <v>2.25</v>
      </c>
      <c r="I158" s="62" t="n">
        <f aca="false">+VLOOKUP(B158,'Yield (2)'!B:D,3,0)</f>
        <v>26</v>
      </c>
    </row>
    <row r="159" customFormat="false" ht="15" hidden="false" customHeight="false" outlineLevel="0" collapsed="false">
      <c r="A159" s="16" t="s">
        <v>946</v>
      </c>
      <c r="B159" s="16" t="s">
        <v>224</v>
      </c>
      <c r="C159" s="0" t="s">
        <v>225</v>
      </c>
      <c r="D159" s="0" t="s">
        <v>14</v>
      </c>
      <c r="E159" s="0" t="n">
        <f aca="false">+VLOOKUP(B159,'Yield (2)'!B:K,9,0)</f>
        <v>0.120350988019851</v>
      </c>
      <c r="F159" s="60" t="s">
        <v>816</v>
      </c>
      <c r="G159" s="60" t="n">
        <v>1.6</v>
      </c>
      <c r="H159" s="60" t="n">
        <v>2.25</v>
      </c>
      <c r="I159" s="62" t="n">
        <f aca="false">+VLOOKUP(B159,'Yield (2)'!B:D,3,0)</f>
        <v>1</v>
      </c>
    </row>
    <row r="160" customFormat="false" ht="15" hidden="false" customHeight="false" outlineLevel="0" collapsed="false">
      <c r="A160" s="16" t="s">
        <v>947</v>
      </c>
      <c r="B160" s="16" t="s">
        <v>226</v>
      </c>
      <c r="C160" s="0" t="s">
        <v>14</v>
      </c>
      <c r="D160" s="0" t="s">
        <v>14</v>
      </c>
      <c r="E160" s="0" t="n">
        <f aca="false">+VLOOKUP(B160,'Yield (2)'!B:K,9,0)</f>
        <v>0.120350988019851</v>
      </c>
      <c r="F160" s="60" t="s">
        <v>816</v>
      </c>
      <c r="G160" s="60" t="n">
        <v>1.6</v>
      </c>
      <c r="H160" s="60" t="n">
        <v>2.25</v>
      </c>
      <c r="I160" s="62" t="n">
        <f aca="false">+VLOOKUP(B160,'Yield (2)'!B:D,3,0)</f>
        <v>1</v>
      </c>
    </row>
    <row r="161" customFormat="false" ht="15" hidden="false" customHeight="false" outlineLevel="0" collapsed="false">
      <c r="A161" s="16" t="s">
        <v>948</v>
      </c>
      <c r="B161" s="16" t="s">
        <v>227</v>
      </c>
      <c r="C161" s="0" t="s">
        <v>14</v>
      </c>
      <c r="D161" s="0" t="s">
        <v>14</v>
      </c>
      <c r="E161" s="0" t="n">
        <f aca="false">+VLOOKUP(B161,'Yield (2)'!B:K,9,0)</f>
        <v>0.120350988019851</v>
      </c>
      <c r="F161" s="60" t="s">
        <v>816</v>
      </c>
      <c r="G161" s="60" t="n">
        <v>1.6</v>
      </c>
      <c r="H161" s="60" t="n">
        <v>2.25</v>
      </c>
      <c r="I161" s="62" t="n">
        <f aca="false">+VLOOKUP(B161,'Yield (2)'!B:D,3,0)</f>
        <v>1</v>
      </c>
    </row>
    <row r="162" customFormat="false" ht="15" hidden="false" customHeight="false" outlineLevel="0" collapsed="false">
      <c r="A162" s="16" t="s">
        <v>949</v>
      </c>
      <c r="B162" s="16" t="s">
        <v>228</v>
      </c>
      <c r="C162" s="0" t="s">
        <v>229</v>
      </c>
      <c r="D162" s="0" t="s">
        <v>14</v>
      </c>
      <c r="E162" s="0" t="n">
        <f aca="false">+VLOOKUP(B162,'Yield (2)'!B:K,9,0)</f>
        <v>0.120350988019851</v>
      </c>
      <c r="F162" s="60" t="s">
        <v>774</v>
      </c>
      <c r="G162" s="60" t="n">
        <v>1.6</v>
      </c>
      <c r="H162" s="60" t="n">
        <v>2</v>
      </c>
      <c r="I162" s="62" t="n">
        <f aca="false">+VLOOKUP(B162,'Yield (2)'!B:D,3,0)</f>
        <v>1</v>
      </c>
    </row>
    <row r="163" customFormat="false" ht="15" hidden="false" customHeight="false" outlineLevel="0" collapsed="false">
      <c r="A163" s="16" t="s">
        <v>950</v>
      </c>
      <c r="B163" s="16" t="s">
        <v>230</v>
      </c>
      <c r="C163" s="0" t="s">
        <v>229</v>
      </c>
      <c r="D163" s="0" t="s">
        <v>14</v>
      </c>
      <c r="E163" s="0" t="n">
        <f aca="false">+VLOOKUP(B163,'Yield (2)'!B:K,9,0)</f>
        <v>0.120350988019851</v>
      </c>
      <c r="F163" s="60" t="s">
        <v>774</v>
      </c>
      <c r="G163" s="60" t="n">
        <v>1.6</v>
      </c>
      <c r="H163" s="60" t="n">
        <v>2</v>
      </c>
      <c r="I163" s="62" t="n">
        <f aca="false">+VLOOKUP(B163,'Yield (2)'!B:D,3,0)</f>
        <v>1</v>
      </c>
    </row>
    <row r="164" customFormat="false" ht="15" hidden="false" customHeight="false" outlineLevel="0" collapsed="false">
      <c r="A164" s="16" t="s">
        <v>951</v>
      </c>
      <c r="B164" s="16" t="s">
        <v>231</v>
      </c>
      <c r="C164" s="0" t="s">
        <v>232</v>
      </c>
      <c r="D164" s="0" t="s">
        <v>14</v>
      </c>
      <c r="E164" s="0" t="n">
        <f aca="false">+VLOOKUP(B164,'Yield (2)'!B:K,9,0)</f>
        <v>0.120350988019851</v>
      </c>
      <c r="F164" s="60" t="s">
        <v>816</v>
      </c>
      <c r="G164" s="60" t="n">
        <v>1.6</v>
      </c>
      <c r="H164" s="60" t="n">
        <v>2.25</v>
      </c>
      <c r="I164" s="62" t="n">
        <f aca="false">+VLOOKUP(B164,'Yield (2)'!B:D,3,0)</f>
        <v>1</v>
      </c>
    </row>
    <row r="165" customFormat="false" ht="15" hidden="false" customHeight="false" outlineLevel="0" collapsed="false">
      <c r="A165" s="16" t="s">
        <v>952</v>
      </c>
      <c r="B165" s="16" t="s">
        <v>98</v>
      </c>
      <c r="C165" s="0" t="s">
        <v>99</v>
      </c>
      <c r="D165" s="0" t="s">
        <v>68</v>
      </c>
      <c r="E165" s="0" t="n">
        <f aca="false">+VLOOKUP(B165,'Yield (2)'!B:K,9,0)</f>
        <v>0.9</v>
      </c>
      <c r="F165" s="60" t="s">
        <v>953</v>
      </c>
      <c r="G165" s="63" t="n">
        <v>1.6</v>
      </c>
      <c r="H165" s="63" t="n">
        <v>1.65</v>
      </c>
      <c r="I165" s="62" t="n">
        <f aca="false">+VLOOKUP(B165,'Yield (2)'!B:D,3,0)</f>
        <v>5</v>
      </c>
    </row>
    <row r="166" customFormat="false" ht="15" hidden="false" customHeight="false" outlineLevel="0" collapsed="false">
      <c r="A166" s="16" t="s">
        <v>954</v>
      </c>
      <c r="B166" s="16" t="s">
        <v>69</v>
      </c>
      <c r="C166" s="0" t="s">
        <v>70</v>
      </c>
      <c r="D166" s="0" t="s">
        <v>68</v>
      </c>
      <c r="E166" s="0" t="n">
        <f aca="false">+VLOOKUP(B166,'Yield (2)'!B:K,9,0)</f>
        <v>0.9</v>
      </c>
      <c r="F166" s="60" t="s">
        <v>774</v>
      </c>
      <c r="G166" s="63" t="n">
        <v>1.6</v>
      </c>
      <c r="H166" s="63" t="n">
        <v>1.85</v>
      </c>
      <c r="I166" s="62" t="n">
        <f aca="false">+VLOOKUP(B166,'Yield (2)'!B:D,3,0)</f>
        <v>1</v>
      </c>
    </row>
    <row r="167" customFormat="false" ht="15" hidden="false" customHeight="false" outlineLevel="0" collapsed="false">
      <c r="A167" s="16" t="s">
        <v>955</v>
      </c>
      <c r="B167" s="16" t="s">
        <v>71</v>
      </c>
      <c r="C167" s="0" t="s">
        <v>72</v>
      </c>
      <c r="D167" s="0" t="s">
        <v>68</v>
      </c>
      <c r="E167" s="0" t="n">
        <f aca="false">+VLOOKUP(B167,'Yield (2)'!B:K,9,0)</f>
        <v>0.9</v>
      </c>
      <c r="F167" s="60" t="s">
        <v>774</v>
      </c>
      <c r="G167" s="63" t="n">
        <v>1.6</v>
      </c>
      <c r="H167" s="63" t="n">
        <v>1.85</v>
      </c>
      <c r="I167" s="62" t="n">
        <f aca="false">+VLOOKUP(B167,'Yield (2)'!B:D,3,0)</f>
        <v>1</v>
      </c>
    </row>
    <row r="168" customFormat="false" ht="15" hidden="false" customHeight="false" outlineLevel="0" collapsed="false">
      <c r="A168" s="16" t="s">
        <v>956</v>
      </c>
      <c r="B168" s="16" t="s">
        <v>73</v>
      </c>
      <c r="C168" s="0" t="s">
        <v>74</v>
      </c>
      <c r="D168" s="0" t="s">
        <v>68</v>
      </c>
      <c r="E168" s="0" t="n">
        <f aca="false">+VLOOKUP(B168,'Yield (2)'!B:K,9,0)</f>
        <v>0.9</v>
      </c>
      <c r="F168" s="60" t="s">
        <v>774</v>
      </c>
      <c r="G168" s="63" t="n">
        <v>1.6</v>
      </c>
      <c r="H168" s="63" t="n">
        <v>1.85</v>
      </c>
      <c r="I168" s="62" t="n">
        <f aca="false">+VLOOKUP(B168,'Yield (2)'!B:D,3,0)</f>
        <v>1</v>
      </c>
    </row>
    <row r="169" customFormat="false" ht="15" hidden="false" customHeight="false" outlineLevel="0" collapsed="false">
      <c r="A169" s="16" t="s">
        <v>957</v>
      </c>
      <c r="B169" s="16" t="s">
        <v>75</v>
      </c>
      <c r="C169" s="0" t="s">
        <v>74</v>
      </c>
      <c r="D169" s="0" t="s">
        <v>68</v>
      </c>
      <c r="E169" s="0" t="n">
        <f aca="false">+VLOOKUP(B169,'Yield (2)'!B:K,9,0)</f>
        <v>0.9</v>
      </c>
      <c r="F169" s="60" t="s">
        <v>774</v>
      </c>
      <c r="G169" s="63" t="n">
        <v>1.6</v>
      </c>
      <c r="H169" s="63" t="n">
        <v>1.85</v>
      </c>
      <c r="I169" s="62" t="n">
        <f aca="false">+VLOOKUP(B169,'Yield (2)'!B:D,3,0)</f>
        <v>1</v>
      </c>
    </row>
    <row r="170" customFormat="false" ht="15" hidden="false" customHeight="false" outlineLevel="0" collapsed="false">
      <c r="A170" s="16" t="s">
        <v>958</v>
      </c>
      <c r="B170" s="16" t="s">
        <v>76</v>
      </c>
      <c r="C170" s="0" t="s">
        <v>77</v>
      </c>
      <c r="D170" s="0" t="s">
        <v>68</v>
      </c>
      <c r="E170" s="0" t="n">
        <f aca="false">+VLOOKUP(B170,'Yield (2)'!B:K,9,0)</f>
        <v>0.9</v>
      </c>
      <c r="F170" s="60" t="s">
        <v>816</v>
      </c>
      <c r="G170" s="63" t="n">
        <v>1.8</v>
      </c>
      <c r="H170" s="63" t="n">
        <v>2.15</v>
      </c>
      <c r="I170" s="62" t="n">
        <f aca="false">+VLOOKUP(B170,'Yield (2)'!B:D,3,0)</f>
        <v>1</v>
      </c>
    </row>
    <row r="171" customFormat="false" ht="15" hidden="false" customHeight="false" outlineLevel="0" collapsed="false">
      <c r="A171" s="16" t="s">
        <v>959</v>
      </c>
      <c r="B171" s="16" t="s">
        <v>78</v>
      </c>
      <c r="C171" s="0" t="s">
        <v>77</v>
      </c>
      <c r="D171" s="0" t="s">
        <v>68</v>
      </c>
      <c r="E171" s="0" t="n">
        <f aca="false">+VLOOKUP(B171,'Yield (2)'!B:K,9,0)</f>
        <v>0.9</v>
      </c>
      <c r="F171" s="60" t="s">
        <v>816</v>
      </c>
      <c r="G171" s="63" t="n">
        <v>1.6</v>
      </c>
      <c r="H171" s="63" t="n">
        <v>1.85</v>
      </c>
      <c r="I171" s="62" t="n">
        <f aca="false">+VLOOKUP(B171,'Yield (2)'!B:D,3,0)</f>
        <v>1</v>
      </c>
    </row>
    <row r="172" customFormat="false" ht="15" hidden="false" customHeight="false" outlineLevel="0" collapsed="false">
      <c r="A172" s="16" t="s">
        <v>960</v>
      </c>
      <c r="B172" s="16" t="s">
        <v>79</v>
      </c>
      <c r="C172" s="0" t="s">
        <v>80</v>
      </c>
      <c r="D172" s="0" t="s">
        <v>68</v>
      </c>
      <c r="E172" s="0" t="n">
        <f aca="false">+VLOOKUP(B172,'Yield (2)'!B:K,9,0)</f>
        <v>0.9</v>
      </c>
      <c r="F172" s="60" t="s">
        <v>774</v>
      </c>
      <c r="G172" s="63" t="n">
        <v>1.6</v>
      </c>
      <c r="H172" s="63" t="n">
        <v>1.85</v>
      </c>
      <c r="I172" s="62" t="n">
        <f aca="false">+VLOOKUP(B172,'Yield (2)'!B:D,3,0)</f>
        <v>1</v>
      </c>
    </row>
    <row r="173" customFormat="false" ht="15" hidden="false" customHeight="false" outlineLevel="0" collapsed="false">
      <c r="A173" s="16" t="s">
        <v>961</v>
      </c>
      <c r="B173" s="16" t="s">
        <v>81</v>
      </c>
      <c r="C173" s="0" t="s">
        <v>80</v>
      </c>
      <c r="D173" s="0" t="s">
        <v>68</v>
      </c>
      <c r="E173" s="0" t="n">
        <f aca="false">+VLOOKUP(B173,'Yield (2)'!B:K,9,0)</f>
        <v>0.9</v>
      </c>
      <c r="F173" s="60" t="s">
        <v>774</v>
      </c>
      <c r="G173" s="63" t="n">
        <v>1.6</v>
      </c>
      <c r="H173" s="63" t="n">
        <v>1.85</v>
      </c>
      <c r="I173" s="62" t="n">
        <f aca="false">+VLOOKUP(B173,'Yield (2)'!B:D,3,0)</f>
        <v>1</v>
      </c>
    </row>
    <row r="174" customFormat="false" ht="15" hidden="false" customHeight="false" outlineLevel="0" collapsed="false">
      <c r="A174" s="16" t="s">
        <v>962</v>
      </c>
      <c r="B174" s="16" t="s">
        <v>82</v>
      </c>
      <c r="C174" s="0" t="s">
        <v>80</v>
      </c>
      <c r="D174" s="0" t="s">
        <v>68</v>
      </c>
      <c r="E174" s="0" t="n">
        <f aca="false">+VLOOKUP(B174,'Yield (2)'!B:K,9,0)</f>
        <v>0.9</v>
      </c>
      <c r="F174" s="60" t="s">
        <v>774</v>
      </c>
      <c r="G174" s="63" t="n">
        <v>1.6</v>
      </c>
      <c r="H174" s="63" t="n">
        <v>1.85</v>
      </c>
      <c r="I174" s="62" t="n">
        <f aca="false">+VLOOKUP(B174,'Yield (2)'!B:D,3,0)</f>
        <v>1</v>
      </c>
    </row>
    <row r="175" customFormat="false" ht="15" hidden="false" customHeight="false" outlineLevel="0" collapsed="false">
      <c r="A175" s="16" t="s">
        <v>963</v>
      </c>
      <c r="B175" s="16" t="s">
        <v>83</v>
      </c>
      <c r="C175" s="0" t="s">
        <v>80</v>
      </c>
      <c r="D175" s="0" t="s">
        <v>68</v>
      </c>
      <c r="E175" s="0" t="n">
        <f aca="false">+VLOOKUP(B175,'Yield (2)'!B:K,9,0)</f>
        <v>0.9</v>
      </c>
      <c r="F175" s="60" t="s">
        <v>774</v>
      </c>
      <c r="G175" s="63" t="n">
        <v>1.6</v>
      </c>
      <c r="H175" s="63" t="n">
        <v>1.85</v>
      </c>
      <c r="I175" s="62" t="n">
        <f aca="false">+VLOOKUP(B175,'Yield (2)'!B:D,3,0)</f>
        <v>1</v>
      </c>
    </row>
    <row r="176" customFormat="false" ht="15" hidden="false" customHeight="false" outlineLevel="0" collapsed="false">
      <c r="A176" s="16" t="s">
        <v>964</v>
      </c>
      <c r="B176" s="16" t="s">
        <v>92</v>
      </c>
      <c r="C176" s="0" t="s">
        <v>93</v>
      </c>
      <c r="D176" s="0" t="s">
        <v>68</v>
      </c>
      <c r="E176" s="0" t="n">
        <f aca="false">+VLOOKUP(B176,'Yield (2)'!B:K,9,0)</f>
        <v>0.9</v>
      </c>
      <c r="F176" s="60" t="s">
        <v>953</v>
      </c>
      <c r="G176" s="63" t="n">
        <v>1.75</v>
      </c>
      <c r="H176" s="63" t="n">
        <v>1.9</v>
      </c>
      <c r="I176" s="62" t="n">
        <f aca="false">+VLOOKUP(B176,'Yield (2)'!B:D,3,0)</f>
        <v>2</v>
      </c>
    </row>
    <row r="177" customFormat="false" ht="15" hidden="false" customHeight="false" outlineLevel="0" collapsed="false">
      <c r="A177" s="16" t="s">
        <v>965</v>
      </c>
      <c r="B177" s="16" t="s">
        <v>84</v>
      </c>
      <c r="C177" s="0" t="s">
        <v>85</v>
      </c>
      <c r="D177" s="0" t="s">
        <v>68</v>
      </c>
      <c r="E177" s="0" t="n">
        <f aca="false">+VLOOKUP(B177,'Yield (2)'!B:K,9,0)</f>
        <v>0.9</v>
      </c>
      <c r="F177" s="60" t="s">
        <v>953</v>
      </c>
      <c r="G177" s="63" t="n">
        <v>1.6</v>
      </c>
      <c r="H177" s="63" t="n">
        <v>1.85</v>
      </c>
      <c r="I177" s="62" t="n">
        <f aca="false">+VLOOKUP(B177,'Yield (2)'!B:D,3,0)</f>
        <v>1</v>
      </c>
    </row>
    <row r="178" customFormat="false" ht="15" hidden="false" customHeight="false" outlineLevel="0" collapsed="false">
      <c r="A178" s="16" t="s">
        <v>966</v>
      </c>
      <c r="B178" s="16" t="s">
        <v>86</v>
      </c>
      <c r="C178" s="0" t="s">
        <v>87</v>
      </c>
      <c r="D178" s="0" t="s">
        <v>68</v>
      </c>
      <c r="E178" s="0" t="n">
        <f aca="false">+VLOOKUP(B178,'Yield (2)'!B:K,9,0)</f>
        <v>0.9</v>
      </c>
      <c r="F178" s="60" t="s">
        <v>953</v>
      </c>
      <c r="G178" s="63" t="n">
        <v>1.6</v>
      </c>
      <c r="H178" s="63" t="n">
        <v>1.85</v>
      </c>
      <c r="I178" s="62" t="n">
        <f aca="false">+VLOOKUP(B178,'Yield (2)'!B:D,3,0)</f>
        <v>1</v>
      </c>
    </row>
    <row r="179" customFormat="false" ht="15" hidden="false" customHeight="false" outlineLevel="0" collapsed="false">
      <c r="A179" s="16" t="s">
        <v>967</v>
      </c>
      <c r="B179" s="16" t="s">
        <v>88</v>
      </c>
      <c r="C179" s="0" t="s">
        <v>89</v>
      </c>
      <c r="D179" s="0" t="s">
        <v>68</v>
      </c>
      <c r="E179" s="0" t="n">
        <f aca="false">+VLOOKUP(B179,'Yield (2)'!B:K,9,0)</f>
        <v>0.9</v>
      </c>
      <c r="F179" s="60" t="s">
        <v>953</v>
      </c>
      <c r="G179" s="63" t="n">
        <v>1.6</v>
      </c>
      <c r="H179" s="63" t="n">
        <v>1.85</v>
      </c>
      <c r="I179" s="62" t="n">
        <f aca="false">+VLOOKUP(B179,'Yield (2)'!B:D,3,0)</f>
        <v>1</v>
      </c>
    </row>
    <row r="180" customFormat="false" ht="15" hidden="false" customHeight="false" outlineLevel="0" collapsed="false">
      <c r="A180" s="16" t="s">
        <v>968</v>
      </c>
      <c r="B180" s="16" t="s">
        <v>90</v>
      </c>
      <c r="C180" s="0" t="s">
        <v>91</v>
      </c>
      <c r="D180" s="0" t="s">
        <v>68</v>
      </c>
      <c r="E180" s="0" t="n">
        <f aca="false">+VLOOKUP(B180,'Yield (2)'!B:K,9,0)</f>
        <v>0.9</v>
      </c>
      <c r="F180" s="60" t="s">
        <v>953</v>
      </c>
      <c r="G180" s="63" t="n">
        <v>1.75</v>
      </c>
      <c r="H180" s="63" t="n">
        <v>1.9</v>
      </c>
      <c r="I180" s="62" t="n">
        <f aca="false">+VLOOKUP(B180,'Yield (2)'!B:D,3,0)</f>
        <v>1</v>
      </c>
    </row>
    <row r="181" customFormat="false" ht="15" hidden="false" customHeight="false" outlineLevel="0" collapsed="false">
      <c r="A181" s="16" t="s">
        <v>969</v>
      </c>
      <c r="B181" s="16" t="s">
        <v>94</v>
      </c>
      <c r="C181" s="0" t="s">
        <v>95</v>
      </c>
      <c r="D181" s="0" t="s">
        <v>68</v>
      </c>
      <c r="E181" s="0" t="n">
        <f aca="false">+VLOOKUP(B181,'Yield (2)'!B:K,9,0)</f>
        <v>0.9</v>
      </c>
      <c r="F181" s="60" t="s">
        <v>953</v>
      </c>
      <c r="G181" s="63" t="n">
        <v>1.75</v>
      </c>
      <c r="H181" s="63" t="n">
        <v>1.9</v>
      </c>
      <c r="I181" s="62" t="n">
        <f aca="false">+VLOOKUP(B181,'Yield (2)'!B:D,3,0)</f>
        <v>5</v>
      </c>
    </row>
    <row r="182" customFormat="false" ht="15" hidden="false" customHeight="false" outlineLevel="0" collapsed="false">
      <c r="A182" s="16" t="s">
        <v>970</v>
      </c>
      <c r="B182" s="16" t="s">
        <v>96</v>
      </c>
      <c r="C182" s="0" t="s">
        <v>97</v>
      </c>
      <c r="D182" s="0" t="s">
        <v>68</v>
      </c>
      <c r="E182" s="0" t="n">
        <f aca="false">+VLOOKUP(B182,'Yield (2)'!B:K,9,0)</f>
        <v>0.9</v>
      </c>
      <c r="F182" s="60" t="s">
        <v>971</v>
      </c>
      <c r="G182" s="63" t="n">
        <v>1.85</v>
      </c>
      <c r="H182" s="63" t="n">
        <v>2</v>
      </c>
      <c r="I182" s="62" t="n">
        <f aca="false">+VLOOKUP(B182,'Yield (2)'!B:D,3,0)</f>
        <v>4</v>
      </c>
    </row>
    <row r="183" customFormat="false" ht="15" hidden="false" customHeight="false" outlineLevel="0" collapsed="false">
      <c r="A183" s="16" t="s">
        <v>972</v>
      </c>
      <c r="B183" s="16" t="s">
        <v>134</v>
      </c>
      <c r="C183" s="0" t="s">
        <v>135</v>
      </c>
      <c r="D183" s="0" t="s">
        <v>973</v>
      </c>
      <c r="E183" s="0" t="n">
        <f aca="false">+VLOOKUP(B183,'Yield (2)'!B:K,9,0)</f>
        <v>0.41</v>
      </c>
      <c r="F183" s="60" t="s">
        <v>816</v>
      </c>
      <c r="G183" s="60" t="n">
        <v>1.6</v>
      </c>
      <c r="H183" s="60" t="n">
        <v>2</v>
      </c>
      <c r="I183" s="62" t="n">
        <f aca="false">+VLOOKUP(B183,'Yield (2)'!B:D,3,0)</f>
        <v>25</v>
      </c>
    </row>
    <row r="184" customFormat="false" ht="15" hidden="false" customHeight="false" outlineLevel="0" collapsed="false">
      <c r="A184" s="16" t="s">
        <v>974</v>
      </c>
      <c r="B184" s="16" t="s">
        <v>136</v>
      </c>
      <c r="C184" s="0" t="s">
        <v>137</v>
      </c>
      <c r="D184" s="0" t="s">
        <v>973</v>
      </c>
      <c r="E184" s="0" t="n">
        <f aca="false">+VLOOKUP(B184,'Yield (2)'!B:K,9,0)</f>
        <v>0.41</v>
      </c>
      <c r="F184" s="60" t="s">
        <v>816</v>
      </c>
      <c r="G184" s="60" t="n">
        <v>1.6</v>
      </c>
      <c r="H184" s="60" t="n">
        <v>2</v>
      </c>
      <c r="I184" s="62" t="n">
        <f aca="false">+VLOOKUP(B184,'Yield (2)'!B:D,3,0)</f>
        <v>25</v>
      </c>
    </row>
    <row r="185" customFormat="false" ht="15" hidden="false" customHeight="false" outlineLevel="0" collapsed="false">
      <c r="A185" s="16" t="s">
        <v>975</v>
      </c>
      <c r="B185" s="16" t="s">
        <v>138</v>
      </c>
      <c r="C185" s="0" t="s">
        <v>137</v>
      </c>
      <c r="D185" s="0" t="s">
        <v>973</v>
      </c>
      <c r="E185" s="0" t="n">
        <f aca="false">+VLOOKUP(B185,'Yield (2)'!B:K,9,0)</f>
        <v>0.41</v>
      </c>
      <c r="F185" s="60" t="s">
        <v>816</v>
      </c>
      <c r="G185" s="60" t="n">
        <v>1.6</v>
      </c>
      <c r="H185" s="60" t="n">
        <v>2</v>
      </c>
      <c r="I185" s="62" t="n">
        <f aca="false">+VLOOKUP(B185,'Yield (2)'!B:D,3,0)</f>
        <v>25</v>
      </c>
    </row>
    <row r="186" customFormat="false" ht="15" hidden="false" customHeight="false" outlineLevel="0" collapsed="false">
      <c r="A186" s="16" t="s">
        <v>976</v>
      </c>
      <c r="B186" s="16" t="s">
        <v>139</v>
      </c>
      <c r="C186" s="0" t="s">
        <v>140</v>
      </c>
      <c r="D186" s="0" t="s">
        <v>973</v>
      </c>
      <c r="E186" s="0" t="n">
        <f aca="false">+VLOOKUP(B186,'Yield (2)'!B:K,9,0)</f>
        <v>0.41</v>
      </c>
      <c r="F186" s="60" t="s">
        <v>816</v>
      </c>
      <c r="G186" s="60" t="n">
        <v>1.6</v>
      </c>
      <c r="H186" s="60" t="n">
        <v>2</v>
      </c>
      <c r="I186" s="62" t="n">
        <f aca="false">+VLOOKUP(B186,'Yield (2)'!B:D,3,0)</f>
        <v>25</v>
      </c>
    </row>
    <row r="187" customFormat="false" ht="15" hidden="false" customHeight="false" outlineLevel="0" collapsed="false">
      <c r="A187" s="16" t="s">
        <v>977</v>
      </c>
      <c r="B187" s="16" t="s">
        <v>141</v>
      </c>
      <c r="C187" s="0" t="s">
        <v>142</v>
      </c>
      <c r="D187" s="0" t="s">
        <v>973</v>
      </c>
      <c r="E187" s="0" t="n">
        <f aca="false">+VLOOKUP(B187,'Yield (2)'!B:K,9,0)</f>
        <v>0.41</v>
      </c>
      <c r="F187" s="60" t="s">
        <v>816</v>
      </c>
      <c r="G187" s="60" t="n">
        <v>1.6</v>
      </c>
      <c r="H187" s="60" t="n">
        <v>2</v>
      </c>
      <c r="I187" s="62" t="n">
        <f aca="false">+VLOOKUP(B187,'Yield (2)'!B:D,3,0)</f>
        <v>25</v>
      </c>
    </row>
    <row r="188" customFormat="false" ht="15" hidden="false" customHeight="false" outlineLevel="0" collapsed="false">
      <c r="A188" s="16" t="s">
        <v>978</v>
      </c>
      <c r="B188" s="16" t="s">
        <v>143</v>
      </c>
      <c r="C188" s="0" t="s">
        <v>144</v>
      </c>
      <c r="D188" s="0" t="s">
        <v>973</v>
      </c>
      <c r="E188" s="0" t="n">
        <f aca="false">+VLOOKUP(B188,'Yield (2)'!B:K,9,0)</f>
        <v>0.41</v>
      </c>
      <c r="F188" s="60" t="s">
        <v>768</v>
      </c>
      <c r="G188" s="60" t="n">
        <v>1.9</v>
      </c>
      <c r="H188" s="60" t="n">
        <v>2.25</v>
      </c>
      <c r="I188" s="62" t="n">
        <f aca="false">+VLOOKUP(B188,'Yield (2)'!B:D,3,0)</f>
        <v>25</v>
      </c>
    </row>
    <row r="189" customFormat="false" ht="15" hidden="false" customHeight="false" outlineLevel="0" collapsed="false">
      <c r="A189" s="16" t="s">
        <v>979</v>
      </c>
      <c r="B189" s="16" t="s">
        <v>145</v>
      </c>
      <c r="C189" s="0" t="s">
        <v>144</v>
      </c>
      <c r="D189" s="0" t="s">
        <v>973</v>
      </c>
      <c r="E189" s="0" t="n">
        <f aca="false">+VLOOKUP(B189,'Yield (2)'!B:K,9,0)</f>
        <v>0.41</v>
      </c>
      <c r="F189" s="60" t="s">
        <v>768</v>
      </c>
      <c r="G189" s="60" t="n">
        <v>1.9</v>
      </c>
      <c r="H189" s="60" t="n">
        <v>2.25</v>
      </c>
      <c r="I189" s="62" t="n">
        <f aca="false">+VLOOKUP(B189,'Yield (2)'!B:D,3,0)</f>
        <v>25</v>
      </c>
    </row>
    <row r="190" customFormat="false" ht="15" hidden="false" customHeight="false" outlineLevel="0" collapsed="false">
      <c r="A190" s="16" t="s">
        <v>980</v>
      </c>
      <c r="B190" s="16" t="s">
        <v>146</v>
      </c>
      <c r="C190" s="0" t="s">
        <v>147</v>
      </c>
      <c r="D190" s="0" t="s">
        <v>973</v>
      </c>
      <c r="E190" s="0" t="n">
        <f aca="false">+VLOOKUP(B190,'Yield (2)'!B:K,9,0)</f>
        <v>0.41</v>
      </c>
      <c r="F190" s="60" t="s">
        <v>768</v>
      </c>
      <c r="G190" s="60" t="n">
        <v>2.05</v>
      </c>
      <c r="H190" s="60" t="n">
        <v>2.25</v>
      </c>
      <c r="I190" s="62" t="n">
        <f aca="false">+VLOOKUP(B190,'Yield (2)'!B:D,3,0)</f>
        <v>25</v>
      </c>
    </row>
    <row r="191" customFormat="false" ht="15" hidden="false" customHeight="false" outlineLevel="0" collapsed="false">
      <c r="A191" s="16" t="s">
        <v>981</v>
      </c>
      <c r="B191" s="16" t="s">
        <v>148</v>
      </c>
      <c r="C191" s="0" t="s">
        <v>149</v>
      </c>
      <c r="D191" s="0" t="s">
        <v>973</v>
      </c>
      <c r="E191" s="0" t="n">
        <f aca="false">+VLOOKUP(B191,'Yield (2)'!B:K,9,0)</f>
        <v>0.41</v>
      </c>
      <c r="F191" s="60" t="s">
        <v>816</v>
      </c>
      <c r="G191" s="60" t="n">
        <v>1.65</v>
      </c>
      <c r="H191" s="60" t="n">
        <v>1.95</v>
      </c>
      <c r="I191" s="62" t="n">
        <f aca="false">+VLOOKUP(B191,'Yield (2)'!B:D,3,0)</f>
        <v>25</v>
      </c>
    </row>
    <row r="192" customFormat="false" ht="15" hidden="false" customHeight="false" outlineLevel="0" collapsed="false">
      <c r="A192" s="16" t="s">
        <v>982</v>
      </c>
      <c r="B192" s="16" t="s">
        <v>150</v>
      </c>
      <c r="C192" s="0" t="s">
        <v>151</v>
      </c>
      <c r="D192" s="0" t="s">
        <v>973</v>
      </c>
      <c r="E192" s="0" t="n">
        <f aca="false">+VLOOKUP(B192,'Yield (2)'!B:K,9,0)</f>
        <v>0.41</v>
      </c>
      <c r="F192" s="60" t="s">
        <v>816</v>
      </c>
      <c r="G192" s="60" t="n">
        <v>1.8</v>
      </c>
      <c r="H192" s="60" t="n">
        <v>1.95</v>
      </c>
      <c r="I192" s="62" t="n">
        <f aca="false">+VLOOKUP(B192,'Yield (2)'!B:D,3,0)</f>
        <v>25</v>
      </c>
    </row>
    <row r="193" customFormat="false" ht="15" hidden="false" customHeight="false" outlineLevel="0" collapsed="false">
      <c r="A193" s="16" t="s">
        <v>983</v>
      </c>
      <c r="B193" s="16" t="s">
        <v>152</v>
      </c>
      <c r="C193" s="0" t="s">
        <v>153</v>
      </c>
      <c r="D193" s="0" t="s">
        <v>973</v>
      </c>
      <c r="E193" s="0" t="n">
        <f aca="false">+VLOOKUP(B193,'Yield (2)'!B:K,9,0)</f>
        <v>0.41</v>
      </c>
      <c r="F193" s="60" t="s">
        <v>816</v>
      </c>
      <c r="G193" s="60" t="n">
        <v>1.65</v>
      </c>
      <c r="H193" s="60" t="n">
        <v>1.95</v>
      </c>
      <c r="I193" s="62" t="n">
        <f aca="false">+VLOOKUP(B193,'Yield (2)'!B:D,3,0)</f>
        <v>25</v>
      </c>
    </row>
    <row r="194" customFormat="false" ht="15" hidden="false" customHeight="false" outlineLevel="0" collapsed="false">
      <c r="A194" s="16" t="s">
        <v>984</v>
      </c>
      <c r="B194" s="16" t="s">
        <v>154</v>
      </c>
      <c r="C194" s="0" t="s">
        <v>155</v>
      </c>
      <c r="D194" s="0" t="s">
        <v>973</v>
      </c>
      <c r="E194" s="0" t="n">
        <f aca="false">+VLOOKUP(B194,'Yield (2)'!B:K,9,0)</f>
        <v>0.41</v>
      </c>
      <c r="F194" s="60" t="s">
        <v>768</v>
      </c>
      <c r="G194" s="60" t="n">
        <v>1.9</v>
      </c>
      <c r="H194" s="60" t="n">
        <v>2.25</v>
      </c>
      <c r="I194" s="62" t="n">
        <f aca="false">+VLOOKUP(B194,'Yield (2)'!B:D,3,0)</f>
        <v>25</v>
      </c>
    </row>
    <row r="195" customFormat="false" ht="15" hidden="false" customHeight="false" outlineLevel="0" collapsed="false">
      <c r="A195" s="16" t="s">
        <v>985</v>
      </c>
      <c r="B195" s="16" t="s">
        <v>156</v>
      </c>
      <c r="C195" s="0" t="s">
        <v>157</v>
      </c>
      <c r="D195" s="0" t="s">
        <v>13</v>
      </c>
      <c r="E195" s="0" t="n">
        <f aca="false">+VLOOKUP(B195,'Yield (2)'!B:K,9,0)</f>
        <v>0.29</v>
      </c>
      <c r="F195" s="60" t="s">
        <v>816</v>
      </c>
      <c r="G195" s="60" t="n">
        <v>1.6</v>
      </c>
      <c r="H195" s="60" t="n">
        <v>2.25</v>
      </c>
      <c r="I195" s="62" t="n">
        <f aca="false">+VLOOKUP(B195,'Yield (2)'!B:D,3,0)</f>
        <v>1</v>
      </c>
    </row>
    <row r="196" customFormat="false" ht="15" hidden="false" customHeight="false" outlineLevel="0" collapsed="false">
      <c r="A196" s="16" t="s">
        <v>986</v>
      </c>
      <c r="B196" s="16" t="s">
        <v>158</v>
      </c>
      <c r="C196" s="0" t="s">
        <v>159</v>
      </c>
      <c r="D196" s="0" t="s">
        <v>13</v>
      </c>
      <c r="E196" s="0" t="n">
        <f aca="false">+VLOOKUP(B196,'Yield (2)'!B:K,9,0)</f>
        <v>0.29</v>
      </c>
      <c r="F196" s="60" t="s">
        <v>774</v>
      </c>
      <c r="G196" s="60" t="n">
        <v>1.6</v>
      </c>
      <c r="H196" s="60" t="n">
        <v>1.8</v>
      </c>
      <c r="I196" s="62" t="n">
        <f aca="false">+VLOOKUP(B196,'Yield (2)'!B:D,3,0)</f>
        <v>1</v>
      </c>
    </row>
    <row r="197" customFormat="false" ht="15" hidden="false" customHeight="false" outlineLevel="0" collapsed="false">
      <c r="A197" s="16" t="s">
        <v>987</v>
      </c>
      <c r="B197" s="16" t="s">
        <v>160</v>
      </c>
      <c r="C197" s="0" t="s">
        <v>159</v>
      </c>
      <c r="D197" s="0" t="s">
        <v>13</v>
      </c>
      <c r="E197" s="0" t="n">
        <f aca="false">+VLOOKUP(B197,'Yield (2)'!B:K,9,0)</f>
        <v>0.29</v>
      </c>
      <c r="F197" s="60" t="s">
        <v>774</v>
      </c>
      <c r="G197" s="60" t="n">
        <v>1.6</v>
      </c>
      <c r="H197" s="60" t="n">
        <v>1.8</v>
      </c>
      <c r="I197" s="62" t="n">
        <f aca="false">+VLOOKUP(B197,'Yield (2)'!B:D,3,0)</f>
        <v>1</v>
      </c>
    </row>
    <row r="198" customFormat="false" ht="15" hidden="false" customHeight="false" outlineLevel="0" collapsed="false">
      <c r="A198" s="16" t="s">
        <v>988</v>
      </c>
      <c r="B198" s="16" t="s">
        <v>161</v>
      </c>
      <c r="C198" s="0" t="s">
        <v>162</v>
      </c>
      <c r="D198" s="0" t="s">
        <v>13</v>
      </c>
      <c r="E198" s="0" t="n">
        <f aca="false">+VLOOKUP(B198,'Yield (2)'!B:K,9,0)</f>
        <v>0.29</v>
      </c>
      <c r="F198" s="60" t="s">
        <v>816</v>
      </c>
      <c r="G198" s="60" t="n">
        <v>1.85</v>
      </c>
      <c r="H198" s="60" t="n">
        <v>2.25</v>
      </c>
      <c r="I198" s="62" t="n">
        <f aca="false">+VLOOKUP(B198,'Yield (2)'!B:D,3,0)</f>
        <v>1</v>
      </c>
    </row>
    <row r="199" customFormat="false" ht="15" hidden="false" customHeight="false" outlineLevel="0" collapsed="false">
      <c r="A199" s="16" t="s">
        <v>989</v>
      </c>
      <c r="B199" s="16" t="s">
        <v>163</v>
      </c>
      <c r="C199" s="0" t="s">
        <v>162</v>
      </c>
      <c r="D199" s="0" t="s">
        <v>13</v>
      </c>
      <c r="E199" s="0" t="n">
        <f aca="false">+VLOOKUP(B199,'Yield (2)'!B:K,9,0)</f>
        <v>0.29</v>
      </c>
      <c r="F199" s="60" t="s">
        <v>816</v>
      </c>
      <c r="G199" s="60" t="n">
        <v>1.85</v>
      </c>
      <c r="H199" s="60" t="n">
        <v>2.25</v>
      </c>
      <c r="I199" s="62" t="n">
        <f aca="false">+VLOOKUP(B199,'Yield (2)'!B:D,3,0)</f>
        <v>1</v>
      </c>
    </row>
    <row r="200" customFormat="false" ht="15" hidden="false" customHeight="false" outlineLevel="0" collapsed="false">
      <c r="A200" s="16" t="s">
        <v>990</v>
      </c>
      <c r="B200" s="16" t="s">
        <v>164</v>
      </c>
      <c r="C200" s="0" t="s">
        <v>165</v>
      </c>
      <c r="D200" s="0" t="s">
        <v>13</v>
      </c>
      <c r="E200" s="0" t="n">
        <f aca="false">+VLOOKUP(B200,'Yield (2)'!B:K,9,0)</f>
        <v>0.29</v>
      </c>
      <c r="F200" s="60" t="s">
        <v>816</v>
      </c>
      <c r="G200" s="60" t="n">
        <v>1.85</v>
      </c>
      <c r="H200" s="60" t="n">
        <v>2.25</v>
      </c>
      <c r="I200" s="62" t="n">
        <f aca="false">+VLOOKUP(B200,'Yield (2)'!B:D,3,0)</f>
        <v>1</v>
      </c>
    </row>
    <row r="201" customFormat="false" ht="15" hidden="false" customHeight="false" outlineLevel="0" collapsed="false">
      <c r="A201" s="16" t="s">
        <v>991</v>
      </c>
      <c r="B201" s="16" t="s">
        <v>166</v>
      </c>
      <c r="C201" s="0" t="s">
        <v>165</v>
      </c>
      <c r="D201" s="0" t="s">
        <v>13</v>
      </c>
      <c r="E201" s="0" t="n">
        <f aca="false">+VLOOKUP(B201,'Yield (2)'!B:K,9,0)</f>
        <v>0.29</v>
      </c>
      <c r="F201" s="60" t="s">
        <v>816</v>
      </c>
      <c r="G201" s="60" t="n">
        <v>1.85</v>
      </c>
      <c r="H201" s="60" t="n">
        <v>2.25</v>
      </c>
      <c r="I201" s="62" t="n">
        <f aca="false">+VLOOKUP(B201,'Yield (2)'!B:D,3,0)</f>
        <v>1</v>
      </c>
    </row>
    <row r="202" customFormat="false" ht="15" hidden="false" customHeight="false" outlineLevel="0" collapsed="false">
      <c r="A202" s="16" t="s">
        <v>992</v>
      </c>
      <c r="B202" s="16" t="s">
        <v>167</v>
      </c>
      <c r="C202" s="0" t="s">
        <v>159</v>
      </c>
      <c r="D202" s="0" t="s">
        <v>13</v>
      </c>
      <c r="E202" s="0" t="n">
        <f aca="false">+VLOOKUP(B202,'Yield (2)'!B:K,9,0)</f>
        <v>0.29</v>
      </c>
      <c r="F202" s="60" t="s">
        <v>774</v>
      </c>
      <c r="G202" s="60" t="n">
        <v>1.6</v>
      </c>
      <c r="H202" s="60" t="n">
        <v>1.8</v>
      </c>
      <c r="I202" s="62" t="n">
        <f aca="false">+VLOOKUP(B202,'Yield (2)'!B:D,3,0)</f>
        <v>1</v>
      </c>
    </row>
    <row r="203" customFormat="false" ht="15" hidden="false" customHeight="false" outlineLevel="0" collapsed="false">
      <c r="A203" s="16" t="s">
        <v>993</v>
      </c>
      <c r="B203" s="16" t="s">
        <v>168</v>
      </c>
      <c r="C203" s="0" t="s">
        <v>162</v>
      </c>
      <c r="D203" s="0" t="s">
        <v>13</v>
      </c>
      <c r="E203" s="0" t="n">
        <f aca="false">+VLOOKUP(B203,'Yield (2)'!B:K,9,0)</f>
        <v>0.29</v>
      </c>
      <c r="F203" s="60" t="s">
        <v>774</v>
      </c>
      <c r="G203" s="60" t="n">
        <v>1.6</v>
      </c>
      <c r="H203" s="60" t="n">
        <v>1.8</v>
      </c>
      <c r="I203" s="62" t="n">
        <f aca="false">+VLOOKUP(B203,'Yield (2)'!B:D,3,0)</f>
        <v>1</v>
      </c>
    </row>
    <row r="204" customFormat="false" ht="15" hidden="false" customHeight="false" outlineLevel="0" collapsed="false">
      <c r="A204" s="16" t="s">
        <v>994</v>
      </c>
      <c r="B204" s="16" t="s">
        <v>169</v>
      </c>
      <c r="C204" s="0" t="s">
        <v>170</v>
      </c>
      <c r="D204" s="0" t="s">
        <v>43</v>
      </c>
      <c r="E204" s="0" t="n">
        <f aca="false">+VLOOKUP(B204,'Yield (2)'!B:K,9,0)</f>
        <v>0.41</v>
      </c>
      <c r="F204" s="60" t="s">
        <v>816</v>
      </c>
      <c r="G204" s="60" t="n">
        <v>1.8</v>
      </c>
      <c r="H204" s="60" t="n">
        <v>2.25</v>
      </c>
      <c r="I204" s="62" t="n">
        <f aca="false">+VLOOKUP(B204,'Yield (2)'!B:D,3,0)</f>
        <v>23</v>
      </c>
    </row>
    <row r="205" customFormat="false" ht="15" hidden="false" customHeight="false" outlineLevel="0" collapsed="false">
      <c r="A205" s="16" t="s">
        <v>995</v>
      </c>
      <c r="B205" s="16" t="s">
        <v>171</v>
      </c>
      <c r="C205" s="0" t="s">
        <v>170</v>
      </c>
      <c r="D205" s="0" t="s">
        <v>43</v>
      </c>
      <c r="E205" s="0" t="n">
        <f aca="false">+VLOOKUP(B205,'Yield (2)'!B:K,9,0)</f>
        <v>0.41</v>
      </c>
      <c r="F205" s="60" t="s">
        <v>816</v>
      </c>
      <c r="G205" s="60" t="n">
        <v>1.8</v>
      </c>
      <c r="H205" s="60" t="n">
        <v>2.25</v>
      </c>
      <c r="I205" s="62" t="n">
        <f aca="false">+VLOOKUP(B205,'Yield (2)'!B:D,3,0)</f>
        <v>23</v>
      </c>
    </row>
    <row r="206" customFormat="false" ht="15" hidden="false" customHeight="false" outlineLevel="0" collapsed="false">
      <c r="A206" s="16" t="s">
        <v>996</v>
      </c>
      <c r="B206" s="16" t="s">
        <v>172</v>
      </c>
      <c r="C206" s="0" t="s">
        <v>173</v>
      </c>
      <c r="D206" s="0" t="s">
        <v>43</v>
      </c>
      <c r="E206" s="0" t="n">
        <f aca="false">+VLOOKUP(B206,'Yield (2)'!B:K,9,0)</f>
        <v>0.41</v>
      </c>
      <c r="F206" s="60" t="s">
        <v>816</v>
      </c>
      <c r="G206" s="60" t="n">
        <v>1.8</v>
      </c>
      <c r="H206" s="60" t="n">
        <v>2.25</v>
      </c>
      <c r="I206" s="62" t="n">
        <f aca="false">+VLOOKUP(B206,'Yield (2)'!B:D,3,0)</f>
        <v>23</v>
      </c>
    </row>
    <row r="207" customFormat="false" ht="15" hidden="false" customHeight="false" outlineLevel="0" collapsed="false">
      <c r="A207" s="16" t="s">
        <v>997</v>
      </c>
      <c r="B207" s="16" t="s">
        <v>174</v>
      </c>
      <c r="C207" s="0" t="s">
        <v>175</v>
      </c>
      <c r="D207" s="0" t="s">
        <v>43</v>
      </c>
      <c r="E207" s="0" t="n">
        <f aca="false">+VLOOKUP(B207,'Yield (2)'!B:K,9,0)</f>
        <v>0.41</v>
      </c>
      <c r="F207" s="60" t="s">
        <v>816</v>
      </c>
      <c r="G207" s="60" t="n">
        <v>1.8</v>
      </c>
      <c r="H207" s="60" t="n">
        <v>2.25</v>
      </c>
      <c r="I207" s="62" t="n">
        <f aca="false">+VLOOKUP(B207,'Yield (2)'!B:D,3,0)</f>
        <v>23</v>
      </c>
    </row>
    <row r="208" customFormat="false" ht="15" hidden="false" customHeight="false" outlineLevel="0" collapsed="false">
      <c r="A208" s="16" t="s">
        <v>998</v>
      </c>
      <c r="B208" s="16" t="s">
        <v>176</v>
      </c>
      <c r="C208" s="0" t="s">
        <v>175</v>
      </c>
      <c r="D208" s="0" t="s">
        <v>43</v>
      </c>
      <c r="E208" s="0" t="n">
        <f aca="false">+VLOOKUP(B208,'Yield (2)'!B:K,9,0)</f>
        <v>0.41</v>
      </c>
      <c r="F208" s="60" t="s">
        <v>816</v>
      </c>
      <c r="G208" s="60" t="n">
        <v>1.8</v>
      </c>
      <c r="H208" s="60" t="n">
        <v>2.25</v>
      </c>
      <c r="I208" s="62" t="n">
        <f aca="false">+VLOOKUP(B208,'Yield (2)'!B:D,3,0)</f>
        <v>23</v>
      </c>
    </row>
    <row r="209" customFormat="false" ht="15" hidden="false" customHeight="false" outlineLevel="0" collapsed="false">
      <c r="A209" s="16" t="s">
        <v>999</v>
      </c>
      <c r="B209" s="16" t="s">
        <v>177</v>
      </c>
      <c r="C209" s="0" t="s">
        <v>178</v>
      </c>
      <c r="D209" s="0" t="s">
        <v>1000</v>
      </c>
      <c r="E209" s="0" t="n">
        <f aca="false">+VLOOKUP(B209,'Yield (2)'!B:K,9,0)</f>
        <v>0.25</v>
      </c>
      <c r="F209" s="60" t="s">
        <v>774</v>
      </c>
      <c r="G209" s="60" t="n">
        <v>1.65</v>
      </c>
      <c r="H209" s="60" t="n">
        <v>2.25</v>
      </c>
      <c r="I209" s="62" t="n">
        <f aca="false">+VLOOKUP(B209,'Yield (2)'!B:D,3,0)</f>
        <v>26</v>
      </c>
    </row>
    <row r="210" customFormat="false" ht="15" hidden="false" customHeight="false" outlineLevel="0" collapsed="false">
      <c r="A210" s="16" t="s">
        <v>1001</v>
      </c>
      <c r="B210" s="16" t="s">
        <v>179</v>
      </c>
      <c r="C210" s="0" t="s">
        <v>180</v>
      </c>
      <c r="D210" s="0" t="s">
        <v>1000</v>
      </c>
      <c r="E210" s="0" t="n">
        <f aca="false">+VLOOKUP(B210,'Yield (2)'!B:K,9,0)</f>
        <v>0.25</v>
      </c>
      <c r="F210" s="60" t="s">
        <v>774</v>
      </c>
      <c r="G210" s="60" t="n">
        <v>1.65</v>
      </c>
      <c r="H210" s="60" t="n">
        <v>1.95</v>
      </c>
      <c r="I210" s="62" t="n">
        <f aca="false">+VLOOKUP(B210,'Yield (2)'!B:D,3,0)</f>
        <v>26</v>
      </c>
    </row>
    <row r="211" customFormat="false" ht="15" hidden="false" customHeight="false" outlineLevel="0" collapsed="false">
      <c r="A211" s="16" t="s">
        <v>1002</v>
      </c>
      <c r="B211" s="16" t="s">
        <v>181</v>
      </c>
      <c r="C211" s="0" t="s">
        <v>180</v>
      </c>
      <c r="D211" s="0" t="s">
        <v>1000</v>
      </c>
      <c r="E211" s="0" t="n">
        <f aca="false">+VLOOKUP(B211,'Yield (2)'!B:K,9,0)</f>
        <v>0.25</v>
      </c>
      <c r="F211" s="60" t="s">
        <v>774</v>
      </c>
      <c r="G211" s="60" t="n">
        <v>1.65</v>
      </c>
      <c r="H211" s="60" t="n">
        <v>1.95</v>
      </c>
      <c r="I211" s="62" t="n">
        <f aca="false">+VLOOKUP(B211,'Yield (2)'!B:D,3,0)</f>
        <v>26</v>
      </c>
    </row>
    <row r="212" customFormat="false" ht="15" hidden="false" customHeight="false" outlineLevel="0" collapsed="false">
      <c r="A212" s="16" t="s">
        <v>1003</v>
      </c>
      <c r="B212" s="16" t="s">
        <v>182</v>
      </c>
      <c r="C212" s="0" t="s">
        <v>183</v>
      </c>
      <c r="D212" s="0" t="s">
        <v>1000</v>
      </c>
      <c r="E212" s="0" t="n">
        <f aca="false">+VLOOKUP(B212,'Yield (2)'!B:K,9,0)</f>
        <v>0.25</v>
      </c>
      <c r="F212" s="60" t="s">
        <v>774</v>
      </c>
      <c r="G212" s="60" t="n">
        <v>1.65</v>
      </c>
      <c r="H212" s="60" t="n">
        <v>1.95</v>
      </c>
      <c r="I212" s="62" t="n">
        <f aca="false">+VLOOKUP(B212,'Yield (2)'!B:D,3,0)</f>
        <v>26</v>
      </c>
    </row>
    <row r="213" customFormat="false" ht="15" hidden="false" customHeight="false" outlineLevel="0" collapsed="false">
      <c r="A213" s="16" t="s">
        <v>1004</v>
      </c>
      <c r="B213" s="16" t="s">
        <v>184</v>
      </c>
      <c r="C213" s="0" t="s">
        <v>185</v>
      </c>
      <c r="D213" s="0" t="s">
        <v>1000</v>
      </c>
      <c r="E213" s="0" t="n">
        <f aca="false">+VLOOKUP(B213,'Yield (2)'!B:K,9,0)</f>
        <v>0.25</v>
      </c>
      <c r="F213" s="60" t="s">
        <v>768</v>
      </c>
      <c r="G213" s="60" t="n">
        <v>1.9</v>
      </c>
      <c r="H213" s="60" t="n">
        <v>2.25</v>
      </c>
      <c r="I213" s="62" t="n">
        <f aca="false">+VLOOKUP(B213,'Yield (2)'!B:D,3,0)</f>
        <v>26</v>
      </c>
    </row>
    <row r="214" customFormat="false" ht="15" hidden="false" customHeight="false" outlineLevel="0" collapsed="false">
      <c r="A214" s="16" t="s">
        <v>1005</v>
      </c>
      <c r="B214" s="16" t="s">
        <v>186</v>
      </c>
      <c r="C214" s="0" t="s">
        <v>187</v>
      </c>
      <c r="D214" s="0" t="s">
        <v>1000</v>
      </c>
      <c r="E214" s="0" t="n">
        <f aca="false">+VLOOKUP(B214,'Yield (2)'!B:K,9,0)</f>
        <v>0.25</v>
      </c>
      <c r="F214" s="60" t="s">
        <v>768</v>
      </c>
      <c r="G214" s="60" t="n">
        <v>2</v>
      </c>
      <c r="H214" s="60" t="n">
        <v>2.25</v>
      </c>
      <c r="I214" s="62" t="n">
        <f aca="false">+VLOOKUP(B214,'Yield (2)'!B:D,3,0)</f>
        <v>26</v>
      </c>
    </row>
    <row r="215" customFormat="false" ht="15" hidden="false" customHeight="false" outlineLevel="0" collapsed="false">
      <c r="A215" s="16" t="s">
        <v>1006</v>
      </c>
      <c r="B215" s="16" t="s">
        <v>188</v>
      </c>
      <c r="C215" s="0" t="s">
        <v>189</v>
      </c>
      <c r="D215" s="0" t="s">
        <v>1000</v>
      </c>
      <c r="E215" s="0" t="n">
        <f aca="false">+VLOOKUP(B215,'Yield (2)'!B:K,9,0)</f>
        <v>0.25</v>
      </c>
      <c r="F215" s="60" t="s">
        <v>768</v>
      </c>
      <c r="G215" s="60" t="n">
        <v>2</v>
      </c>
      <c r="H215" s="60" t="n">
        <v>2.25</v>
      </c>
      <c r="I215" s="62" t="n">
        <f aca="false">+VLOOKUP(B215,'Yield (2)'!B:D,3,0)</f>
        <v>26</v>
      </c>
    </row>
    <row r="216" customFormat="false" ht="15" hidden="false" customHeight="false" outlineLevel="0" collapsed="false">
      <c r="A216" s="16" t="s">
        <v>1007</v>
      </c>
      <c r="B216" s="16" t="s">
        <v>190</v>
      </c>
      <c r="C216" s="0" t="s">
        <v>189</v>
      </c>
      <c r="D216" s="0" t="s">
        <v>1000</v>
      </c>
      <c r="E216" s="0" t="n">
        <f aca="false">+VLOOKUP(B216,'Yield (2)'!B:K,9,0)</f>
        <v>0.25</v>
      </c>
      <c r="F216" s="60" t="s">
        <v>768</v>
      </c>
      <c r="G216" s="60" t="n">
        <v>2</v>
      </c>
      <c r="H216" s="60" t="n">
        <v>2.25</v>
      </c>
      <c r="I216" s="62" t="n">
        <f aca="false">+VLOOKUP(B216,'Yield (2)'!B:D,3,0)</f>
        <v>26</v>
      </c>
    </row>
    <row r="217" customFormat="false" ht="15" hidden="false" customHeight="false" outlineLevel="0" collapsed="false">
      <c r="A217" s="16" t="s">
        <v>1008</v>
      </c>
      <c r="B217" s="16" t="s">
        <v>191</v>
      </c>
      <c r="C217" s="0" t="s">
        <v>192</v>
      </c>
      <c r="D217" s="0" t="s">
        <v>1000</v>
      </c>
      <c r="E217" s="0" t="n">
        <f aca="false">+VLOOKUP(B217,'Yield (2)'!B:K,9,0)</f>
        <v>0.25</v>
      </c>
      <c r="F217" s="60" t="s">
        <v>768</v>
      </c>
      <c r="G217" s="60" t="n">
        <v>2</v>
      </c>
      <c r="H217" s="60" t="n">
        <v>2.25</v>
      </c>
      <c r="I217" s="62" t="n">
        <f aca="false">+VLOOKUP(B217,'Yield (2)'!B:D,3,0)</f>
        <v>26</v>
      </c>
    </row>
    <row r="218" customFormat="false" ht="15" hidden="false" customHeight="false" outlineLevel="0" collapsed="false">
      <c r="A218" s="16" t="s">
        <v>1009</v>
      </c>
      <c r="B218" s="16" t="s">
        <v>193</v>
      </c>
      <c r="C218" s="0" t="s">
        <v>194</v>
      </c>
      <c r="D218" s="0" t="s">
        <v>1000</v>
      </c>
      <c r="E218" s="0" t="n">
        <f aca="false">+VLOOKUP(B218,'Yield (2)'!B:K,9,0)</f>
        <v>0.25</v>
      </c>
      <c r="F218" s="60" t="s">
        <v>768</v>
      </c>
      <c r="G218" s="60" t="n">
        <v>2</v>
      </c>
      <c r="H218" s="60" t="n">
        <v>2.25</v>
      </c>
      <c r="I218" s="62" t="n">
        <f aca="false">+VLOOKUP(B218,'Yield (2)'!B:D,3,0)</f>
        <v>26</v>
      </c>
    </row>
    <row r="219" customFormat="false" ht="15" hidden="false" customHeight="false" outlineLevel="0" collapsed="false">
      <c r="A219" s="16" t="s">
        <v>1010</v>
      </c>
      <c r="B219" s="16" t="s">
        <v>195</v>
      </c>
      <c r="C219" s="0" t="s">
        <v>194</v>
      </c>
      <c r="D219" s="0" t="s">
        <v>1000</v>
      </c>
      <c r="E219" s="0" t="n">
        <f aca="false">+VLOOKUP(B219,'Yield (2)'!B:K,9,0)</f>
        <v>0.25</v>
      </c>
      <c r="F219" s="60" t="s">
        <v>768</v>
      </c>
      <c r="G219" s="60" t="n">
        <v>2</v>
      </c>
      <c r="H219" s="60" t="n">
        <v>2.25</v>
      </c>
      <c r="I219" s="62" t="n">
        <f aca="false">+VLOOKUP(B219,'Yield (2)'!B:D,3,0)</f>
        <v>26</v>
      </c>
    </row>
    <row r="220" customFormat="false" ht="15" hidden="false" customHeight="false" outlineLevel="0" collapsed="false">
      <c r="A220" s="16" t="s">
        <v>1011</v>
      </c>
      <c r="B220" s="16" t="s">
        <v>196</v>
      </c>
      <c r="C220" s="0" t="s">
        <v>197</v>
      </c>
      <c r="D220" s="0" t="s">
        <v>1000</v>
      </c>
      <c r="E220" s="0" t="n">
        <f aca="false">+VLOOKUP(B220,'Yield (2)'!B:K,9,0)</f>
        <v>0.25</v>
      </c>
      <c r="F220" s="60" t="s">
        <v>774</v>
      </c>
      <c r="G220" s="60" t="n">
        <v>1.65</v>
      </c>
      <c r="H220" s="60" t="n">
        <v>1.95</v>
      </c>
      <c r="I220" s="62" t="n">
        <f aca="false">+VLOOKUP(B220,'Yield (2)'!B:D,3,0)</f>
        <v>26</v>
      </c>
    </row>
    <row r="221" customFormat="false" ht="15" hidden="false" customHeight="false" outlineLevel="0" collapsed="false">
      <c r="A221" s="16" t="s">
        <v>1012</v>
      </c>
      <c r="B221" s="16" t="s">
        <v>198</v>
      </c>
      <c r="C221" s="0" t="s">
        <v>199</v>
      </c>
      <c r="D221" s="0" t="s">
        <v>1000</v>
      </c>
      <c r="E221" s="0" t="n">
        <f aca="false">+VLOOKUP(B221,'Yield (2)'!B:K,9,0)</f>
        <v>0.25</v>
      </c>
      <c r="F221" s="60" t="s">
        <v>774</v>
      </c>
      <c r="G221" s="60" t="n">
        <v>1.65</v>
      </c>
      <c r="H221" s="60" t="n">
        <v>1.95</v>
      </c>
      <c r="I221" s="62" t="n">
        <f aca="false">+VLOOKUP(B221,'Yield (2)'!B:D,3,0)</f>
        <v>26</v>
      </c>
    </row>
    <row r="222" customFormat="false" ht="15" hidden="false" customHeight="false" outlineLevel="0" collapsed="false">
      <c r="A222" s="16" t="str">
        <f aca="false">VLOOKUP(B222,[1]MxP!$C$1:$F$1048576,4,0)</f>
        <v>3012</v>
      </c>
      <c r="B222" s="52" t="s">
        <v>475</v>
      </c>
      <c r="C222" s="0" t="str">
        <f aca="false">VLOOKUP(B222,'Yield (2)'!B:C,2,0)</f>
        <v>CHILL MAR. ORI CHICKEN (TEXAS) </v>
      </c>
      <c r="D222" s="0" t="s">
        <v>68</v>
      </c>
      <c r="E222" s="0" t="n">
        <f aca="false">+VLOOKUP(B222,'Yield (2)'!B:K,9,0)</f>
        <v>0.9</v>
      </c>
      <c r="F222" s="60" t="s">
        <v>774</v>
      </c>
      <c r="G222" s="60" t="n">
        <v>1.7</v>
      </c>
      <c r="H222" s="60" t="n">
        <v>1.85</v>
      </c>
      <c r="I222" s="62" t="n">
        <f aca="false">+VLOOKUP(B222,'Yield (2)'!B:D,3,0)</f>
        <v>2</v>
      </c>
    </row>
    <row r="223" customFormat="false" ht="15" hidden="false" customHeight="false" outlineLevel="0" collapsed="false">
      <c r="A223" s="16" t="str">
        <f aca="false">VLOOKUP(B223,[1]MxP!$C$1:$F$1048576,4,0)</f>
        <v>3016</v>
      </c>
      <c r="B223" s="52" t="s">
        <v>477</v>
      </c>
      <c r="C223" s="0" t="str">
        <f aca="false">VLOOKUP(B223,'Yield (2)'!B:C,2,0)</f>
        <v>MAR. 9PC CUT MCD-OR 18PC </v>
      </c>
      <c r="D223" s="0" t="s">
        <v>68</v>
      </c>
      <c r="E223" s="0" t="n">
        <f aca="false">+VLOOKUP(B223,'Yield (2)'!B:K,9,0)</f>
        <v>0.9</v>
      </c>
      <c r="F223" s="60" t="s">
        <v>774</v>
      </c>
      <c r="G223" s="60" t="n">
        <v>1.6</v>
      </c>
      <c r="H223" s="60" t="n">
        <v>1.85</v>
      </c>
      <c r="I223" s="62" t="n">
        <f aca="false">+VLOOKUP(B223,'Yield (2)'!B:D,3,0)</f>
        <v>1</v>
      </c>
    </row>
    <row r="224" customFormat="false" ht="15" hidden="false" customHeight="false" outlineLevel="0" collapsed="false">
      <c r="A224" s="16" t="str">
        <f aca="false">VLOOKUP(B224,[1]MxP!$C$1:$F$1048576,4,0)</f>
        <v>3018</v>
      </c>
      <c r="B224" s="52" t="s">
        <v>479</v>
      </c>
      <c r="C224" s="0" t="str">
        <f aca="false">VLOOKUP(B224,'Yield (2)'!B:C,2,0)</f>
        <v>MAR. 9PC CUT MCD-HS 18PC </v>
      </c>
      <c r="D224" s="0" t="s">
        <v>68</v>
      </c>
      <c r="E224" s="0" t="n">
        <f aca="false">+VLOOKUP(B224,'Yield (2)'!B:K,9,0)</f>
        <v>0.9</v>
      </c>
      <c r="F224" s="60" t="s">
        <v>774</v>
      </c>
      <c r="G224" s="60" t="n">
        <v>1.6</v>
      </c>
      <c r="H224" s="60" t="n">
        <v>1.85</v>
      </c>
      <c r="I224" s="62" t="n">
        <f aca="false">+VLOOKUP(B224,'Yield (2)'!B:D,3,0)</f>
        <v>1</v>
      </c>
    </row>
    <row r="225" customFormat="false" ht="15" hidden="false" customHeight="false" outlineLevel="0" collapsed="false">
      <c r="A225" s="16" t="str">
        <f aca="false">VLOOKUP(B225,[1]MxP!$C$1:$F$1048576,4,0)</f>
        <v>3061</v>
      </c>
      <c r="B225" s="52" t="s">
        <v>481</v>
      </c>
      <c r="C225" s="0" t="str">
        <f aca="false">VLOOKUP(B225,'Yield (2)'!B:C,2,0)</f>
        <v>MAR WHOLE BIRD KRR-OR 10BDS C </v>
      </c>
      <c r="D225" s="0" t="s">
        <v>55</v>
      </c>
      <c r="E225" s="0" t="n">
        <f aca="false">+VLOOKUP(B225,'Yield (2)'!B:K,9,0)</f>
        <v>0.98</v>
      </c>
      <c r="F225" s="60" t="s">
        <v>774</v>
      </c>
      <c r="G225" s="60" t="n">
        <v>1.75</v>
      </c>
      <c r="H225" s="60" t="n">
        <v>1.85</v>
      </c>
      <c r="I225" s="62" t="n">
        <f aca="false">+VLOOKUP(B225,'Yield (2)'!B:D,3,0)</f>
        <v>36</v>
      </c>
    </row>
    <row r="226" customFormat="false" ht="15" hidden="false" customHeight="false" outlineLevel="0" collapsed="false">
      <c r="A226" s="16" t="str">
        <f aca="false">VLOOKUP(B226,[1]MxP!$C$1:$F$1048576,4,0)</f>
        <v>3060</v>
      </c>
      <c r="B226" s="52" t="s">
        <v>483</v>
      </c>
      <c r="C226" s="0" t="str">
        <f aca="false">VLOOKUP(B226,'Yield (2)'!B:C,2,0)</f>
        <v>MAR WHOLE BIRD KRR-BP 10BDS C </v>
      </c>
      <c r="D226" s="0" t="s">
        <v>55</v>
      </c>
      <c r="E226" s="0" t="n">
        <f aca="false">+VLOOKUP(B226,'Yield (2)'!B:K,9,0)</f>
        <v>0.98</v>
      </c>
      <c r="F226" s="60" t="s">
        <v>774</v>
      </c>
      <c r="G226" s="60" t="n">
        <v>1.65</v>
      </c>
      <c r="H226" s="60" t="n">
        <v>1.8</v>
      </c>
      <c r="I226" s="62" t="n">
        <f aca="false">+VLOOKUP(B226,'Yield (2)'!B:D,3,0)</f>
        <v>36</v>
      </c>
    </row>
    <row r="227" customFormat="false" ht="15" hidden="false" customHeight="false" outlineLevel="0" collapsed="false">
      <c r="A227" s="16" t="str">
        <f aca="false">VLOOKUP(B227,[1]MxP!$C$1:$F$1048576,4,0)</f>
        <v>3072</v>
      </c>
      <c r="B227" s="52" t="s">
        <v>485</v>
      </c>
      <c r="C227" s="0" t="str">
        <f aca="false">VLOOKUP(B227,'Yield (2)'!B:C,2,0)</f>
        <v>MAR WHOLE BIRD NANDOS-OR 4BDS </v>
      </c>
      <c r="D227" s="0" t="s">
        <v>55</v>
      </c>
      <c r="E227" s="0" t="n">
        <f aca="false">+VLOOKUP(B227,'Yield (2)'!B:K,9,0)</f>
        <v>0.98</v>
      </c>
      <c r="F227" s="60" t="s">
        <v>774</v>
      </c>
      <c r="G227" s="60" t="n">
        <v>1.65</v>
      </c>
      <c r="H227" s="60" t="n">
        <v>1.8</v>
      </c>
      <c r="I227" s="62" t="n">
        <f aca="false">+VLOOKUP(B227,'Yield (2)'!B:D,3,0)</f>
        <v>36</v>
      </c>
    </row>
    <row r="228" customFormat="false" ht="15" hidden="false" customHeight="false" outlineLevel="0" collapsed="false">
      <c r="A228" s="16" t="str">
        <f aca="false">VLOOKUP(B228,[1]MxP!$C$1:$F$1048576,4,0)</f>
        <v>0006</v>
      </c>
      <c r="B228" s="52" t="s">
        <v>487</v>
      </c>
      <c r="C228" s="0" t="str">
        <f aca="false">VLOOKUP(B228,'Yield (2)'!B:C,2,0)</f>
        <v>WHOLE CHICKEN (L1)1651-1950GBP </v>
      </c>
      <c r="D228" s="0" t="s">
        <v>55</v>
      </c>
      <c r="E228" s="0" t="n">
        <f aca="false">+VLOOKUP(B228,'Yield (2)'!B:K,9,0)</f>
        <v>0.98</v>
      </c>
      <c r="F228" s="60" t="s">
        <v>1013</v>
      </c>
      <c r="G228" s="60" t="n">
        <v>2.2</v>
      </c>
      <c r="H228" s="60" t="n">
        <v>2.6</v>
      </c>
      <c r="I228" s="62" t="n">
        <f aca="false">+VLOOKUP(B228,'Yield (2)'!B:D,3,0)</f>
        <v>35</v>
      </c>
    </row>
    <row r="229" customFormat="false" ht="15" hidden="false" customHeight="false" outlineLevel="0" collapsed="false">
      <c r="A229" s="16" t="str">
        <f aca="false">VLOOKUP(B229,[1]MxP!$C$1:$F$1048576,4,0)</f>
        <v>0028</v>
      </c>
      <c r="B229" s="52" t="s">
        <v>489</v>
      </c>
      <c r="C229" s="0" t="str">
        <f aca="false">VLOOKUP(B229,'Yield (2)'!B:C,2,0)</f>
        <v>WHOLE BIRD L1 (GIBLET 4 IN 1 ) </v>
      </c>
      <c r="D229" s="0" t="s">
        <v>55</v>
      </c>
      <c r="E229" s="0" t="n">
        <f aca="false">+VLOOKUP(B229,'Yield (2)'!B:K,9,0)</f>
        <v>0.98</v>
      </c>
      <c r="F229" s="60" t="s">
        <v>1013</v>
      </c>
      <c r="G229" s="60" t="n">
        <v>2.2</v>
      </c>
      <c r="H229" s="60" t="n">
        <v>2.6</v>
      </c>
      <c r="I229" s="62" t="n">
        <f aca="false">+VLOOKUP(B229,'Yield (2)'!B:D,3,0)</f>
        <v>35</v>
      </c>
    </row>
    <row r="230" customFormat="false" ht="15" hidden="false" customHeight="false" outlineLevel="0" collapsed="false">
      <c r="A230" s="16" t="str">
        <f aca="false">VLOOKUP(B230,[1]MxP!$C$1:$F$1048576,4,0)</f>
        <v>0038</v>
      </c>
      <c r="B230" s="52" t="s">
        <v>491</v>
      </c>
      <c r="C230" s="0" t="str">
        <f aca="false">VLOOKUP(B230,'Yield (2)'!B:C,2,0)</f>
        <v>WHOLE CHICKEN WITH H&amp;F&amp;G (L1) </v>
      </c>
      <c r="D230" s="0" t="s">
        <v>55</v>
      </c>
      <c r="E230" s="0" t="n">
        <f aca="false">+VLOOKUP(B230,'Yield (2)'!B:K,9,0)</f>
        <v>0.98</v>
      </c>
      <c r="F230" s="60" t="s">
        <v>1013</v>
      </c>
      <c r="G230" s="60" t="n">
        <v>2.2</v>
      </c>
      <c r="H230" s="60" t="n">
        <v>2.6</v>
      </c>
      <c r="I230" s="62" t="n">
        <f aca="false">+VLOOKUP(B230,'Yield (2)'!B:D,3,0)</f>
        <v>35</v>
      </c>
    </row>
    <row r="231" customFormat="false" ht="15" hidden="false" customHeight="false" outlineLevel="0" collapsed="false">
      <c r="A231" s="16" t="str">
        <f aca="false">VLOOKUP(B231,[1]MxP!$C$1:$F$1048576,4,0)</f>
        <v>0008</v>
      </c>
      <c r="B231" s="52" t="s">
        <v>493</v>
      </c>
      <c r="C231" s="0" t="str">
        <f aca="false">VLOOKUP(B231,'Yield (2)'!B:C,2,0)</f>
        <v>WHOLE CHICKEN (M1)1051-1350GBP </v>
      </c>
      <c r="D231" s="0" t="s">
        <v>55</v>
      </c>
      <c r="E231" s="0" t="n">
        <f aca="false">+VLOOKUP(B231,'Yield (2)'!B:K,9,0)</f>
        <v>0.98</v>
      </c>
      <c r="F231" s="60" t="s">
        <v>953</v>
      </c>
      <c r="G231" s="60" t="n">
        <v>1.45</v>
      </c>
      <c r="H231" s="60" t="n">
        <v>1.8</v>
      </c>
      <c r="I231" s="62" t="n">
        <f aca="false">+VLOOKUP(B231,'Yield (2)'!B:D,3,0)</f>
        <v>35</v>
      </c>
    </row>
    <row r="232" customFormat="false" ht="15" hidden="false" customHeight="false" outlineLevel="0" collapsed="false">
      <c r="A232" s="16" t="str">
        <f aca="false">VLOOKUP(B232,[1]MxP!$C$1:$F$1048576,4,0)</f>
        <v>0010</v>
      </c>
      <c r="B232" s="52" t="s">
        <v>495</v>
      </c>
      <c r="C232" s="0" t="str">
        <f aca="false">VLOOKUP(B232,'Yield (2)'!B:C,2,0)</f>
        <v>WHOLE CHICKEN (M1)1051-1350GSP </v>
      </c>
      <c r="D232" s="0" t="s">
        <v>55</v>
      </c>
      <c r="E232" s="0" t="n">
        <f aca="false">+VLOOKUP(B232,'Yield (2)'!B:K,9,0)</f>
        <v>0.98</v>
      </c>
      <c r="F232" s="60" t="s">
        <v>953</v>
      </c>
      <c r="G232" s="60" t="n">
        <v>1.45</v>
      </c>
      <c r="H232" s="60" t="n">
        <v>1.8</v>
      </c>
      <c r="I232" s="62" t="n">
        <f aca="false">+VLOOKUP(B232,'Yield (2)'!B:D,3,0)</f>
        <v>35</v>
      </c>
    </row>
    <row r="233" customFormat="false" ht="15" hidden="false" customHeight="false" outlineLevel="0" collapsed="false">
      <c r="A233" s="16" t="str">
        <f aca="false">VLOOKUP(B233,[1]MxP!$C$1:$F$1048576,4,0)</f>
        <v>0012</v>
      </c>
      <c r="B233" s="52" t="s">
        <v>497</v>
      </c>
      <c r="C233" s="0" t="str">
        <f aca="false">VLOOKUP(B233,'Yield (2)'!B:C,2,0)</f>
        <v>WHOLE CHICKEN (M2)1351-1650GBP </v>
      </c>
      <c r="D233" s="0" t="s">
        <v>55</v>
      </c>
      <c r="E233" s="0" t="n">
        <f aca="false">+VLOOKUP(B233,'Yield (2)'!B:K,9,0)</f>
        <v>0.98</v>
      </c>
      <c r="F233" s="60" t="s">
        <v>1014</v>
      </c>
      <c r="G233" s="60" t="n">
        <v>1.8</v>
      </c>
      <c r="H233" s="60" t="n">
        <v>2.2</v>
      </c>
      <c r="I233" s="62" t="n">
        <f aca="false">+VLOOKUP(B233,'Yield (2)'!B:D,3,0)</f>
        <v>35</v>
      </c>
    </row>
    <row r="234" customFormat="false" ht="15" hidden="false" customHeight="false" outlineLevel="0" collapsed="false">
      <c r="A234" s="16" t="str">
        <f aca="false">VLOOKUP(B234,[1]MxP!$C$1:$F$1048576,4,0)</f>
        <v>0014</v>
      </c>
      <c r="B234" s="52" t="s">
        <v>499</v>
      </c>
      <c r="C234" s="0" t="str">
        <f aca="false">VLOOKUP(B234,'Yield (2)'!B:C,2,0)</f>
        <v>WHOLE CHICKEN (M2)1351-1650GSP </v>
      </c>
      <c r="D234" s="0" t="s">
        <v>55</v>
      </c>
      <c r="E234" s="0" t="n">
        <f aca="false">+VLOOKUP(B234,'Yield (2)'!B:K,9,0)</f>
        <v>0.98</v>
      </c>
      <c r="F234" s="60" t="s">
        <v>1014</v>
      </c>
      <c r="G234" s="60" t="n">
        <v>1.8</v>
      </c>
      <c r="H234" s="60" t="n">
        <v>2.2</v>
      </c>
      <c r="I234" s="62" t="n">
        <f aca="false">+VLOOKUP(B234,'Yield (2)'!B:D,3,0)</f>
        <v>35</v>
      </c>
    </row>
    <row r="235" customFormat="false" ht="15" hidden="false" customHeight="false" outlineLevel="0" collapsed="false">
      <c r="A235" s="10" t="str">
        <f aca="false">VLOOKUP(B235,[1]MxP!$C$1:$F$1048576,4,0)</f>
        <v>0002</v>
      </c>
      <c r="B235" s="64" t="s">
        <v>501</v>
      </c>
      <c r="C235" s="5" t="str">
        <f aca="false">VLOOKUP(B235,'Yield (2)'!B:C,2,0)</f>
        <v>WHOLE CHIC(M2)1351-1650GSP GCH </v>
      </c>
      <c r="D235" s="0" t="s">
        <v>55</v>
      </c>
      <c r="E235" s="0" t="n">
        <f aca="false">+VLOOKUP(B235,'Yield (2)'!B:K,9,0)</f>
        <v>0.98</v>
      </c>
      <c r="F235" s="60" t="s">
        <v>1014</v>
      </c>
      <c r="G235" s="60" t="n">
        <v>1.8</v>
      </c>
      <c r="H235" s="60" t="n">
        <v>2.2</v>
      </c>
      <c r="I235" s="62" t="n">
        <f aca="false">+VLOOKUP(B235,'Yield (2)'!B:D,3,0)</f>
        <v>35</v>
      </c>
    </row>
    <row r="236" customFormat="false" ht="15" hidden="false" customHeight="false" outlineLevel="0" collapsed="false">
      <c r="A236" s="10" t="str">
        <f aca="false">VLOOKUP(B236,[1]MxP!$C$1:$F$1048576,4,0)</f>
        <v>0016</v>
      </c>
      <c r="B236" s="64" t="s">
        <v>503</v>
      </c>
      <c r="C236" s="5" t="str">
        <f aca="false">VLOOKUP(B236,'Yield (2)'!B:C,2,0)</f>
        <v>WHOLE CHICKEN (S2) 851-1050GBP </v>
      </c>
      <c r="D236" s="0" t="s">
        <v>55</v>
      </c>
      <c r="E236" s="0" t="n">
        <f aca="false">+VLOOKUP(B236,'Yield (2)'!B:K,9,0)</f>
        <v>0.98</v>
      </c>
      <c r="F236" s="60" t="s">
        <v>953</v>
      </c>
      <c r="G236" s="60" t="n">
        <v>1.3</v>
      </c>
      <c r="H236" s="60" t="n">
        <v>1.45</v>
      </c>
      <c r="I236" s="62" t="n">
        <f aca="false">+VLOOKUP(B236,'Yield (2)'!B:D,3,0)</f>
        <v>35</v>
      </c>
    </row>
    <row r="237" customFormat="false" ht="15" hidden="false" customHeight="false" outlineLevel="0" collapsed="false">
      <c r="A237" s="10" t="str">
        <f aca="false">VLOOKUP(B237,[1]MxP!$C$1:$F$1048576,4,0)</f>
        <v>0018</v>
      </c>
      <c r="B237" s="64" t="s">
        <v>505</v>
      </c>
      <c r="C237" s="5" t="str">
        <f aca="false">VLOOKUP(B237,'Yield (2)'!B:C,2,0)</f>
        <v>WHOLE CHICKEN 3X1 PACK </v>
      </c>
      <c r="D237" s="0" t="s">
        <v>55</v>
      </c>
      <c r="E237" s="0" t="n">
        <f aca="false">+VLOOKUP(B237,'Yield (2)'!B:K,9,0)</f>
        <v>0.98</v>
      </c>
      <c r="F237" s="60" t="s">
        <v>953</v>
      </c>
      <c r="G237" s="60" t="n">
        <v>1.45</v>
      </c>
      <c r="H237" s="60" t="n">
        <v>1.75</v>
      </c>
      <c r="I237" s="62" t="n">
        <f aca="false">+VLOOKUP(B237,'Yield (2)'!B:D,3,0)</f>
        <v>35</v>
      </c>
    </row>
    <row r="238" customFormat="false" ht="15" hidden="false" customHeight="false" outlineLevel="0" collapsed="false">
      <c r="A238" s="10" t="str">
        <f aca="false">VLOOKUP(B238,[1]MxP!$C$1:$F$1048576,4,0)</f>
        <v>0024</v>
      </c>
      <c r="B238" s="64" t="s">
        <v>507</v>
      </c>
      <c r="C238" s="5" t="str">
        <f aca="false">VLOOKUP(B238,'Yield (2)'!B:C,2,0)</f>
        <v>WHOLE CHICKEN 3X1 PACK S2 </v>
      </c>
      <c r="D238" s="0" t="s">
        <v>55</v>
      </c>
      <c r="E238" s="0" t="n">
        <f aca="false">+VLOOKUP(B238,'Yield (2)'!B:K,9,0)</f>
        <v>0.98</v>
      </c>
      <c r="F238" s="60" t="s">
        <v>953</v>
      </c>
      <c r="G238" s="60" t="n">
        <v>1.3</v>
      </c>
      <c r="H238" s="60" t="n">
        <v>1.45</v>
      </c>
      <c r="I238" s="62" t="n">
        <f aca="false">+VLOOKUP(B238,'Yield (2)'!B:D,3,0)</f>
        <v>35</v>
      </c>
    </row>
    <row r="239" customFormat="false" ht="15" hidden="false" customHeight="false" outlineLevel="0" collapsed="false">
      <c r="A239" s="10" t="str">
        <f aca="false">VLOOKUP(B239,[1]MxP!$C$1:$F$1048576,4,0)</f>
        <v>0007</v>
      </c>
      <c r="B239" s="10" t="s">
        <v>509</v>
      </c>
      <c r="C239" s="5" t="str">
        <f aca="false">VLOOKUP(B239,'Yield (2)'!B:C,2,0)</f>
        <v>WHOLE CHICKEN (L1)1651-1950GBP </v>
      </c>
      <c r="D239" s="0" t="s">
        <v>55</v>
      </c>
      <c r="E239" s="0" t="n">
        <f aca="false">+VLOOKUP(B239,'Yield (2)'!B:K,9,0)</f>
        <v>0.98</v>
      </c>
      <c r="F239" s="60" t="s">
        <v>1013</v>
      </c>
      <c r="G239" s="60" t="n">
        <v>2.2</v>
      </c>
      <c r="H239" s="60" t="n">
        <v>2.6</v>
      </c>
      <c r="I239" s="62" t="n">
        <f aca="false">+VLOOKUP(B239,'Yield (2)'!B:D,3,0)</f>
        <v>35</v>
      </c>
    </row>
    <row r="240" customFormat="false" ht="15" hidden="false" customHeight="false" outlineLevel="0" collapsed="false">
      <c r="A240" s="10" t="str">
        <f aca="false">VLOOKUP(B240,[1]MxP!$C$1:$F$1048576,4,0)</f>
        <v>0039</v>
      </c>
      <c r="B240" s="10" t="s">
        <v>510</v>
      </c>
      <c r="C240" s="5" t="str">
        <f aca="false">VLOOKUP(B240,'Yield (2)'!B:C,2,0)</f>
        <v>WHOLE CHIC WITH H&amp;F&amp;G (L1) FRZ </v>
      </c>
      <c r="D240" s="0" t="s">
        <v>55</v>
      </c>
      <c r="E240" s="0" t="n">
        <f aca="false">+VLOOKUP(B240,'Yield (2)'!B:K,9,0)</f>
        <v>0.98</v>
      </c>
      <c r="F240" s="60" t="s">
        <v>1013</v>
      </c>
      <c r="G240" s="60" t="n">
        <v>2.2</v>
      </c>
      <c r="H240" s="60" t="n">
        <v>2.6</v>
      </c>
      <c r="I240" s="62" t="n">
        <f aca="false">+VLOOKUP(B240,'Yield (2)'!B:D,3,0)</f>
        <v>35</v>
      </c>
    </row>
    <row r="241" customFormat="false" ht="15" hidden="false" customHeight="false" outlineLevel="0" collapsed="false">
      <c r="A241" s="10" t="str">
        <f aca="false">VLOOKUP(B241,[1]MxP!$C$1:$F$1048576,4,0)</f>
        <v>0009</v>
      </c>
      <c r="B241" s="10" t="s">
        <v>512</v>
      </c>
      <c r="C241" s="5" t="str">
        <f aca="false">VLOOKUP(B241,'Yield (2)'!B:C,2,0)</f>
        <v>WHOLE CHICKEN (M1)1051-1350GBP </v>
      </c>
      <c r="D241" s="0" t="s">
        <v>55</v>
      </c>
      <c r="E241" s="0" t="n">
        <f aca="false">+VLOOKUP(B241,'Yield (2)'!B:K,9,0)</f>
        <v>0.98</v>
      </c>
      <c r="F241" s="60" t="s">
        <v>1015</v>
      </c>
      <c r="G241" s="60" t="n">
        <v>1.5</v>
      </c>
      <c r="H241" s="60" t="n">
        <v>1.8</v>
      </c>
      <c r="I241" s="62" t="n">
        <f aca="false">+VLOOKUP(B241,'Yield (2)'!B:D,3,0)</f>
        <v>35</v>
      </c>
    </row>
    <row r="242" customFormat="false" ht="15" hidden="false" customHeight="false" outlineLevel="0" collapsed="false">
      <c r="A242" s="16" t="str">
        <f aca="false">VLOOKUP(B242,[1]MxP!$C$1:$F$1048576,4,0)</f>
        <v>0011</v>
      </c>
      <c r="B242" s="16" t="s">
        <v>513</v>
      </c>
      <c r="C242" s="0" t="str">
        <f aca="false">VLOOKUP(B242,'Yield (2)'!B:C,2,0)</f>
        <v>WHOLE CHICKEN (M1)1051-1350GSP </v>
      </c>
      <c r="D242" s="0" t="s">
        <v>55</v>
      </c>
      <c r="E242" s="0" t="n">
        <f aca="false">+VLOOKUP(B242,'Yield (2)'!B:K,9,0)</f>
        <v>0.98</v>
      </c>
      <c r="F242" s="60" t="s">
        <v>1015</v>
      </c>
      <c r="G242" s="60" t="n">
        <v>1.5</v>
      </c>
      <c r="H242" s="60" t="n">
        <v>1.8</v>
      </c>
      <c r="I242" s="62" t="n">
        <f aca="false">+VLOOKUP(B242,'Yield (2)'!B:D,3,0)</f>
        <v>35</v>
      </c>
    </row>
    <row r="243" customFormat="false" ht="15" hidden="false" customHeight="false" outlineLevel="0" collapsed="false">
      <c r="A243" s="16" t="str">
        <f aca="false">VLOOKUP(B243,[1]MxP!$C$1:$F$1048576,4,0)</f>
        <v>0027</v>
      </c>
      <c r="B243" s="16" t="s">
        <v>514</v>
      </c>
      <c r="C243" s="0" t="str">
        <f aca="false">VLOOKUP(B243,'Yield (2)'!B:C,2,0)</f>
        <v>WHOLE CHICKEN SP 1100-1250G JD </v>
      </c>
      <c r="D243" s="0" t="s">
        <v>55</v>
      </c>
      <c r="E243" s="0" t="n">
        <f aca="false">+VLOOKUP(B243,'Yield (2)'!B:K,9,0)</f>
        <v>0.98</v>
      </c>
      <c r="F243" s="60" t="s">
        <v>1015</v>
      </c>
      <c r="G243" s="60" t="n">
        <v>1.5</v>
      </c>
      <c r="H243" s="60" t="n">
        <v>1.8</v>
      </c>
      <c r="I243" s="62" t="n">
        <f aca="false">+VLOOKUP(B243,'Yield (2)'!B:D,3,0)</f>
        <v>35</v>
      </c>
    </row>
    <row r="244" customFormat="false" ht="15" hidden="false" customHeight="false" outlineLevel="0" collapsed="false">
      <c r="A244" s="16" t="str">
        <f aca="false">VLOOKUP(B244,[1]MxP!$C$1:$F$1048576,4,0)</f>
        <v>0013</v>
      </c>
      <c r="B244" s="16" t="s">
        <v>516</v>
      </c>
      <c r="C244" s="0" t="str">
        <f aca="false">VLOOKUP(B244,'Yield (2)'!B:C,2,0)</f>
        <v>WHOLE CHICKEN (M2)1351-1650GBP </v>
      </c>
      <c r="D244" s="0" t="s">
        <v>55</v>
      </c>
      <c r="E244" s="0" t="n">
        <f aca="false">+VLOOKUP(B244,'Yield (2)'!B:K,9,0)</f>
        <v>0.98</v>
      </c>
      <c r="F244" s="60" t="s">
        <v>1014</v>
      </c>
      <c r="G244" s="60" t="n">
        <v>1.8</v>
      </c>
      <c r="H244" s="60" t="n">
        <v>2.2</v>
      </c>
      <c r="I244" s="62" t="n">
        <f aca="false">+VLOOKUP(B244,'Yield (2)'!B:D,3,0)</f>
        <v>35</v>
      </c>
    </row>
    <row r="245" customFormat="false" ht="15" hidden="false" customHeight="false" outlineLevel="0" collapsed="false">
      <c r="A245" s="16" t="str">
        <f aca="false">VLOOKUP(B245,[1]MxP!$C$1:$F$1048576,4,0)</f>
        <v>0015</v>
      </c>
      <c r="B245" s="16" t="s">
        <v>517</v>
      </c>
      <c r="C245" s="0" t="str">
        <f aca="false">VLOOKUP(B245,'Yield (2)'!B:C,2,0)</f>
        <v>WHOLE CHICKEN (M2)1351-1650GSP </v>
      </c>
      <c r="D245" s="0" t="s">
        <v>55</v>
      </c>
      <c r="E245" s="0" t="n">
        <f aca="false">+VLOOKUP(B245,'Yield (2)'!B:K,9,0)</f>
        <v>0.98</v>
      </c>
      <c r="F245" s="60" t="s">
        <v>1014</v>
      </c>
      <c r="G245" s="60" t="n">
        <v>1.8</v>
      </c>
      <c r="H245" s="60" t="n">
        <v>2.2</v>
      </c>
      <c r="I245" s="62" t="n">
        <f aca="false">+VLOOKUP(B245,'Yield (2)'!B:D,3,0)</f>
        <v>35</v>
      </c>
    </row>
    <row r="246" customFormat="false" ht="15" hidden="false" customHeight="false" outlineLevel="0" collapsed="false">
      <c r="A246" s="16" t="str">
        <f aca="false">VLOOKUP(B246,[1]MxP!$C$1:$F$1048576,4,0)</f>
        <v>0017</v>
      </c>
      <c r="B246" s="16" t="s">
        <v>518</v>
      </c>
      <c r="C246" s="0" t="str">
        <f aca="false">VLOOKUP(B246,'Yield (2)'!B:C,2,0)</f>
        <v>WHOLE CHICKEN (S2) 851-1050GBP </v>
      </c>
      <c r="D246" s="0" t="s">
        <v>55</v>
      </c>
      <c r="E246" s="0" t="n">
        <f aca="false">+VLOOKUP(B246,'Yield (2)'!B:K,9,0)</f>
        <v>0.98</v>
      </c>
      <c r="F246" s="60" t="s">
        <v>953</v>
      </c>
      <c r="G246" s="60" t="n">
        <v>1.3</v>
      </c>
      <c r="H246" s="60" t="n">
        <v>1.45</v>
      </c>
      <c r="I246" s="62" t="n">
        <f aca="false">+VLOOKUP(B246,'Yield (2)'!B:D,3,0)</f>
        <v>35</v>
      </c>
    </row>
    <row r="247" customFormat="false" ht="15" hidden="false" customHeight="false" outlineLevel="0" collapsed="false">
      <c r="A247" s="16" t="str">
        <f aca="false">VLOOKUP(B247,[1]MxP!$C$1:$F$1048576,4,0)</f>
        <v>0019</v>
      </c>
      <c r="B247" s="16" t="s">
        <v>519</v>
      </c>
      <c r="C247" s="0" t="str">
        <f aca="false">VLOOKUP(B247,'Yield (2)'!B:C,2,0)</f>
        <v>WHOLE CHICKEN 3X1 PACK </v>
      </c>
      <c r="D247" s="0" t="s">
        <v>55</v>
      </c>
      <c r="E247" s="0" t="n">
        <f aca="false">+VLOOKUP(B247,'Yield (2)'!B:K,9,0)</f>
        <v>0.98</v>
      </c>
      <c r="F247" s="60" t="s">
        <v>953</v>
      </c>
      <c r="G247" s="60" t="n">
        <v>1.45</v>
      </c>
      <c r="H247" s="60" t="n">
        <v>1.75</v>
      </c>
      <c r="I247" s="62" t="n">
        <f aca="false">+VLOOKUP(B247,'Yield (2)'!B:D,3,0)</f>
        <v>35</v>
      </c>
    </row>
    <row r="248" customFormat="false" ht="15" hidden="false" customHeight="false" outlineLevel="0" collapsed="false">
      <c r="A248" s="16" t="str">
        <f aca="false">VLOOKUP(B248,[1]MxP!$C$1:$F$1048576,4,0)</f>
        <v>0025</v>
      </c>
      <c r="B248" s="16" t="s">
        <v>520</v>
      </c>
      <c r="C248" s="0" t="str">
        <f aca="false">VLOOKUP(B248,'Yield (2)'!B:C,2,0)</f>
        <v>WHOLE CHICKEN 3X1 PACK S2 </v>
      </c>
      <c r="D248" s="0" t="s">
        <v>55</v>
      </c>
      <c r="E248" s="0" t="n">
        <f aca="false">+VLOOKUP(B248,'Yield (2)'!B:K,9,0)</f>
        <v>0.98</v>
      </c>
      <c r="F248" s="60" t="s">
        <v>953</v>
      </c>
      <c r="G248" s="60" t="n">
        <v>1.3</v>
      </c>
      <c r="H248" s="60" t="n">
        <v>1.45</v>
      </c>
      <c r="I248" s="62" t="n">
        <f aca="false">+VLOOKUP(B248,'Yield (2)'!B:D,3,0)</f>
        <v>35</v>
      </c>
    </row>
    <row r="249" customFormat="false" ht="15" hidden="false" customHeight="false" outlineLevel="0" collapsed="false">
      <c r="A249" s="16" t="str">
        <f aca="false">VLOOKUP(B249,[1]MxP!$C$1:$F$1048576,4,0)</f>
        <v>3036</v>
      </c>
      <c r="B249" s="16" t="s">
        <v>521</v>
      </c>
      <c r="C249" s="0" t="str">
        <f aca="false">VLOOKUP(B249,'Yield (2)'!B:C,2,0)</f>
        <v>ROAST WHOLE CHIC B.PEPPER M1 </v>
      </c>
      <c r="D249" s="0" t="s">
        <v>55</v>
      </c>
      <c r="E249" s="0" t="n">
        <f aca="false">+VLOOKUP(B249,'Yield (2)'!B:K,9,0)</f>
        <v>0.98</v>
      </c>
      <c r="F249" s="60" t="s">
        <v>953</v>
      </c>
      <c r="G249" s="60" t="n">
        <v>1.5</v>
      </c>
      <c r="H249" s="60" t="n">
        <v>1.75</v>
      </c>
      <c r="I249" s="62" t="n">
        <f aca="false">+VLOOKUP(B249,'Yield (2)'!B:D,3,0)</f>
        <v>35</v>
      </c>
    </row>
    <row r="250" customFormat="false" ht="15" hidden="false" customHeight="false" outlineLevel="0" collapsed="false">
      <c r="A250" s="16" t="str">
        <f aca="false">VLOOKUP(B250,[1]MxP!$C$1:$F$1048576,4,0)</f>
        <v>3040</v>
      </c>
      <c r="B250" s="16" t="s">
        <v>523</v>
      </c>
      <c r="C250" s="0" t="str">
        <f aca="false">VLOOKUP(B250,'Yield (2)'!B:C,2,0)</f>
        <v>ROAST WHOLE CHICKEN HONEY M1 </v>
      </c>
      <c r="D250" s="0" t="s">
        <v>55</v>
      </c>
      <c r="E250" s="0" t="n">
        <f aca="false">+VLOOKUP(B250,'Yield (2)'!B:K,9,0)</f>
        <v>0.98</v>
      </c>
      <c r="F250" s="60" t="s">
        <v>953</v>
      </c>
      <c r="G250" s="60" t="n">
        <v>1.5</v>
      </c>
      <c r="H250" s="60" t="n">
        <v>1.75</v>
      </c>
      <c r="I250" s="62" t="n">
        <f aca="false">+VLOOKUP(B250,'Yield (2)'!B:D,3,0)</f>
        <v>35</v>
      </c>
    </row>
    <row r="251" customFormat="false" ht="15" hidden="false" customHeight="false" outlineLevel="0" collapsed="false">
      <c r="A251" s="16" t="str">
        <f aca="false">VLOOKUP(B251,[1]MxP!$C$1:$F$1048576,4,0)</f>
        <v>3074</v>
      </c>
      <c r="B251" s="16" t="s">
        <v>525</v>
      </c>
      <c r="C251" s="0" t="str">
        <f aca="false">VLOOKUP(B251,'Yield (2)'!B:C,2,0)</f>
        <v>MAR WHOLE BIRD KRR-MEX 10BDS C </v>
      </c>
      <c r="D251" s="0" t="s">
        <v>55</v>
      </c>
      <c r="E251" s="0" t="n">
        <f aca="false">+VLOOKUP(B251,'Yield (2)'!B:K,9,0)</f>
        <v>0.98</v>
      </c>
      <c r="F251" s="60" t="s">
        <v>953</v>
      </c>
      <c r="G251" s="60" t="n">
        <v>1.5</v>
      </c>
      <c r="H251" s="60" t="n">
        <v>1.75</v>
      </c>
      <c r="I251" s="62" t="n">
        <f aca="false">+VLOOKUP(B251,'Yield (2)'!B:D,3,0)</f>
        <v>35</v>
      </c>
    </row>
    <row r="252" customFormat="false" ht="15" hidden="false" customHeight="false" outlineLevel="0" collapsed="false">
      <c r="A252" s="16" t="str">
        <f aca="false">VLOOKUP(B252,[1]MxP!$C$1:$F$1048576,4,0)</f>
        <v>3043</v>
      </c>
      <c r="B252" s="16" t="s">
        <v>528</v>
      </c>
      <c r="C252" s="0" t="str">
        <f aca="false">VLOOKUP(B252,'Yield (2)'!B:C,2,0)</f>
        <v>BLACK PEPPER ROAST CHICKEN 1.1 </v>
      </c>
      <c r="D252" s="0" t="s">
        <v>55</v>
      </c>
      <c r="E252" s="0" t="n">
        <f aca="false">+VLOOKUP(B252,'Yield (2)'!B:K,9,0)</f>
        <v>0.98</v>
      </c>
      <c r="F252" s="60" t="s">
        <v>953</v>
      </c>
      <c r="G252" s="60" t="n">
        <v>1.5</v>
      </c>
      <c r="H252" s="60" t="n">
        <v>1.75</v>
      </c>
      <c r="I252" s="62" t="n">
        <f aca="false">+VLOOKUP(B252,'Yield (2)'!B:D,3,0)</f>
        <v>35</v>
      </c>
    </row>
    <row r="253" customFormat="false" ht="15" hidden="false" customHeight="false" outlineLevel="0" collapsed="false">
      <c r="A253" s="16" t="str">
        <f aca="false">VLOOKUP(B253,[1]MxP!$C$1:$F$1048576,4,0)</f>
        <v>3044</v>
      </c>
      <c r="B253" s="16" t="s">
        <v>530</v>
      </c>
      <c r="C253" s="0" t="str">
        <f aca="false">VLOOKUP(B253,'Yield (2)'!B:C,2,0)</f>
        <v>ROAST CHICKEN HOT &amp; SPICY 2BDS </v>
      </c>
      <c r="D253" s="0" t="s">
        <v>55</v>
      </c>
      <c r="E253" s="0" t="n">
        <f aca="false">+VLOOKUP(B253,'Yield (2)'!B:K,9,0)</f>
        <v>0.98</v>
      </c>
      <c r="F253" s="60" t="s">
        <v>953</v>
      </c>
      <c r="G253" s="60" t="n">
        <v>1.5</v>
      </c>
      <c r="H253" s="60" t="n">
        <v>1.75</v>
      </c>
      <c r="I253" s="62" t="n">
        <f aca="false">+VLOOKUP(B253,'Yield (2)'!B:D,3,0)</f>
        <v>35</v>
      </c>
    </row>
    <row r="254" customFormat="false" ht="15" hidden="false" customHeight="false" outlineLevel="0" collapsed="false">
      <c r="A254" s="16" t="str">
        <f aca="false">VLOOKUP(B254,[1]MxP!$C$1:$F$1048576,4,0)</f>
        <v>3069</v>
      </c>
      <c r="B254" s="16" t="s">
        <v>532</v>
      </c>
      <c r="C254" s="0" t="str">
        <f aca="false">VLOOKUP(B254,'Yield (2)'!B:C,2,0)</f>
        <v>MAR CHICKEN HOT &amp; SPICY (BFLY) </v>
      </c>
      <c r="D254" s="0" t="s">
        <v>55</v>
      </c>
      <c r="E254" s="0" t="n">
        <f aca="false">+VLOOKUP(B254,'Yield (2)'!B:K,9,0)</f>
        <v>0.98</v>
      </c>
      <c r="F254" s="60" t="s">
        <v>953</v>
      </c>
      <c r="G254" s="60" t="n">
        <v>1.5</v>
      </c>
      <c r="H254" s="60" t="n">
        <v>1.75</v>
      </c>
      <c r="I254" s="62" t="n">
        <f aca="false">+VLOOKUP(B254,'Yield (2)'!B:D,3,0)</f>
        <v>35</v>
      </c>
    </row>
    <row r="255" customFormat="false" ht="15" hidden="false" customHeight="false" outlineLevel="0" collapsed="false">
      <c r="A255" s="16" t="str">
        <f aca="false">VLOOKUP(B255,[1]MxP!$C$1:$F$1048576,4,0)</f>
        <v>3045</v>
      </c>
      <c r="B255" s="16" t="s">
        <v>534</v>
      </c>
      <c r="C255" s="0" t="str">
        <f aca="false">VLOOKUP(B255,'Yield (2)'!B:C,2,0)</f>
        <v>ROAST CHICKEN HONEY 2BDS </v>
      </c>
      <c r="D255" s="0" t="s">
        <v>55</v>
      </c>
      <c r="E255" s="0" t="n">
        <f aca="false">+VLOOKUP(B255,'Yield (2)'!B:K,9,0)</f>
        <v>0.98</v>
      </c>
      <c r="F255" s="60" t="s">
        <v>953</v>
      </c>
      <c r="G255" s="60" t="n">
        <v>1.5</v>
      </c>
      <c r="H255" s="60" t="n">
        <v>1.75</v>
      </c>
      <c r="I255" s="62" t="n">
        <f aca="false">+VLOOKUP(B255,'Yield (2)'!B:D,3,0)</f>
        <v>35</v>
      </c>
    </row>
    <row r="256" customFormat="false" ht="15" hidden="false" customHeight="false" outlineLevel="0" collapsed="false">
      <c r="A256" s="16" t="str">
        <f aca="false">VLOOKUP(B256,[1]MxP!$C$1:$F$1048576,4,0)</f>
        <v>3071</v>
      </c>
      <c r="B256" s="16" t="s">
        <v>536</v>
      </c>
      <c r="C256" s="0" t="str">
        <f aca="false">VLOOKUP(B256,'Yield (2)'!B:C,2,0)</f>
        <v>MAR CHICKEN HONEY (BFLY) </v>
      </c>
      <c r="D256" s="0" t="s">
        <v>55</v>
      </c>
      <c r="E256" s="0" t="n">
        <f aca="false">+VLOOKUP(B256,'Yield (2)'!B:K,9,0)</f>
        <v>0.98</v>
      </c>
      <c r="F256" s="60" t="s">
        <v>953</v>
      </c>
      <c r="G256" s="60" t="n">
        <v>1.5</v>
      </c>
      <c r="H256" s="60" t="n">
        <v>1.75</v>
      </c>
      <c r="I256" s="62" t="n">
        <f aca="false">+VLOOKUP(B256,'Yield (2)'!B:D,3,0)</f>
        <v>35</v>
      </c>
    </row>
    <row r="257" customFormat="false" ht="15" hidden="false" customHeight="false" outlineLevel="0" collapsed="false">
      <c r="A257" s="16" t="str">
        <f aca="false">VLOOKUP(B257,[1]MxP!$C$1:$F$1048576,4,0)</f>
        <v>3046</v>
      </c>
      <c r="B257" s="16" t="s">
        <v>538</v>
      </c>
      <c r="C257" s="0" t="str">
        <f aca="false">VLOOKUP(B257,'Yield (2)'!B:C,2,0)</f>
        <v>ROAST CHICKEN PERCIK 2BDS </v>
      </c>
      <c r="D257" s="0" t="s">
        <v>55</v>
      </c>
      <c r="E257" s="0" t="n">
        <f aca="false">+VLOOKUP(B257,'Yield (2)'!B:K,9,0)</f>
        <v>0.98</v>
      </c>
      <c r="F257" s="60" t="s">
        <v>953</v>
      </c>
      <c r="G257" s="60" t="n">
        <v>1.5</v>
      </c>
      <c r="H257" s="60" t="n">
        <v>1.75</v>
      </c>
      <c r="I257" s="62" t="n">
        <f aca="false">+VLOOKUP(B257,'Yield (2)'!B:D,3,0)</f>
        <v>35</v>
      </c>
    </row>
    <row r="258" customFormat="false" ht="15" hidden="false" customHeight="false" outlineLevel="0" collapsed="false">
      <c r="A258" s="16" t="str">
        <f aca="false">VLOOKUP(B258,[1]MxP!$C$1:$F$1048576,4,0)</f>
        <v>3070</v>
      </c>
      <c r="B258" s="16" t="s">
        <v>540</v>
      </c>
      <c r="C258" s="0" t="str">
        <f aca="false">VLOOKUP(B258,'Yield (2)'!B:C,2,0)</f>
        <v>MAR CHICKEN PERCIK (BFLY) </v>
      </c>
      <c r="D258" s="0" t="s">
        <v>55</v>
      </c>
      <c r="E258" s="0" t="n">
        <f aca="false">+VLOOKUP(B258,'Yield (2)'!B:K,9,0)</f>
        <v>0.98</v>
      </c>
      <c r="F258" s="60" t="s">
        <v>953</v>
      </c>
      <c r="G258" s="60" t="n">
        <v>1.5</v>
      </c>
      <c r="H258" s="60" t="n">
        <v>1.75</v>
      </c>
      <c r="I258" s="62" t="n">
        <f aca="false">+VLOOKUP(B258,'Yield (2)'!B:D,3,0)</f>
        <v>35</v>
      </c>
    </row>
    <row r="259" customFormat="false" ht="15" hidden="false" customHeight="false" outlineLevel="0" collapsed="false">
      <c r="A259" s="16" t="str">
        <f aca="false">VLOOKUP(B259,[1]MxP!$C$1:$F$1048576,4,0)</f>
        <v>3068</v>
      </c>
      <c r="B259" s="16" t="s">
        <v>542</v>
      </c>
      <c r="C259" s="0" t="str">
        <f aca="false">VLOOKUP(B259,'Yield (2)'!B:C,2,0)</f>
        <v>MAR CHICKEN BLK PEPPER (BFLY) </v>
      </c>
      <c r="D259" s="0" t="s">
        <v>55</v>
      </c>
      <c r="E259" s="0" t="n">
        <f aca="false">+VLOOKUP(B259,'Yield (2)'!B:K,9,0)</f>
        <v>0.98</v>
      </c>
      <c r="F259" s="60" t="s">
        <v>953</v>
      </c>
      <c r="G259" s="60" t="n">
        <v>1.5</v>
      </c>
      <c r="H259" s="60" t="n">
        <v>1.75</v>
      </c>
      <c r="I259" s="62" t="n">
        <f aca="false">+VLOOKUP(B259,'Yield (2)'!B:D,3,0)</f>
        <v>35</v>
      </c>
    </row>
    <row r="260" customFormat="false" ht="15" hidden="false" customHeight="false" outlineLevel="0" collapsed="false">
      <c r="A260" s="16" t="str">
        <f aca="false">VLOOKUP(B260,[1]MxP!$C$1:$F$1048576,4,0)</f>
        <v>3048</v>
      </c>
      <c r="B260" s="16" t="s">
        <v>544</v>
      </c>
      <c r="C260" s="0" t="str">
        <f aca="false">VLOOKUP(B260,'Yield (2)'!B:C,2,0)</f>
        <v>ROAST WHOLE CHIC MAHSURI M1 </v>
      </c>
      <c r="D260" s="0" t="s">
        <v>55</v>
      </c>
      <c r="E260" s="0" t="n">
        <f aca="false">+VLOOKUP(B260,'Yield (2)'!B:K,9,0)</f>
        <v>0.98</v>
      </c>
      <c r="F260" s="60" t="s">
        <v>953</v>
      </c>
      <c r="G260" s="60" t="n">
        <v>1.5</v>
      </c>
      <c r="H260" s="60" t="n">
        <v>1.75</v>
      </c>
      <c r="I260" s="62" t="n">
        <f aca="false">+VLOOKUP(B260,'Yield (2)'!B:D,3,0)</f>
        <v>35</v>
      </c>
    </row>
    <row r="261" customFormat="false" ht="15" hidden="false" customHeight="false" outlineLevel="0" collapsed="false">
      <c r="A261" s="16" t="str">
        <f aca="false">VLOOKUP(B261,[1]MxP!$C$1:$F$1048576,4,0)</f>
        <v>3050</v>
      </c>
      <c r="B261" s="16" t="s">
        <v>546</v>
      </c>
      <c r="C261" s="0" t="str">
        <f aca="false">VLOOKUP(B261,'Yield (2)'!B:C,2,0)</f>
        <v>MAR WHOLE BIRD NANDOS-OR 2BDS </v>
      </c>
      <c r="D261" s="0" t="s">
        <v>55</v>
      </c>
      <c r="E261" s="0" t="n">
        <f aca="false">+VLOOKUP(B261,'Yield (2)'!B:K,9,0)</f>
        <v>0.98</v>
      </c>
      <c r="F261" s="60" t="s">
        <v>953</v>
      </c>
      <c r="G261" s="60" t="n">
        <v>1.65</v>
      </c>
      <c r="H261" s="60" t="n">
        <v>1.8</v>
      </c>
      <c r="I261" s="62" t="n">
        <f aca="false">+VLOOKUP(B261,'Yield (2)'!B:D,3,0)</f>
        <v>35</v>
      </c>
    </row>
    <row r="262" customFormat="false" ht="15" hidden="false" customHeight="false" outlineLevel="0" collapsed="false">
      <c r="A262" s="16" t="str">
        <f aca="false">VLOOKUP(B262,[1]MxP!$C$1:$F$1048576,4,0)</f>
        <v>3035</v>
      </c>
      <c r="B262" s="16" t="s">
        <v>548</v>
      </c>
      <c r="C262" s="0" t="str">
        <f aca="false">VLOOKUP(B262,'Yield (2)'!B:C,2,0)</f>
        <v>ROAST CHICKEN BLACKPEPPER (WB) </v>
      </c>
      <c r="D262" s="0" t="s">
        <v>55</v>
      </c>
      <c r="E262" s="0" t="n">
        <f aca="false">+VLOOKUP(B262,'Yield (2)'!B:K,9,0)</f>
        <v>0.98</v>
      </c>
      <c r="F262" s="60" t="s">
        <v>953</v>
      </c>
      <c r="G262" s="60" t="n">
        <v>1.5</v>
      </c>
      <c r="H262" s="60" t="n">
        <v>1.75</v>
      </c>
      <c r="I262" s="62" t="n">
        <f aca="false">+VLOOKUP(B262,'Yield (2)'!B:D,3,0)</f>
        <v>35</v>
      </c>
    </row>
    <row r="263" customFormat="false" ht="15" hidden="false" customHeight="false" outlineLevel="0" collapsed="false">
      <c r="A263" s="16" t="str">
        <f aca="false">VLOOKUP(B263,[1]MxP!$C$1:$F$1048576,4,0)</f>
        <v>3037</v>
      </c>
      <c r="B263" s="16" t="s">
        <v>550</v>
      </c>
      <c r="C263" s="0" t="str">
        <f aca="false">VLOOKUP(B263,'Yield (2)'!B:C,2,0)</f>
        <v>ROAST CHICKEN HOT &amp; SPICY (WB) </v>
      </c>
      <c r="D263" s="0" t="s">
        <v>55</v>
      </c>
      <c r="E263" s="0" t="n">
        <f aca="false">+VLOOKUP(B263,'Yield (2)'!B:K,9,0)</f>
        <v>0.98</v>
      </c>
      <c r="F263" s="60" t="s">
        <v>953</v>
      </c>
      <c r="G263" s="60" t="n">
        <v>1.5</v>
      </c>
      <c r="H263" s="60" t="n">
        <v>1.75</v>
      </c>
      <c r="I263" s="62" t="n">
        <f aca="false">+VLOOKUP(B263,'Yield (2)'!B:D,3,0)</f>
        <v>35</v>
      </c>
    </row>
    <row r="264" customFormat="false" ht="15" hidden="false" customHeight="false" outlineLevel="0" collapsed="false">
      <c r="A264" s="16" t="str">
        <f aca="false">VLOOKUP(B264,[1]MxP!$C$1:$F$1048576,4,0)</f>
        <v>3039</v>
      </c>
      <c r="B264" s="16" t="s">
        <v>552</v>
      </c>
      <c r="C264" s="0" t="str">
        <f aca="false">VLOOKUP(B264,'Yield (2)'!B:C,2,0)</f>
        <v>ROAST CHICKEN HONEY (WB) </v>
      </c>
      <c r="D264" s="0" t="s">
        <v>55</v>
      </c>
      <c r="E264" s="0" t="n">
        <f aca="false">+VLOOKUP(B264,'Yield (2)'!B:K,9,0)</f>
        <v>0.98</v>
      </c>
      <c r="F264" s="60" t="s">
        <v>953</v>
      </c>
      <c r="G264" s="60" t="n">
        <v>1.5</v>
      </c>
      <c r="H264" s="60" t="n">
        <v>1.75</v>
      </c>
      <c r="I264" s="62" t="n">
        <f aca="false">+VLOOKUP(B264,'Yield (2)'!B:D,3,0)</f>
        <v>35</v>
      </c>
    </row>
    <row r="265" customFormat="false" ht="15" hidden="false" customHeight="false" outlineLevel="0" collapsed="false">
      <c r="A265" s="16" t="str">
        <f aca="false">VLOOKUP(B265,[1]MxP!$C$1:$F$1048576,4,0)</f>
        <v>3041</v>
      </c>
      <c r="B265" s="16" t="s">
        <v>554</v>
      </c>
      <c r="C265" s="0" t="str">
        <f aca="false">VLOOKUP(B265,'Yield (2)'!B:C,2,0)</f>
        <v>MAR WHOLE BIRD KRR-OR 10BDS </v>
      </c>
      <c r="D265" s="0" t="s">
        <v>55</v>
      </c>
      <c r="E265" s="0" t="n">
        <f aca="false">+VLOOKUP(B265,'Yield (2)'!B:K,9,0)</f>
        <v>0.98</v>
      </c>
      <c r="F265" s="60" t="s">
        <v>953</v>
      </c>
      <c r="G265" s="60" t="n">
        <v>1.75</v>
      </c>
      <c r="H265" s="60" t="n">
        <v>1.85</v>
      </c>
      <c r="I265" s="62" t="n">
        <f aca="false">+VLOOKUP(B265,'Yield (2)'!B:D,3,0)</f>
        <v>35</v>
      </c>
    </row>
    <row r="266" customFormat="false" ht="15" hidden="false" customHeight="false" outlineLevel="0" collapsed="false">
      <c r="A266" s="16" t="str">
        <f aca="false">VLOOKUP(B266,[1]MxP!$C$1:$F$1048576,4,0)</f>
        <v>3042</v>
      </c>
      <c r="B266" s="16" t="s">
        <v>556</v>
      </c>
      <c r="C266" s="0" t="str">
        <f aca="false">VLOOKUP(B266,'Yield (2)'!B:C,2,0)</f>
        <v>MAR WHOLE BIRD KRR-BP 10BDS </v>
      </c>
      <c r="D266" s="0" t="s">
        <v>55</v>
      </c>
      <c r="E266" s="0" t="n">
        <f aca="false">+VLOOKUP(B266,'Yield (2)'!B:K,9,0)</f>
        <v>0.98</v>
      </c>
      <c r="F266" s="60" t="s">
        <v>953</v>
      </c>
      <c r="G266" s="60" t="n">
        <v>1.65</v>
      </c>
      <c r="H266" s="60" t="n">
        <v>1.8</v>
      </c>
      <c r="I266" s="62" t="n">
        <f aca="false">+VLOOKUP(B266,'Yield (2)'!B:D,3,0)</f>
        <v>35</v>
      </c>
    </row>
    <row r="267" customFormat="false" ht="15" hidden="false" customHeight="false" outlineLevel="0" collapsed="false">
      <c r="A267" s="16" t="str">
        <f aca="false">VLOOKUP(B267,[1]MxP!$C$1:$F$1048576,4,0)</f>
        <v>3075</v>
      </c>
      <c r="B267" s="16" t="s">
        <v>558</v>
      </c>
      <c r="C267" s="0" t="str">
        <f aca="false">VLOOKUP(B267,'Yield (2)'!B:C,2,0)</f>
        <v>MAR WHOLE BIRD KRR-MEX 10BDS </v>
      </c>
      <c r="D267" s="0" t="s">
        <v>55</v>
      </c>
      <c r="E267" s="0" t="n">
        <f aca="false">+VLOOKUP(B267,'Yield (2)'!B:K,9,0)</f>
        <v>0.98</v>
      </c>
      <c r="F267" s="60" t="s">
        <v>953</v>
      </c>
      <c r="G267" s="60" t="n">
        <v>1.65</v>
      </c>
      <c r="H267" s="60" t="n">
        <v>1.8</v>
      </c>
      <c r="I267" s="62" t="n">
        <f aca="false">+VLOOKUP(B267,'Yield (2)'!B:D,3,0)</f>
        <v>35</v>
      </c>
    </row>
    <row r="268" customFormat="false" ht="15" hidden="false" customHeight="false" outlineLevel="0" collapsed="false">
      <c r="A268" s="16" t="str">
        <f aca="false">VLOOKUP(B268,[1]MxP!$C$1:$F$1048576,4,0)</f>
        <v>3047</v>
      </c>
      <c r="B268" s="16" t="s">
        <v>560</v>
      </c>
      <c r="C268" s="0" t="str">
        <f aca="false">VLOOKUP(B268,'Yield (2)'!B:C,2,0)</f>
        <v>ROAST CHICKEN MAHSURI (WB) </v>
      </c>
      <c r="D268" s="0" t="s">
        <v>55</v>
      </c>
      <c r="E268" s="0" t="n">
        <f aca="false">+VLOOKUP(B268,'Yield (2)'!B:K,9,0)</f>
        <v>0.98</v>
      </c>
      <c r="F268" s="60" t="s">
        <v>953</v>
      </c>
      <c r="G268" s="60" t="n">
        <v>1.5</v>
      </c>
      <c r="H268" s="60" t="n">
        <v>1.75</v>
      </c>
      <c r="I268" s="62" t="n">
        <f aca="false">+VLOOKUP(B268,'Yield (2)'!B:D,3,0)</f>
        <v>35</v>
      </c>
    </row>
    <row r="269" customFormat="false" ht="15" hidden="false" customHeight="false" outlineLevel="0" collapsed="false">
      <c r="A269" s="16" t="str">
        <f aca="false">VLOOKUP(B269,[1]MxP!$C$1:$F$1048576,4,0)</f>
        <v>3951</v>
      </c>
      <c r="B269" s="16" t="s">
        <v>562</v>
      </c>
      <c r="C269" s="0" t="str">
        <f aca="false">VLOOKUP(B269,'Yield (2)'!B:C,2,0)</f>
        <v>MAR WBIRD NANDOS-OR (FRZ THW) </v>
      </c>
      <c r="D269" s="0" t="s">
        <v>55</v>
      </c>
      <c r="E269" s="0" t="n">
        <f aca="false">+VLOOKUP(B269,'Yield (2)'!B:K,9,0)</f>
        <v>0.98</v>
      </c>
      <c r="F269" s="60" t="s">
        <v>953</v>
      </c>
      <c r="G269" s="60" t="n">
        <v>1.65</v>
      </c>
      <c r="H269" s="60" t="n">
        <v>1.8</v>
      </c>
      <c r="I269" s="62" t="n">
        <f aca="false">+VLOOKUP(B269,'Yield (2)'!B:D,3,0)</f>
        <v>35</v>
      </c>
    </row>
  </sheetData>
  <autoFilter ref="A1:I2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N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1" activeCellId="1" sqref="A5:D14 I21"/>
    </sheetView>
  </sheetViews>
  <sheetFormatPr defaultRowHeight="15"/>
  <cols>
    <col collapsed="false" hidden="false" max="1" min="1" style="0" width="11.2348178137652"/>
    <col collapsed="false" hidden="false" max="1025" min="2" style="0" width="8.39271255060729"/>
  </cols>
  <sheetData>
    <row r="1" customFormat="false" ht="15" hidden="false" customHeight="false" outlineLevel="0" collapsed="false">
      <c r="A1" s="27" t="s">
        <v>1016</v>
      </c>
      <c r="B1" s="27" t="s">
        <v>1017</v>
      </c>
      <c r="D1" s="0" t="s">
        <v>1018</v>
      </c>
      <c r="K1" s="0" t="s">
        <v>1019</v>
      </c>
      <c r="L1" s="0" t="s">
        <v>1020</v>
      </c>
      <c r="N1" s="65" t="s">
        <v>9</v>
      </c>
    </row>
    <row r="2" customFormat="false" ht="15" hidden="false" customHeight="false" outlineLevel="0" collapsed="false">
      <c r="A2" s="27" t="s">
        <v>953</v>
      </c>
      <c r="B2" s="66" t="n">
        <v>0.213267510027769</v>
      </c>
      <c r="G2" s="0" t="n">
        <v>12</v>
      </c>
      <c r="H2" s="0" t="n">
        <v>3888</v>
      </c>
      <c r="I2" s="0" t="n">
        <f aca="false">G2*H2</f>
        <v>46656</v>
      </c>
      <c r="J2" s="67" t="n">
        <f aca="false">I2/SUM($I$2:$I$4)</f>
        <v>0.533168775069423</v>
      </c>
      <c r="K2" s="67" t="n">
        <f aca="false">0.4*J2</f>
        <v>0.213267510027769</v>
      </c>
      <c r="L2" s="67" t="n">
        <f aca="false">0.6*J2</f>
        <v>0.319901265041654</v>
      </c>
    </row>
    <row r="3" customFormat="false" ht="15" hidden="false" customHeight="false" outlineLevel="0" collapsed="false">
      <c r="A3" s="27" t="s">
        <v>774</v>
      </c>
      <c r="B3" s="66" t="n">
        <v>0.319901265041654</v>
      </c>
      <c r="G3" s="0" t="n">
        <v>8</v>
      </c>
      <c r="H3" s="0" t="n">
        <v>3888</v>
      </c>
      <c r="I3" s="0" t="n">
        <f aca="false">G3*H3</f>
        <v>31104</v>
      </c>
      <c r="J3" s="67" t="n">
        <f aca="false">I3/SUM($I$2:$I$4)</f>
        <v>0.355445850046282</v>
      </c>
      <c r="K3" s="67" t="n">
        <f aca="false">0.4*J3</f>
        <v>0.142178340018513</v>
      </c>
      <c r="L3" s="67" t="n">
        <f aca="false">0.6*J3</f>
        <v>0.213267510027769</v>
      </c>
    </row>
    <row r="4" customFormat="false" ht="15" hidden="false" customHeight="false" outlineLevel="0" collapsed="false">
      <c r="A4" s="27" t="s">
        <v>971</v>
      </c>
      <c r="B4" s="66" t="n">
        <v>0.142178340018513</v>
      </c>
      <c r="G4" s="0" t="n">
        <v>3</v>
      </c>
      <c r="H4" s="0" t="n">
        <v>3249</v>
      </c>
      <c r="I4" s="0" t="n">
        <f aca="false">G4*H4</f>
        <v>9747</v>
      </c>
      <c r="J4" s="67" t="n">
        <f aca="false">I4/SUM($I$2:$I$4)</f>
        <v>0.111385374884295</v>
      </c>
      <c r="K4" s="67" t="n">
        <f aca="false">0.4*J4</f>
        <v>0.044554149953718</v>
      </c>
      <c r="L4" s="67" t="n">
        <f aca="false">0.6*J4</f>
        <v>0.066831224930577</v>
      </c>
    </row>
    <row r="5" customFormat="false" ht="15" hidden="false" customHeight="false" outlineLevel="0" collapsed="false">
      <c r="A5" s="27" t="s">
        <v>816</v>
      </c>
      <c r="B5" s="67" t="n">
        <v>0.213267510027769</v>
      </c>
    </row>
    <row r="6" customFormat="false" ht="15" hidden="false" customHeight="false" outlineLevel="0" collapsed="false">
      <c r="A6" s="27" t="s">
        <v>1021</v>
      </c>
      <c r="B6" s="67" t="n">
        <v>0.044554149953718</v>
      </c>
    </row>
    <row r="7" customFormat="false" ht="15" hidden="false" customHeight="false" outlineLevel="0" collapsed="false">
      <c r="A7" s="27" t="s">
        <v>768</v>
      </c>
      <c r="B7" s="67" t="n">
        <v>0.066831224930577</v>
      </c>
    </row>
    <row r="8" customFormat="false" ht="15" hidden="false" customHeight="false" outlineLevel="0" collapsed="false">
      <c r="A8" s="27" t="s">
        <v>1015</v>
      </c>
      <c r="B8" s="58" t="n">
        <v>0</v>
      </c>
    </row>
    <row r="9" customFormat="false" ht="15" hidden="false" customHeight="false" outlineLevel="0" collapsed="false">
      <c r="A9" s="27" t="s">
        <v>1022</v>
      </c>
      <c r="B9" s="58" t="n">
        <v>0</v>
      </c>
    </row>
    <row r="10" customFormat="false" ht="15" hidden="false" customHeight="false" outlineLevel="0" collapsed="false">
      <c r="A10" s="27" t="s">
        <v>1014</v>
      </c>
      <c r="B10" s="58" t="n">
        <v>0</v>
      </c>
    </row>
    <row r="11" customFormat="false" ht="15" hidden="false" customHeight="false" outlineLevel="0" collapsed="false">
      <c r="A11" s="27" t="s">
        <v>1023</v>
      </c>
      <c r="B11" s="58" t="n">
        <v>0</v>
      </c>
    </row>
    <row r="12" customFormat="false" ht="15" hidden="false" customHeight="false" outlineLevel="0" collapsed="false">
      <c r="A12" s="27" t="s">
        <v>1013</v>
      </c>
      <c r="B12" s="58" t="n">
        <v>0</v>
      </c>
    </row>
    <row r="13" customFormat="false" ht="15" hidden="false" customHeight="false" outlineLevel="0" collapsed="false">
      <c r="A13" s="27" t="s">
        <v>1024</v>
      </c>
      <c r="B13" s="58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58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1" topLeftCell="E2" activePane="bottomRight" state="frozen"/>
      <selection pane="topLeft" activeCell="A1" activeCellId="0" sqref="A1"/>
      <selection pane="topRight" activeCell="E1" activeCellId="0" sqref="E1"/>
      <selection pane="bottomLeft" activeCell="A2" activeCellId="0" sqref="A2"/>
      <selection pane="bottomRight" activeCell="F2" activeCellId="1" sqref="A5:D14 F2"/>
    </sheetView>
  </sheetViews>
  <sheetFormatPr defaultRowHeight="15"/>
  <cols>
    <col collapsed="false" hidden="false" max="2" min="1" style="68" width="9.06072874493927"/>
    <col collapsed="false" hidden="false" max="3" min="3" style="68" width="11.3603238866397"/>
    <col collapsed="false" hidden="false" max="4" min="4" style="68" width="9.06072874493927"/>
    <col collapsed="false" hidden="false" max="5" min="5" style="68" width="12.8542510121458"/>
    <col collapsed="false" hidden="false" max="1025" min="6" style="68" width="9.06072874493927"/>
  </cols>
  <sheetData>
    <row r="1" customFormat="false" ht="45" hidden="false" customHeight="false" outlineLevel="0" collapsed="false">
      <c r="A1" s="69" t="s">
        <v>1025</v>
      </c>
      <c r="B1" s="69" t="s">
        <v>1026</v>
      </c>
      <c r="C1" s="70" t="s">
        <v>1027</v>
      </c>
      <c r="D1" s="70" t="s">
        <v>1028</v>
      </c>
      <c r="E1" s="70" t="s">
        <v>1029</v>
      </c>
      <c r="F1" s="71"/>
    </row>
    <row r="2" customFormat="false" ht="15" hidden="false" customHeight="false" outlineLevel="0" collapsed="false">
      <c r="A2" s="72" t="n">
        <v>0.4</v>
      </c>
      <c r="B2" s="72" t="n">
        <v>0.45</v>
      </c>
      <c r="C2" s="73" t="n">
        <v>0.533333333333333</v>
      </c>
      <c r="D2" s="73" t="n">
        <v>0.6</v>
      </c>
      <c r="E2" s="74" t="n">
        <v>0</v>
      </c>
      <c r="F2" s="75"/>
    </row>
    <row r="3" customFormat="false" ht="15" hidden="false" customHeight="false" outlineLevel="0" collapsed="false">
      <c r="A3" s="72" t="n">
        <v>0.45</v>
      </c>
      <c r="B3" s="72" t="n">
        <v>0.5</v>
      </c>
      <c r="C3" s="73" t="n">
        <v>0.6</v>
      </c>
      <c r="D3" s="73" t="n">
        <v>0.666666666666667</v>
      </c>
      <c r="E3" s="74" t="n">
        <v>0</v>
      </c>
      <c r="F3" s="75"/>
    </row>
    <row r="4" customFormat="false" ht="15" hidden="false" customHeight="false" outlineLevel="0" collapsed="false">
      <c r="A4" s="72" t="n">
        <v>0.5</v>
      </c>
      <c r="B4" s="72" t="n">
        <v>0.55</v>
      </c>
      <c r="C4" s="73" t="n">
        <v>0.666666666666667</v>
      </c>
      <c r="D4" s="73" t="n">
        <v>0.733333333333334</v>
      </c>
      <c r="E4" s="74" t="n">
        <v>0</v>
      </c>
      <c r="F4" s="75"/>
    </row>
    <row r="5" customFormat="false" ht="15" hidden="false" customHeight="false" outlineLevel="0" collapsed="false">
      <c r="A5" s="72" t="n">
        <v>0.55</v>
      </c>
      <c r="B5" s="72" t="n">
        <v>0.6</v>
      </c>
      <c r="C5" s="73" t="n">
        <v>0.733333333333334</v>
      </c>
      <c r="D5" s="73" t="n">
        <v>0.8</v>
      </c>
      <c r="E5" s="74" t="n">
        <v>0</v>
      </c>
      <c r="F5" s="75"/>
    </row>
    <row r="6" customFormat="false" ht="15" hidden="false" customHeight="false" outlineLevel="0" collapsed="false">
      <c r="A6" s="72" t="n">
        <v>0.6</v>
      </c>
      <c r="B6" s="72" t="n">
        <v>0.65</v>
      </c>
      <c r="C6" s="73" t="n">
        <v>0.8</v>
      </c>
      <c r="D6" s="73" t="n">
        <v>0.866666666666667</v>
      </c>
      <c r="E6" s="74" t="n">
        <v>0</v>
      </c>
      <c r="F6" s="75"/>
    </row>
    <row r="7" customFormat="false" ht="15" hidden="false" customHeight="false" outlineLevel="0" collapsed="false">
      <c r="A7" s="72" t="n">
        <v>0.65</v>
      </c>
      <c r="B7" s="72" t="n">
        <v>0.7</v>
      </c>
      <c r="C7" s="73" t="n">
        <v>0.866666666666667</v>
      </c>
      <c r="D7" s="73" t="n">
        <v>0.933333333333333</v>
      </c>
      <c r="E7" s="74" t="n">
        <v>0</v>
      </c>
      <c r="F7" s="75"/>
    </row>
    <row r="8" customFormat="false" ht="15" hidden="false" customHeight="false" outlineLevel="0" collapsed="false">
      <c r="A8" s="72" t="n">
        <v>0.7</v>
      </c>
      <c r="B8" s="72" t="n">
        <v>0.75</v>
      </c>
      <c r="C8" s="73" t="n">
        <v>0.933333333333333</v>
      </c>
      <c r="D8" s="73" t="n">
        <v>1</v>
      </c>
      <c r="E8" s="74" t="n">
        <v>0</v>
      </c>
      <c r="F8" s="75"/>
    </row>
    <row r="9" customFormat="false" ht="15" hidden="false" customHeight="false" outlineLevel="0" collapsed="false">
      <c r="A9" s="72" t="n">
        <v>0.75</v>
      </c>
      <c r="B9" s="72" t="n">
        <v>0.8</v>
      </c>
      <c r="C9" s="73" t="n">
        <v>1</v>
      </c>
      <c r="D9" s="73" t="n">
        <v>1.06666666666667</v>
      </c>
      <c r="E9" s="74" t="n">
        <v>0</v>
      </c>
      <c r="F9" s="75"/>
    </row>
    <row r="10" customFormat="false" ht="15" hidden="false" customHeight="false" outlineLevel="0" collapsed="false">
      <c r="A10" s="72" t="n">
        <v>0.8</v>
      </c>
      <c r="B10" s="72" t="n">
        <v>0.85</v>
      </c>
      <c r="C10" s="73" t="n">
        <v>1.06666666666667</v>
      </c>
      <c r="D10" s="73" t="n">
        <v>1.13333333333333</v>
      </c>
      <c r="E10" s="74" t="n">
        <v>0.001</v>
      </c>
      <c r="F10" s="75"/>
    </row>
    <row r="11" customFormat="false" ht="15" hidden="false" customHeight="false" outlineLevel="0" collapsed="false">
      <c r="A11" s="72" t="n">
        <v>0.85</v>
      </c>
      <c r="B11" s="72" t="n">
        <v>0.9</v>
      </c>
      <c r="C11" s="73" t="n">
        <v>1.13333333333333</v>
      </c>
      <c r="D11" s="73" t="n">
        <v>1.2</v>
      </c>
      <c r="E11" s="74" t="n">
        <v>0.002</v>
      </c>
      <c r="F11" s="75"/>
    </row>
    <row r="12" customFormat="false" ht="15" hidden="false" customHeight="false" outlineLevel="0" collapsed="false">
      <c r="A12" s="72" t="n">
        <v>0.9</v>
      </c>
      <c r="B12" s="72" t="n">
        <v>0.95</v>
      </c>
      <c r="C12" s="73" t="n">
        <v>1.2</v>
      </c>
      <c r="D12" s="73" t="n">
        <v>1.26666666666667</v>
      </c>
      <c r="E12" s="74" t="n">
        <v>0.004</v>
      </c>
      <c r="F12" s="75"/>
    </row>
    <row r="13" customFormat="false" ht="15" hidden="false" customHeight="false" outlineLevel="0" collapsed="false">
      <c r="A13" s="72" t="n">
        <v>0.95</v>
      </c>
      <c r="B13" s="72" t="n">
        <v>1</v>
      </c>
      <c r="C13" s="73" t="n">
        <v>1.26666666666667</v>
      </c>
      <c r="D13" s="73" t="n">
        <v>1.33333333333333</v>
      </c>
      <c r="E13" s="74" t="n">
        <v>0.008</v>
      </c>
      <c r="F13" s="75"/>
    </row>
    <row r="14" customFormat="false" ht="15" hidden="false" customHeight="false" outlineLevel="0" collapsed="false">
      <c r="A14" s="72" t="n">
        <v>1</v>
      </c>
      <c r="B14" s="72" t="n">
        <v>1.05</v>
      </c>
      <c r="C14" s="73" t="n">
        <v>1.33333333333333</v>
      </c>
      <c r="D14" s="73" t="n">
        <v>1.4</v>
      </c>
      <c r="E14" s="74" t="n">
        <v>0.013</v>
      </c>
      <c r="F14" s="75"/>
    </row>
    <row r="15" customFormat="false" ht="15" hidden="false" customHeight="false" outlineLevel="0" collapsed="false">
      <c r="A15" s="72" t="n">
        <v>1.05</v>
      </c>
      <c r="B15" s="72" t="n">
        <v>1.1</v>
      </c>
      <c r="C15" s="73" t="n">
        <v>1.4</v>
      </c>
      <c r="D15" s="73" t="n">
        <v>1.46666666666667</v>
      </c>
      <c r="E15" s="74" t="n">
        <v>0.022</v>
      </c>
      <c r="F15" s="75"/>
    </row>
    <row r="16" customFormat="false" ht="15" hidden="false" customHeight="false" outlineLevel="0" collapsed="false">
      <c r="A16" s="72" t="n">
        <v>1.1</v>
      </c>
      <c r="B16" s="72" t="n">
        <v>1.15</v>
      </c>
      <c r="C16" s="73" t="n">
        <v>1.46666666666667</v>
      </c>
      <c r="D16" s="73" t="n">
        <v>1.53333333333333</v>
      </c>
      <c r="E16" s="74" t="n">
        <v>0.032</v>
      </c>
      <c r="F16" s="75"/>
    </row>
    <row r="17" customFormat="false" ht="15" hidden="false" customHeight="false" outlineLevel="0" collapsed="false">
      <c r="A17" s="72" t="n">
        <v>1.15</v>
      </c>
      <c r="B17" s="72" t="n">
        <v>1.2</v>
      </c>
      <c r="C17" s="73" t="n">
        <v>1.53333333333333</v>
      </c>
      <c r="D17" s="73" t="n">
        <v>1.6</v>
      </c>
      <c r="E17" s="74" t="n">
        <v>0.042</v>
      </c>
      <c r="F17" s="75"/>
    </row>
    <row r="18" customFormat="false" ht="15" hidden="false" customHeight="false" outlineLevel="0" collapsed="false">
      <c r="A18" s="72" t="n">
        <v>1.2</v>
      </c>
      <c r="B18" s="72" t="n">
        <v>1.25</v>
      </c>
      <c r="C18" s="73" t="n">
        <v>1.6</v>
      </c>
      <c r="D18" s="73" t="n">
        <v>1.66666666666667</v>
      </c>
      <c r="E18" s="74" t="n">
        <v>0.055</v>
      </c>
      <c r="F18" s="75"/>
    </row>
    <row r="19" customFormat="false" ht="15" hidden="false" customHeight="false" outlineLevel="0" collapsed="false">
      <c r="A19" s="72" t="n">
        <v>1.25</v>
      </c>
      <c r="B19" s="72" t="n">
        <v>1.3</v>
      </c>
      <c r="C19" s="73" t="n">
        <v>1.66666666666667</v>
      </c>
      <c r="D19" s="73" t="n">
        <v>1.73333333333333</v>
      </c>
      <c r="E19" s="74" t="n">
        <v>0.066</v>
      </c>
      <c r="F19" s="75"/>
    </row>
    <row r="20" customFormat="false" ht="15" hidden="false" customHeight="false" outlineLevel="0" collapsed="false">
      <c r="A20" s="72" t="n">
        <v>1.3</v>
      </c>
      <c r="B20" s="72" t="n">
        <v>1.35</v>
      </c>
      <c r="C20" s="73" t="n">
        <v>1.73333333333333</v>
      </c>
      <c r="D20" s="73" t="n">
        <v>1.8</v>
      </c>
      <c r="E20" s="74" t="n">
        <v>0.075</v>
      </c>
      <c r="F20" s="75"/>
    </row>
    <row r="21" customFormat="false" ht="15" hidden="false" customHeight="false" outlineLevel="0" collapsed="false">
      <c r="A21" s="72" t="n">
        <v>1.35</v>
      </c>
      <c r="B21" s="72" t="n">
        <v>1.4</v>
      </c>
      <c r="C21" s="73" t="n">
        <v>1.8</v>
      </c>
      <c r="D21" s="73" t="n">
        <v>1.86666666666667</v>
      </c>
      <c r="E21" s="74" t="n">
        <v>0.081</v>
      </c>
      <c r="F21" s="75"/>
    </row>
    <row r="22" customFormat="false" ht="15" hidden="false" customHeight="false" outlineLevel="0" collapsed="false">
      <c r="A22" s="72" t="n">
        <v>1.4</v>
      </c>
      <c r="B22" s="72" t="n">
        <v>1.45</v>
      </c>
      <c r="C22" s="73" t="n">
        <v>1.86666666666667</v>
      </c>
      <c r="D22" s="73" t="n">
        <v>1.93333333333333</v>
      </c>
      <c r="E22" s="74" t="n">
        <v>0.082</v>
      </c>
      <c r="F22" s="75"/>
    </row>
    <row r="23" customFormat="false" ht="15" hidden="false" customHeight="false" outlineLevel="0" collapsed="false">
      <c r="A23" s="72" t="n">
        <v>1.45</v>
      </c>
      <c r="B23" s="72" t="n">
        <v>1.5</v>
      </c>
      <c r="C23" s="73" t="n">
        <v>1.93333333333333</v>
      </c>
      <c r="D23" s="73" t="n">
        <v>2</v>
      </c>
      <c r="E23" s="74" t="n">
        <v>0.078</v>
      </c>
      <c r="F23" s="75"/>
    </row>
    <row r="24" customFormat="false" ht="15" hidden="false" customHeight="false" outlineLevel="0" collapsed="false">
      <c r="A24" s="72" t="n">
        <v>1.5</v>
      </c>
      <c r="B24" s="72" t="n">
        <v>1.55</v>
      </c>
      <c r="C24" s="73" t="n">
        <v>2</v>
      </c>
      <c r="D24" s="73" t="n">
        <v>2.06666666666667</v>
      </c>
      <c r="E24" s="74" t="n">
        <v>0.071</v>
      </c>
      <c r="F24" s="75"/>
    </row>
    <row r="25" customFormat="false" ht="15" hidden="false" customHeight="false" outlineLevel="0" collapsed="false">
      <c r="A25" s="72" t="n">
        <v>1.55</v>
      </c>
      <c r="B25" s="72" t="n">
        <v>1.6</v>
      </c>
      <c r="C25" s="73" t="n">
        <v>2.06666666666667</v>
      </c>
      <c r="D25" s="73" t="n">
        <v>2.13333333333333</v>
      </c>
      <c r="E25" s="74" t="n">
        <v>0.064</v>
      </c>
      <c r="F25" s="75"/>
    </row>
    <row r="26" customFormat="false" ht="15" hidden="false" customHeight="false" outlineLevel="0" collapsed="false">
      <c r="A26" s="72" t="n">
        <v>1.6</v>
      </c>
      <c r="B26" s="72" t="n">
        <v>1.65</v>
      </c>
      <c r="C26" s="73" t="n">
        <v>2.13333333333333</v>
      </c>
      <c r="D26" s="73" t="n">
        <v>2.2</v>
      </c>
      <c r="E26" s="74" t="n">
        <v>0.055</v>
      </c>
      <c r="F26" s="75"/>
    </row>
    <row r="27" customFormat="false" ht="15" hidden="false" customHeight="false" outlineLevel="0" collapsed="false">
      <c r="A27" s="72" t="n">
        <v>1.65</v>
      </c>
      <c r="B27" s="72" t="n">
        <v>1.7</v>
      </c>
      <c r="C27" s="73" t="n">
        <v>2.2</v>
      </c>
      <c r="D27" s="73" t="n">
        <v>2.26666666666667</v>
      </c>
      <c r="E27" s="74" t="n">
        <v>0.046</v>
      </c>
      <c r="F27" s="75"/>
    </row>
    <row r="28" customFormat="false" ht="15" hidden="false" customHeight="false" outlineLevel="0" collapsed="false">
      <c r="A28" s="72" t="n">
        <v>1.7</v>
      </c>
      <c r="B28" s="72" t="n">
        <v>1.75</v>
      </c>
      <c r="C28" s="73" t="n">
        <v>2.26666666666667</v>
      </c>
      <c r="D28" s="73" t="n">
        <v>2.33333333333333</v>
      </c>
      <c r="E28" s="74" t="n">
        <v>0.037</v>
      </c>
      <c r="F28" s="75"/>
    </row>
    <row r="29" customFormat="false" ht="15" hidden="false" customHeight="false" outlineLevel="0" collapsed="false">
      <c r="A29" s="72" t="n">
        <v>1.75</v>
      </c>
      <c r="B29" s="72" t="n">
        <v>1.8</v>
      </c>
      <c r="C29" s="73" t="n">
        <v>2.33333333333333</v>
      </c>
      <c r="D29" s="73" t="n">
        <v>2.4</v>
      </c>
      <c r="E29" s="74" t="n">
        <v>0.031</v>
      </c>
      <c r="F29" s="75"/>
    </row>
    <row r="30" customFormat="false" ht="15" hidden="false" customHeight="false" outlineLevel="0" collapsed="false">
      <c r="A30" s="72" t="n">
        <v>1.8</v>
      </c>
      <c r="B30" s="72" t="n">
        <v>1.85</v>
      </c>
      <c r="C30" s="73" t="n">
        <v>2.4</v>
      </c>
      <c r="D30" s="73" t="n">
        <v>2.46666666666667</v>
      </c>
      <c r="E30" s="74" t="n">
        <v>0.026</v>
      </c>
      <c r="F30" s="75"/>
    </row>
    <row r="31" customFormat="false" ht="15" hidden="false" customHeight="false" outlineLevel="0" collapsed="false">
      <c r="A31" s="72" t="n">
        <v>1.85</v>
      </c>
      <c r="B31" s="72" t="n">
        <v>1.9</v>
      </c>
      <c r="C31" s="73" t="n">
        <v>2.46666666666667</v>
      </c>
      <c r="D31" s="73" t="n">
        <v>2.53333333333333</v>
      </c>
      <c r="E31" s="74" t="n">
        <v>0.021</v>
      </c>
      <c r="F31" s="75"/>
    </row>
    <row r="32" customFormat="false" ht="15" hidden="false" customHeight="false" outlineLevel="0" collapsed="false">
      <c r="A32" s="72" t="n">
        <v>1.9</v>
      </c>
      <c r="B32" s="72" t="n">
        <v>1.95</v>
      </c>
      <c r="C32" s="73" t="n">
        <v>2.53333333333333</v>
      </c>
      <c r="D32" s="73" t="n">
        <v>2.6</v>
      </c>
      <c r="E32" s="74" t="n">
        <v>0.017</v>
      </c>
      <c r="F32" s="75"/>
    </row>
    <row r="33" customFormat="false" ht="15" hidden="false" customHeight="false" outlineLevel="0" collapsed="false">
      <c r="A33" s="72" t="n">
        <v>1.95</v>
      </c>
      <c r="B33" s="72" t="n">
        <v>2</v>
      </c>
      <c r="C33" s="73" t="n">
        <v>2.6</v>
      </c>
      <c r="D33" s="73" t="n">
        <v>2.66666666666667</v>
      </c>
      <c r="E33" s="74" t="n">
        <v>0.014</v>
      </c>
      <c r="F33" s="75"/>
    </row>
    <row r="34" customFormat="false" ht="15" hidden="false" customHeight="false" outlineLevel="0" collapsed="false">
      <c r="A34" s="72" t="n">
        <v>2</v>
      </c>
      <c r="B34" s="72" t="n">
        <v>2.05</v>
      </c>
      <c r="C34" s="73" t="n">
        <v>2.66666666666667</v>
      </c>
      <c r="D34" s="73" t="n">
        <v>2.73333333333333</v>
      </c>
      <c r="E34" s="74" t="n">
        <v>0.012</v>
      </c>
      <c r="F34" s="75"/>
    </row>
    <row r="35" customFormat="false" ht="15" hidden="false" customHeight="false" outlineLevel="0" collapsed="false">
      <c r="A35" s="72" t="n">
        <v>2.05</v>
      </c>
      <c r="B35" s="72" t="n">
        <v>2.1</v>
      </c>
      <c r="C35" s="73" t="n">
        <v>2.73333333333333</v>
      </c>
      <c r="D35" s="73" t="n">
        <v>2.8</v>
      </c>
      <c r="E35" s="74" t="n">
        <v>0.01</v>
      </c>
      <c r="F35" s="75"/>
    </row>
    <row r="36" customFormat="false" ht="15" hidden="false" customHeight="false" outlineLevel="0" collapsed="false">
      <c r="A36" s="72" t="n">
        <v>2.1</v>
      </c>
      <c r="B36" s="72" t="n">
        <v>2.15</v>
      </c>
      <c r="C36" s="73" t="n">
        <v>2.8</v>
      </c>
      <c r="D36" s="73" t="n">
        <v>2.86666666666667</v>
      </c>
      <c r="E36" s="74" t="n">
        <v>0.008</v>
      </c>
      <c r="F36" s="75"/>
    </row>
    <row r="37" customFormat="false" ht="15" hidden="false" customHeight="false" outlineLevel="0" collapsed="false">
      <c r="A37" s="72" t="n">
        <v>2.15</v>
      </c>
      <c r="B37" s="72" t="n">
        <v>2.2</v>
      </c>
      <c r="C37" s="73" t="n">
        <v>2.86666666666667</v>
      </c>
      <c r="D37" s="73" t="n">
        <v>2.93333333333333</v>
      </c>
      <c r="E37" s="74" t="n">
        <v>0.006</v>
      </c>
      <c r="F37" s="75"/>
    </row>
    <row r="38" customFormat="false" ht="15" hidden="false" customHeight="false" outlineLevel="0" collapsed="false">
      <c r="A38" s="72" t="n">
        <v>2.2</v>
      </c>
      <c r="B38" s="72" t="n">
        <v>2.25</v>
      </c>
      <c r="C38" s="73" t="n">
        <v>2.93333333333333</v>
      </c>
      <c r="D38" s="73" t="n">
        <v>3</v>
      </c>
      <c r="E38" s="74" t="n">
        <v>0.005</v>
      </c>
      <c r="F38" s="75"/>
    </row>
    <row r="39" customFormat="false" ht="15" hidden="false" customHeight="false" outlineLevel="0" collapsed="false">
      <c r="A39" s="72" t="n">
        <v>2.25</v>
      </c>
      <c r="B39" s="72" t="n">
        <v>2.3</v>
      </c>
      <c r="C39" s="73" t="n">
        <v>3</v>
      </c>
      <c r="D39" s="73" t="n">
        <v>3.06666666666667</v>
      </c>
      <c r="E39" s="74" t="n">
        <v>0.004</v>
      </c>
      <c r="F39" s="75"/>
    </row>
    <row r="40" customFormat="false" ht="15" hidden="false" customHeight="false" outlineLevel="0" collapsed="false">
      <c r="A40" s="72" t="n">
        <v>2.3</v>
      </c>
      <c r="B40" s="72" t="n">
        <v>2.35</v>
      </c>
      <c r="C40" s="73" t="n">
        <v>3.06666666666667</v>
      </c>
      <c r="D40" s="73" t="n">
        <v>3.13333333333333</v>
      </c>
      <c r="E40" s="74" t="n">
        <v>0.003</v>
      </c>
      <c r="F40" s="75"/>
    </row>
    <row r="41" customFormat="false" ht="15" hidden="false" customHeight="false" outlineLevel="0" collapsed="false">
      <c r="A41" s="72" t="n">
        <v>2.35</v>
      </c>
      <c r="B41" s="72" t="n">
        <v>2.4</v>
      </c>
      <c r="C41" s="73" t="n">
        <v>3.13333333333333</v>
      </c>
      <c r="D41" s="73" t="n">
        <v>3.2</v>
      </c>
      <c r="E41" s="74" t="n">
        <v>0.002</v>
      </c>
      <c r="F41" s="75"/>
    </row>
    <row r="42" customFormat="false" ht="15" hidden="false" customHeight="false" outlineLevel="0" collapsed="false">
      <c r="A42" s="72" t="n">
        <v>2.4</v>
      </c>
      <c r="B42" s="72" t="n">
        <v>2.45</v>
      </c>
      <c r="C42" s="73" t="n">
        <v>3.2</v>
      </c>
      <c r="D42" s="73" t="n">
        <v>3.26666666666667</v>
      </c>
      <c r="E42" s="74" t="n">
        <v>0.002</v>
      </c>
      <c r="F42" s="75"/>
    </row>
    <row r="43" customFormat="false" ht="15" hidden="false" customHeight="false" outlineLevel="0" collapsed="false">
      <c r="A43" s="72" t="n">
        <v>2.45</v>
      </c>
      <c r="B43" s="72" t="n">
        <v>2.5</v>
      </c>
      <c r="C43" s="73" t="n">
        <v>3.26666666666667</v>
      </c>
      <c r="D43" s="73" t="n">
        <v>3.33333333333333</v>
      </c>
      <c r="E43" s="74" t="n">
        <v>0.001</v>
      </c>
      <c r="F43" s="75"/>
    </row>
    <row r="44" customFormat="false" ht="15" hidden="false" customHeight="false" outlineLevel="0" collapsed="false">
      <c r="A44" s="72" t="n">
        <v>2.5</v>
      </c>
      <c r="B44" s="72" t="n">
        <v>2.55</v>
      </c>
      <c r="C44" s="73" t="n">
        <v>3.33333333333333</v>
      </c>
      <c r="D44" s="73" t="n">
        <v>3.4</v>
      </c>
      <c r="E44" s="74" t="n">
        <v>0.001</v>
      </c>
      <c r="F44" s="75"/>
    </row>
    <row r="45" customFormat="false" ht="15" hidden="false" customHeight="false" outlineLevel="0" collapsed="false">
      <c r="A45" s="72" t="n">
        <v>2.55</v>
      </c>
      <c r="B45" s="72" t="n">
        <v>2.6</v>
      </c>
      <c r="C45" s="73" t="n">
        <v>3.4</v>
      </c>
      <c r="D45" s="73" t="n">
        <v>3.46666666666667</v>
      </c>
      <c r="E45" s="74" t="n">
        <v>0.001</v>
      </c>
      <c r="F45" s="75"/>
    </row>
    <row r="46" customFormat="false" ht="15" hidden="false" customHeight="false" outlineLevel="0" collapsed="false">
      <c r="A46" s="72" t="n">
        <v>2.6</v>
      </c>
      <c r="B46" s="72" t="n">
        <v>2.65</v>
      </c>
      <c r="C46" s="73" t="n">
        <v>3.46666666666667</v>
      </c>
      <c r="D46" s="73" t="n">
        <v>3.53333333333333</v>
      </c>
      <c r="E46" s="74" t="n">
        <v>0.001</v>
      </c>
      <c r="F46" s="75"/>
    </row>
    <row r="47" customFormat="false" ht="15" hidden="false" customHeight="false" outlineLevel="0" collapsed="false">
      <c r="A47" s="72" t="n">
        <v>2.65</v>
      </c>
      <c r="B47" s="72" t="n">
        <v>2.7</v>
      </c>
      <c r="C47" s="73" t="n">
        <v>3.53333333333333</v>
      </c>
      <c r="D47" s="73" t="n">
        <v>3.6</v>
      </c>
      <c r="E47" s="74" t="n">
        <v>0.001</v>
      </c>
      <c r="F47" s="75"/>
    </row>
    <row r="48" customFormat="false" ht="15" hidden="false" customHeight="false" outlineLevel="0" collapsed="false">
      <c r="A48" s="72" t="n">
        <v>2.7</v>
      </c>
      <c r="B48" s="72" t="n">
        <v>2.75</v>
      </c>
      <c r="C48" s="73" t="n">
        <v>3.6</v>
      </c>
      <c r="D48" s="73" t="n">
        <v>3.66666666666667</v>
      </c>
      <c r="E48" s="74" t="n">
        <v>0</v>
      </c>
      <c r="F48" s="75"/>
    </row>
    <row r="49" customFormat="false" ht="15" hidden="false" customHeight="false" outlineLevel="0" collapsed="false">
      <c r="A49" s="72" t="n">
        <v>2.75</v>
      </c>
      <c r="B49" s="72" t="n">
        <v>2.8</v>
      </c>
      <c r="C49" s="73" t="n">
        <v>3.66666666666667</v>
      </c>
      <c r="D49" s="73" t="n">
        <v>3.73333333333333</v>
      </c>
      <c r="E49" s="74" t="n">
        <v>0</v>
      </c>
      <c r="F49" s="75"/>
    </row>
    <row r="50" customFormat="false" ht="15" hidden="false" customHeight="false" outlineLevel="0" collapsed="false">
      <c r="A50" s="72" t="n">
        <v>2.8</v>
      </c>
      <c r="B50" s="72" t="n">
        <v>2.85</v>
      </c>
      <c r="C50" s="73" t="n">
        <v>3.73333333333333</v>
      </c>
      <c r="D50" s="73" t="n">
        <v>3.8</v>
      </c>
      <c r="E50" s="74" t="n">
        <v>0</v>
      </c>
      <c r="F50" s="75"/>
    </row>
    <row r="51" customFormat="false" ht="15" hidden="false" customHeight="false" outlineLevel="0" collapsed="false">
      <c r="A51" s="72" t="n">
        <v>2.85</v>
      </c>
      <c r="B51" s="72" t="n">
        <v>2.9</v>
      </c>
      <c r="C51" s="73" t="n">
        <v>3.8</v>
      </c>
      <c r="D51" s="73" t="n">
        <v>3.86666666666667</v>
      </c>
      <c r="E51" s="74" t="n">
        <v>0</v>
      </c>
      <c r="F51" s="75"/>
    </row>
    <row r="52" customFormat="false" ht="15" hidden="false" customHeight="false" outlineLevel="0" collapsed="false">
      <c r="A52" s="72" t="n">
        <v>2.9</v>
      </c>
      <c r="B52" s="72" t="n">
        <v>2.95</v>
      </c>
      <c r="C52" s="73" t="n">
        <v>3.86666666666667</v>
      </c>
      <c r="D52" s="73" t="n">
        <v>3.93333333333333</v>
      </c>
      <c r="E52" s="74" t="n">
        <v>0</v>
      </c>
      <c r="F52" s="75"/>
    </row>
    <row r="53" customFormat="false" ht="15" hidden="false" customHeight="false" outlineLevel="0" collapsed="false">
      <c r="A53" s="72" t="n">
        <v>2.95</v>
      </c>
      <c r="B53" s="72" t="n">
        <v>3</v>
      </c>
      <c r="C53" s="73" t="n">
        <v>3.93333333333333</v>
      </c>
      <c r="D53" s="73" t="n">
        <v>4</v>
      </c>
      <c r="E53" s="74" t="n">
        <v>0</v>
      </c>
      <c r="F53" s="75"/>
    </row>
    <row r="54" customFormat="false" ht="15" hidden="false" customHeight="false" outlineLevel="0" collapsed="false">
      <c r="A54" s="76" t="n">
        <v>3</v>
      </c>
      <c r="B54" s="76" t="n">
        <v>3.05</v>
      </c>
      <c r="C54" s="73" t="n">
        <v>4</v>
      </c>
      <c r="D54" s="73" t="n">
        <v>4.06666666666667</v>
      </c>
      <c r="E54" s="74" t="n">
        <v>0</v>
      </c>
      <c r="F54" s="75"/>
    </row>
    <row r="55" customFormat="false" ht="15" hidden="false" customHeight="false" outlineLevel="0" collapsed="false">
      <c r="A55" s="76" t="n">
        <v>3.05</v>
      </c>
      <c r="B55" s="76" t="n">
        <v>3.1</v>
      </c>
      <c r="C55" s="73" t="n">
        <v>4.06666666666667</v>
      </c>
      <c r="D55" s="73" t="n">
        <v>4.13333333333333</v>
      </c>
      <c r="E55" s="74" t="n">
        <v>0</v>
      </c>
      <c r="F55" s="75"/>
    </row>
    <row r="56" customFormat="false" ht="15" hidden="false" customHeight="false" outlineLevel="0" collapsed="false">
      <c r="A56" s="76" t="n">
        <v>3.1</v>
      </c>
      <c r="B56" s="76" t="n">
        <v>3.15</v>
      </c>
      <c r="C56" s="73" t="n">
        <v>4.13333333333333</v>
      </c>
      <c r="D56" s="73" t="n">
        <v>4.2</v>
      </c>
      <c r="E56" s="74" t="n">
        <v>0</v>
      </c>
      <c r="F56" s="75"/>
    </row>
    <row r="57" customFormat="false" ht="15" hidden="false" customHeight="false" outlineLevel="0" collapsed="false">
      <c r="A57" s="76" t="n">
        <v>3.15</v>
      </c>
      <c r="B57" s="76" t="n">
        <v>3.2</v>
      </c>
      <c r="C57" s="73" t="n">
        <v>4.2</v>
      </c>
      <c r="D57" s="73" t="n">
        <v>4.26666666666667</v>
      </c>
      <c r="E57" s="74" t="n">
        <v>0</v>
      </c>
      <c r="F57" s="75"/>
    </row>
    <row r="58" customFormat="false" ht="15" hidden="false" customHeight="false" outlineLevel="0" collapsed="false">
      <c r="A58" s="76" t="n">
        <v>3.2</v>
      </c>
      <c r="B58" s="76" t="n">
        <v>3.25</v>
      </c>
      <c r="C58" s="73" t="n">
        <v>4.26666666666667</v>
      </c>
      <c r="D58" s="73" t="n">
        <v>4.33333333333333</v>
      </c>
      <c r="E58" s="74" t="n">
        <v>0</v>
      </c>
      <c r="F58" s="7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1122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cp:lastPrinted>2018-02-12T06:25:54Z</cp:lastPrinted>
  <dcterms:modified xsi:type="dcterms:W3CDTF">2018-05-22T12:16:31Z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