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del_V1\"/>
    </mc:Choice>
  </mc:AlternateContent>
  <bookViews>
    <workbookView xWindow="0" yWindow="0" windowWidth="20490" windowHeight="8595" activeTab="2"/>
  </bookViews>
  <sheets>
    <sheet name="Input Demand" sheetId="3" r:id="rId1"/>
    <sheet name="Customer Product Demand" sheetId="4" r:id="rId2"/>
    <sheet name="Output" sheetId="2" r:id="rId3"/>
    <sheet name="Sheet1" sheetId="5" r:id="rId4"/>
    <sheet name="Sheet4" sheetId="8" r:id="rId5"/>
  </sheets>
  <definedNames>
    <definedName name="Bird_count" localSheetId="2">Output!#REF!</definedName>
    <definedName name="birds_requirement" localSheetId="2">Output!$A$8:$I$20</definedName>
    <definedName name="imbalanced_inv" localSheetId="2">Output!$O$41:$W$62</definedName>
    <definedName name="Inventory" localSheetId="2">Output!#REF!</definedName>
  </definedNames>
  <calcPr calcId="171027"/>
  <fileRecoveryPr autoRecover="0"/>
</workbook>
</file>

<file path=xl/calcChain.xml><?xml version="1.0" encoding="utf-8"?>
<calcChain xmlns="http://schemas.openxmlformats.org/spreadsheetml/2006/main">
  <c r="I43" i="5" l="1"/>
  <c r="H43" i="5"/>
  <c r="G43" i="5"/>
  <c r="F43" i="5"/>
  <c r="E43" i="5"/>
  <c r="D43" i="5"/>
  <c r="I42" i="5"/>
  <c r="H42" i="5"/>
  <c r="G42" i="5"/>
  <c r="F42" i="5"/>
  <c r="E42" i="5"/>
  <c r="D42" i="5"/>
  <c r="I41" i="5"/>
  <c r="H41" i="5"/>
  <c r="G41" i="5"/>
  <c r="F41" i="5"/>
  <c r="E41" i="5"/>
  <c r="D41" i="5"/>
  <c r="I40" i="5"/>
  <c r="H40" i="5"/>
  <c r="G40" i="5"/>
  <c r="F40" i="5"/>
  <c r="E40" i="5"/>
  <c r="D40" i="5"/>
  <c r="I39" i="5"/>
  <c r="H39" i="5"/>
  <c r="G39" i="5"/>
  <c r="F39" i="5"/>
  <c r="E39" i="5"/>
  <c r="D39" i="5"/>
  <c r="I38" i="5"/>
  <c r="H38" i="5"/>
  <c r="G38" i="5"/>
  <c r="F38" i="5"/>
  <c r="E38" i="5"/>
  <c r="D38" i="5"/>
  <c r="I37" i="5"/>
  <c r="H37" i="5"/>
  <c r="G37" i="5"/>
  <c r="F37" i="5"/>
  <c r="E37" i="5"/>
  <c r="D37" i="5"/>
  <c r="C43" i="5"/>
  <c r="C42" i="5"/>
  <c r="C39" i="5"/>
  <c r="C38" i="5"/>
  <c r="C41" i="5"/>
  <c r="C40" i="5"/>
  <c r="C37" i="5"/>
  <c r="I36" i="5"/>
  <c r="H36" i="5"/>
  <c r="G36" i="5"/>
  <c r="F36" i="5"/>
  <c r="E36" i="5"/>
  <c r="D36" i="5"/>
  <c r="I35" i="5"/>
  <c r="H35" i="5"/>
  <c r="G35" i="5"/>
  <c r="F35" i="5"/>
  <c r="E35" i="5"/>
  <c r="D35" i="5"/>
  <c r="I34" i="5"/>
  <c r="H34" i="5"/>
  <c r="G34" i="5"/>
  <c r="F34" i="5"/>
  <c r="E34" i="5"/>
  <c r="D34" i="5"/>
  <c r="I33" i="5"/>
  <c r="H33" i="5"/>
  <c r="G33" i="5"/>
  <c r="F33" i="5"/>
  <c r="E33" i="5"/>
  <c r="D33" i="5"/>
  <c r="I32" i="5"/>
  <c r="H32" i="5"/>
  <c r="G32" i="5"/>
  <c r="F32" i="5"/>
  <c r="E32" i="5"/>
  <c r="D32" i="5"/>
  <c r="I31" i="5"/>
  <c r="H31" i="5"/>
  <c r="G31" i="5"/>
  <c r="F31" i="5"/>
  <c r="E31" i="5"/>
  <c r="D31" i="5"/>
  <c r="I30" i="5"/>
  <c r="H30" i="5"/>
  <c r="G30" i="5"/>
  <c r="F30" i="5"/>
  <c r="E30" i="5"/>
  <c r="D30" i="5"/>
  <c r="C36" i="5"/>
  <c r="C35" i="5"/>
  <c r="C34" i="5"/>
  <c r="C33" i="5"/>
  <c r="C32" i="5"/>
  <c r="C30" i="5"/>
  <c r="C31" i="5"/>
  <c r="I22" i="5"/>
  <c r="I29" i="5"/>
  <c r="H29" i="5"/>
  <c r="G29" i="5"/>
  <c r="F29" i="5"/>
  <c r="E29" i="5"/>
  <c r="D29" i="5"/>
  <c r="I28" i="5"/>
  <c r="H28" i="5"/>
  <c r="G28" i="5"/>
  <c r="F28" i="5"/>
  <c r="E28" i="5"/>
  <c r="D28" i="5"/>
  <c r="I27" i="5"/>
  <c r="H27" i="5"/>
  <c r="G27" i="5"/>
  <c r="F27" i="5"/>
  <c r="E27" i="5"/>
  <c r="D27" i="5"/>
  <c r="I26" i="5"/>
  <c r="H26" i="5"/>
  <c r="G26" i="5"/>
  <c r="F26" i="5"/>
  <c r="E26" i="5"/>
  <c r="D26" i="5"/>
  <c r="I25" i="5"/>
  <c r="H25" i="5"/>
  <c r="G25" i="5"/>
  <c r="F25" i="5"/>
  <c r="E25" i="5"/>
  <c r="D25" i="5"/>
  <c r="I24" i="5"/>
  <c r="H24" i="5"/>
  <c r="G24" i="5"/>
  <c r="F24" i="5"/>
  <c r="E24" i="5"/>
  <c r="D24" i="5"/>
  <c r="I23" i="5"/>
  <c r="H23" i="5"/>
  <c r="G23" i="5"/>
  <c r="F23" i="5"/>
  <c r="E23" i="5"/>
  <c r="D23" i="5"/>
  <c r="C29" i="5"/>
  <c r="C28" i="5"/>
  <c r="C27" i="5"/>
  <c r="C26" i="5"/>
  <c r="C25" i="5"/>
  <c r="C24" i="5"/>
  <c r="C23" i="5"/>
  <c r="D16" i="5"/>
  <c r="N2" i="5" s="1"/>
  <c r="H22" i="5"/>
  <c r="R8" i="5" s="1"/>
  <c r="G22" i="5"/>
  <c r="F22" i="5"/>
  <c r="E22" i="5"/>
  <c r="O8" i="5" s="1"/>
  <c r="D22" i="5"/>
  <c r="N8" i="5" s="1"/>
  <c r="I21" i="5"/>
  <c r="H21" i="5"/>
  <c r="G21" i="5"/>
  <c r="Q7" i="5" s="1"/>
  <c r="F21" i="5"/>
  <c r="P7" i="5" s="1"/>
  <c r="E21" i="5"/>
  <c r="D21" i="5"/>
  <c r="I20" i="5"/>
  <c r="S6" i="5" s="1"/>
  <c r="H20" i="5"/>
  <c r="R6" i="5" s="1"/>
  <c r="G20" i="5"/>
  <c r="F20" i="5"/>
  <c r="E20" i="5"/>
  <c r="O6" i="5" s="1"/>
  <c r="D20" i="5"/>
  <c r="N6" i="5" s="1"/>
  <c r="I19" i="5"/>
  <c r="H19" i="5"/>
  <c r="G19" i="5"/>
  <c r="Q5" i="5" s="1"/>
  <c r="F19" i="5"/>
  <c r="P5" i="5" s="1"/>
  <c r="E19" i="5"/>
  <c r="D19" i="5"/>
  <c r="I18" i="5"/>
  <c r="S4" i="5" s="1"/>
  <c r="H18" i="5"/>
  <c r="G18" i="5"/>
  <c r="F18" i="5"/>
  <c r="E18" i="5"/>
  <c r="O4" i="5" s="1"/>
  <c r="D18" i="5"/>
  <c r="I17" i="5"/>
  <c r="H17" i="5"/>
  <c r="G17" i="5"/>
  <c r="Q3" i="5" s="1"/>
  <c r="F17" i="5"/>
  <c r="E17" i="5"/>
  <c r="D17" i="5"/>
  <c r="I16" i="5"/>
  <c r="S2" i="5" s="1"/>
  <c r="H16" i="5"/>
  <c r="G16" i="5"/>
  <c r="F16" i="5"/>
  <c r="E16" i="5"/>
  <c r="O2" i="5" s="1"/>
  <c r="C21" i="5"/>
  <c r="C20" i="5"/>
  <c r="C19" i="5"/>
  <c r="C18" i="5"/>
  <c r="C17" i="5"/>
  <c r="C22" i="5"/>
  <c r="C16" i="5"/>
  <c r="M2" i="5" s="1"/>
  <c r="M8" i="5" l="1"/>
  <c r="Q2" i="5"/>
  <c r="S3" i="5"/>
  <c r="O5" i="5"/>
  <c r="Q6" i="5"/>
  <c r="S7" i="5"/>
  <c r="Q8" i="5"/>
  <c r="M3" i="5"/>
  <c r="M7" i="5"/>
  <c r="P2" i="5"/>
  <c r="N3" i="5"/>
  <c r="R3" i="5"/>
  <c r="P4" i="5"/>
  <c r="N5" i="5"/>
  <c r="R5" i="5"/>
  <c r="P6" i="5"/>
  <c r="N7" i="5"/>
  <c r="R7" i="5"/>
  <c r="P8" i="5"/>
  <c r="S8" i="5"/>
  <c r="M5" i="5"/>
  <c r="M6" i="5"/>
  <c r="O3" i="5"/>
  <c r="Q4" i="5"/>
  <c r="S5" i="5"/>
  <c r="O7" i="5"/>
  <c r="R2" i="5"/>
  <c r="P3" i="5"/>
  <c r="N4" i="5"/>
  <c r="R4" i="5"/>
  <c r="M4" i="5"/>
  <c r="V15" i="2"/>
  <c r="U15" i="2"/>
  <c r="T15" i="2"/>
  <c r="S15" i="2"/>
  <c r="R15" i="2"/>
  <c r="Q15" i="2"/>
  <c r="P15" i="2"/>
  <c r="V14" i="2"/>
  <c r="U14" i="2"/>
  <c r="T14" i="2"/>
  <c r="S14" i="2"/>
  <c r="R14" i="2"/>
  <c r="Q14" i="2"/>
  <c r="P14" i="2"/>
  <c r="V13" i="2"/>
  <c r="U13" i="2"/>
  <c r="T13" i="2"/>
  <c r="S13" i="2"/>
  <c r="R13" i="2"/>
  <c r="Q13" i="2"/>
  <c r="P13" i="2"/>
  <c r="V12" i="2"/>
  <c r="U12" i="2"/>
  <c r="T12" i="2"/>
  <c r="S12" i="2"/>
  <c r="R12" i="2"/>
  <c r="Q12" i="2"/>
  <c r="P12" i="2"/>
  <c r="V11" i="2"/>
  <c r="U11" i="2"/>
  <c r="T11" i="2"/>
  <c r="S11" i="2"/>
  <c r="R11" i="2"/>
  <c r="Q11" i="2"/>
  <c r="P11" i="2"/>
  <c r="V10" i="2"/>
  <c r="U10" i="2"/>
  <c r="T10" i="2"/>
  <c r="S10" i="2"/>
  <c r="R10" i="2"/>
  <c r="Q10" i="2"/>
  <c r="P10" i="2"/>
  <c r="V9" i="2"/>
  <c r="U9" i="2"/>
  <c r="T9" i="2"/>
  <c r="S9" i="2"/>
  <c r="R9" i="2"/>
  <c r="Q9" i="2"/>
  <c r="P9" i="2"/>
  <c r="V63" i="2"/>
  <c r="U63" i="2"/>
  <c r="T63" i="2"/>
  <c r="S63" i="2"/>
  <c r="R63" i="2"/>
  <c r="Q63" i="2"/>
  <c r="P63" i="2"/>
  <c r="H35" i="2"/>
  <c r="G35" i="2"/>
  <c r="F35" i="2"/>
  <c r="E35" i="2"/>
  <c r="D35" i="2"/>
  <c r="C35" i="2"/>
  <c r="B35" i="2"/>
  <c r="H34" i="2"/>
  <c r="G34" i="2"/>
  <c r="F34" i="2"/>
  <c r="E34" i="2"/>
  <c r="D34" i="2"/>
  <c r="C34" i="2"/>
  <c r="B34" i="2"/>
  <c r="H33" i="2"/>
  <c r="G33" i="2"/>
  <c r="F33" i="2"/>
  <c r="E33" i="2"/>
  <c r="D33" i="2"/>
  <c r="C33" i="2"/>
  <c r="B33" i="2"/>
  <c r="A30" i="2"/>
  <c r="A29" i="2"/>
  <c r="A28" i="2"/>
  <c r="A27" i="2"/>
  <c r="A26" i="2"/>
  <c r="A25" i="2"/>
  <c r="A24" i="2"/>
  <c r="H21" i="2"/>
  <c r="B30" i="2" s="1"/>
  <c r="G21" i="2"/>
  <c r="B29" i="2" s="1"/>
  <c r="F21" i="2"/>
  <c r="B28" i="2" s="1"/>
  <c r="E21" i="2"/>
  <c r="B27" i="2" s="1"/>
  <c r="D21" i="2"/>
  <c r="B26" i="2" s="1"/>
  <c r="C21" i="2"/>
  <c r="B25" i="2" s="1"/>
  <c r="B21" i="2"/>
  <c r="B24" i="2" s="1"/>
  <c r="I14" i="3"/>
  <c r="H14" i="3"/>
  <c r="G14" i="3"/>
  <c r="F14" i="3"/>
  <c r="E14" i="3"/>
  <c r="D14" i="3"/>
  <c r="C14" i="3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I22" i="3"/>
  <c r="H22" i="3"/>
  <c r="G22" i="3"/>
  <c r="F22" i="3"/>
  <c r="E22" i="3"/>
  <c r="D22" i="3"/>
  <c r="C22" i="3"/>
  <c r="I21" i="3"/>
  <c r="H21" i="3"/>
  <c r="G21" i="3"/>
  <c r="F21" i="3"/>
  <c r="E21" i="3"/>
  <c r="D21" i="3"/>
  <c r="C21" i="3"/>
  <c r="I20" i="3"/>
  <c r="H20" i="3"/>
  <c r="G20" i="3"/>
  <c r="F20" i="3"/>
  <c r="E20" i="3"/>
  <c r="D20" i="3"/>
  <c r="C20" i="3"/>
  <c r="I19" i="3"/>
  <c r="H19" i="3"/>
  <c r="G19" i="3"/>
  <c r="F19" i="3"/>
  <c r="E19" i="3"/>
  <c r="D19" i="3"/>
  <c r="C19" i="3"/>
  <c r="I18" i="3"/>
  <c r="H18" i="3"/>
  <c r="G18" i="3"/>
  <c r="F18" i="3"/>
  <c r="E18" i="3"/>
  <c r="D18" i="3"/>
  <c r="C18" i="3"/>
  <c r="I17" i="3"/>
  <c r="H17" i="3"/>
  <c r="G17" i="3"/>
  <c r="F17" i="3"/>
  <c r="E17" i="3"/>
  <c r="D17" i="3"/>
  <c r="C17" i="3"/>
  <c r="I16" i="3"/>
  <c r="H16" i="3"/>
  <c r="G16" i="3"/>
  <c r="F16" i="3"/>
  <c r="E16" i="3"/>
  <c r="D16" i="3"/>
  <c r="C16" i="3"/>
  <c r="I15" i="3"/>
  <c r="H15" i="3"/>
  <c r="G15" i="3"/>
  <c r="F15" i="3"/>
  <c r="E15" i="3"/>
  <c r="D15" i="3"/>
  <c r="C15" i="3"/>
  <c r="I13" i="3"/>
  <c r="H13" i="3"/>
  <c r="G13" i="3"/>
  <c r="F13" i="3"/>
  <c r="E13" i="3"/>
  <c r="D13" i="3"/>
  <c r="C13" i="3"/>
  <c r="I12" i="3"/>
  <c r="H12" i="3"/>
  <c r="G12" i="3"/>
  <c r="F12" i="3"/>
  <c r="E12" i="3"/>
  <c r="D12" i="3"/>
  <c r="C12" i="3"/>
  <c r="I11" i="3"/>
  <c r="H11" i="3"/>
  <c r="G11" i="3"/>
  <c r="F11" i="3"/>
  <c r="E11" i="3"/>
  <c r="D11" i="3"/>
  <c r="C11" i="3"/>
  <c r="I10" i="3"/>
  <c r="H10" i="3"/>
  <c r="G10" i="3"/>
  <c r="F10" i="3"/>
  <c r="E10" i="3"/>
  <c r="D10" i="3"/>
  <c r="C10" i="3"/>
  <c r="I9" i="3"/>
  <c r="H9" i="3"/>
  <c r="G9" i="3"/>
  <c r="F9" i="3"/>
  <c r="E9" i="3"/>
  <c r="D9" i="3"/>
  <c r="C9" i="3"/>
  <c r="I6" i="3"/>
  <c r="H6" i="3"/>
  <c r="G6" i="3"/>
  <c r="F6" i="3"/>
  <c r="E6" i="3"/>
  <c r="D6" i="3"/>
  <c r="C6" i="3"/>
  <c r="I5" i="3"/>
  <c r="H5" i="3"/>
  <c r="G5" i="3"/>
  <c r="F5" i="3"/>
  <c r="E5" i="3"/>
  <c r="D5" i="3"/>
  <c r="C5" i="3"/>
  <c r="W11" i="2" l="1"/>
  <c r="W15" i="2"/>
  <c r="W10" i="2"/>
  <c r="W14" i="2"/>
  <c r="W9" i="2"/>
  <c r="W12" i="2"/>
  <c r="W13" i="2"/>
  <c r="E7" i="3"/>
  <c r="I7" i="3"/>
  <c r="F8" i="3"/>
  <c r="H2" i="3"/>
  <c r="F4" i="3"/>
  <c r="D2" i="3"/>
  <c r="I3" i="3"/>
  <c r="E3" i="3"/>
  <c r="C7" i="3"/>
  <c r="G7" i="3"/>
  <c r="D8" i="3"/>
  <c r="H8" i="3"/>
  <c r="C2" i="3"/>
  <c r="G2" i="3"/>
  <c r="D3" i="3"/>
  <c r="H3" i="3"/>
  <c r="E4" i="3"/>
  <c r="I4" i="3"/>
  <c r="F7" i="3"/>
  <c r="C8" i="3"/>
  <c r="G8" i="3"/>
  <c r="F2" i="3"/>
  <c r="C3" i="3"/>
  <c r="G3" i="3"/>
  <c r="D4" i="3"/>
  <c r="H4" i="3"/>
  <c r="E2" i="3"/>
  <c r="F3" i="3"/>
  <c r="G4" i="3"/>
  <c r="I2" i="3"/>
  <c r="C4" i="3"/>
  <c r="D7" i="3"/>
  <c r="H7" i="3"/>
  <c r="E8" i="3"/>
  <c r="I8" i="3"/>
</calcChain>
</file>

<file path=xl/connections.xml><?xml version="1.0" encoding="utf-8"?>
<connections xmlns="http://schemas.openxmlformats.org/spreadsheetml/2006/main">
  <connection id="1" name="birds_requirement" type="6" refreshedVersion="6" background="1" saveData="1">
    <textPr codePage="437" sourceFile="D:\Model_V1\birds_requirement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name="imbalanced_inv" type="6" refreshedVersion="6" background="1" saveData="1">
    <textPr codePage="437" sourceFile="D:\Model_V1\imbalanced_inv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keepAlive="1" name="Query - birds_requirement" description="Connection to the 'birds_requirement' query in the workbook." type="5" refreshedVersion="0" background="1">
    <dbPr connection="Provider=Microsoft.Mashup.OleDb.1;Data Source=$Workbook$;Location=birds_requirement;Extended Properties=&quot;&quot;" command="SELECT * FROM [birds_requirement]"/>
  </connection>
</connections>
</file>

<file path=xl/sharedStrings.xml><?xml version="1.0" encoding="utf-8"?>
<sst xmlns="http://schemas.openxmlformats.org/spreadsheetml/2006/main" count="379" uniqueCount="46">
  <si>
    <t>Total Number of Birds</t>
  </si>
  <si>
    <t>6P</t>
  </si>
  <si>
    <t>8P</t>
  </si>
  <si>
    <t>7P</t>
  </si>
  <si>
    <t>9P</t>
  </si>
  <si>
    <t>Imbalanced Inventory</t>
  </si>
  <si>
    <t>Day_1</t>
  </si>
  <si>
    <t>Day_2</t>
  </si>
  <si>
    <t>Day_3</t>
  </si>
  <si>
    <t>Day_4</t>
  </si>
  <si>
    <t>Day_5</t>
  </si>
  <si>
    <t>Day_6</t>
  </si>
  <si>
    <t>Ribs</t>
  </si>
  <si>
    <t>Keels</t>
  </si>
  <si>
    <t>Legs</t>
  </si>
  <si>
    <t>Thighs</t>
  </si>
  <si>
    <t>Drumbstick</t>
  </si>
  <si>
    <t>Wings</t>
  </si>
  <si>
    <t>Breasts</t>
  </si>
  <si>
    <t>Customer</t>
  </si>
  <si>
    <t>Product</t>
  </si>
  <si>
    <t>thigh</t>
  </si>
  <si>
    <t>days</t>
  </si>
  <si>
    <t>ribs</t>
  </si>
  <si>
    <t>keels</t>
  </si>
  <si>
    <t>legs</t>
  </si>
  <si>
    <t>wings</t>
  </si>
  <si>
    <t>breasts</t>
  </si>
  <si>
    <t>drumsticks</t>
  </si>
  <si>
    <t>cust1</t>
  </si>
  <si>
    <t>cust2</t>
  </si>
  <si>
    <t>cust3</t>
  </si>
  <si>
    <t>Margin</t>
  </si>
  <si>
    <t>bird_size</t>
  </si>
  <si>
    <t>M</t>
  </si>
  <si>
    <t>ML</t>
  </si>
  <si>
    <t>parts</t>
  </si>
  <si>
    <t>Day_7</t>
  </si>
  <si>
    <t>L</t>
  </si>
  <si>
    <t>Size</t>
  </si>
  <si>
    <t>cust4</t>
  </si>
  <si>
    <t>Total</t>
  </si>
  <si>
    <t>Days</t>
  </si>
  <si>
    <t>Total Birds</t>
  </si>
  <si>
    <t>Birds Size</t>
  </si>
  <si>
    <t>Parts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</si>
</sst>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3" fillId="3" borderId="1" xfId="0" applyFont="1" applyFill="1" applyBorder="1"/>
    <xf numFmtId="0" fontId="1" fillId="4" borderId="1" xfId="0" applyFont="1" applyFill="1" applyBorder="1" applyAlignment="1">
      <alignment horizontal="center" vertical="center"/>
    </xf>
    <xf numFmtId="0" fontId="0" fillId="0" borderId="2" xfId="0" applyFill="1" applyBorder="1"/>
    <xf numFmtId="0" fontId="0" fillId="0" borderId="0" xfId="0" applyBorder="1"/>
    <xf numFmtId="0" fontId="4" fillId="0" borderId="0" xfId="0" applyFont="1" applyBorder="1"/>
    <xf numFmtId="0" fontId="4" fillId="0" borderId="0" xfId="0" applyFont="1" applyFill="1" applyBorder="1"/>
    <xf numFmtId="0" fontId="4" fillId="0" borderId="0" xfId="0" applyFont="1"/>
    <xf numFmtId="0" fontId="0" fillId="0" borderId="1" xfId="0" applyFill="1" applyBorder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0" borderId="0" xfId="0" applyFont="1"/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Number of birds required</a:t>
            </a:r>
          </a:p>
        </c:rich>
      </c:tx>
      <c:layout>
        <c:manualLayout>
          <c:xMode val="edge"/>
          <c:yMode val="edge"/>
          <c:x val="0.29525482822109922"/>
          <c:y val="4.32432350631131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Output!$B$23</c:f>
              <c:strCache>
                <c:ptCount val="1"/>
                <c:pt idx="0">
                  <c:v>Total Birds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Output!$A$24:$A$30</c:f>
              <c:strCache>
                <c:ptCount val="7"/>
                <c:pt idx="0">
                  <c:v>Day_1</c:v>
                </c:pt>
                <c:pt idx="1">
                  <c:v>Day_2</c:v>
                </c:pt>
                <c:pt idx="2">
                  <c:v>Day_3</c:v>
                </c:pt>
                <c:pt idx="3">
                  <c:v>Day_4</c:v>
                </c:pt>
                <c:pt idx="4">
                  <c:v>Day_5</c:v>
                </c:pt>
                <c:pt idx="5">
                  <c:v>Day_6</c:v>
                </c:pt>
                <c:pt idx="6">
                  <c:v>Day_7</c:v>
                </c:pt>
              </c:strCache>
            </c:strRef>
          </c:cat>
          <c:val>
            <c:numRef>
              <c:f>Output!$B$24:$B$30</c:f>
              <c:numCache>
                <c:formatCode>General</c:formatCode>
                <c:ptCount val="7"/>
                <c:pt idx="0">
                  <c:v>9900</c:v>
                </c:pt>
                <c:pt idx="1">
                  <c:v>13300</c:v>
                </c:pt>
                <c:pt idx="2">
                  <c:v>11300</c:v>
                </c:pt>
                <c:pt idx="3">
                  <c:v>7700</c:v>
                </c:pt>
                <c:pt idx="4">
                  <c:v>8100</c:v>
                </c:pt>
                <c:pt idx="5">
                  <c:v>11750</c:v>
                </c:pt>
                <c:pt idx="6">
                  <c:v>11500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F-47B1-BFB4-CEFD71045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8633328"/>
        <c:axId val="2033830336"/>
      </c:barChart>
      <c:catAx>
        <c:axId val="187863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830336"/>
        <c:crosses val="autoZero"/>
        <c:auto val="1"/>
        <c:lblAlgn val="ctr"/>
        <c:lblOffset val="100"/>
        <c:noMultiLvlLbl val="0"/>
      </c:catAx>
      <c:valAx>
        <c:axId val="203383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863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Number of birds by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Output!$A$33</c:f>
              <c:strCache>
                <c:ptCount val="1"/>
                <c:pt idx="0">
                  <c:v>M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5000"/>
                    <a:shade val="51000"/>
                    <a:satMod val="130000"/>
                  </a:schemeClr>
                </a:gs>
                <a:gs pos="80000">
                  <a:schemeClr val="accent5">
                    <a:shade val="65000"/>
                    <a:shade val="93000"/>
                    <a:satMod val="130000"/>
                  </a:schemeClr>
                </a:gs>
                <a:gs pos="100000">
                  <a:schemeClr val="accent5">
                    <a:shade val="65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Output!$B$32:$H$32</c:f>
              <c:strCache>
                <c:ptCount val="7"/>
                <c:pt idx="0">
                  <c:v>Day_1</c:v>
                </c:pt>
                <c:pt idx="1">
                  <c:v>Day_2</c:v>
                </c:pt>
                <c:pt idx="2">
                  <c:v>Day_3</c:v>
                </c:pt>
                <c:pt idx="3">
                  <c:v>Day_4</c:v>
                </c:pt>
                <c:pt idx="4">
                  <c:v>Day_5</c:v>
                </c:pt>
                <c:pt idx="5">
                  <c:v>Day_6</c:v>
                </c:pt>
                <c:pt idx="6">
                  <c:v>Day_7</c:v>
                </c:pt>
              </c:strCache>
            </c:strRef>
          </c:cat>
          <c:val>
            <c:numRef>
              <c:f>Output!$B$33:$H$33</c:f>
              <c:numCache>
                <c:formatCode>General</c:formatCode>
                <c:ptCount val="7"/>
                <c:pt idx="0">
                  <c:v>4100</c:v>
                </c:pt>
                <c:pt idx="1">
                  <c:v>7400</c:v>
                </c:pt>
                <c:pt idx="2">
                  <c:v>6500</c:v>
                </c:pt>
                <c:pt idx="3">
                  <c:v>2950</c:v>
                </c:pt>
                <c:pt idx="4">
                  <c:v>2600</c:v>
                </c:pt>
                <c:pt idx="5">
                  <c:v>7800</c:v>
                </c:pt>
                <c:pt idx="6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2-42D8-AFF3-7A11F3D635E3}"/>
            </c:ext>
          </c:extLst>
        </c:ser>
        <c:ser>
          <c:idx val="1"/>
          <c:order val="1"/>
          <c:tx>
            <c:strRef>
              <c:f>Output!$A$34</c:f>
              <c:strCache>
                <c:ptCount val="1"/>
                <c:pt idx="0">
                  <c:v>ML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Output!$B$32:$H$32</c:f>
              <c:strCache>
                <c:ptCount val="7"/>
                <c:pt idx="0">
                  <c:v>Day_1</c:v>
                </c:pt>
                <c:pt idx="1">
                  <c:v>Day_2</c:v>
                </c:pt>
                <c:pt idx="2">
                  <c:v>Day_3</c:v>
                </c:pt>
                <c:pt idx="3">
                  <c:v>Day_4</c:v>
                </c:pt>
                <c:pt idx="4">
                  <c:v>Day_5</c:v>
                </c:pt>
                <c:pt idx="5">
                  <c:v>Day_6</c:v>
                </c:pt>
                <c:pt idx="6">
                  <c:v>Day_7</c:v>
                </c:pt>
              </c:strCache>
            </c:strRef>
          </c:cat>
          <c:val>
            <c:numRef>
              <c:f>Output!$B$34:$H$34</c:f>
              <c:numCache>
                <c:formatCode>General</c:formatCode>
                <c:ptCount val="7"/>
                <c:pt idx="0">
                  <c:v>3600</c:v>
                </c:pt>
                <c:pt idx="1">
                  <c:v>2800</c:v>
                </c:pt>
                <c:pt idx="2">
                  <c:v>2400</c:v>
                </c:pt>
                <c:pt idx="3">
                  <c:v>2850</c:v>
                </c:pt>
                <c:pt idx="4">
                  <c:v>1850</c:v>
                </c:pt>
                <c:pt idx="5">
                  <c:v>0</c:v>
                </c:pt>
                <c:pt idx="6">
                  <c:v>2950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2-42D8-AFF3-7A11F3D635E3}"/>
            </c:ext>
          </c:extLst>
        </c:ser>
        <c:ser>
          <c:idx val="2"/>
          <c:order val="2"/>
          <c:tx>
            <c:strRef>
              <c:f>Output!$A$35</c:f>
              <c:strCache>
                <c:ptCount val="1"/>
                <c:pt idx="0">
                  <c:v>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5000"/>
                    <a:shade val="51000"/>
                    <a:satMod val="130000"/>
                  </a:schemeClr>
                </a:gs>
                <a:gs pos="80000">
                  <a:schemeClr val="accent5">
                    <a:tint val="65000"/>
                    <a:shade val="93000"/>
                    <a:satMod val="130000"/>
                  </a:schemeClr>
                </a:gs>
                <a:gs pos="100000">
                  <a:schemeClr val="accent5">
                    <a:tint val="65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Output!$B$32:$H$32</c:f>
              <c:strCache>
                <c:ptCount val="7"/>
                <c:pt idx="0">
                  <c:v>Day_1</c:v>
                </c:pt>
                <c:pt idx="1">
                  <c:v>Day_2</c:v>
                </c:pt>
                <c:pt idx="2">
                  <c:v>Day_3</c:v>
                </c:pt>
                <c:pt idx="3">
                  <c:v>Day_4</c:v>
                </c:pt>
                <c:pt idx="4">
                  <c:v>Day_5</c:v>
                </c:pt>
                <c:pt idx="5">
                  <c:v>Day_6</c:v>
                </c:pt>
                <c:pt idx="6">
                  <c:v>Day_7</c:v>
                </c:pt>
              </c:strCache>
            </c:strRef>
          </c:cat>
          <c:val>
            <c:numRef>
              <c:f>Output!$B$35:$H$35</c:f>
              <c:numCache>
                <c:formatCode>General</c:formatCode>
                <c:ptCount val="7"/>
                <c:pt idx="0">
                  <c:v>2200</c:v>
                </c:pt>
                <c:pt idx="1">
                  <c:v>3100</c:v>
                </c:pt>
                <c:pt idx="2">
                  <c:v>2400</c:v>
                </c:pt>
                <c:pt idx="3">
                  <c:v>1900</c:v>
                </c:pt>
                <c:pt idx="4">
                  <c:v>3650</c:v>
                </c:pt>
                <c:pt idx="5">
                  <c:v>3950</c:v>
                </c:pt>
                <c:pt idx="6">
                  <c:v>2750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02-42D8-AFF3-7A11F3D63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27245968"/>
        <c:axId val="1933116576"/>
      </c:barChart>
      <c:catAx>
        <c:axId val="192724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3116576"/>
        <c:crosses val="autoZero"/>
        <c:auto val="1"/>
        <c:lblAlgn val="ctr"/>
        <c:lblOffset val="100"/>
        <c:noMultiLvlLbl val="0"/>
      </c:catAx>
      <c:valAx>
        <c:axId val="193311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24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123825</xdr:rowOff>
        </xdr:from>
        <xdr:to>
          <xdr:col>15</xdr:col>
          <xdr:colOff>76200</xdr:colOff>
          <xdr:row>2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222250</xdr:colOff>
      <xdr:row>7</xdr:row>
      <xdr:rowOff>7937</xdr:rowOff>
    </xdr:from>
    <xdr:to>
      <xdr:col>11</xdr:col>
      <xdr:colOff>285750</xdr:colOff>
      <xdr:row>21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63501</xdr:colOff>
      <xdr:row>16</xdr:row>
      <xdr:rowOff>72495</xdr:rowOff>
    </xdr:from>
    <xdr:to>
      <xdr:col>25</xdr:col>
      <xdr:colOff>359833</xdr:colOff>
      <xdr:row>30</xdr:row>
      <xdr:rowOff>143933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imbalanced_inv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birds_requirement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2"/>
  <sheetViews>
    <sheetView workbookViewId="0">
      <selection activeCell="C2" sqref="C2"/>
    </sheetView>
  </sheetViews>
  <sheetFormatPr defaultRowHeight="15" x14ac:dyDescent="0.25"/>
  <sheetData>
    <row r="1" spans="1:9" x14ac:dyDescent="0.25">
      <c r="A1" s="3" t="s">
        <v>33</v>
      </c>
      <c r="B1" s="3" t="s">
        <v>22</v>
      </c>
      <c r="C1" s="3">
        <v>1</v>
      </c>
      <c r="D1" s="3">
        <v>2</v>
      </c>
      <c r="E1" s="3">
        <v>3</v>
      </c>
      <c r="F1" s="3">
        <v>4</v>
      </c>
      <c r="G1" s="3">
        <v>5</v>
      </c>
      <c r="H1" s="3">
        <v>6</v>
      </c>
      <c r="I1" s="3">
        <v>7</v>
      </c>
    </row>
    <row r="2" spans="1:9" x14ac:dyDescent="0.25">
      <c r="A2" t="s">
        <v>34</v>
      </c>
      <c r="B2" t="s">
        <v>23</v>
      </c>
      <c r="C2">
        <f>SUMIFS('Customer Product Demand'!E:E,'Customer Product Demand'!$C:$C,'Input Demand'!$A2,'Customer Product Demand'!$B:$B,'Input Demand'!$B2)</f>
        <v>3400</v>
      </c>
      <c r="D2">
        <f>SUMIFS('Customer Product Demand'!F:F,'Customer Product Demand'!$C:$C,'Input Demand'!$A2,'Customer Product Demand'!$B:$B,'Input Demand'!$B2)</f>
        <v>2900</v>
      </c>
      <c r="E2">
        <f>SUMIFS('Customer Product Demand'!G:G,'Customer Product Demand'!$C:$C,'Input Demand'!$A2,'Customer Product Demand'!$B:$B,'Input Demand'!$B2)</f>
        <v>3200</v>
      </c>
      <c r="F2">
        <f>SUMIFS('Customer Product Demand'!H:H,'Customer Product Demand'!$C:$C,'Input Demand'!$A2,'Customer Product Demand'!$B:$B,'Input Demand'!$B2)</f>
        <v>3700</v>
      </c>
      <c r="G2">
        <f>SUMIFS('Customer Product Demand'!I:I,'Customer Product Demand'!$C:$C,'Input Demand'!$A2,'Customer Product Demand'!$B:$B,'Input Demand'!$B2)</f>
        <v>4000</v>
      </c>
      <c r="H2">
        <f>SUMIFS('Customer Product Demand'!J:J,'Customer Product Demand'!$C:$C,'Input Demand'!$A2,'Customer Product Demand'!$B:$B,'Input Demand'!$B2)</f>
        <v>2900</v>
      </c>
      <c r="I2">
        <f>SUMIFS('Customer Product Demand'!K:K,'Customer Product Demand'!$C:$C,'Input Demand'!$A2,'Customer Product Demand'!$B:$B,'Input Demand'!$B2)</f>
        <v>2400</v>
      </c>
    </row>
    <row r="3" spans="1:9" x14ac:dyDescent="0.25">
      <c r="A3" t="s">
        <v>34</v>
      </c>
      <c r="B3" t="s">
        <v>24</v>
      </c>
      <c r="C3">
        <f>SUMIFS('Customer Product Demand'!E:E,'Customer Product Demand'!$C:$C,'Input Demand'!$A3,'Customer Product Demand'!$B:$B,'Input Demand'!$B3)</f>
        <v>2400</v>
      </c>
      <c r="D3">
        <f>SUMIFS('Customer Product Demand'!F:F,'Customer Product Demand'!$C:$C,'Input Demand'!$A3,'Customer Product Demand'!$B:$B,'Input Demand'!$B3)</f>
        <v>5100</v>
      </c>
      <c r="E3">
        <f>SUMIFS('Customer Product Demand'!G:G,'Customer Product Demand'!$C:$C,'Input Demand'!$A3,'Customer Product Demand'!$B:$B,'Input Demand'!$B3)</f>
        <v>4600</v>
      </c>
      <c r="F3">
        <f>SUMIFS('Customer Product Demand'!H:H,'Customer Product Demand'!$C:$C,'Input Demand'!$A3,'Customer Product Demand'!$B:$B,'Input Demand'!$B3)</f>
        <v>4400</v>
      </c>
      <c r="G3">
        <f>SUMIFS('Customer Product Demand'!I:I,'Customer Product Demand'!$C:$C,'Input Demand'!$A3,'Customer Product Demand'!$B:$B,'Input Demand'!$B3)</f>
        <v>4300</v>
      </c>
      <c r="H3">
        <f>SUMIFS('Customer Product Demand'!J:J,'Customer Product Demand'!$C:$C,'Input Demand'!$A3,'Customer Product Demand'!$B:$B,'Input Demand'!$B3)</f>
        <v>5700</v>
      </c>
      <c r="I3">
        <f>SUMIFS('Customer Product Demand'!K:K,'Customer Product Demand'!$C:$C,'Input Demand'!$A3,'Customer Product Demand'!$B:$B,'Input Demand'!$B3)</f>
        <v>4600</v>
      </c>
    </row>
    <row r="4" spans="1:9" x14ac:dyDescent="0.25">
      <c r="A4" t="s">
        <v>34</v>
      </c>
      <c r="B4" t="s">
        <v>25</v>
      </c>
      <c r="C4">
        <f>SUMIFS('Customer Product Demand'!E:E,'Customer Product Demand'!$C:$C,'Input Demand'!$A4,'Customer Product Demand'!$B:$B,'Input Demand'!$B4)</f>
        <v>3900</v>
      </c>
      <c r="D4">
        <f>SUMIFS('Customer Product Demand'!F:F,'Customer Product Demand'!$C:$C,'Input Demand'!$A4,'Customer Product Demand'!$B:$B,'Input Demand'!$B4)</f>
        <v>4500</v>
      </c>
      <c r="E4">
        <f>SUMIFS('Customer Product Demand'!G:G,'Customer Product Demand'!$C:$C,'Input Demand'!$A4,'Customer Product Demand'!$B:$B,'Input Demand'!$B4)</f>
        <v>2300</v>
      </c>
      <c r="F4">
        <f>SUMIFS('Customer Product Demand'!H:H,'Customer Product Demand'!$C:$C,'Input Demand'!$A4,'Customer Product Demand'!$B:$B,'Input Demand'!$B4)</f>
        <v>3700</v>
      </c>
      <c r="G4">
        <f>SUMIFS('Customer Product Demand'!I:I,'Customer Product Demand'!$C:$C,'Input Demand'!$A4,'Customer Product Demand'!$B:$B,'Input Demand'!$B4)</f>
        <v>3500</v>
      </c>
      <c r="H4">
        <f>SUMIFS('Customer Product Demand'!J:J,'Customer Product Demand'!$C:$C,'Input Demand'!$A4,'Customer Product Demand'!$B:$B,'Input Demand'!$B4)</f>
        <v>5700</v>
      </c>
      <c r="I4">
        <f>SUMIFS('Customer Product Demand'!K:K,'Customer Product Demand'!$C:$C,'Input Demand'!$A4,'Customer Product Demand'!$B:$B,'Input Demand'!$B4)</f>
        <v>4000</v>
      </c>
    </row>
    <row r="5" spans="1:9" x14ac:dyDescent="0.25">
      <c r="A5" t="s">
        <v>34</v>
      </c>
      <c r="B5" t="s">
        <v>21</v>
      </c>
      <c r="C5">
        <f>SUMIFS('Customer Product Demand'!E:E,'Customer Product Demand'!$C:$C,'Input Demand'!$A5,'Customer Product Demand'!$B:$B,'Input Demand'!$B5)</f>
        <v>1700</v>
      </c>
      <c r="D5">
        <f>SUMIFS('Customer Product Demand'!F:F,'Customer Product Demand'!$C:$C,'Input Demand'!$A5,'Customer Product Demand'!$B:$B,'Input Demand'!$B5)</f>
        <v>2400</v>
      </c>
      <c r="E5">
        <f>SUMIFS('Customer Product Demand'!G:G,'Customer Product Demand'!$C:$C,'Input Demand'!$A5,'Customer Product Demand'!$B:$B,'Input Demand'!$B5)</f>
        <v>1200</v>
      </c>
      <c r="F5">
        <f>SUMIFS('Customer Product Demand'!H:H,'Customer Product Demand'!$C:$C,'Input Demand'!$A5,'Customer Product Demand'!$B:$B,'Input Demand'!$B5)</f>
        <v>1000</v>
      </c>
      <c r="G5">
        <f>SUMIFS('Customer Product Demand'!I:I,'Customer Product Demand'!$C:$C,'Input Demand'!$A5,'Customer Product Demand'!$B:$B,'Input Demand'!$B5)</f>
        <v>2300</v>
      </c>
      <c r="H5">
        <f>SUMIFS('Customer Product Demand'!J:J,'Customer Product Demand'!$C:$C,'Input Demand'!$A5,'Customer Product Demand'!$B:$B,'Input Demand'!$B5)</f>
        <v>1400</v>
      </c>
      <c r="I5">
        <f>SUMIFS('Customer Product Demand'!K:K,'Customer Product Demand'!$C:$C,'Input Demand'!$A5,'Customer Product Demand'!$B:$B,'Input Demand'!$B5)</f>
        <v>1100</v>
      </c>
    </row>
    <row r="6" spans="1:9" x14ac:dyDescent="0.25">
      <c r="A6" t="s">
        <v>34</v>
      </c>
      <c r="B6" t="s">
        <v>26</v>
      </c>
      <c r="C6">
        <f>SUMIFS('Customer Product Demand'!E:E,'Customer Product Demand'!$C:$C,'Input Demand'!$A6,'Customer Product Demand'!$B:$B,'Input Demand'!$B6)</f>
        <v>2800</v>
      </c>
      <c r="D6">
        <f>SUMIFS('Customer Product Demand'!F:F,'Customer Product Demand'!$C:$C,'Input Demand'!$A6,'Customer Product Demand'!$B:$B,'Input Demand'!$B6)</f>
        <v>2100</v>
      </c>
      <c r="E6">
        <f>SUMIFS('Customer Product Demand'!G:G,'Customer Product Demand'!$C:$C,'Input Demand'!$A6,'Customer Product Demand'!$B:$B,'Input Demand'!$B6)</f>
        <v>1400</v>
      </c>
      <c r="F6">
        <f>SUMIFS('Customer Product Demand'!H:H,'Customer Product Demand'!$C:$C,'Input Demand'!$A6,'Customer Product Demand'!$B:$B,'Input Demand'!$B6)</f>
        <v>1900</v>
      </c>
      <c r="G6">
        <f>SUMIFS('Customer Product Demand'!I:I,'Customer Product Demand'!$C:$C,'Input Demand'!$A6,'Customer Product Demand'!$B:$B,'Input Demand'!$B6)</f>
        <v>1300</v>
      </c>
      <c r="H6">
        <f>SUMIFS('Customer Product Demand'!J:J,'Customer Product Demand'!$C:$C,'Input Demand'!$A6,'Customer Product Demand'!$B:$B,'Input Demand'!$B6)</f>
        <v>1000</v>
      </c>
      <c r="I6">
        <f>SUMIFS('Customer Product Demand'!K:K,'Customer Product Demand'!$C:$C,'Input Demand'!$A6,'Customer Product Demand'!$B:$B,'Input Demand'!$B6)</f>
        <v>1000</v>
      </c>
    </row>
    <row r="7" spans="1:9" x14ac:dyDescent="0.25">
      <c r="A7" t="s">
        <v>34</v>
      </c>
      <c r="B7" t="s">
        <v>27</v>
      </c>
      <c r="C7">
        <f>SUMIFS('Customer Product Demand'!E:E,'Customer Product Demand'!$C:$C,'Input Demand'!$A7,'Customer Product Demand'!$B:$B,'Input Demand'!$B7)</f>
        <v>3800</v>
      </c>
      <c r="D7">
        <f>SUMIFS('Customer Product Demand'!F:F,'Customer Product Demand'!$C:$C,'Input Demand'!$A7,'Customer Product Demand'!$B:$B,'Input Demand'!$B7)</f>
        <v>5600</v>
      </c>
      <c r="E7">
        <f>SUMIFS('Customer Product Demand'!G:G,'Customer Product Demand'!$C:$C,'Input Demand'!$A7,'Customer Product Demand'!$B:$B,'Input Demand'!$B7)</f>
        <v>4300</v>
      </c>
      <c r="F7">
        <f>SUMIFS('Customer Product Demand'!H:H,'Customer Product Demand'!$C:$C,'Input Demand'!$A7,'Customer Product Demand'!$B:$B,'Input Demand'!$B7)</f>
        <v>3400</v>
      </c>
      <c r="G7">
        <f>SUMIFS('Customer Product Demand'!I:I,'Customer Product Demand'!$C:$C,'Input Demand'!$A7,'Customer Product Demand'!$B:$B,'Input Demand'!$B7)</f>
        <v>4500</v>
      </c>
      <c r="H7">
        <f>SUMIFS('Customer Product Demand'!J:J,'Customer Product Demand'!$C:$C,'Input Demand'!$A7,'Customer Product Demand'!$B:$B,'Input Demand'!$B7)</f>
        <v>4400</v>
      </c>
      <c r="I7">
        <f>SUMIFS('Customer Product Demand'!K:K,'Customer Product Demand'!$C:$C,'Input Demand'!$A7,'Customer Product Demand'!$B:$B,'Input Demand'!$B7)</f>
        <v>4400</v>
      </c>
    </row>
    <row r="8" spans="1:9" x14ac:dyDescent="0.25">
      <c r="A8" t="s">
        <v>34</v>
      </c>
      <c r="B8" t="s">
        <v>28</v>
      </c>
      <c r="C8">
        <f>SUMIFS('Customer Product Demand'!E:E,'Customer Product Demand'!$C:$C,'Input Demand'!$A8,'Customer Product Demand'!$B:$B,'Input Demand'!$B8)</f>
        <v>4100</v>
      </c>
      <c r="D8">
        <f>SUMIFS('Customer Product Demand'!F:F,'Customer Product Demand'!$C:$C,'Input Demand'!$A8,'Customer Product Demand'!$B:$B,'Input Demand'!$B8)</f>
        <v>3900</v>
      </c>
      <c r="E8">
        <f>SUMIFS('Customer Product Demand'!G:G,'Customer Product Demand'!$C:$C,'Input Demand'!$A8,'Customer Product Demand'!$B:$B,'Input Demand'!$B8)</f>
        <v>2700</v>
      </c>
      <c r="F8">
        <f>SUMIFS('Customer Product Demand'!H:H,'Customer Product Demand'!$C:$C,'Input Demand'!$A8,'Customer Product Demand'!$B:$B,'Input Demand'!$B8)</f>
        <v>5200</v>
      </c>
      <c r="G8">
        <f>SUMIFS('Customer Product Demand'!I:I,'Customer Product Demand'!$C:$C,'Input Demand'!$A8,'Customer Product Demand'!$B:$B,'Input Demand'!$B8)</f>
        <v>3300</v>
      </c>
      <c r="H8">
        <f>SUMIFS('Customer Product Demand'!J:J,'Customer Product Demand'!$C:$C,'Input Demand'!$A8,'Customer Product Demand'!$B:$B,'Input Demand'!$B8)</f>
        <v>4200</v>
      </c>
      <c r="I8">
        <f>SUMIFS('Customer Product Demand'!K:K,'Customer Product Demand'!$C:$C,'Input Demand'!$A8,'Customer Product Demand'!$B:$B,'Input Demand'!$B8)</f>
        <v>3800</v>
      </c>
    </row>
    <row r="9" spans="1:9" x14ac:dyDescent="0.25">
      <c r="A9" t="s">
        <v>35</v>
      </c>
      <c r="B9" t="s">
        <v>23</v>
      </c>
      <c r="C9">
        <f>SUMIFS('Customer Product Demand'!E:E,'Customer Product Demand'!$C:$C,'Input Demand'!$A9,'Customer Product Demand'!$B:$B,'Input Demand'!$B9)</f>
        <v>1600</v>
      </c>
      <c r="D9">
        <f>SUMIFS('Customer Product Demand'!F:F,'Customer Product Demand'!$C:$C,'Input Demand'!$A9,'Customer Product Demand'!$B:$B,'Input Demand'!$B9)</f>
        <v>2900</v>
      </c>
      <c r="E9">
        <f>SUMIFS('Customer Product Demand'!G:G,'Customer Product Demand'!$C:$C,'Input Demand'!$A9,'Customer Product Demand'!$B:$B,'Input Demand'!$B9)</f>
        <v>1800</v>
      </c>
      <c r="F9">
        <f>SUMIFS('Customer Product Demand'!H:H,'Customer Product Demand'!$C:$C,'Input Demand'!$A9,'Customer Product Demand'!$B:$B,'Input Demand'!$B9)</f>
        <v>1400</v>
      </c>
      <c r="G9">
        <f>SUMIFS('Customer Product Demand'!I:I,'Customer Product Demand'!$C:$C,'Input Demand'!$A9,'Customer Product Demand'!$B:$B,'Input Demand'!$B9)</f>
        <v>2200</v>
      </c>
      <c r="H9">
        <f>SUMIFS('Customer Product Demand'!J:J,'Customer Product Demand'!$C:$C,'Input Demand'!$A9,'Customer Product Demand'!$B:$B,'Input Demand'!$B9)</f>
        <v>1000</v>
      </c>
      <c r="I9">
        <f>SUMIFS('Customer Product Demand'!K:K,'Customer Product Demand'!$C:$C,'Input Demand'!$A9,'Customer Product Demand'!$B:$B,'Input Demand'!$B9)</f>
        <v>1400</v>
      </c>
    </row>
    <row r="10" spans="1:9" x14ac:dyDescent="0.25">
      <c r="A10" t="s">
        <v>35</v>
      </c>
      <c r="B10" t="s">
        <v>24</v>
      </c>
      <c r="C10">
        <f>SUMIFS('Customer Product Demand'!E:E,'Customer Product Demand'!$C:$C,'Input Demand'!$A10,'Customer Product Demand'!$B:$B,'Input Demand'!$B10)</f>
        <v>1000</v>
      </c>
      <c r="D10">
        <f>SUMIFS('Customer Product Demand'!F:F,'Customer Product Demand'!$C:$C,'Input Demand'!$A10,'Customer Product Demand'!$B:$B,'Input Demand'!$B10)</f>
        <v>1800</v>
      </c>
      <c r="E10">
        <f>SUMIFS('Customer Product Demand'!G:G,'Customer Product Demand'!$C:$C,'Input Demand'!$A10,'Customer Product Demand'!$B:$B,'Input Demand'!$B10)</f>
        <v>2900</v>
      </c>
      <c r="F10">
        <f>SUMIFS('Customer Product Demand'!H:H,'Customer Product Demand'!$C:$C,'Input Demand'!$A10,'Customer Product Demand'!$B:$B,'Input Demand'!$B10)</f>
        <v>2200</v>
      </c>
      <c r="G10">
        <f>SUMIFS('Customer Product Demand'!I:I,'Customer Product Demand'!$C:$C,'Input Demand'!$A10,'Customer Product Demand'!$B:$B,'Input Demand'!$B10)</f>
        <v>2500</v>
      </c>
      <c r="H10">
        <f>SUMIFS('Customer Product Demand'!J:J,'Customer Product Demand'!$C:$C,'Input Demand'!$A10,'Customer Product Demand'!$B:$B,'Input Demand'!$B10)</f>
        <v>1700</v>
      </c>
      <c r="I10">
        <f>SUMIFS('Customer Product Demand'!K:K,'Customer Product Demand'!$C:$C,'Input Demand'!$A10,'Customer Product Demand'!$B:$B,'Input Demand'!$B10)</f>
        <v>2000</v>
      </c>
    </row>
    <row r="11" spans="1:9" x14ac:dyDescent="0.25">
      <c r="A11" t="s">
        <v>35</v>
      </c>
      <c r="B11" t="s">
        <v>25</v>
      </c>
      <c r="C11">
        <f>SUMIFS('Customer Product Demand'!E:E,'Customer Product Demand'!$C:$C,'Input Demand'!$A11,'Customer Product Demand'!$B:$B,'Input Demand'!$B11)</f>
        <v>1100</v>
      </c>
      <c r="D11">
        <f>SUMIFS('Customer Product Demand'!F:F,'Customer Product Demand'!$C:$C,'Input Demand'!$A11,'Customer Product Demand'!$B:$B,'Input Demand'!$B11)</f>
        <v>1800</v>
      </c>
      <c r="E11">
        <f>SUMIFS('Customer Product Demand'!G:G,'Customer Product Demand'!$C:$C,'Input Demand'!$A11,'Customer Product Demand'!$B:$B,'Input Demand'!$B11)</f>
        <v>1100</v>
      </c>
      <c r="F11">
        <f>SUMIFS('Customer Product Demand'!H:H,'Customer Product Demand'!$C:$C,'Input Demand'!$A11,'Customer Product Demand'!$B:$B,'Input Demand'!$B11)</f>
        <v>2600</v>
      </c>
      <c r="G11">
        <f>SUMIFS('Customer Product Demand'!I:I,'Customer Product Demand'!$C:$C,'Input Demand'!$A11,'Customer Product Demand'!$B:$B,'Input Demand'!$B11)</f>
        <v>2600</v>
      </c>
      <c r="H11">
        <f>SUMIFS('Customer Product Demand'!J:J,'Customer Product Demand'!$C:$C,'Input Demand'!$A11,'Customer Product Demand'!$B:$B,'Input Demand'!$B11)</f>
        <v>3000</v>
      </c>
      <c r="I11">
        <f>SUMIFS('Customer Product Demand'!K:K,'Customer Product Demand'!$C:$C,'Input Demand'!$A11,'Customer Product Demand'!$B:$B,'Input Demand'!$B11)</f>
        <v>1200</v>
      </c>
    </row>
    <row r="12" spans="1:9" x14ac:dyDescent="0.25">
      <c r="A12" t="s">
        <v>35</v>
      </c>
      <c r="B12" t="s">
        <v>21</v>
      </c>
      <c r="C12">
        <f>SUMIFS('Customer Product Demand'!E:E,'Customer Product Demand'!$C:$C,'Input Demand'!$A12,'Customer Product Demand'!$B:$B,'Input Demand'!$B12)</f>
        <v>1600</v>
      </c>
      <c r="D12">
        <f>SUMIFS('Customer Product Demand'!F:F,'Customer Product Demand'!$C:$C,'Input Demand'!$A12,'Customer Product Demand'!$B:$B,'Input Demand'!$B12)</f>
        <v>1900</v>
      </c>
      <c r="E12">
        <f>SUMIFS('Customer Product Demand'!G:G,'Customer Product Demand'!$C:$C,'Input Demand'!$A12,'Customer Product Demand'!$B:$B,'Input Demand'!$B12)</f>
        <v>2100</v>
      </c>
      <c r="F12">
        <f>SUMIFS('Customer Product Demand'!H:H,'Customer Product Demand'!$C:$C,'Input Demand'!$A12,'Customer Product Demand'!$B:$B,'Input Demand'!$B12)</f>
        <v>2200</v>
      </c>
      <c r="G12">
        <f>SUMIFS('Customer Product Demand'!I:I,'Customer Product Demand'!$C:$C,'Input Demand'!$A12,'Customer Product Demand'!$B:$B,'Input Demand'!$B12)</f>
        <v>1300</v>
      </c>
      <c r="H12">
        <f>SUMIFS('Customer Product Demand'!J:J,'Customer Product Demand'!$C:$C,'Input Demand'!$A12,'Customer Product Demand'!$B:$B,'Input Demand'!$B12)</f>
        <v>1400</v>
      </c>
      <c r="I12">
        <f>SUMIFS('Customer Product Demand'!K:K,'Customer Product Demand'!$C:$C,'Input Demand'!$A12,'Customer Product Demand'!$B:$B,'Input Demand'!$B12)</f>
        <v>1900</v>
      </c>
    </row>
    <row r="13" spans="1:9" x14ac:dyDescent="0.25">
      <c r="A13" t="s">
        <v>35</v>
      </c>
      <c r="B13" t="s">
        <v>26</v>
      </c>
      <c r="C13">
        <f>SUMIFS('Customer Product Demand'!E:E,'Customer Product Demand'!$C:$C,'Input Demand'!$A13,'Customer Product Demand'!$B:$B,'Input Demand'!$B13)</f>
        <v>2900</v>
      </c>
      <c r="D13">
        <f>SUMIFS('Customer Product Demand'!F:F,'Customer Product Demand'!$C:$C,'Input Demand'!$A13,'Customer Product Demand'!$B:$B,'Input Demand'!$B13)</f>
        <v>1300</v>
      </c>
      <c r="E13">
        <f>SUMIFS('Customer Product Demand'!G:G,'Customer Product Demand'!$C:$C,'Input Demand'!$A13,'Customer Product Demand'!$B:$B,'Input Demand'!$B13)</f>
        <v>2900</v>
      </c>
      <c r="F13">
        <f>SUMIFS('Customer Product Demand'!H:H,'Customer Product Demand'!$C:$C,'Input Demand'!$A13,'Customer Product Demand'!$B:$B,'Input Demand'!$B13)</f>
        <v>2300</v>
      </c>
      <c r="G13">
        <f>SUMIFS('Customer Product Demand'!I:I,'Customer Product Demand'!$C:$C,'Input Demand'!$A13,'Customer Product Demand'!$B:$B,'Input Demand'!$B13)</f>
        <v>1900</v>
      </c>
      <c r="H13">
        <f>SUMIFS('Customer Product Demand'!J:J,'Customer Product Demand'!$C:$C,'Input Demand'!$A13,'Customer Product Demand'!$B:$B,'Input Demand'!$B13)</f>
        <v>1300</v>
      </c>
      <c r="I13">
        <f>SUMIFS('Customer Product Demand'!K:K,'Customer Product Demand'!$C:$C,'Input Demand'!$A13,'Customer Product Demand'!$B:$B,'Input Demand'!$B13)</f>
        <v>1100</v>
      </c>
    </row>
    <row r="14" spans="1:9" x14ac:dyDescent="0.25">
      <c r="A14" t="s">
        <v>35</v>
      </c>
      <c r="B14" t="s">
        <v>27</v>
      </c>
      <c r="C14">
        <f>SUMIFS('Customer Product Demand'!E:E,'Customer Product Demand'!$C:$C,'Input Demand'!$A14,'Customer Product Demand'!$B:$B,'Input Demand'!$B14)</f>
        <v>0</v>
      </c>
      <c r="D14">
        <f>SUMIFS('Customer Product Demand'!F:F,'Customer Product Demand'!$C:$C,'Input Demand'!$A14,'Customer Product Demand'!$B:$B,'Input Demand'!$B14)</f>
        <v>0</v>
      </c>
      <c r="E14">
        <f>SUMIFS('Customer Product Demand'!G:G,'Customer Product Demand'!$C:$C,'Input Demand'!$A14,'Customer Product Demand'!$B:$B,'Input Demand'!$B14)</f>
        <v>0</v>
      </c>
      <c r="F14">
        <f>SUMIFS('Customer Product Demand'!H:H,'Customer Product Demand'!$C:$C,'Input Demand'!$A14,'Customer Product Demand'!$B:$B,'Input Demand'!$B14)</f>
        <v>0</v>
      </c>
      <c r="G14">
        <f>SUMIFS('Customer Product Demand'!I:I,'Customer Product Demand'!$C:$C,'Input Demand'!$A14,'Customer Product Demand'!$B:$B,'Input Demand'!$B14)</f>
        <v>0</v>
      </c>
      <c r="H14">
        <f>SUMIFS('Customer Product Demand'!J:J,'Customer Product Demand'!$C:$C,'Input Demand'!$A14,'Customer Product Demand'!$B:$B,'Input Demand'!$B14)</f>
        <v>0</v>
      </c>
      <c r="I14">
        <f>SUMIFS('Customer Product Demand'!K:K,'Customer Product Demand'!$C:$C,'Input Demand'!$A14,'Customer Product Demand'!$B:$B,'Input Demand'!$B14)</f>
        <v>0</v>
      </c>
    </row>
    <row r="15" spans="1:9" x14ac:dyDescent="0.25">
      <c r="A15" t="s">
        <v>35</v>
      </c>
      <c r="B15" t="s">
        <v>28</v>
      </c>
      <c r="C15">
        <f>SUMIFS('Customer Product Demand'!E:E,'Customer Product Demand'!$C:$C,'Input Demand'!$A15,'Customer Product Demand'!$B:$B,'Input Demand'!$B15)</f>
        <v>2300</v>
      </c>
      <c r="D15">
        <f>SUMIFS('Customer Product Demand'!F:F,'Customer Product Demand'!$C:$C,'Input Demand'!$A15,'Customer Product Demand'!$B:$B,'Input Demand'!$B15)</f>
        <v>2000</v>
      </c>
      <c r="E15">
        <f>SUMIFS('Customer Product Demand'!G:G,'Customer Product Demand'!$C:$C,'Input Demand'!$A15,'Customer Product Demand'!$B:$B,'Input Demand'!$B15)</f>
        <v>1800</v>
      </c>
      <c r="F15">
        <f>SUMIFS('Customer Product Demand'!H:H,'Customer Product Demand'!$C:$C,'Input Demand'!$A15,'Customer Product Demand'!$B:$B,'Input Demand'!$B15)</f>
        <v>2600</v>
      </c>
      <c r="G15">
        <f>SUMIFS('Customer Product Demand'!I:I,'Customer Product Demand'!$C:$C,'Input Demand'!$A15,'Customer Product Demand'!$B:$B,'Input Demand'!$B15)</f>
        <v>2300</v>
      </c>
      <c r="H15">
        <f>SUMIFS('Customer Product Demand'!J:J,'Customer Product Demand'!$C:$C,'Input Demand'!$A15,'Customer Product Demand'!$B:$B,'Input Demand'!$B15)</f>
        <v>2300</v>
      </c>
      <c r="I15">
        <f>SUMIFS('Customer Product Demand'!K:K,'Customer Product Demand'!$C:$C,'Input Demand'!$A15,'Customer Product Demand'!$B:$B,'Input Demand'!$B15)</f>
        <v>1900</v>
      </c>
    </row>
    <row r="16" spans="1:9" x14ac:dyDescent="0.25">
      <c r="A16" t="s">
        <v>38</v>
      </c>
      <c r="B16" t="s">
        <v>23</v>
      </c>
      <c r="C16">
        <f>SUMIFS('Customer Product Demand'!E:E,'Customer Product Demand'!$C:$C,'Input Demand'!$A16,'Customer Product Demand'!$B:$B,'Input Demand'!$B16)</f>
        <v>2800</v>
      </c>
      <c r="D16">
        <f>SUMIFS('Customer Product Demand'!F:F,'Customer Product Demand'!$C:$C,'Input Demand'!$A16,'Customer Product Demand'!$B:$B,'Input Demand'!$B16)</f>
        <v>1300</v>
      </c>
      <c r="E16">
        <f>SUMIFS('Customer Product Demand'!G:G,'Customer Product Demand'!$C:$C,'Input Demand'!$A16,'Customer Product Demand'!$B:$B,'Input Demand'!$B16)</f>
        <v>1700</v>
      </c>
      <c r="F16">
        <f>SUMIFS('Customer Product Demand'!H:H,'Customer Product Demand'!$C:$C,'Input Demand'!$A16,'Customer Product Demand'!$B:$B,'Input Demand'!$B16)</f>
        <v>2600</v>
      </c>
      <c r="G16">
        <f>SUMIFS('Customer Product Demand'!I:I,'Customer Product Demand'!$C:$C,'Input Demand'!$A16,'Customer Product Demand'!$B:$B,'Input Demand'!$B16)</f>
        <v>2000</v>
      </c>
      <c r="H16">
        <f>SUMIFS('Customer Product Demand'!J:J,'Customer Product Demand'!$C:$C,'Input Demand'!$A16,'Customer Product Demand'!$B:$B,'Input Demand'!$B16)</f>
        <v>1300</v>
      </c>
      <c r="I16">
        <f>SUMIFS('Customer Product Demand'!K:K,'Customer Product Demand'!$C:$C,'Input Demand'!$A16,'Customer Product Demand'!$B:$B,'Input Demand'!$B16)</f>
        <v>1600</v>
      </c>
    </row>
    <row r="17" spans="1:9" x14ac:dyDescent="0.25">
      <c r="A17" t="s">
        <v>38</v>
      </c>
      <c r="B17" t="s">
        <v>24</v>
      </c>
      <c r="C17">
        <f>SUMIFS('Customer Product Demand'!E:E,'Customer Product Demand'!$C:$C,'Input Demand'!$A17,'Customer Product Demand'!$B:$B,'Input Demand'!$B17)</f>
        <v>2300</v>
      </c>
      <c r="D17">
        <f>SUMIFS('Customer Product Demand'!F:F,'Customer Product Demand'!$C:$C,'Input Demand'!$A17,'Customer Product Demand'!$B:$B,'Input Demand'!$B17)</f>
        <v>2500</v>
      </c>
      <c r="E17">
        <f>SUMIFS('Customer Product Demand'!G:G,'Customer Product Demand'!$C:$C,'Input Demand'!$A17,'Customer Product Demand'!$B:$B,'Input Demand'!$B17)</f>
        <v>1500</v>
      </c>
      <c r="F17">
        <f>SUMIFS('Customer Product Demand'!H:H,'Customer Product Demand'!$C:$C,'Input Demand'!$A17,'Customer Product Demand'!$B:$B,'Input Demand'!$B17)</f>
        <v>1000</v>
      </c>
      <c r="G17">
        <f>SUMIFS('Customer Product Demand'!I:I,'Customer Product Demand'!$C:$C,'Input Demand'!$A17,'Customer Product Demand'!$B:$B,'Input Demand'!$B17)</f>
        <v>2100</v>
      </c>
      <c r="H17">
        <f>SUMIFS('Customer Product Demand'!J:J,'Customer Product Demand'!$C:$C,'Input Demand'!$A17,'Customer Product Demand'!$B:$B,'Input Demand'!$B17)</f>
        <v>2200</v>
      </c>
      <c r="I17">
        <f>SUMIFS('Customer Product Demand'!K:K,'Customer Product Demand'!$C:$C,'Input Demand'!$A17,'Customer Product Demand'!$B:$B,'Input Demand'!$B17)</f>
        <v>1400</v>
      </c>
    </row>
    <row r="18" spans="1:9" x14ac:dyDescent="0.25">
      <c r="A18" t="s">
        <v>38</v>
      </c>
      <c r="B18" t="s">
        <v>25</v>
      </c>
      <c r="C18">
        <f>SUMIFS('Customer Product Demand'!E:E,'Customer Product Demand'!$C:$C,'Input Demand'!$A18,'Customer Product Demand'!$B:$B,'Input Demand'!$B18)</f>
        <v>2700</v>
      </c>
      <c r="D18">
        <f>SUMIFS('Customer Product Demand'!F:F,'Customer Product Demand'!$C:$C,'Input Demand'!$A18,'Customer Product Demand'!$B:$B,'Input Demand'!$B18)</f>
        <v>1000</v>
      </c>
      <c r="E18">
        <f>SUMIFS('Customer Product Demand'!G:G,'Customer Product Demand'!$C:$C,'Input Demand'!$A18,'Customer Product Demand'!$B:$B,'Input Demand'!$B18)</f>
        <v>2800</v>
      </c>
      <c r="F18">
        <f>SUMIFS('Customer Product Demand'!H:H,'Customer Product Demand'!$C:$C,'Input Demand'!$A18,'Customer Product Demand'!$B:$B,'Input Demand'!$B18)</f>
        <v>2500</v>
      </c>
      <c r="G18">
        <f>SUMIFS('Customer Product Demand'!I:I,'Customer Product Demand'!$C:$C,'Input Demand'!$A18,'Customer Product Demand'!$B:$B,'Input Demand'!$B18)</f>
        <v>2700</v>
      </c>
      <c r="H18">
        <f>SUMIFS('Customer Product Demand'!J:J,'Customer Product Demand'!$C:$C,'Input Demand'!$A18,'Customer Product Demand'!$B:$B,'Input Demand'!$B18)</f>
        <v>1500</v>
      </c>
      <c r="I18">
        <f>SUMIFS('Customer Product Demand'!K:K,'Customer Product Demand'!$C:$C,'Input Demand'!$A18,'Customer Product Demand'!$B:$B,'Input Demand'!$B18)</f>
        <v>2800</v>
      </c>
    </row>
    <row r="19" spans="1:9" x14ac:dyDescent="0.25">
      <c r="A19" t="s">
        <v>38</v>
      </c>
      <c r="B19" t="s">
        <v>21</v>
      </c>
      <c r="C19">
        <f>SUMIFS('Customer Product Demand'!E:E,'Customer Product Demand'!$C:$C,'Input Demand'!$A19,'Customer Product Demand'!$B:$B,'Input Demand'!$B19)</f>
        <v>1700</v>
      </c>
      <c r="D19">
        <f>SUMIFS('Customer Product Demand'!F:F,'Customer Product Demand'!$C:$C,'Input Demand'!$A19,'Customer Product Demand'!$B:$B,'Input Demand'!$B19)</f>
        <v>1200</v>
      </c>
      <c r="E19">
        <f>SUMIFS('Customer Product Demand'!G:G,'Customer Product Demand'!$C:$C,'Input Demand'!$A19,'Customer Product Demand'!$B:$B,'Input Demand'!$B19)</f>
        <v>2000</v>
      </c>
      <c r="F19">
        <f>SUMIFS('Customer Product Demand'!H:H,'Customer Product Demand'!$C:$C,'Input Demand'!$A19,'Customer Product Demand'!$B:$B,'Input Demand'!$B19)</f>
        <v>2700</v>
      </c>
      <c r="G19">
        <f>SUMIFS('Customer Product Demand'!I:I,'Customer Product Demand'!$C:$C,'Input Demand'!$A19,'Customer Product Demand'!$B:$B,'Input Demand'!$B19)</f>
        <v>1500</v>
      </c>
      <c r="H19">
        <f>SUMIFS('Customer Product Demand'!J:J,'Customer Product Demand'!$C:$C,'Input Demand'!$A19,'Customer Product Demand'!$B:$B,'Input Demand'!$B19)</f>
        <v>2300</v>
      </c>
      <c r="I19">
        <f>SUMIFS('Customer Product Demand'!K:K,'Customer Product Demand'!$C:$C,'Input Demand'!$A19,'Customer Product Demand'!$B:$B,'Input Demand'!$B19)</f>
        <v>1400</v>
      </c>
    </row>
    <row r="20" spans="1:9" x14ac:dyDescent="0.25">
      <c r="A20" t="s">
        <v>38</v>
      </c>
      <c r="B20" t="s">
        <v>26</v>
      </c>
      <c r="C20">
        <f>SUMIFS('Customer Product Demand'!E:E,'Customer Product Demand'!$C:$C,'Input Demand'!$A20,'Customer Product Demand'!$B:$B,'Input Demand'!$B20)</f>
        <v>1600</v>
      </c>
      <c r="D20">
        <f>SUMIFS('Customer Product Demand'!F:F,'Customer Product Demand'!$C:$C,'Input Demand'!$A20,'Customer Product Demand'!$B:$B,'Input Demand'!$B20)</f>
        <v>2800</v>
      </c>
      <c r="E20">
        <f>SUMIFS('Customer Product Demand'!G:G,'Customer Product Demand'!$C:$C,'Input Demand'!$A20,'Customer Product Demand'!$B:$B,'Input Demand'!$B20)</f>
        <v>1800</v>
      </c>
      <c r="F20">
        <f>SUMIFS('Customer Product Demand'!H:H,'Customer Product Demand'!$C:$C,'Input Demand'!$A20,'Customer Product Demand'!$B:$B,'Input Demand'!$B20)</f>
        <v>2000</v>
      </c>
      <c r="G20">
        <f>SUMIFS('Customer Product Demand'!I:I,'Customer Product Demand'!$C:$C,'Input Demand'!$A20,'Customer Product Demand'!$B:$B,'Input Demand'!$B20)</f>
        <v>2700</v>
      </c>
      <c r="H20">
        <f>SUMIFS('Customer Product Demand'!J:J,'Customer Product Demand'!$C:$C,'Input Demand'!$A20,'Customer Product Demand'!$B:$B,'Input Demand'!$B20)</f>
        <v>1800</v>
      </c>
      <c r="I20">
        <f>SUMIFS('Customer Product Demand'!K:K,'Customer Product Demand'!$C:$C,'Input Demand'!$A20,'Customer Product Demand'!$B:$B,'Input Demand'!$B20)</f>
        <v>1700</v>
      </c>
    </row>
    <row r="21" spans="1:9" x14ac:dyDescent="0.25">
      <c r="A21" t="s">
        <v>38</v>
      </c>
      <c r="B21" t="s">
        <v>27</v>
      </c>
      <c r="C21">
        <f>SUMIFS('Customer Product Demand'!E:E,'Customer Product Demand'!$C:$C,'Input Demand'!$A21,'Customer Product Demand'!$B:$B,'Input Demand'!$B21)</f>
        <v>2200</v>
      </c>
      <c r="D21">
        <f>SUMIFS('Customer Product Demand'!F:F,'Customer Product Demand'!$C:$C,'Input Demand'!$A21,'Customer Product Demand'!$B:$B,'Input Demand'!$B21)</f>
        <v>2800</v>
      </c>
      <c r="E21">
        <f>SUMIFS('Customer Product Demand'!G:G,'Customer Product Demand'!$C:$C,'Input Demand'!$A21,'Customer Product Demand'!$B:$B,'Input Demand'!$B21)</f>
        <v>1200</v>
      </c>
      <c r="F21">
        <f>SUMIFS('Customer Product Demand'!H:H,'Customer Product Demand'!$C:$C,'Input Demand'!$A21,'Customer Product Demand'!$B:$B,'Input Demand'!$B21)</f>
        <v>2400</v>
      </c>
      <c r="G21">
        <f>SUMIFS('Customer Product Demand'!I:I,'Customer Product Demand'!$C:$C,'Input Demand'!$A21,'Customer Product Demand'!$B:$B,'Input Demand'!$B21)</f>
        <v>1300</v>
      </c>
      <c r="H21">
        <f>SUMIFS('Customer Product Demand'!J:J,'Customer Product Demand'!$C:$C,'Input Demand'!$A21,'Customer Product Demand'!$B:$B,'Input Demand'!$B21)</f>
        <v>1700</v>
      </c>
      <c r="I21">
        <f>SUMIFS('Customer Product Demand'!K:K,'Customer Product Demand'!$C:$C,'Input Demand'!$A21,'Customer Product Demand'!$B:$B,'Input Demand'!$B21)</f>
        <v>2300</v>
      </c>
    </row>
    <row r="22" spans="1:9" x14ac:dyDescent="0.25">
      <c r="A22" t="s">
        <v>38</v>
      </c>
      <c r="B22" t="s">
        <v>28</v>
      </c>
      <c r="C22">
        <f>SUMIFS('Customer Product Demand'!E:E,'Customer Product Demand'!$C:$C,'Input Demand'!$A22,'Customer Product Demand'!$B:$B,'Input Demand'!$B22)</f>
        <v>1500</v>
      </c>
      <c r="D22">
        <f>SUMIFS('Customer Product Demand'!F:F,'Customer Product Demand'!$C:$C,'Input Demand'!$A22,'Customer Product Demand'!$B:$B,'Input Demand'!$B22)</f>
        <v>1900</v>
      </c>
      <c r="E22">
        <f>SUMIFS('Customer Product Demand'!G:G,'Customer Product Demand'!$C:$C,'Input Demand'!$A22,'Customer Product Demand'!$B:$B,'Input Demand'!$B22)</f>
        <v>1300</v>
      </c>
      <c r="F22">
        <f>SUMIFS('Customer Product Demand'!H:H,'Customer Product Demand'!$C:$C,'Input Demand'!$A22,'Customer Product Demand'!$B:$B,'Input Demand'!$B22)</f>
        <v>2000</v>
      </c>
      <c r="G22">
        <f>SUMIFS('Customer Product Demand'!I:I,'Customer Product Demand'!$C:$C,'Input Demand'!$A22,'Customer Product Demand'!$B:$B,'Input Demand'!$B22)</f>
        <v>2500</v>
      </c>
      <c r="H22">
        <f>SUMIFS('Customer Product Demand'!J:J,'Customer Product Demand'!$C:$C,'Input Demand'!$A22,'Customer Product Demand'!$B:$B,'Input Demand'!$B22)</f>
        <v>1500</v>
      </c>
      <c r="I22">
        <f>SUMIFS('Customer Product Demand'!K:K,'Customer Product Demand'!$C:$C,'Input Demand'!$A22,'Customer Product Demand'!$B:$B,'Input Demand'!$B22)</f>
        <v>1700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6"/>
  <sheetViews>
    <sheetView workbookViewId="0">
      <selection activeCell="E2" sqref="E2"/>
    </sheetView>
  </sheetViews>
  <sheetFormatPr defaultRowHeight="15" x14ac:dyDescent="0.25"/>
  <sheetData>
    <row r="1" spans="1:11" x14ac:dyDescent="0.25">
      <c r="A1" s="2" t="s">
        <v>19</v>
      </c>
      <c r="B1" s="2" t="s">
        <v>20</v>
      </c>
      <c r="C1" s="2" t="s">
        <v>39</v>
      </c>
      <c r="D1" s="2" t="s">
        <v>32</v>
      </c>
      <c r="E1" s="2">
        <v>1</v>
      </c>
      <c r="F1" s="2">
        <v>2</v>
      </c>
      <c r="G1" s="2">
        <v>3</v>
      </c>
      <c r="H1" s="2">
        <v>4</v>
      </c>
      <c r="I1" s="2">
        <v>5</v>
      </c>
      <c r="J1" s="2">
        <v>6</v>
      </c>
      <c r="K1" s="2">
        <v>7</v>
      </c>
    </row>
    <row r="2" spans="1:11" x14ac:dyDescent="0.25">
      <c r="A2" s="1" t="s">
        <v>29</v>
      </c>
      <c r="B2" s="1" t="s">
        <v>23</v>
      </c>
      <c r="C2" s="1" t="s">
        <v>34</v>
      </c>
      <c r="D2" s="1">
        <f ca="1">RANDBETWEEN(1,10)</f>
        <v>1</v>
      </c>
      <c r="E2" s="1">
        <v>1000</v>
      </c>
      <c r="F2" s="1">
        <v>1900</v>
      </c>
      <c r="G2" s="1">
        <v>1400</v>
      </c>
      <c r="H2" s="1">
        <v>1600</v>
      </c>
      <c r="I2" s="1">
        <v>2900</v>
      </c>
      <c r="J2" s="1">
        <v>1100</v>
      </c>
      <c r="K2" s="1">
        <v>1000</v>
      </c>
    </row>
    <row r="3" spans="1:11" x14ac:dyDescent="0.25">
      <c r="A3" s="1" t="s">
        <v>29</v>
      </c>
      <c r="B3" s="1" t="s">
        <v>24</v>
      </c>
      <c r="C3" s="1" t="s">
        <v>34</v>
      </c>
      <c r="D3" s="1">
        <f t="shared" ref="D3:D26" ca="1" si="0">RANDBETWEEN(1,10)</f>
        <v>8</v>
      </c>
      <c r="E3" s="1">
        <v>1300</v>
      </c>
      <c r="F3" s="1">
        <v>2400</v>
      </c>
      <c r="G3" s="1">
        <v>2100</v>
      </c>
      <c r="H3" s="1">
        <v>2500</v>
      </c>
      <c r="I3" s="1">
        <v>1500</v>
      </c>
      <c r="J3" s="1">
        <v>2800</v>
      </c>
      <c r="K3" s="1">
        <v>2000</v>
      </c>
    </row>
    <row r="4" spans="1:11" x14ac:dyDescent="0.25">
      <c r="A4" s="1" t="s">
        <v>29</v>
      </c>
      <c r="B4" s="1" t="s">
        <v>25</v>
      </c>
      <c r="C4" s="1" t="s">
        <v>34</v>
      </c>
      <c r="D4" s="1">
        <f t="shared" ca="1" si="0"/>
        <v>9</v>
      </c>
      <c r="E4" s="1">
        <v>2600</v>
      </c>
      <c r="F4" s="1">
        <v>2100</v>
      </c>
      <c r="G4" s="1">
        <v>1000</v>
      </c>
      <c r="H4" s="1">
        <v>1700</v>
      </c>
      <c r="I4" s="1">
        <v>2300</v>
      </c>
      <c r="J4" s="1">
        <v>2800</v>
      </c>
      <c r="K4" s="1">
        <v>2400</v>
      </c>
    </row>
    <row r="5" spans="1:11" x14ac:dyDescent="0.25">
      <c r="A5" s="1" t="s">
        <v>29</v>
      </c>
      <c r="B5" s="1" t="s">
        <v>21</v>
      </c>
      <c r="C5" s="1" t="s">
        <v>34</v>
      </c>
      <c r="D5" s="1">
        <f t="shared" ca="1" si="0"/>
        <v>10</v>
      </c>
      <c r="E5" s="1">
        <v>1700</v>
      </c>
      <c r="F5" s="1">
        <v>2400</v>
      </c>
      <c r="G5" s="1">
        <v>1200</v>
      </c>
      <c r="H5" s="1">
        <v>1000</v>
      </c>
      <c r="I5" s="1">
        <v>2300</v>
      </c>
      <c r="J5" s="1">
        <v>1400</v>
      </c>
      <c r="K5" s="1">
        <v>1100</v>
      </c>
    </row>
    <row r="6" spans="1:11" x14ac:dyDescent="0.25">
      <c r="A6" s="1" t="s">
        <v>29</v>
      </c>
      <c r="B6" s="1" t="s">
        <v>26</v>
      </c>
      <c r="C6" s="1" t="s">
        <v>34</v>
      </c>
      <c r="D6" s="1">
        <f t="shared" ca="1" si="0"/>
        <v>7</v>
      </c>
      <c r="E6" s="1">
        <v>2800</v>
      </c>
      <c r="F6" s="1">
        <v>2100</v>
      </c>
      <c r="G6" s="1">
        <v>1400</v>
      </c>
      <c r="H6" s="1">
        <v>1900</v>
      </c>
      <c r="I6" s="1">
        <v>1300</v>
      </c>
      <c r="J6" s="1">
        <v>1000</v>
      </c>
      <c r="K6" s="1">
        <v>1000</v>
      </c>
    </row>
    <row r="7" spans="1:11" x14ac:dyDescent="0.25">
      <c r="A7" s="1" t="s">
        <v>29</v>
      </c>
      <c r="B7" s="1" t="s">
        <v>27</v>
      </c>
      <c r="C7" s="1" t="s">
        <v>34</v>
      </c>
      <c r="D7" s="1">
        <f t="shared" ca="1" si="0"/>
        <v>9</v>
      </c>
      <c r="E7" s="1">
        <v>2300</v>
      </c>
      <c r="F7" s="1">
        <v>2600</v>
      </c>
      <c r="G7" s="1">
        <v>1600</v>
      </c>
      <c r="H7" s="1">
        <v>2200</v>
      </c>
      <c r="I7" s="1">
        <v>2800</v>
      </c>
      <c r="J7" s="1">
        <v>1700</v>
      </c>
      <c r="K7" s="1">
        <v>2300</v>
      </c>
    </row>
    <row r="8" spans="1:11" x14ac:dyDescent="0.25">
      <c r="A8" s="1" t="s">
        <v>29</v>
      </c>
      <c r="B8" s="1" t="s">
        <v>28</v>
      </c>
      <c r="C8" s="1" t="s">
        <v>34</v>
      </c>
      <c r="D8" s="1">
        <f t="shared" ca="1" si="0"/>
        <v>1</v>
      </c>
      <c r="E8" s="1">
        <v>2700</v>
      </c>
      <c r="F8" s="1">
        <v>1100</v>
      </c>
      <c r="G8" s="1">
        <v>1700</v>
      </c>
      <c r="H8" s="1">
        <v>2600</v>
      </c>
      <c r="I8" s="1">
        <v>1900</v>
      </c>
      <c r="J8" s="1">
        <v>1900</v>
      </c>
      <c r="K8" s="1">
        <v>2300</v>
      </c>
    </row>
    <row r="9" spans="1:11" x14ac:dyDescent="0.25">
      <c r="A9" s="1" t="s">
        <v>30</v>
      </c>
      <c r="B9" s="1" t="s">
        <v>23</v>
      </c>
      <c r="C9" s="1" t="s">
        <v>35</v>
      </c>
      <c r="D9" s="1">
        <f t="shared" ca="1" si="0"/>
        <v>1</v>
      </c>
      <c r="E9" s="1">
        <v>1600</v>
      </c>
      <c r="F9" s="1">
        <v>2900</v>
      </c>
      <c r="G9" s="1">
        <v>1800</v>
      </c>
      <c r="H9" s="1">
        <v>1400</v>
      </c>
      <c r="I9" s="1">
        <v>2200</v>
      </c>
      <c r="J9" s="1">
        <v>1000</v>
      </c>
      <c r="K9" s="1">
        <v>1400</v>
      </c>
    </row>
    <row r="10" spans="1:11" x14ac:dyDescent="0.25">
      <c r="A10" s="1" t="s">
        <v>30</v>
      </c>
      <c r="B10" s="1" t="s">
        <v>24</v>
      </c>
      <c r="C10" s="1" t="s">
        <v>35</v>
      </c>
      <c r="D10" s="1">
        <f t="shared" ca="1" si="0"/>
        <v>5</v>
      </c>
      <c r="E10" s="1">
        <v>1000</v>
      </c>
      <c r="F10" s="1">
        <v>1800</v>
      </c>
      <c r="G10" s="1">
        <v>2900</v>
      </c>
      <c r="H10" s="1">
        <v>2200</v>
      </c>
      <c r="I10" s="1">
        <v>2500</v>
      </c>
      <c r="J10" s="1">
        <v>1700</v>
      </c>
      <c r="K10" s="1">
        <v>2000</v>
      </c>
    </row>
    <row r="11" spans="1:11" x14ac:dyDescent="0.25">
      <c r="A11" s="1" t="s">
        <v>30</v>
      </c>
      <c r="B11" s="1" t="s">
        <v>25</v>
      </c>
      <c r="C11" s="1" t="s">
        <v>35</v>
      </c>
      <c r="D11" s="1">
        <f t="shared" ca="1" si="0"/>
        <v>4</v>
      </c>
      <c r="E11" s="1">
        <v>1100</v>
      </c>
      <c r="F11" s="1">
        <v>1800</v>
      </c>
      <c r="G11" s="1">
        <v>1100</v>
      </c>
      <c r="H11" s="1">
        <v>2600</v>
      </c>
      <c r="I11" s="1">
        <v>2600</v>
      </c>
      <c r="J11" s="1">
        <v>3000</v>
      </c>
      <c r="K11" s="1">
        <v>1200</v>
      </c>
    </row>
    <row r="12" spans="1:11" x14ac:dyDescent="0.25">
      <c r="A12" s="1" t="s">
        <v>30</v>
      </c>
      <c r="B12" s="1" t="s">
        <v>21</v>
      </c>
      <c r="C12" s="1" t="s">
        <v>35</v>
      </c>
      <c r="D12" s="1">
        <f t="shared" ca="1" si="0"/>
        <v>9</v>
      </c>
      <c r="E12" s="1">
        <v>1600</v>
      </c>
      <c r="F12" s="1">
        <v>1900</v>
      </c>
      <c r="G12" s="1">
        <v>2100</v>
      </c>
      <c r="H12" s="1">
        <v>2200</v>
      </c>
      <c r="I12" s="1">
        <v>1300</v>
      </c>
      <c r="J12" s="1">
        <v>1400</v>
      </c>
      <c r="K12" s="1">
        <v>1900</v>
      </c>
    </row>
    <row r="13" spans="1:11" x14ac:dyDescent="0.25">
      <c r="A13" s="1" t="s">
        <v>30</v>
      </c>
      <c r="B13" s="1" t="s">
        <v>26</v>
      </c>
      <c r="C13" s="1" t="s">
        <v>35</v>
      </c>
      <c r="D13" s="1">
        <f t="shared" ca="1" si="0"/>
        <v>6</v>
      </c>
      <c r="E13" s="1">
        <v>2900</v>
      </c>
      <c r="F13" s="1">
        <v>1300</v>
      </c>
      <c r="G13" s="1">
        <v>2900</v>
      </c>
      <c r="H13" s="1">
        <v>2300</v>
      </c>
      <c r="I13" s="1">
        <v>1900</v>
      </c>
      <c r="J13" s="1">
        <v>1300</v>
      </c>
      <c r="K13" s="1">
        <v>1100</v>
      </c>
    </row>
    <row r="14" spans="1:11" x14ac:dyDescent="0.25">
      <c r="A14" s="1" t="s">
        <v>30</v>
      </c>
      <c r="B14" s="1" t="s">
        <v>28</v>
      </c>
      <c r="C14" s="1" t="s">
        <v>35</v>
      </c>
      <c r="D14" s="1">
        <f t="shared" ca="1" si="0"/>
        <v>2</v>
      </c>
      <c r="E14" s="1">
        <v>2300</v>
      </c>
      <c r="F14" s="1">
        <v>2000</v>
      </c>
      <c r="G14" s="1">
        <v>1800</v>
      </c>
      <c r="H14" s="1">
        <v>2600</v>
      </c>
      <c r="I14" s="1">
        <v>2300</v>
      </c>
      <c r="J14" s="1">
        <v>2300</v>
      </c>
      <c r="K14" s="1">
        <v>1900</v>
      </c>
    </row>
    <row r="15" spans="1:11" x14ac:dyDescent="0.25">
      <c r="A15" s="1" t="s">
        <v>31</v>
      </c>
      <c r="B15" s="1" t="s">
        <v>23</v>
      </c>
      <c r="C15" s="1" t="s">
        <v>34</v>
      </c>
      <c r="D15" s="1">
        <f t="shared" ca="1" si="0"/>
        <v>5</v>
      </c>
      <c r="E15" s="1">
        <v>2400</v>
      </c>
      <c r="F15" s="1">
        <v>1000</v>
      </c>
      <c r="G15" s="1">
        <v>1800</v>
      </c>
      <c r="H15" s="1">
        <v>2100</v>
      </c>
      <c r="I15" s="1">
        <v>1100</v>
      </c>
      <c r="J15" s="1">
        <v>1800</v>
      </c>
      <c r="K15" s="1">
        <v>1400</v>
      </c>
    </row>
    <row r="16" spans="1:11" x14ac:dyDescent="0.25">
      <c r="A16" s="1" t="s">
        <v>31</v>
      </c>
      <c r="B16" s="1" t="s">
        <v>24</v>
      </c>
      <c r="C16" s="1" t="s">
        <v>34</v>
      </c>
      <c r="D16" s="1">
        <f t="shared" ca="1" si="0"/>
        <v>6</v>
      </c>
      <c r="E16" s="1">
        <v>1100</v>
      </c>
      <c r="F16" s="1">
        <v>2700</v>
      </c>
      <c r="G16" s="1">
        <v>2500</v>
      </c>
      <c r="H16" s="1">
        <v>1900</v>
      </c>
      <c r="I16" s="1">
        <v>2800</v>
      </c>
      <c r="J16" s="1">
        <v>2900</v>
      </c>
      <c r="K16" s="1">
        <v>2600</v>
      </c>
    </row>
    <row r="17" spans="1:11" x14ac:dyDescent="0.25">
      <c r="A17" s="1" t="s">
        <v>31</v>
      </c>
      <c r="B17" s="1" t="s">
        <v>25</v>
      </c>
      <c r="C17" s="1" t="s">
        <v>34</v>
      </c>
      <c r="D17" s="1">
        <f t="shared" ca="1" si="0"/>
        <v>5</v>
      </c>
      <c r="E17" s="1">
        <v>1300</v>
      </c>
      <c r="F17" s="1">
        <v>2400</v>
      </c>
      <c r="G17" s="1">
        <v>1300</v>
      </c>
      <c r="H17" s="1">
        <v>2000</v>
      </c>
      <c r="I17" s="1">
        <v>1200</v>
      </c>
      <c r="J17" s="1">
        <v>2900</v>
      </c>
      <c r="K17" s="1">
        <v>1600</v>
      </c>
    </row>
    <row r="18" spans="1:11" x14ac:dyDescent="0.25">
      <c r="A18" s="1" t="s">
        <v>31</v>
      </c>
      <c r="B18" s="1" t="s">
        <v>27</v>
      </c>
      <c r="C18" s="1" t="s">
        <v>34</v>
      </c>
      <c r="D18" s="1">
        <f t="shared" ca="1" si="0"/>
        <v>2</v>
      </c>
      <c r="E18" s="1">
        <v>1500</v>
      </c>
      <c r="F18" s="1">
        <v>3000</v>
      </c>
      <c r="G18" s="1">
        <v>2700</v>
      </c>
      <c r="H18" s="1">
        <v>1200</v>
      </c>
      <c r="I18" s="1">
        <v>1700</v>
      </c>
      <c r="J18" s="1">
        <v>2700</v>
      </c>
      <c r="K18" s="1">
        <v>2100</v>
      </c>
    </row>
    <row r="19" spans="1:11" x14ac:dyDescent="0.25">
      <c r="A19" s="1" t="s">
        <v>31</v>
      </c>
      <c r="B19" s="1" t="s">
        <v>28</v>
      </c>
      <c r="C19" s="1" t="s">
        <v>34</v>
      </c>
      <c r="D19" s="1">
        <f t="shared" ca="1" si="0"/>
        <v>9</v>
      </c>
      <c r="E19" s="1">
        <v>1400</v>
      </c>
      <c r="F19" s="1">
        <v>2800</v>
      </c>
      <c r="G19" s="1">
        <v>1000</v>
      </c>
      <c r="H19" s="1">
        <v>2600</v>
      </c>
      <c r="I19" s="1">
        <v>1400</v>
      </c>
      <c r="J19" s="1">
        <v>2300</v>
      </c>
      <c r="K19" s="1">
        <v>1500</v>
      </c>
    </row>
    <row r="20" spans="1:11" x14ac:dyDescent="0.25">
      <c r="A20" s="4" t="s">
        <v>40</v>
      </c>
      <c r="B20" s="1" t="s">
        <v>23</v>
      </c>
      <c r="C20" t="s">
        <v>38</v>
      </c>
      <c r="D20" s="1">
        <f t="shared" ca="1" si="0"/>
        <v>4</v>
      </c>
      <c r="E20" s="1">
        <v>2800</v>
      </c>
      <c r="F20" s="1">
        <v>1300</v>
      </c>
      <c r="G20" s="1">
        <v>1700</v>
      </c>
      <c r="H20" s="1">
        <v>2600</v>
      </c>
      <c r="I20" s="1">
        <v>2000</v>
      </c>
      <c r="J20" s="1">
        <v>1300</v>
      </c>
      <c r="K20" s="1">
        <v>1600</v>
      </c>
    </row>
    <row r="21" spans="1:11" x14ac:dyDescent="0.25">
      <c r="A21" s="4" t="s">
        <v>40</v>
      </c>
      <c r="B21" s="1" t="s">
        <v>24</v>
      </c>
      <c r="C21" t="s">
        <v>38</v>
      </c>
      <c r="D21" s="1">
        <f t="shared" ca="1" si="0"/>
        <v>3</v>
      </c>
      <c r="E21" s="1">
        <v>2300</v>
      </c>
      <c r="F21" s="1">
        <v>2500</v>
      </c>
      <c r="G21" s="1">
        <v>1500</v>
      </c>
      <c r="H21" s="1">
        <v>1000</v>
      </c>
      <c r="I21" s="1">
        <v>2100</v>
      </c>
      <c r="J21" s="1">
        <v>2200</v>
      </c>
      <c r="K21" s="1">
        <v>1400</v>
      </c>
    </row>
    <row r="22" spans="1:11" x14ac:dyDescent="0.25">
      <c r="A22" s="4" t="s">
        <v>40</v>
      </c>
      <c r="B22" s="1" t="s">
        <v>25</v>
      </c>
      <c r="C22" t="s">
        <v>38</v>
      </c>
      <c r="D22" s="1">
        <f t="shared" ca="1" si="0"/>
        <v>1</v>
      </c>
      <c r="E22" s="1">
        <v>2700</v>
      </c>
      <c r="F22" s="1">
        <v>1000</v>
      </c>
      <c r="G22" s="1">
        <v>2800</v>
      </c>
      <c r="H22" s="1">
        <v>2500</v>
      </c>
      <c r="I22" s="1">
        <v>2700</v>
      </c>
      <c r="J22" s="1">
        <v>1500</v>
      </c>
      <c r="K22" s="1">
        <v>2800</v>
      </c>
    </row>
    <row r="23" spans="1:11" x14ac:dyDescent="0.25">
      <c r="A23" s="4" t="s">
        <v>40</v>
      </c>
      <c r="B23" s="1" t="s">
        <v>21</v>
      </c>
      <c r="C23" t="s">
        <v>38</v>
      </c>
      <c r="D23" s="1">
        <f t="shared" ca="1" si="0"/>
        <v>3</v>
      </c>
      <c r="E23" s="1">
        <v>1700</v>
      </c>
      <c r="F23" s="1">
        <v>1200</v>
      </c>
      <c r="G23" s="1">
        <v>2000</v>
      </c>
      <c r="H23" s="1">
        <v>2700</v>
      </c>
      <c r="I23" s="1">
        <v>1500</v>
      </c>
      <c r="J23" s="1">
        <v>2300</v>
      </c>
      <c r="K23" s="1">
        <v>1400</v>
      </c>
    </row>
    <row r="24" spans="1:11" x14ac:dyDescent="0.25">
      <c r="A24" s="4" t="s">
        <v>40</v>
      </c>
      <c r="B24" s="1" t="s">
        <v>26</v>
      </c>
      <c r="C24" t="s">
        <v>38</v>
      </c>
      <c r="D24" s="1">
        <f t="shared" ca="1" si="0"/>
        <v>1</v>
      </c>
      <c r="E24" s="1">
        <v>1600</v>
      </c>
      <c r="F24" s="1">
        <v>2800</v>
      </c>
      <c r="G24" s="1">
        <v>1800</v>
      </c>
      <c r="H24" s="1">
        <v>2000</v>
      </c>
      <c r="I24" s="1">
        <v>2700</v>
      </c>
      <c r="J24" s="1">
        <v>1800</v>
      </c>
      <c r="K24" s="1">
        <v>1700</v>
      </c>
    </row>
    <row r="25" spans="1:11" x14ac:dyDescent="0.25">
      <c r="A25" s="4" t="s">
        <v>40</v>
      </c>
      <c r="B25" s="1" t="s">
        <v>27</v>
      </c>
      <c r="C25" t="s">
        <v>38</v>
      </c>
      <c r="D25" s="1">
        <f t="shared" ca="1" si="0"/>
        <v>4</v>
      </c>
      <c r="E25" s="1">
        <v>2200</v>
      </c>
      <c r="F25" s="1">
        <v>2800</v>
      </c>
      <c r="G25" s="1">
        <v>1200</v>
      </c>
      <c r="H25" s="1">
        <v>2400</v>
      </c>
      <c r="I25" s="1">
        <v>1300</v>
      </c>
      <c r="J25" s="1">
        <v>1700</v>
      </c>
      <c r="K25" s="1">
        <v>2300</v>
      </c>
    </row>
    <row r="26" spans="1:11" x14ac:dyDescent="0.25">
      <c r="A26" s="4" t="s">
        <v>40</v>
      </c>
      <c r="B26" s="1" t="s">
        <v>28</v>
      </c>
      <c r="C26" t="s">
        <v>38</v>
      </c>
      <c r="D26" s="1">
        <f t="shared" ca="1" si="0"/>
        <v>7</v>
      </c>
      <c r="E26" s="1">
        <v>1500</v>
      </c>
      <c r="F26" s="1">
        <v>1900</v>
      </c>
      <c r="G26" s="1">
        <v>1300</v>
      </c>
      <c r="H26" s="1">
        <v>2000</v>
      </c>
      <c r="I26" s="1">
        <v>2500</v>
      </c>
      <c r="J26" s="1">
        <v>1500</v>
      </c>
      <c r="K26" s="1">
        <v>1700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W63"/>
  <sheetViews>
    <sheetView showGridLines="0" tabSelected="1" zoomScale="90" zoomScaleNormal="90" workbookViewId="0">
      <selection activeCell="B2" sqref="B2"/>
    </sheetView>
  </sheetViews>
  <sheetFormatPr defaultRowHeight="15" x14ac:dyDescent="0.25"/>
  <cols>
    <col min="1" max="1" width="5.5703125" style="5" bestFit="1" customWidth="1"/>
    <col min="2" max="2" width="6.28515625" style="5" bestFit="1" customWidth="1"/>
    <col min="3" max="4" width="6.7109375" style="5" bestFit="1" customWidth="1"/>
    <col min="5" max="6" width="6.28515625" style="5" bestFit="1" customWidth="1"/>
    <col min="7" max="8" width="6.7109375" style="5" bestFit="1" customWidth="1"/>
    <col min="9" max="9" width="9" style="5" bestFit="1" customWidth="1"/>
    <col min="10" max="14" width="6.28515625" style="5" customWidth="1"/>
    <col min="15" max="23" width="8.42578125" style="5" customWidth="1"/>
    <col min="24" max="31" width="6.140625" style="5" customWidth="1"/>
    <col min="32" max="32" width="5.5703125" style="5" customWidth="1"/>
    <col min="33" max="16384" width="9.140625" style="5"/>
  </cols>
  <sheetData>
    <row r="5" spans="1:23" x14ac:dyDescent="0.25">
      <c r="A5" s="13" t="s">
        <v>0</v>
      </c>
      <c r="B5" s="13"/>
      <c r="C5" s="13"/>
      <c r="D5" s="13"/>
      <c r="E5" s="13"/>
      <c r="F5" s="13"/>
      <c r="G5" s="13"/>
      <c r="H5" s="13"/>
      <c r="I5" s="13"/>
      <c r="J5" s="13"/>
      <c r="K5" s="13"/>
      <c r="O5" s="13" t="s">
        <v>5</v>
      </c>
      <c r="P5" s="13"/>
      <c r="Q5" s="13"/>
      <c r="R5" s="13"/>
      <c r="S5" s="13"/>
      <c r="T5" s="13"/>
      <c r="U5" s="13"/>
      <c r="V5" s="13"/>
      <c r="W5" s="13"/>
    </row>
    <row r="7" spans="1:23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</row>
    <row r="8" spans="1:23" x14ac:dyDescent="0.25">
      <c r="A8" s="11" t="s">
        <v>36</v>
      </c>
      <c r="B8" s="11" t="s">
        <v>6</v>
      </c>
      <c r="C8" s="11" t="s">
        <v>7</v>
      </c>
      <c r="D8" s="11" t="s">
        <v>8</v>
      </c>
      <c r="E8" s="11" t="s">
        <v>9</v>
      </c>
      <c r="F8" s="11" t="s">
        <v>10</v>
      </c>
      <c r="G8" s="11" t="s">
        <v>11</v>
      </c>
      <c r="H8" s="11" t="s">
        <v>37</v>
      </c>
      <c r="I8" s="11" t="s">
        <v>33</v>
      </c>
      <c r="J8" s="7"/>
      <c r="K8" s="7"/>
      <c r="L8" s="7"/>
      <c r="O8" s="3" t="s">
        <v>45</v>
      </c>
      <c r="P8" s="3" t="s">
        <v>6</v>
      </c>
      <c r="Q8" s="3" t="s">
        <v>7</v>
      </c>
      <c r="R8" s="3" t="s">
        <v>8</v>
      </c>
      <c r="S8" s="3" t="s">
        <v>9</v>
      </c>
      <c r="T8" s="3" t="s">
        <v>10</v>
      </c>
      <c r="U8" s="3" t="s">
        <v>11</v>
      </c>
      <c r="V8" s="3" t="s">
        <v>37</v>
      </c>
      <c r="W8" s="3" t="s">
        <v>41</v>
      </c>
    </row>
    <row r="9" spans="1:23" x14ac:dyDescent="0.25">
      <c r="A9" s="7" t="s">
        <v>1</v>
      </c>
      <c r="B9" s="7">
        <v>1200</v>
      </c>
      <c r="C9" s="7">
        <v>150</v>
      </c>
      <c r="D9" s="7">
        <v>2000</v>
      </c>
      <c r="E9" s="7">
        <v>0</v>
      </c>
      <c r="F9" s="7">
        <v>0</v>
      </c>
      <c r="G9" s="7">
        <v>2200</v>
      </c>
      <c r="H9" s="7">
        <v>200</v>
      </c>
      <c r="I9" s="7" t="s">
        <v>34</v>
      </c>
      <c r="J9" s="7"/>
      <c r="K9" s="7"/>
      <c r="L9" s="7"/>
      <c r="O9" s="1" t="s">
        <v>12</v>
      </c>
      <c r="P9" s="1">
        <f t="shared" ref="P9:V15" si="0">SUMIFS(P$42:P$62,$O$42:$O$62,$O9)</f>
        <v>6600</v>
      </c>
      <c r="Q9" s="1">
        <f t="shared" si="0"/>
        <v>19500</v>
      </c>
      <c r="R9" s="1">
        <f t="shared" si="0"/>
        <v>26400</v>
      </c>
      <c r="S9" s="1">
        <f t="shared" si="0"/>
        <v>32400</v>
      </c>
      <c r="T9" s="1">
        <f t="shared" si="0"/>
        <v>37500</v>
      </c>
      <c r="U9" s="1">
        <f t="shared" si="0"/>
        <v>48300</v>
      </c>
      <c r="V9" s="1">
        <f t="shared" si="0"/>
        <v>56000</v>
      </c>
      <c r="W9" s="9">
        <f>SUM(P9:V9)</f>
        <v>226700</v>
      </c>
    </row>
    <row r="10" spans="1:23" x14ac:dyDescent="0.25">
      <c r="A10" s="7" t="s">
        <v>2</v>
      </c>
      <c r="B10" s="7">
        <v>0</v>
      </c>
      <c r="C10" s="7">
        <v>2150</v>
      </c>
      <c r="D10" s="7">
        <v>0</v>
      </c>
      <c r="E10" s="7">
        <v>550</v>
      </c>
      <c r="F10" s="7">
        <v>500</v>
      </c>
      <c r="G10" s="7">
        <v>0</v>
      </c>
      <c r="H10" s="7">
        <v>1700</v>
      </c>
      <c r="I10" s="7" t="s">
        <v>34</v>
      </c>
      <c r="J10" s="7"/>
      <c r="K10" s="7"/>
      <c r="L10" s="7"/>
      <c r="O10" s="1" t="s">
        <v>13</v>
      </c>
      <c r="P10" s="1">
        <f t="shared" si="0"/>
        <v>100</v>
      </c>
      <c r="Q10" s="1">
        <f t="shared" si="0"/>
        <v>0</v>
      </c>
      <c r="R10" s="1">
        <f t="shared" si="0"/>
        <v>0</v>
      </c>
      <c r="S10" s="1">
        <f t="shared" si="0"/>
        <v>0</v>
      </c>
      <c r="T10" s="1">
        <f t="shared" si="0"/>
        <v>0</v>
      </c>
      <c r="U10" s="1">
        <f t="shared" si="0"/>
        <v>0</v>
      </c>
      <c r="V10" s="1">
        <f t="shared" si="0"/>
        <v>0</v>
      </c>
      <c r="W10" s="9">
        <f t="shared" ref="W10:W15" si="1">SUM(P10:V10)</f>
        <v>100</v>
      </c>
    </row>
    <row r="11" spans="1:23" x14ac:dyDescent="0.25">
      <c r="A11" s="7" t="s">
        <v>3</v>
      </c>
      <c r="B11" s="7">
        <v>900</v>
      </c>
      <c r="C11" s="7">
        <v>5100</v>
      </c>
      <c r="D11" s="7">
        <v>2750</v>
      </c>
      <c r="E11" s="7">
        <v>1800</v>
      </c>
      <c r="F11" s="7">
        <v>1950</v>
      </c>
      <c r="G11" s="7">
        <v>3350</v>
      </c>
      <c r="H11" s="7">
        <v>3900</v>
      </c>
      <c r="I11" s="7" t="s">
        <v>34</v>
      </c>
      <c r="J11" s="7"/>
      <c r="K11" s="7"/>
      <c r="L11" s="7"/>
      <c r="O11" s="1" t="s">
        <v>14</v>
      </c>
      <c r="P11" s="1">
        <f t="shared" si="0"/>
        <v>4300</v>
      </c>
      <c r="Q11" s="1">
        <f t="shared" si="0"/>
        <v>13600</v>
      </c>
      <c r="R11" s="1">
        <f t="shared" si="0"/>
        <v>21200</v>
      </c>
      <c r="S11" s="1">
        <f t="shared" si="0"/>
        <v>25700</v>
      </c>
      <c r="T11" s="1">
        <f t="shared" si="0"/>
        <v>30200</v>
      </c>
      <c r="U11" s="1">
        <f t="shared" si="0"/>
        <v>41500</v>
      </c>
      <c r="V11" s="1">
        <f t="shared" si="0"/>
        <v>50700</v>
      </c>
      <c r="W11" s="9">
        <f t="shared" si="1"/>
        <v>187200</v>
      </c>
    </row>
    <row r="12" spans="1:23" x14ac:dyDescent="0.25">
      <c r="A12" s="7" t="s">
        <v>4</v>
      </c>
      <c r="B12" s="7">
        <v>2000</v>
      </c>
      <c r="C12" s="7">
        <v>0</v>
      </c>
      <c r="D12" s="7">
        <v>1750</v>
      </c>
      <c r="E12" s="7">
        <v>600</v>
      </c>
      <c r="F12" s="7">
        <v>150</v>
      </c>
      <c r="G12" s="7">
        <v>2250</v>
      </c>
      <c r="H12" s="7">
        <v>0</v>
      </c>
      <c r="I12" s="7" t="s">
        <v>34</v>
      </c>
      <c r="J12" s="7"/>
      <c r="K12" s="7"/>
      <c r="L12" s="7"/>
      <c r="O12" s="1" t="s">
        <v>15</v>
      </c>
      <c r="P12" s="1">
        <f t="shared" si="0"/>
        <v>1100</v>
      </c>
      <c r="Q12" s="1">
        <f t="shared" si="0"/>
        <v>1800</v>
      </c>
      <c r="R12" s="1">
        <f t="shared" si="0"/>
        <v>1800</v>
      </c>
      <c r="S12" s="1">
        <f t="shared" si="0"/>
        <v>1500</v>
      </c>
      <c r="T12" s="1">
        <f t="shared" si="0"/>
        <v>900</v>
      </c>
      <c r="U12" s="1">
        <f t="shared" si="0"/>
        <v>1800</v>
      </c>
      <c r="V12" s="1">
        <f t="shared" si="0"/>
        <v>0</v>
      </c>
      <c r="W12" s="9">
        <f t="shared" si="1"/>
        <v>8900</v>
      </c>
    </row>
    <row r="13" spans="1:23" x14ac:dyDescent="0.25">
      <c r="A13" s="7" t="s">
        <v>1</v>
      </c>
      <c r="B13" s="7">
        <v>700</v>
      </c>
      <c r="C13" s="7">
        <v>1000</v>
      </c>
      <c r="D13" s="7">
        <v>600</v>
      </c>
      <c r="E13" s="7">
        <v>950</v>
      </c>
      <c r="F13" s="7">
        <v>550</v>
      </c>
      <c r="G13" s="7">
        <v>0</v>
      </c>
      <c r="H13" s="7">
        <v>0</v>
      </c>
      <c r="I13" s="7" t="s">
        <v>35</v>
      </c>
      <c r="J13" s="7"/>
      <c r="K13" s="7"/>
      <c r="L13" s="7"/>
      <c r="O13" s="1" t="s">
        <v>16</v>
      </c>
      <c r="P13" s="1">
        <f t="shared" si="0"/>
        <v>600</v>
      </c>
      <c r="Q13" s="1">
        <f t="shared" si="0"/>
        <v>0</v>
      </c>
      <c r="R13" s="1">
        <f t="shared" si="0"/>
        <v>0</v>
      </c>
      <c r="S13" s="1">
        <f t="shared" si="0"/>
        <v>500</v>
      </c>
      <c r="T13" s="1">
        <f t="shared" si="0"/>
        <v>200</v>
      </c>
      <c r="U13" s="1">
        <f t="shared" si="0"/>
        <v>1100</v>
      </c>
      <c r="V13" s="1">
        <f t="shared" si="0"/>
        <v>1000</v>
      </c>
      <c r="W13" s="9">
        <f t="shared" si="1"/>
        <v>3400</v>
      </c>
    </row>
    <row r="14" spans="1:23" x14ac:dyDescent="0.25">
      <c r="A14" s="7" t="s">
        <v>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950</v>
      </c>
      <c r="I14" s="7" t="s">
        <v>35</v>
      </c>
      <c r="J14" s="7"/>
      <c r="K14" s="7"/>
      <c r="L14" s="7"/>
      <c r="O14" s="1" t="s">
        <v>17</v>
      </c>
      <c r="P14" s="1">
        <f t="shared" si="0"/>
        <v>14600</v>
      </c>
      <c r="Q14" s="1">
        <f t="shared" si="0"/>
        <v>31600</v>
      </c>
      <c r="R14" s="1">
        <f t="shared" si="0"/>
        <v>44000</v>
      </c>
      <c r="S14" s="1">
        <f t="shared" si="0"/>
        <v>54300</v>
      </c>
      <c r="T14" s="1">
        <f t="shared" si="0"/>
        <v>66400</v>
      </c>
      <c r="U14" s="1">
        <f t="shared" si="0"/>
        <v>83800</v>
      </c>
      <c r="V14" s="1">
        <f t="shared" si="0"/>
        <v>98800</v>
      </c>
      <c r="W14" s="9">
        <f t="shared" si="1"/>
        <v>393500</v>
      </c>
    </row>
    <row r="15" spans="1:23" x14ac:dyDescent="0.25">
      <c r="A15" s="7" t="s">
        <v>3</v>
      </c>
      <c r="B15" s="7">
        <v>1800</v>
      </c>
      <c r="C15" s="7">
        <v>550</v>
      </c>
      <c r="D15" s="7">
        <v>500</v>
      </c>
      <c r="E15" s="7">
        <v>1250</v>
      </c>
      <c r="F15" s="7">
        <v>250</v>
      </c>
      <c r="G15" s="7">
        <v>0</v>
      </c>
      <c r="H15" s="7">
        <v>1650</v>
      </c>
      <c r="I15" s="7" t="s">
        <v>35</v>
      </c>
      <c r="J15" s="7"/>
      <c r="K15" s="7"/>
      <c r="L15" s="7"/>
      <c r="O15" s="1" t="s">
        <v>18</v>
      </c>
      <c r="P15" s="1">
        <f t="shared" si="0"/>
        <v>0</v>
      </c>
      <c r="Q15" s="1">
        <f t="shared" si="0"/>
        <v>0</v>
      </c>
      <c r="R15" s="1">
        <f t="shared" si="0"/>
        <v>0</v>
      </c>
      <c r="S15" s="1">
        <f t="shared" si="0"/>
        <v>0</v>
      </c>
      <c r="T15" s="1">
        <f t="shared" si="0"/>
        <v>0</v>
      </c>
      <c r="U15" s="1">
        <f t="shared" si="0"/>
        <v>0</v>
      </c>
      <c r="V15" s="1">
        <f t="shared" si="0"/>
        <v>0</v>
      </c>
      <c r="W15" s="9">
        <f t="shared" si="1"/>
        <v>0</v>
      </c>
    </row>
    <row r="16" spans="1:23" x14ac:dyDescent="0.25">
      <c r="A16" s="7" t="s">
        <v>4</v>
      </c>
      <c r="B16" s="7">
        <v>1100</v>
      </c>
      <c r="C16" s="7">
        <v>1250</v>
      </c>
      <c r="D16" s="7">
        <v>1300</v>
      </c>
      <c r="E16" s="7">
        <v>650</v>
      </c>
      <c r="F16" s="7">
        <v>1050</v>
      </c>
      <c r="G16" s="7">
        <v>0</v>
      </c>
      <c r="H16" s="7">
        <v>350</v>
      </c>
      <c r="I16" s="7" t="s">
        <v>35</v>
      </c>
      <c r="J16" s="7"/>
      <c r="K16" s="7"/>
      <c r="L16" s="7"/>
    </row>
    <row r="17" spans="1:12" x14ac:dyDescent="0.25">
      <c r="A17" s="7" t="s">
        <v>1</v>
      </c>
      <c r="B17" s="7">
        <v>800</v>
      </c>
      <c r="C17" s="7">
        <v>0</v>
      </c>
      <c r="D17" s="7">
        <v>1050</v>
      </c>
      <c r="E17" s="7">
        <v>0</v>
      </c>
      <c r="F17" s="7">
        <v>0</v>
      </c>
      <c r="G17" s="7">
        <v>1150</v>
      </c>
      <c r="H17" s="7">
        <v>0</v>
      </c>
      <c r="I17" s="7" t="s">
        <v>38</v>
      </c>
      <c r="J17" s="7"/>
      <c r="K17" s="7"/>
      <c r="L17" s="7"/>
    </row>
    <row r="18" spans="1:12" x14ac:dyDescent="0.25">
      <c r="A18" s="7" t="s">
        <v>2</v>
      </c>
      <c r="B18" s="7">
        <v>0</v>
      </c>
      <c r="C18" s="7">
        <v>700</v>
      </c>
      <c r="D18" s="7">
        <v>350</v>
      </c>
      <c r="E18" s="7">
        <v>700</v>
      </c>
      <c r="F18" s="7">
        <v>850</v>
      </c>
      <c r="G18" s="7">
        <v>0</v>
      </c>
      <c r="H18" s="7">
        <v>850</v>
      </c>
      <c r="I18" s="7" t="s">
        <v>38</v>
      </c>
      <c r="J18" s="7"/>
      <c r="K18" s="7"/>
      <c r="L18" s="7"/>
    </row>
    <row r="19" spans="1:12" x14ac:dyDescent="0.25">
      <c r="A19" s="7" t="s">
        <v>3</v>
      </c>
      <c r="B19" s="7">
        <v>100</v>
      </c>
      <c r="C19" s="7">
        <v>2350</v>
      </c>
      <c r="D19" s="7">
        <v>0</v>
      </c>
      <c r="E19" s="7">
        <v>900</v>
      </c>
      <c r="F19" s="7">
        <v>2550</v>
      </c>
      <c r="G19" s="7">
        <v>1700</v>
      </c>
      <c r="H19" s="7">
        <v>1750</v>
      </c>
      <c r="I19" s="7" t="s">
        <v>38</v>
      </c>
      <c r="J19" s="7"/>
      <c r="K19" s="7"/>
      <c r="L19" s="7"/>
    </row>
    <row r="20" spans="1:12" x14ac:dyDescent="0.25">
      <c r="A20" s="7" t="s">
        <v>4</v>
      </c>
      <c r="B20" s="7">
        <v>1300</v>
      </c>
      <c r="C20" s="7">
        <v>50</v>
      </c>
      <c r="D20" s="7">
        <v>1000</v>
      </c>
      <c r="E20" s="7">
        <v>300</v>
      </c>
      <c r="F20" s="7">
        <v>250</v>
      </c>
      <c r="G20" s="7">
        <v>1100</v>
      </c>
      <c r="H20" s="7">
        <v>150</v>
      </c>
      <c r="I20" s="7" t="s">
        <v>38</v>
      </c>
      <c r="J20" s="7"/>
      <c r="K20" s="7"/>
      <c r="L20" s="7"/>
    </row>
    <row r="21" spans="1:12" x14ac:dyDescent="0.25">
      <c r="A21" s="10" t="s">
        <v>41</v>
      </c>
      <c r="B21" s="10">
        <f t="shared" ref="B21:H21" si="2">SUM(B9:B20)</f>
        <v>9900</v>
      </c>
      <c r="C21" s="10">
        <f t="shared" si="2"/>
        <v>13300</v>
      </c>
      <c r="D21" s="10">
        <f t="shared" si="2"/>
        <v>11300</v>
      </c>
      <c r="E21" s="10">
        <f t="shared" si="2"/>
        <v>7700</v>
      </c>
      <c r="F21" s="10">
        <f t="shared" si="2"/>
        <v>8100</v>
      </c>
      <c r="G21" s="10">
        <f t="shared" si="2"/>
        <v>11750</v>
      </c>
      <c r="H21" s="10">
        <f t="shared" si="2"/>
        <v>11500</v>
      </c>
      <c r="I21" s="7"/>
      <c r="J21" s="7"/>
      <c r="K21" s="7"/>
      <c r="L21" s="7"/>
    </row>
    <row r="22" spans="1:12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</row>
    <row r="23" spans="1:12" x14ac:dyDescent="0.25">
      <c r="A23" s="7" t="s">
        <v>42</v>
      </c>
      <c r="B23" s="7" t="s">
        <v>43</v>
      </c>
      <c r="C23" s="7"/>
      <c r="D23" s="7"/>
      <c r="E23" s="7"/>
      <c r="F23" s="7"/>
      <c r="G23" s="7"/>
      <c r="H23" s="7"/>
      <c r="I23" s="7"/>
      <c r="J23" s="7"/>
      <c r="K23" s="7"/>
      <c r="L23" s="7"/>
    </row>
    <row r="24" spans="1:12" x14ac:dyDescent="0.25">
      <c r="A24" s="7" t="str">
        <f>B8</f>
        <v>Day_1</v>
      </c>
      <c r="B24" s="7">
        <f>B21</f>
        <v>9900</v>
      </c>
      <c r="C24" s="7"/>
      <c r="D24" s="7"/>
      <c r="E24" s="7"/>
      <c r="F24" s="7"/>
      <c r="G24" s="7"/>
      <c r="H24" s="7"/>
      <c r="I24" s="7"/>
      <c r="J24" s="7"/>
      <c r="K24" s="7"/>
      <c r="L24" s="7"/>
    </row>
    <row r="25" spans="1:12" x14ac:dyDescent="0.25">
      <c r="A25" s="7" t="str">
        <f>C8</f>
        <v>Day_2</v>
      </c>
      <c r="B25" s="7">
        <f>C21</f>
        <v>13300</v>
      </c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25">
      <c r="A26" s="7" t="str">
        <f>D8</f>
        <v>Day_3</v>
      </c>
      <c r="B26" s="7">
        <f>D21</f>
        <v>11300</v>
      </c>
      <c r="C26" s="7"/>
      <c r="D26" s="7"/>
      <c r="E26" s="7"/>
      <c r="F26" s="7"/>
      <c r="G26" s="7"/>
      <c r="H26" s="7"/>
      <c r="I26" s="7"/>
      <c r="J26" s="7"/>
      <c r="K26" s="7"/>
      <c r="L26" s="7"/>
    </row>
    <row r="27" spans="1:12" x14ac:dyDescent="0.25">
      <c r="A27" s="7" t="str">
        <f>E8</f>
        <v>Day_4</v>
      </c>
      <c r="B27" s="7">
        <f>E21</f>
        <v>7700</v>
      </c>
      <c r="C27" s="7"/>
      <c r="D27" s="7"/>
      <c r="E27" s="7"/>
      <c r="F27" s="7"/>
      <c r="G27" s="7"/>
      <c r="H27" s="7"/>
      <c r="I27" s="7"/>
      <c r="J27" s="7"/>
      <c r="K27" s="7"/>
      <c r="L27" s="7"/>
    </row>
    <row r="28" spans="1:12" x14ac:dyDescent="0.25">
      <c r="A28" s="7" t="str">
        <f>F8</f>
        <v>Day_5</v>
      </c>
      <c r="B28" s="7">
        <f>F21</f>
        <v>8100</v>
      </c>
      <c r="C28" s="7"/>
      <c r="D28" s="7"/>
      <c r="E28" s="7"/>
      <c r="F28" s="7"/>
      <c r="G28" s="7"/>
      <c r="H28" s="7"/>
      <c r="I28" s="7"/>
      <c r="J28" s="7"/>
      <c r="K28" s="7"/>
      <c r="L28" s="7"/>
    </row>
    <row r="29" spans="1:12" x14ac:dyDescent="0.25">
      <c r="A29" s="7" t="str">
        <f>G8</f>
        <v>Day_6</v>
      </c>
      <c r="B29" s="7">
        <f>G21</f>
        <v>11750</v>
      </c>
      <c r="C29" s="7"/>
      <c r="D29" s="7"/>
      <c r="E29" s="7"/>
      <c r="F29" s="7"/>
      <c r="G29" s="7"/>
      <c r="H29" s="7"/>
      <c r="I29" s="7"/>
      <c r="J29" s="7"/>
      <c r="K29" s="7"/>
      <c r="L29" s="7"/>
    </row>
    <row r="30" spans="1:12" x14ac:dyDescent="0.25">
      <c r="A30" s="7" t="str">
        <f>H8</f>
        <v>Day_7</v>
      </c>
      <c r="B30" s="7">
        <f>H21</f>
        <v>11500</v>
      </c>
      <c r="C30" s="7"/>
      <c r="D30" s="7"/>
      <c r="E30" s="7"/>
      <c r="F30" s="7"/>
      <c r="G30" s="7"/>
      <c r="H30" s="7"/>
      <c r="I30" s="7"/>
      <c r="J30" s="7"/>
      <c r="K30" s="7"/>
      <c r="L30" s="7"/>
    </row>
    <row r="31" spans="1:12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</row>
    <row r="32" spans="1:12" x14ac:dyDescent="0.25">
      <c r="A32" s="10" t="s">
        <v>44</v>
      </c>
      <c r="B32" s="11" t="s">
        <v>6</v>
      </c>
      <c r="C32" s="11" t="s">
        <v>7</v>
      </c>
      <c r="D32" s="11" t="s">
        <v>8</v>
      </c>
      <c r="E32" s="11" t="s">
        <v>9</v>
      </c>
      <c r="F32" s="11" t="s">
        <v>10</v>
      </c>
      <c r="G32" s="11" t="s">
        <v>11</v>
      </c>
      <c r="H32" s="11" t="s">
        <v>37</v>
      </c>
      <c r="I32" s="7"/>
      <c r="J32" s="7"/>
      <c r="K32" s="7"/>
      <c r="L32" s="7"/>
    </row>
    <row r="33" spans="1:23" x14ac:dyDescent="0.25">
      <c r="A33" s="7" t="s">
        <v>34</v>
      </c>
      <c r="B33" s="7">
        <f t="shared" ref="B33:H35" si="3">SUMIF($I$9:$I$20,$A33,B$9:B$20)</f>
        <v>4100</v>
      </c>
      <c r="C33" s="7">
        <f t="shared" si="3"/>
        <v>7400</v>
      </c>
      <c r="D33" s="7">
        <f t="shared" si="3"/>
        <v>6500</v>
      </c>
      <c r="E33" s="7">
        <f t="shared" si="3"/>
        <v>2950</v>
      </c>
      <c r="F33" s="7">
        <f t="shared" si="3"/>
        <v>2600</v>
      </c>
      <c r="G33" s="7">
        <f t="shared" si="3"/>
        <v>7800</v>
      </c>
      <c r="H33" s="7">
        <f t="shared" si="3"/>
        <v>5800</v>
      </c>
      <c r="I33" s="7"/>
      <c r="J33" s="7"/>
      <c r="K33" s="7"/>
      <c r="L33" s="7"/>
    </row>
    <row r="34" spans="1:23" x14ac:dyDescent="0.25">
      <c r="A34" s="7" t="s">
        <v>35</v>
      </c>
      <c r="B34" s="7">
        <f t="shared" si="3"/>
        <v>3600</v>
      </c>
      <c r="C34" s="7">
        <f t="shared" si="3"/>
        <v>2800</v>
      </c>
      <c r="D34" s="7">
        <f t="shared" si="3"/>
        <v>2400</v>
      </c>
      <c r="E34" s="7">
        <f t="shared" si="3"/>
        <v>2850</v>
      </c>
      <c r="F34" s="7">
        <f t="shared" si="3"/>
        <v>1850</v>
      </c>
      <c r="G34" s="7">
        <f t="shared" si="3"/>
        <v>0</v>
      </c>
      <c r="H34" s="7">
        <f t="shared" si="3"/>
        <v>2950</v>
      </c>
      <c r="I34" s="7"/>
      <c r="J34" s="7"/>
      <c r="K34" s="7"/>
      <c r="L34" s="7"/>
    </row>
    <row r="35" spans="1:23" x14ac:dyDescent="0.25">
      <c r="A35" s="7" t="s">
        <v>38</v>
      </c>
      <c r="B35" s="7">
        <f t="shared" si="3"/>
        <v>2200</v>
      </c>
      <c r="C35" s="7">
        <f t="shared" si="3"/>
        <v>3100</v>
      </c>
      <c r="D35" s="7">
        <f t="shared" si="3"/>
        <v>2400</v>
      </c>
      <c r="E35" s="7">
        <f t="shared" si="3"/>
        <v>1900</v>
      </c>
      <c r="F35" s="7">
        <f t="shared" si="3"/>
        <v>3650</v>
      </c>
      <c r="G35" s="7">
        <f t="shared" si="3"/>
        <v>3950</v>
      </c>
      <c r="H35" s="7">
        <f t="shared" si="3"/>
        <v>2750</v>
      </c>
      <c r="I35" s="7"/>
      <c r="J35" s="7"/>
      <c r="K35" s="7"/>
      <c r="L35" s="7"/>
    </row>
    <row r="36" spans="1:23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</row>
    <row r="37" spans="1:23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</row>
    <row r="38" spans="1:23" x14ac:dyDescent="0.25">
      <c r="J38" s="7"/>
      <c r="K38" s="7"/>
      <c r="L38" s="7"/>
    </row>
    <row r="39" spans="1:23" x14ac:dyDescent="0.25">
      <c r="J39" s="7"/>
      <c r="K39" s="7"/>
      <c r="L39" s="7"/>
    </row>
    <row r="40" spans="1:23" x14ac:dyDescent="0.25">
      <c r="J40" s="7"/>
      <c r="K40" s="7"/>
      <c r="L40" s="7"/>
      <c r="O40" s="6"/>
      <c r="P40" s="6"/>
      <c r="Q40" s="6"/>
      <c r="R40" s="8"/>
      <c r="S40" s="7"/>
      <c r="T40" s="6"/>
      <c r="U40" s="6"/>
      <c r="V40" s="6"/>
      <c r="W40" s="6"/>
    </row>
    <row r="41" spans="1:23" x14ac:dyDescent="0.25">
      <c r="J41" s="7"/>
      <c r="K41" s="7"/>
      <c r="L41" s="7"/>
      <c r="O41" s="6" t="s">
        <v>36</v>
      </c>
      <c r="P41" s="6" t="s">
        <v>6</v>
      </c>
      <c r="Q41" s="6" t="s">
        <v>7</v>
      </c>
      <c r="R41" s="8" t="s">
        <v>8</v>
      </c>
      <c r="S41" s="7" t="s">
        <v>9</v>
      </c>
      <c r="T41" s="6" t="s">
        <v>10</v>
      </c>
      <c r="U41" s="6" t="s">
        <v>11</v>
      </c>
      <c r="V41" s="6" t="s">
        <v>37</v>
      </c>
      <c r="W41" s="6" t="s">
        <v>33</v>
      </c>
    </row>
    <row r="42" spans="1:23" x14ac:dyDescent="0.25">
      <c r="O42" s="6" t="s">
        <v>12</v>
      </c>
      <c r="P42" s="6">
        <v>2400</v>
      </c>
      <c r="Q42" s="6">
        <v>10200</v>
      </c>
      <c r="R42" s="6">
        <v>15300</v>
      </c>
      <c r="S42" s="6">
        <v>18400</v>
      </c>
      <c r="T42" s="6">
        <v>19800</v>
      </c>
      <c r="U42" s="6">
        <v>27200</v>
      </c>
      <c r="V42" s="6">
        <v>30900</v>
      </c>
      <c r="W42" s="6" t="s">
        <v>34</v>
      </c>
    </row>
    <row r="43" spans="1:23" x14ac:dyDescent="0.25">
      <c r="O43" s="6" t="s">
        <v>13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 t="s">
        <v>34</v>
      </c>
    </row>
    <row r="44" spans="1:23" x14ac:dyDescent="0.25">
      <c r="O44" s="6" t="s">
        <v>14</v>
      </c>
      <c r="P44" s="6">
        <v>1000</v>
      </c>
      <c r="Q44" s="6">
        <v>6900</v>
      </c>
      <c r="R44" s="6">
        <v>14100</v>
      </c>
      <c r="S44" s="6">
        <v>16500</v>
      </c>
      <c r="T44" s="6">
        <v>19000</v>
      </c>
      <c r="U44" s="6">
        <v>25800</v>
      </c>
      <c r="V44" s="6">
        <v>31300</v>
      </c>
      <c r="W44" s="6" t="s">
        <v>34</v>
      </c>
    </row>
    <row r="45" spans="1:23" x14ac:dyDescent="0.25">
      <c r="O45" s="6" t="s">
        <v>15</v>
      </c>
      <c r="P45" s="6">
        <v>300</v>
      </c>
      <c r="Q45" s="6">
        <v>200</v>
      </c>
      <c r="R45" s="6">
        <v>0</v>
      </c>
      <c r="S45" s="6">
        <v>1300</v>
      </c>
      <c r="T45" s="6">
        <v>700</v>
      </c>
      <c r="U45" s="6">
        <v>1800</v>
      </c>
      <c r="V45" s="6">
        <v>0</v>
      </c>
      <c r="W45" s="6" t="s">
        <v>34</v>
      </c>
    </row>
    <row r="46" spans="1:23" x14ac:dyDescent="0.25">
      <c r="O46" s="6" t="s">
        <v>16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100</v>
      </c>
      <c r="W46" s="6" t="s">
        <v>34</v>
      </c>
    </row>
    <row r="47" spans="1:23" x14ac:dyDescent="0.25">
      <c r="O47" s="6" t="s">
        <v>17</v>
      </c>
      <c r="P47" s="6">
        <v>5300</v>
      </c>
      <c r="Q47" s="6">
        <v>14400</v>
      </c>
      <c r="R47" s="6">
        <v>21700</v>
      </c>
      <c r="S47" s="6">
        <v>26200</v>
      </c>
      <c r="T47" s="6">
        <v>30400</v>
      </c>
      <c r="U47" s="6">
        <v>41600</v>
      </c>
      <c r="V47" s="6">
        <v>49000</v>
      </c>
      <c r="W47" s="6" t="s">
        <v>34</v>
      </c>
    </row>
    <row r="48" spans="1:23" x14ac:dyDescent="0.25">
      <c r="O48" s="6" t="s">
        <v>18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 t="s">
        <v>34</v>
      </c>
    </row>
    <row r="49" spans="15:23" x14ac:dyDescent="0.25">
      <c r="O49" s="6" t="s">
        <v>12</v>
      </c>
      <c r="P49" s="6">
        <v>4200</v>
      </c>
      <c r="Q49" s="6">
        <v>6800</v>
      </c>
      <c r="R49" s="6">
        <v>9300</v>
      </c>
      <c r="S49" s="6">
        <v>11500</v>
      </c>
      <c r="T49" s="6">
        <v>11200</v>
      </c>
      <c r="U49" s="6">
        <v>11200</v>
      </c>
      <c r="V49" s="6">
        <v>12900</v>
      </c>
      <c r="W49" s="6" t="s">
        <v>35</v>
      </c>
    </row>
    <row r="50" spans="15:23" x14ac:dyDescent="0.25">
      <c r="O50" s="6" t="s">
        <v>13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 t="s">
        <v>35</v>
      </c>
    </row>
    <row r="51" spans="15:23" x14ac:dyDescent="0.25">
      <c r="O51" s="6" t="s">
        <v>14</v>
      </c>
      <c r="P51" s="6">
        <v>3200</v>
      </c>
      <c r="Q51" s="6">
        <v>3400</v>
      </c>
      <c r="R51" s="6">
        <v>4500</v>
      </c>
      <c r="S51" s="6">
        <v>6800</v>
      </c>
      <c r="T51" s="6">
        <v>5500</v>
      </c>
      <c r="U51" s="6">
        <v>5500</v>
      </c>
      <c r="V51" s="6">
        <v>7000</v>
      </c>
      <c r="W51" s="6" t="s">
        <v>35</v>
      </c>
    </row>
    <row r="52" spans="15:23" x14ac:dyDescent="0.25">
      <c r="O52" s="6" t="s">
        <v>15</v>
      </c>
      <c r="P52" s="6">
        <v>800</v>
      </c>
      <c r="Q52" s="6">
        <v>1100</v>
      </c>
      <c r="R52" s="6">
        <v>1100</v>
      </c>
      <c r="S52" s="6">
        <v>200</v>
      </c>
      <c r="T52" s="6">
        <v>0</v>
      </c>
      <c r="U52" s="6">
        <v>0</v>
      </c>
      <c r="V52" s="6">
        <v>0</v>
      </c>
      <c r="W52" s="6" t="s">
        <v>35</v>
      </c>
    </row>
    <row r="53" spans="15:23" x14ac:dyDescent="0.25">
      <c r="O53" s="6" t="s">
        <v>16</v>
      </c>
      <c r="P53" s="6">
        <v>0</v>
      </c>
      <c r="Q53" s="6">
        <v>0</v>
      </c>
      <c r="R53" s="6">
        <v>0</v>
      </c>
      <c r="S53" s="6">
        <v>0</v>
      </c>
      <c r="T53" s="6">
        <v>200</v>
      </c>
      <c r="U53" s="6">
        <v>200</v>
      </c>
      <c r="V53" s="6">
        <v>500</v>
      </c>
      <c r="W53" s="6" t="s">
        <v>35</v>
      </c>
    </row>
    <row r="54" spans="15:23" x14ac:dyDescent="0.25">
      <c r="O54" s="6" t="s">
        <v>17</v>
      </c>
      <c r="P54" s="6">
        <v>6200</v>
      </c>
      <c r="Q54" s="6">
        <v>10100</v>
      </c>
      <c r="R54" s="6">
        <v>11900</v>
      </c>
      <c r="S54" s="6">
        <v>16200</v>
      </c>
      <c r="T54" s="6">
        <v>18600</v>
      </c>
      <c r="U54" s="6">
        <v>18600</v>
      </c>
      <c r="V54" s="6">
        <v>22200</v>
      </c>
      <c r="W54" s="6" t="s">
        <v>35</v>
      </c>
    </row>
    <row r="55" spans="15:23" x14ac:dyDescent="0.25">
      <c r="O55" s="6" t="s">
        <v>18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 t="s">
        <v>35</v>
      </c>
    </row>
    <row r="56" spans="15:23" x14ac:dyDescent="0.25">
      <c r="O56" s="6" t="s">
        <v>12</v>
      </c>
      <c r="P56" s="6">
        <v>0</v>
      </c>
      <c r="Q56" s="6">
        <v>2500</v>
      </c>
      <c r="R56" s="6">
        <v>1800</v>
      </c>
      <c r="S56" s="6">
        <v>2500</v>
      </c>
      <c r="T56" s="6">
        <v>6500</v>
      </c>
      <c r="U56" s="6">
        <v>9900</v>
      </c>
      <c r="V56" s="6">
        <v>12200</v>
      </c>
      <c r="W56" s="6" t="s">
        <v>38</v>
      </c>
    </row>
    <row r="57" spans="15:23" x14ac:dyDescent="0.25">
      <c r="O57" s="6" t="s">
        <v>13</v>
      </c>
      <c r="P57" s="6">
        <v>100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 t="s">
        <v>38</v>
      </c>
    </row>
    <row r="58" spans="15:23" x14ac:dyDescent="0.25">
      <c r="O58" s="6" t="s">
        <v>14</v>
      </c>
      <c r="P58" s="6">
        <v>100</v>
      </c>
      <c r="Q58" s="6">
        <v>3300</v>
      </c>
      <c r="R58" s="6">
        <v>2600</v>
      </c>
      <c r="S58" s="6">
        <v>2400</v>
      </c>
      <c r="T58" s="6">
        <v>5700</v>
      </c>
      <c r="U58" s="6">
        <v>10200</v>
      </c>
      <c r="V58" s="6">
        <v>12400</v>
      </c>
      <c r="W58" s="6" t="s">
        <v>38</v>
      </c>
    </row>
    <row r="59" spans="15:23" x14ac:dyDescent="0.25">
      <c r="O59" s="6" t="s">
        <v>15</v>
      </c>
      <c r="P59" s="6">
        <v>0</v>
      </c>
      <c r="Q59" s="6">
        <v>500</v>
      </c>
      <c r="R59" s="6">
        <v>700</v>
      </c>
      <c r="S59" s="6">
        <v>0</v>
      </c>
      <c r="T59" s="6">
        <v>200</v>
      </c>
      <c r="U59" s="6">
        <v>0</v>
      </c>
      <c r="V59" s="6">
        <v>0</v>
      </c>
      <c r="W59" s="6" t="s">
        <v>38</v>
      </c>
    </row>
    <row r="60" spans="15:23" x14ac:dyDescent="0.25">
      <c r="O60" s="6" t="s">
        <v>16</v>
      </c>
      <c r="P60" s="6">
        <v>600</v>
      </c>
      <c r="Q60" s="6">
        <v>0</v>
      </c>
      <c r="R60" s="6">
        <v>0</v>
      </c>
      <c r="S60" s="6">
        <v>500</v>
      </c>
      <c r="T60" s="6">
        <v>0</v>
      </c>
      <c r="U60" s="6">
        <v>900</v>
      </c>
      <c r="V60" s="6">
        <v>400</v>
      </c>
      <c r="W60" s="6" t="s">
        <v>38</v>
      </c>
    </row>
    <row r="61" spans="15:23" x14ac:dyDescent="0.25">
      <c r="O61" s="6" t="s">
        <v>17</v>
      </c>
      <c r="P61" s="6">
        <v>3100</v>
      </c>
      <c r="Q61" s="6">
        <v>7100</v>
      </c>
      <c r="R61" s="6">
        <v>10400</v>
      </c>
      <c r="S61" s="6">
        <v>11900</v>
      </c>
      <c r="T61" s="6">
        <v>17400</v>
      </c>
      <c r="U61" s="6">
        <v>23600</v>
      </c>
      <c r="V61" s="6">
        <v>27600</v>
      </c>
      <c r="W61" s="6" t="s">
        <v>38</v>
      </c>
    </row>
    <row r="62" spans="15:23" x14ac:dyDescent="0.25">
      <c r="O62" s="6" t="s">
        <v>18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 t="s">
        <v>38</v>
      </c>
    </row>
    <row r="63" spans="15:23" x14ac:dyDescent="0.25">
      <c r="O63" s="7" t="s">
        <v>41</v>
      </c>
      <c r="P63" s="6">
        <f t="shared" ref="P63:V63" si="4">SUM(P42:P62)</f>
        <v>27300</v>
      </c>
      <c r="Q63" s="6">
        <f t="shared" si="4"/>
        <v>66500</v>
      </c>
      <c r="R63" s="6">
        <f t="shared" si="4"/>
        <v>93400</v>
      </c>
      <c r="S63" s="6">
        <f t="shared" si="4"/>
        <v>114400</v>
      </c>
      <c r="T63" s="6">
        <f t="shared" si="4"/>
        <v>135200</v>
      </c>
      <c r="U63" s="6">
        <f t="shared" si="4"/>
        <v>176500</v>
      </c>
      <c r="V63" s="6">
        <f t="shared" si="4"/>
        <v>206500</v>
      </c>
      <c r="W63" s="6"/>
    </row>
  </sheetData>
  <mergeCells count="2">
    <mergeCell ref="O5:W5"/>
    <mergeCell ref="A5:K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_run">
                <anchor moveWithCells="1" sizeWithCells="1">
                  <from>
                    <xdr:col>12</xdr:col>
                    <xdr:colOff>238125</xdr:colOff>
                    <xdr:row>0</xdr:row>
                    <xdr:rowOff>123825</xdr:rowOff>
                  </from>
                  <to>
                    <xdr:col>15</xdr:col>
                    <xdr:colOff>76200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3"/>
  <sheetViews>
    <sheetView workbookViewId="0">
      <selection activeCell="L1" sqref="L1"/>
    </sheetView>
  </sheetViews>
  <sheetFormatPr defaultRowHeight="15" x14ac:dyDescent="0.25"/>
  <sheetData>
    <row r="1" spans="1:19" x14ac:dyDescent="0.25">
      <c r="A1" t="s">
        <v>36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37</v>
      </c>
      <c r="I1" t="s">
        <v>33</v>
      </c>
      <c r="M1" s="12" t="s">
        <v>6</v>
      </c>
      <c r="N1" s="12" t="s">
        <v>7</v>
      </c>
      <c r="O1" s="12" t="s">
        <v>8</v>
      </c>
      <c r="P1" s="12" t="s">
        <v>9</v>
      </c>
      <c r="Q1" s="12" t="s">
        <v>10</v>
      </c>
      <c r="R1" s="12" t="s">
        <v>11</v>
      </c>
      <c r="S1" s="12" t="s">
        <v>37</v>
      </c>
    </row>
    <row r="2" spans="1:19" x14ac:dyDescent="0.25">
      <c r="A2" t="s">
        <v>1</v>
      </c>
      <c r="B2">
        <v>1200</v>
      </c>
      <c r="C2">
        <v>150</v>
      </c>
      <c r="D2">
        <v>2000</v>
      </c>
      <c r="E2">
        <v>0</v>
      </c>
      <c r="F2">
        <v>0</v>
      </c>
      <c r="G2">
        <v>2200</v>
      </c>
      <c r="H2">
        <v>200</v>
      </c>
      <c r="I2" t="s">
        <v>34</v>
      </c>
      <c r="L2" t="s">
        <v>23</v>
      </c>
      <c r="M2">
        <f>SUMIF($B$16:$B$43,$L2,C$16:C$43)</f>
        <v>5800</v>
      </c>
      <c r="N2">
        <f t="shared" ref="N2:S8" si="0">SUMIF($B$16:$B$43,$L2,D$16:D$43)</f>
        <v>10200</v>
      </c>
      <c r="O2">
        <f t="shared" si="0"/>
        <v>9000</v>
      </c>
      <c r="P2">
        <f t="shared" si="0"/>
        <v>4800</v>
      </c>
      <c r="Q2">
        <f t="shared" si="0"/>
        <v>4200</v>
      </c>
      <c r="R2">
        <f t="shared" si="0"/>
        <v>11200</v>
      </c>
      <c r="S2">
        <f t="shared" si="0"/>
        <v>7800</v>
      </c>
    </row>
    <row r="3" spans="1:19" x14ac:dyDescent="0.25">
      <c r="A3" t="s">
        <v>2</v>
      </c>
      <c r="B3">
        <v>0</v>
      </c>
      <c r="C3">
        <v>2150</v>
      </c>
      <c r="D3">
        <v>0</v>
      </c>
      <c r="E3">
        <v>550</v>
      </c>
      <c r="F3">
        <v>500</v>
      </c>
      <c r="G3">
        <v>0</v>
      </c>
      <c r="H3">
        <v>1700</v>
      </c>
      <c r="I3" t="s">
        <v>34</v>
      </c>
      <c r="L3" t="s">
        <v>24</v>
      </c>
      <c r="M3">
        <f t="shared" ref="M3:M8" si="1">SUMIF($B$16:$B$43,$L3,C$16:C$43)</f>
        <v>2900</v>
      </c>
      <c r="N3">
        <f t="shared" si="0"/>
        <v>5100</v>
      </c>
      <c r="O3">
        <f t="shared" si="0"/>
        <v>4500</v>
      </c>
      <c r="P3">
        <f t="shared" si="0"/>
        <v>2400</v>
      </c>
      <c r="Q3">
        <f t="shared" si="0"/>
        <v>2100</v>
      </c>
      <c r="R3">
        <f t="shared" si="0"/>
        <v>5600</v>
      </c>
      <c r="S3">
        <f t="shared" si="0"/>
        <v>3900</v>
      </c>
    </row>
    <row r="4" spans="1:19" x14ac:dyDescent="0.25">
      <c r="A4" t="s">
        <v>3</v>
      </c>
      <c r="B4">
        <v>900</v>
      </c>
      <c r="C4">
        <v>5100</v>
      </c>
      <c r="D4">
        <v>2750</v>
      </c>
      <c r="E4">
        <v>1800</v>
      </c>
      <c r="F4">
        <v>1950</v>
      </c>
      <c r="G4">
        <v>3350</v>
      </c>
      <c r="H4">
        <v>3900</v>
      </c>
      <c r="I4" t="s">
        <v>34</v>
      </c>
      <c r="L4" t="s">
        <v>25</v>
      </c>
      <c r="M4">
        <f t="shared" si="1"/>
        <v>4200</v>
      </c>
      <c r="N4">
        <f t="shared" si="0"/>
        <v>10500</v>
      </c>
      <c r="O4">
        <f t="shared" si="0"/>
        <v>9500</v>
      </c>
      <c r="P4">
        <f t="shared" si="0"/>
        <v>3600</v>
      </c>
      <c r="Q4">
        <f t="shared" si="0"/>
        <v>3900</v>
      </c>
      <c r="R4">
        <f t="shared" si="0"/>
        <v>11100</v>
      </c>
      <c r="S4">
        <f t="shared" si="0"/>
        <v>8200</v>
      </c>
    </row>
    <row r="5" spans="1:19" x14ac:dyDescent="0.25">
      <c r="A5" t="s">
        <v>4</v>
      </c>
      <c r="B5">
        <v>2000</v>
      </c>
      <c r="C5">
        <v>0</v>
      </c>
      <c r="D5">
        <v>1750</v>
      </c>
      <c r="E5">
        <v>600</v>
      </c>
      <c r="F5">
        <v>150</v>
      </c>
      <c r="G5">
        <v>2250</v>
      </c>
      <c r="H5">
        <v>0</v>
      </c>
      <c r="I5" t="s">
        <v>34</v>
      </c>
      <c r="L5" t="s">
        <v>21</v>
      </c>
      <c r="M5">
        <f t="shared" si="1"/>
        <v>4000</v>
      </c>
      <c r="N5">
        <f t="shared" si="0"/>
        <v>4300</v>
      </c>
      <c r="O5">
        <f t="shared" si="0"/>
        <v>3500</v>
      </c>
      <c r="P5">
        <f t="shared" si="0"/>
        <v>2300</v>
      </c>
      <c r="Q5">
        <f t="shared" si="0"/>
        <v>1300</v>
      </c>
      <c r="R5">
        <f t="shared" si="0"/>
        <v>4500</v>
      </c>
      <c r="S5">
        <f t="shared" si="0"/>
        <v>3400</v>
      </c>
    </row>
    <row r="6" spans="1:19" x14ac:dyDescent="0.25">
      <c r="A6" t="s">
        <v>1</v>
      </c>
      <c r="B6">
        <v>700</v>
      </c>
      <c r="C6">
        <v>1000</v>
      </c>
      <c r="D6">
        <v>600</v>
      </c>
      <c r="E6">
        <v>950</v>
      </c>
      <c r="F6">
        <v>550</v>
      </c>
      <c r="G6">
        <v>0</v>
      </c>
      <c r="H6">
        <v>0</v>
      </c>
      <c r="I6" t="s">
        <v>35</v>
      </c>
      <c r="L6" t="s">
        <v>26</v>
      </c>
      <c r="M6">
        <f t="shared" si="1"/>
        <v>8200</v>
      </c>
      <c r="N6">
        <f t="shared" si="0"/>
        <v>14800</v>
      </c>
      <c r="O6">
        <f t="shared" si="0"/>
        <v>13000</v>
      </c>
      <c r="P6">
        <f t="shared" si="0"/>
        <v>5900</v>
      </c>
      <c r="Q6">
        <f t="shared" si="0"/>
        <v>5200</v>
      </c>
      <c r="R6">
        <f t="shared" si="0"/>
        <v>15600</v>
      </c>
      <c r="S6">
        <f t="shared" si="0"/>
        <v>11600</v>
      </c>
    </row>
    <row r="7" spans="1:19" x14ac:dyDescent="0.25">
      <c r="A7" t="s">
        <v>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950</v>
      </c>
      <c r="I7" t="s">
        <v>35</v>
      </c>
      <c r="L7" t="s">
        <v>27</v>
      </c>
      <c r="M7">
        <f t="shared" si="1"/>
        <v>2400</v>
      </c>
      <c r="N7">
        <f t="shared" si="0"/>
        <v>4600</v>
      </c>
      <c r="O7">
        <f t="shared" si="0"/>
        <v>4000</v>
      </c>
      <c r="P7">
        <f t="shared" si="0"/>
        <v>1100</v>
      </c>
      <c r="Q7">
        <f t="shared" si="0"/>
        <v>1000</v>
      </c>
      <c r="R7">
        <f t="shared" si="0"/>
        <v>4400</v>
      </c>
      <c r="S7">
        <f t="shared" si="0"/>
        <v>3800</v>
      </c>
    </row>
    <row r="8" spans="1:19" x14ac:dyDescent="0.25">
      <c r="A8" t="s">
        <v>3</v>
      </c>
      <c r="B8">
        <v>1800</v>
      </c>
      <c r="C8">
        <v>550</v>
      </c>
      <c r="D8">
        <v>500</v>
      </c>
      <c r="E8">
        <v>1250</v>
      </c>
      <c r="F8">
        <v>250</v>
      </c>
      <c r="G8">
        <v>0</v>
      </c>
      <c r="H8">
        <v>1650</v>
      </c>
      <c r="I8" t="s">
        <v>35</v>
      </c>
      <c r="L8" t="s">
        <v>28</v>
      </c>
      <c r="M8">
        <f t="shared" si="1"/>
        <v>4000</v>
      </c>
      <c r="N8">
        <f t="shared" si="0"/>
        <v>4300</v>
      </c>
      <c r="O8">
        <f t="shared" si="0"/>
        <v>3500</v>
      </c>
      <c r="P8">
        <f t="shared" si="0"/>
        <v>2300</v>
      </c>
      <c r="Q8">
        <f t="shared" si="0"/>
        <v>1300</v>
      </c>
      <c r="R8">
        <f t="shared" si="0"/>
        <v>4500</v>
      </c>
      <c r="S8">
        <f t="shared" si="0"/>
        <v>3400</v>
      </c>
    </row>
    <row r="9" spans="1:19" x14ac:dyDescent="0.25">
      <c r="A9" t="s">
        <v>4</v>
      </c>
      <c r="B9">
        <v>1100</v>
      </c>
      <c r="C9">
        <v>1250</v>
      </c>
      <c r="D9">
        <v>1300</v>
      </c>
      <c r="E9">
        <v>650</v>
      </c>
      <c r="F9">
        <v>1050</v>
      </c>
      <c r="G9">
        <v>0</v>
      </c>
      <c r="H9">
        <v>350</v>
      </c>
      <c r="I9" t="s">
        <v>35</v>
      </c>
    </row>
    <row r="10" spans="1:19" x14ac:dyDescent="0.25">
      <c r="A10" t="s">
        <v>1</v>
      </c>
      <c r="B10">
        <v>800</v>
      </c>
      <c r="C10">
        <v>0</v>
      </c>
      <c r="D10">
        <v>1050</v>
      </c>
      <c r="E10">
        <v>0</v>
      </c>
      <c r="F10">
        <v>0</v>
      </c>
      <c r="G10">
        <v>1150</v>
      </c>
      <c r="H10">
        <v>0</v>
      </c>
      <c r="I10" t="s">
        <v>38</v>
      </c>
    </row>
    <row r="11" spans="1:19" x14ac:dyDescent="0.25">
      <c r="A11" t="s">
        <v>2</v>
      </c>
      <c r="B11">
        <v>0</v>
      </c>
      <c r="C11">
        <v>700</v>
      </c>
      <c r="D11">
        <v>350</v>
      </c>
      <c r="E11">
        <v>700</v>
      </c>
      <c r="F11">
        <v>850</v>
      </c>
      <c r="G11">
        <v>0</v>
      </c>
      <c r="H11">
        <v>850</v>
      </c>
      <c r="I11" t="s">
        <v>38</v>
      </c>
    </row>
    <row r="12" spans="1:19" x14ac:dyDescent="0.25">
      <c r="A12" t="s">
        <v>3</v>
      </c>
      <c r="B12">
        <v>100</v>
      </c>
      <c r="C12">
        <v>2350</v>
      </c>
      <c r="D12">
        <v>0</v>
      </c>
      <c r="E12">
        <v>900</v>
      </c>
      <c r="F12">
        <v>2550</v>
      </c>
      <c r="G12">
        <v>1700</v>
      </c>
      <c r="H12">
        <v>1750</v>
      </c>
      <c r="I12" t="s">
        <v>38</v>
      </c>
    </row>
    <row r="13" spans="1:19" x14ac:dyDescent="0.25">
      <c r="A13" t="s">
        <v>4</v>
      </c>
      <c r="B13">
        <v>1300</v>
      </c>
      <c r="C13">
        <v>50</v>
      </c>
      <c r="D13">
        <v>1000</v>
      </c>
      <c r="E13">
        <v>300</v>
      </c>
      <c r="F13">
        <v>250</v>
      </c>
      <c r="G13">
        <v>1100</v>
      </c>
      <c r="H13">
        <v>150</v>
      </c>
      <c r="I13" t="s">
        <v>38</v>
      </c>
    </row>
    <row r="15" spans="1:19" x14ac:dyDescent="0.25">
      <c r="C15" s="12" t="s">
        <v>6</v>
      </c>
      <c r="D15" s="12" t="s">
        <v>7</v>
      </c>
      <c r="E15" s="12" t="s">
        <v>8</v>
      </c>
      <c r="F15" s="12" t="s">
        <v>9</v>
      </c>
      <c r="G15" s="12" t="s">
        <v>10</v>
      </c>
      <c r="H15" s="12" t="s">
        <v>11</v>
      </c>
      <c r="I15" s="12" t="s">
        <v>37</v>
      </c>
      <c r="J15" s="12" t="s">
        <v>33</v>
      </c>
    </row>
    <row r="16" spans="1:19" x14ac:dyDescent="0.25">
      <c r="A16" s="12" t="s">
        <v>1</v>
      </c>
      <c r="B16" t="s">
        <v>23</v>
      </c>
      <c r="C16">
        <f>B$2*0</f>
        <v>0</v>
      </c>
      <c r="D16">
        <f>C$2*0</f>
        <v>0</v>
      </c>
      <c r="E16">
        <f t="shared" ref="E16:I16" si="2">D$2*0</f>
        <v>0</v>
      </c>
      <c r="F16">
        <f t="shared" si="2"/>
        <v>0</v>
      </c>
      <c r="G16">
        <f t="shared" si="2"/>
        <v>0</v>
      </c>
      <c r="H16">
        <f t="shared" si="2"/>
        <v>0</v>
      </c>
      <c r="I16">
        <f t="shared" si="2"/>
        <v>0</v>
      </c>
      <c r="J16" t="s">
        <v>34</v>
      </c>
    </row>
    <row r="17" spans="1:10" x14ac:dyDescent="0.25">
      <c r="A17" s="12" t="s">
        <v>1</v>
      </c>
      <c r="B17" t="s">
        <v>24</v>
      </c>
      <c r="C17">
        <f>B$2*0</f>
        <v>0</v>
      </c>
      <c r="D17">
        <f t="shared" ref="D17:I17" si="3">C$2*0</f>
        <v>0</v>
      </c>
      <c r="E17">
        <f t="shared" si="3"/>
        <v>0</v>
      </c>
      <c r="F17">
        <f t="shared" si="3"/>
        <v>0</v>
      </c>
      <c r="G17">
        <f t="shared" si="3"/>
        <v>0</v>
      </c>
      <c r="H17">
        <f t="shared" si="3"/>
        <v>0</v>
      </c>
      <c r="I17">
        <f t="shared" si="3"/>
        <v>0</v>
      </c>
      <c r="J17" t="s">
        <v>34</v>
      </c>
    </row>
    <row r="18" spans="1:10" x14ac:dyDescent="0.25">
      <c r="A18" s="12" t="s">
        <v>1</v>
      </c>
      <c r="B18" t="s">
        <v>25</v>
      </c>
      <c r="C18">
        <f>B$2*2</f>
        <v>2400</v>
      </c>
      <c r="D18">
        <f t="shared" ref="D18:I18" si="4">C$2*2</f>
        <v>300</v>
      </c>
      <c r="E18">
        <f t="shared" si="4"/>
        <v>4000</v>
      </c>
      <c r="F18">
        <f t="shared" si="4"/>
        <v>0</v>
      </c>
      <c r="G18">
        <f t="shared" si="4"/>
        <v>0</v>
      </c>
      <c r="H18">
        <f t="shared" si="4"/>
        <v>4400</v>
      </c>
      <c r="I18">
        <f t="shared" si="4"/>
        <v>400</v>
      </c>
      <c r="J18" t="s">
        <v>34</v>
      </c>
    </row>
    <row r="19" spans="1:10" x14ac:dyDescent="0.25">
      <c r="A19" s="12" t="s">
        <v>1</v>
      </c>
      <c r="B19" t="s">
        <v>21</v>
      </c>
      <c r="C19">
        <f>B$2*0</f>
        <v>0</v>
      </c>
      <c r="D19">
        <f t="shared" ref="D19:I19" si="5">C$2*0</f>
        <v>0</v>
      </c>
      <c r="E19">
        <f t="shared" si="5"/>
        <v>0</v>
      </c>
      <c r="F19">
        <f t="shared" si="5"/>
        <v>0</v>
      </c>
      <c r="G19">
        <f t="shared" si="5"/>
        <v>0</v>
      </c>
      <c r="H19">
        <f t="shared" si="5"/>
        <v>0</v>
      </c>
      <c r="I19">
        <f t="shared" si="5"/>
        <v>0</v>
      </c>
      <c r="J19" t="s">
        <v>34</v>
      </c>
    </row>
    <row r="20" spans="1:10" x14ac:dyDescent="0.25">
      <c r="A20" s="12" t="s">
        <v>1</v>
      </c>
      <c r="B20" t="s">
        <v>26</v>
      </c>
      <c r="C20">
        <f>B$2*2</f>
        <v>2400</v>
      </c>
      <c r="D20">
        <f t="shared" ref="D20:I20" si="6">C$2*2</f>
        <v>300</v>
      </c>
      <c r="E20">
        <f t="shared" si="6"/>
        <v>4000</v>
      </c>
      <c r="F20">
        <f t="shared" si="6"/>
        <v>0</v>
      </c>
      <c r="G20">
        <f t="shared" si="6"/>
        <v>0</v>
      </c>
      <c r="H20">
        <f t="shared" si="6"/>
        <v>4400</v>
      </c>
      <c r="I20">
        <f t="shared" si="6"/>
        <v>400</v>
      </c>
      <c r="J20" t="s">
        <v>34</v>
      </c>
    </row>
    <row r="21" spans="1:10" x14ac:dyDescent="0.25">
      <c r="A21" s="12" t="s">
        <v>1</v>
      </c>
      <c r="B21" t="s">
        <v>27</v>
      </c>
      <c r="C21">
        <f>B$2*2</f>
        <v>2400</v>
      </c>
      <c r="D21">
        <f t="shared" ref="D21:I21" si="7">C$2*2</f>
        <v>300</v>
      </c>
      <c r="E21">
        <f t="shared" si="7"/>
        <v>4000</v>
      </c>
      <c r="F21">
        <f t="shared" si="7"/>
        <v>0</v>
      </c>
      <c r="G21">
        <f t="shared" si="7"/>
        <v>0</v>
      </c>
      <c r="H21">
        <f t="shared" si="7"/>
        <v>4400</v>
      </c>
      <c r="I21">
        <f t="shared" si="7"/>
        <v>400</v>
      </c>
      <c r="J21" t="s">
        <v>34</v>
      </c>
    </row>
    <row r="22" spans="1:10" x14ac:dyDescent="0.25">
      <c r="A22" s="12" t="s">
        <v>1</v>
      </c>
      <c r="B22" t="s">
        <v>28</v>
      </c>
      <c r="C22">
        <f t="shared" ref="C22:H22" si="8">B$2*0</f>
        <v>0</v>
      </c>
      <c r="D22">
        <f t="shared" si="8"/>
        <v>0</v>
      </c>
      <c r="E22">
        <f t="shared" si="8"/>
        <v>0</v>
      </c>
      <c r="F22">
        <f t="shared" si="8"/>
        <v>0</v>
      </c>
      <c r="G22">
        <f t="shared" si="8"/>
        <v>0</v>
      </c>
      <c r="H22">
        <f t="shared" si="8"/>
        <v>0</v>
      </c>
      <c r="I22">
        <f>H$2*0</f>
        <v>0</v>
      </c>
      <c r="J22" t="s">
        <v>34</v>
      </c>
    </row>
    <row r="23" spans="1:10" x14ac:dyDescent="0.25">
      <c r="A23" s="12" t="s">
        <v>2</v>
      </c>
      <c r="B23" t="s">
        <v>23</v>
      </c>
      <c r="C23">
        <f>B$3*0</f>
        <v>0</v>
      </c>
      <c r="D23">
        <f t="shared" ref="D23:I23" si="9">C$3*0</f>
        <v>0</v>
      </c>
      <c r="E23">
        <f t="shared" si="9"/>
        <v>0</v>
      </c>
      <c r="F23">
        <f t="shared" si="9"/>
        <v>0</v>
      </c>
      <c r="G23">
        <f t="shared" si="9"/>
        <v>0</v>
      </c>
      <c r="H23">
        <f t="shared" si="9"/>
        <v>0</v>
      </c>
      <c r="I23">
        <f t="shared" si="9"/>
        <v>0</v>
      </c>
      <c r="J23" t="s">
        <v>34</v>
      </c>
    </row>
    <row r="24" spans="1:10" x14ac:dyDescent="0.25">
      <c r="A24" s="12" t="s">
        <v>2</v>
      </c>
      <c r="B24" t="s">
        <v>24</v>
      </c>
      <c r="C24">
        <f>B$3*0</f>
        <v>0</v>
      </c>
      <c r="D24">
        <f t="shared" ref="D24:I24" si="10">C$3*0</f>
        <v>0</v>
      </c>
      <c r="E24">
        <f t="shared" si="10"/>
        <v>0</v>
      </c>
      <c r="F24">
        <f t="shared" si="10"/>
        <v>0</v>
      </c>
      <c r="G24">
        <f t="shared" si="10"/>
        <v>0</v>
      </c>
      <c r="H24">
        <f t="shared" si="10"/>
        <v>0</v>
      </c>
      <c r="I24">
        <f t="shared" si="10"/>
        <v>0</v>
      </c>
      <c r="J24" t="s">
        <v>34</v>
      </c>
    </row>
    <row r="25" spans="1:10" x14ac:dyDescent="0.25">
      <c r="A25" s="12" t="s">
        <v>2</v>
      </c>
      <c r="B25" t="s">
        <v>25</v>
      </c>
      <c r="C25">
        <f>B$3*0</f>
        <v>0</v>
      </c>
      <c r="D25">
        <f t="shared" ref="D25:I25" si="11">C$3*0</f>
        <v>0</v>
      </c>
      <c r="E25">
        <f t="shared" si="11"/>
        <v>0</v>
      </c>
      <c r="F25">
        <f t="shared" si="11"/>
        <v>0</v>
      </c>
      <c r="G25">
        <f t="shared" si="11"/>
        <v>0</v>
      </c>
      <c r="H25">
        <f t="shared" si="11"/>
        <v>0</v>
      </c>
      <c r="I25">
        <f t="shared" si="11"/>
        <v>0</v>
      </c>
      <c r="J25" t="s">
        <v>34</v>
      </c>
    </row>
    <row r="26" spans="1:10" x14ac:dyDescent="0.25">
      <c r="A26" s="12" t="s">
        <v>2</v>
      </c>
      <c r="B26" t="s">
        <v>21</v>
      </c>
      <c r="C26">
        <f>B$3*2</f>
        <v>0</v>
      </c>
      <c r="D26">
        <f t="shared" ref="D26:I26" si="12">C$3*2</f>
        <v>4300</v>
      </c>
      <c r="E26">
        <f t="shared" si="12"/>
        <v>0</v>
      </c>
      <c r="F26">
        <f t="shared" si="12"/>
        <v>1100</v>
      </c>
      <c r="G26">
        <f t="shared" si="12"/>
        <v>1000</v>
      </c>
      <c r="H26">
        <f t="shared" si="12"/>
        <v>0</v>
      </c>
      <c r="I26">
        <f t="shared" si="12"/>
        <v>3400</v>
      </c>
      <c r="J26" t="s">
        <v>34</v>
      </c>
    </row>
    <row r="27" spans="1:10" x14ac:dyDescent="0.25">
      <c r="A27" s="12" t="s">
        <v>2</v>
      </c>
      <c r="B27" t="s">
        <v>26</v>
      </c>
      <c r="C27">
        <f>B$3*2</f>
        <v>0</v>
      </c>
      <c r="D27">
        <f t="shared" ref="D27:I27" si="13">C$3*2</f>
        <v>4300</v>
      </c>
      <c r="E27">
        <f t="shared" si="13"/>
        <v>0</v>
      </c>
      <c r="F27">
        <f t="shared" si="13"/>
        <v>1100</v>
      </c>
      <c r="G27">
        <f t="shared" si="13"/>
        <v>1000</v>
      </c>
      <c r="H27">
        <f t="shared" si="13"/>
        <v>0</v>
      </c>
      <c r="I27">
        <f t="shared" si="13"/>
        <v>3400</v>
      </c>
      <c r="J27" t="s">
        <v>34</v>
      </c>
    </row>
    <row r="28" spans="1:10" x14ac:dyDescent="0.25">
      <c r="A28" s="12" t="s">
        <v>2</v>
      </c>
      <c r="B28" t="s">
        <v>27</v>
      </c>
      <c r="C28">
        <f>B$3*2</f>
        <v>0</v>
      </c>
      <c r="D28">
        <f t="shared" ref="D28:I28" si="14">C$3*2</f>
        <v>4300</v>
      </c>
      <c r="E28">
        <f t="shared" si="14"/>
        <v>0</v>
      </c>
      <c r="F28">
        <f t="shared" si="14"/>
        <v>1100</v>
      </c>
      <c r="G28">
        <f t="shared" si="14"/>
        <v>1000</v>
      </c>
      <c r="H28">
        <f t="shared" si="14"/>
        <v>0</v>
      </c>
      <c r="I28">
        <f t="shared" si="14"/>
        <v>3400</v>
      </c>
      <c r="J28" t="s">
        <v>34</v>
      </c>
    </row>
    <row r="29" spans="1:10" x14ac:dyDescent="0.25">
      <c r="A29" s="12" t="s">
        <v>2</v>
      </c>
      <c r="B29" t="s">
        <v>28</v>
      </c>
      <c r="C29">
        <f>B$3*2</f>
        <v>0</v>
      </c>
      <c r="D29">
        <f t="shared" ref="D29:I29" si="15">C$3*2</f>
        <v>4300</v>
      </c>
      <c r="E29">
        <f t="shared" si="15"/>
        <v>0</v>
      </c>
      <c r="F29">
        <f t="shared" si="15"/>
        <v>1100</v>
      </c>
      <c r="G29">
        <f t="shared" si="15"/>
        <v>1000</v>
      </c>
      <c r="H29">
        <f t="shared" si="15"/>
        <v>0</v>
      </c>
      <c r="I29">
        <f t="shared" si="15"/>
        <v>3400</v>
      </c>
      <c r="J29" t="s">
        <v>34</v>
      </c>
    </row>
    <row r="30" spans="1:10" x14ac:dyDescent="0.25">
      <c r="A30" s="12" t="s">
        <v>3</v>
      </c>
      <c r="B30" t="s">
        <v>23</v>
      </c>
      <c r="C30">
        <f>B$4*2</f>
        <v>1800</v>
      </c>
      <c r="D30">
        <f t="shared" ref="D30:I30" si="16">C$4*2</f>
        <v>10200</v>
      </c>
      <c r="E30">
        <f t="shared" si="16"/>
        <v>5500</v>
      </c>
      <c r="F30">
        <f t="shared" si="16"/>
        <v>3600</v>
      </c>
      <c r="G30">
        <f t="shared" si="16"/>
        <v>3900</v>
      </c>
      <c r="H30">
        <f t="shared" si="16"/>
        <v>6700</v>
      </c>
      <c r="I30">
        <f t="shared" si="16"/>
        <v>7800</v>
      </c>
      <c r="J30" t="s">
        <v>34</v>
      </c>
    </row>
    <row r="31" spans="1:10" x14ac:dyDescent="0.25">
      <c r="A31" s="12" t="s">
        <v>3</v>
      </c>
      <c r="B31" t="s">
        <v>24</v>
      </c>
      <c r="C31">
        <f>B$4*1</f>
        <v>900</v>
      </c>
      <c r="D31">
        <f t="shared" ref="D31:I31" si="17">C$4*1</f>
        <v>5100</v>
      </c>
      <c r="E31">
        <f t="shared" si="17"/>
        <v>2750</v>
      </c>
      <c r="F31">
        <f t="shared" si="17"/>
        <v>1800</v>
      </c>
      <c r="G31">
        <f t="shared" si="17"/>
        <v>1950</v>
      </c>
      <c r="H31">
        <f t="shared" si="17"/>
        <v>3350</v>
      </c>
      <c r="I31">
        <f t="shared" si="17"/>
        <v>3900</v>
      </c>
      <c r="J31" t="s">
        <v>34</v>
      </c>
    </row>
    <row r="32" spans="1:10" x14ac:dyDescent="0.25">
      <c r="A32" s="12" t="s">
        <v>3</v>
      </c>
      <c r="B32" t="s">
        <v>25</v>
      </c>
      <c r="C32">
        <f>B$4*2</f>
        <v>1800</v>
      </c>
      <c r="D32">
        <f t="shared" ref="D32:I32" si="18">C$4*2</f>
        <v>10200</v>
      </c>
      <c r="E32">
        <f t="shared" si="18"/>
        <v>5500</v>
      </c>
      <c r="F32">
        <f t="shared" si="18"/>
        <v>3600</v>
      </c>
      <c r="G32">
        <f t="shared" si="18"/>
        <v>3900</v>
      </c>
      <c r="H32">
        <f t="shared" si="18"/>
        <v>6700</v>
      </c>
      <c r="I32">
        <f t="shared" si="18"/>
        <v>7800</v>
      </c>
      <c r="J32" t="s">
        <v>34</v>
      </c>
    </row>
    <row r="33" spans="1:10" x14ac:dyDescent="0.25">
      <c r="A33" s="12" t="s">
        <v>3</v>
      </c>
      <c r="B33" t="s">
        <v>21</v>
      </c>
      <c r="C33">
        <f>B$4*0</f>
        <v>0</v>
      </c>
      <c r="D33">
        <f t="shared" ref="D33:I33" si="19">C$4*0</f>
        <v>0</v>
      </c>
      <c r="E33">
        <f t="shared" si="19"/>
        <v>0</v>
      </c>
      <c r="F33">
        <f t="shared" si="19"/>
        <v>0</v>
      </c>
      <c r="G33">
        <f t="shared" si="19"/>
        <v>0</v>
      </c>
      <c r="H33">
        <f t="shared" si="19"/>
        <v>0</v>
      </c>
      <c r="I33">
        <f t="shared" si="19"/>
        <v>0</v>
      </c>
      <c r="J33" t="s">
        <v>34</v>
      </c>
    </row>
    <row r="34" spans="1:10" x14ac:dyDescent="0.25">
      <c r="A34" s="12" t="s">
        <v>3</v>
      </c>
      <c r="B34" t="s">
        <v>26</v>
      </c>
      <c r="C34">
        <f>B$4*2</f>
        <v>1800</v>
      </c>
      <c r="D34">
        <f t="shared" ref="D34:I34" si="20">C$4*2</f>
        <v>10200</v>
      </c>
      <c r="E34">
        <f t="shared" si="20"/>
        <v>5500</v>
      </c>
      <c r="F34">
        <f t="shared" si="20"/>
        <v>3600</v>
      </c>
      <c r="G34">
        <f t="shared" si="20"/>
        <v>3900</v>
      </c>
      <c r="H34">
        <f t="shared" si="20"/>
        <v>6700</v>
      </c>
      <c r="I34">
        <f t="shared" si="20"/>
        <v>7800</v>
      </c>
      <c r="J34" t="s">
        <v>34</v>
      </c>
    </row>
    <row r="35" spans="1:10" x14ac:dyDescent="0.25">
      <c r="A35" s="12" t="s">
        <v>3</v>
      </c>
      <c r="B35" t="s">
        <v>27</v>
      </c>
      <c r="C35">
        <f>B$4*0</f>
        <v>0</v>
      </c>
      <c r="D35">
        <f t="shared" ref="D35:I35" si="21">C$4*0</f>
        <v>0</v>
      </c>
      <c r="E35">
        <f t="shared" si="21"/>
        <v>0</v>
      </c>
      <c r="F35">
        <f t="shared" si="21"/>
        <v>0</v>
      </c>
      <c r="G35">
        <f t="shared" si="21"/>
        <v>0</v>
      </c>
      <c r="H35">
        <f t="shared" si="21"/>
        <v>0</v>
      </c>
      <c r="I35">
        <f t="shared" si="21"/>
        <v>0</v>
      </c>
      <c r="J35" t="s">
        <v>34</v>
      </c>
    </row>
    <row r="36" spans="1:10" x14ac:dyDescent="0.25">
      <c r="A36" s="12" t="s">
        <v>3</v>
      </c>
      <c r="B36" t="s">
        <v>28</v>
      </c>
      <c r="C36">
        <f>B$4*0</f>
        <v>0</v>
      </c>
      <c r="D36">
        <f t="shared" ref="D36:I36" si="22">C$4*0</f>
        <v>0</v>
      </c>
      <c r="E36">
        <f t="shared" si="22"/>
        <v>0</v>
      </c>
      <c r="F36">
        <f t="shared" si="22"/>
        <v>0</v>
      </c>
      <c r="G36">
        <f t="shared" si="22"/>
        <v>0</v>
      </c>
      <c r="H36">
        <f t="shared" si="22"/>
        <v>0</v>
      </c>
      <c r="I36">
        <f t="shared" si="22"/>
        <v>0</v>
      </c>
      <c r="J36" t="s">
        <v>34</v>
      </c>
    </row>
    <row r="37" spans="1:10" x14ac:dyDescent="0.25">
      <c r="A37" s="12" t="s">
        <v>4</v>
      </c>
      <c r="B37" t="s">
        <v>23</v>
      </c>
      <c r="C37">
        <f>B$5*2</f>
        <v>4000</v>
      </c>
      <c r="D37">
        <f t="shared" ref="D37:I37" si="23">C$5*2</f>
        <v>0</v>
      </c>
      <c r="E37">
        <f t="shared" si="23"/>
        <v>3500</v>
      </c>
      <c r="F37">
        <f t="shared" si="23"/>
        <v>1200</v>
      </c>
      <c r="G37">
        <f t="shared" si="23"/>
        <v>300</v>
      </c>
      <c r="H37">
        <f t="shared" si="23"/>
        <v>4500</v>
      </c>
      <c r="I37">
        <f t="shared" si="23"/>
        <v>0</v>
      </c>
      <c r="J37" t="s">
        <v>34</v>
      </c>
    </row>
    <row r="38" spans="1:10" x14ac:dyDescent="0.25">
      <c r="A38" s="12" t="s">
        <v>4</v>
      </c>
      <c r="B38" t="s">
        <v>24</v>
      </c>
      <c r="C38">
        <f>B$5*1</f>
        <v>2000</v>
      </c>
      <c r="D38">
        <f t="shared" ref="D38:I38" si="24">C$5*1</f>
        <v>0</v>
      </c>
      <c r="E38">
        <f t="shared" si="24"/>
        <v>1750</v>
      </c>
      <c r="F38">
        <f t="shared" si="24"/>
        <v>600</v>
      </c>
      <c r="G38">
        <f t="shared" si="24"/>
        <v>150</v>
      </c>
      <c r="H38">
        <f t="shared" si="24"/>
        <v>2250</v>
      </c>
      <c r="I38">
        <f t="shared" si="24"/>
        <v>0</v>
      </c>
      <c r="J38" t="s">
        <v>34</v>
      </c>
    </row>
    <row r="39" spans="1:10" x14ac:dyDescent="0.25">
      <c r="A39" s="12" t="s">
        <v>4</v>
      </c>
      <c r="B39" t="s">
        <v>25</v>
      </c>
      <c r="C39">
        <f>B$5*0</f>
        <v>0</v>
      </c>
      <c r="D39">
        <f t="shared" ref="D39:I39" si="25">C$5*0</f>
        <v>0</v>
      </c>
      <c r="E39">
        <f t="shared" si="25"/>
        <v>0</v>
      </c>
      <c r="F39">
        <f t="shared" si="25"/>
        <v>0</v>
      </c>
      <c r="G39">
        <f t="shared" si="25"/>
        <v>0</v>
      </c>
      <c r="H39">
        <f t="shared" si="25"/>
        <v>0</v>
      </c>
      <c r="I39">
        <f t="shared" si="25"/>
        <v>0</v>
      </c>
      <c r="J39" t="s">
        <v>34</v>
      </c>
    </row>
    <row r="40" spans="1:10" x14ac:dyDescent="0.25">
      <c r="A40" s="12" t="s">
        <v>4</v>
      </c>
      <c r="B40" t="s">
        <v>21</v>
      </c>
      <c r="C40">
        <f t="shared" ref="C40" si="26">B$5*2</f>
        <v>4000</v>
      </c>
      <c r="D40">
        <f t="shared" ref="D40:I40" si="27">C$5*2</f>
        <v>0</v>
      </c>
      <c r="E40">
        <f t="shared" si="27"/>
        <v>3500</v>
      </c>
      <c r="F40">
        <f t="shared" si="27"/>
        <v>1200</v>
      </c>
      <c r="G40">
        <f t="shared" si="27"/>
        <v>300</v>
      </c>
      <c r="H40">
        <f t="shared" si="27"/>
        <v>4500</v>
      </c>
      <c r="I40">
        <f t="shared" si="27"/>
        <v>0</v>
      </c>
      <c r="J40" t="s">
        <v>34</v>
      </c>
    </row>
    <row r="41" spans="1:10" x14ac:dyDescent="0.25">
      <c r="A41" s="12" t="s">
        <v>4</v>
      </c>
      <c r="B41" t="s">
        <v>26</v>
      </c>
      <c r="C41">
        <f t="shared" ref="C41" si="28">B$5*2</f>
        <v>4000</v>
      </c>
      <c r="D41">
        <f t="shared" ref="D41:I41" si="29">C$5*2</f>
        <v>0</v>
      </c>
      <c r="E41">
        <f t="shared" si="29"/>
        <v>3500</v>
      </c>
      <c r="F41">
        <f t="shared" si="29"/>
        <v>1200</v>
      </c>
      <c r="G41">
        <f t="shared" si="29"/>
        <v>300</v>
      </c>
      <c r="H41">
        <f t="shared" si="29"/>
        <v>4500</v>
      </c>
      <c r="I41">
        <f t="shared" si="29"/>
        <v>0</v>
      </c>
      <c r="J41" t="s">
        <v>34</v>
      </c>
    </row>
    <row r="42" spans="1:10" x14ac:dyDescent="0.25">
      <c r="A42" s="12" t="s">
        <v>4</v>
      </c>
      <c r="B42" t="s">
        <v>27</v>
      </c>
      <c r="C42">
        <f>B$5*0</f>
        <v>0</v>
      </c>
      <c r="D42">
        <f t="shared" ref="D42:I42" si="30">C$5*0</f>
        <v>0</v>
      </c>
      <c r="E42">
        <f t="shared" si="30"/>
        <v>0</v>
      </c>
      <c r="F42">
        <f t="shared" si="30"/>
        <v>0</v>
      </c>
      <c r="G42">
        <f t="shared" si="30"/>
        <v>0</v>
      </c>
      <c r="H42">
        <f t="shared" si="30"/>
        <v>0</v>
      </c>
      <c r="I42">
        <f t="shared" si="30"/>
        <v>0</v>
      </c>
      <c r="J42" t="s">
        <v>34</v>
      </c>
    </row>
    <row r="43" spans="1:10" x14ac:dyDescent="0.25">
      <c r="A43" s="12" t="s">
        <v>4</v>
      </c>
      <c r="B43" t="s">
        <v>28</v>
      </c>
      <c r="C43">
        <f>B$5*2</f>
        <v>4000</v>
      </c>
      <c r="D43">
        <f t="shared" ref="D43:I43" si="31">C$5*2</f>
        <v>0</v>
      </c>
      <c r="E43">
        <f t="shared" si="31"/>
        <v>3500</v>
      </c>
      <c r="F43">
        <f t="shared" si="31"/>
        <v>1200</v>
      </c>
      <c r="G43">
        <f t="shared" si="31"/>
        <v>300</v>
      </c>
      <c r="H43">
        <f t="shared" si="31"/>
        <v>4500</v>
      </c>
      <c r="I43">
        <f t="shared" si="31"/>
        <v>0</v>
      </c>
      <c r="J43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F13C00-722E-4CAF-9E27-EE33DFFAA6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Input Demand</vt:lpstr>
      <vt:lpstr>Customer Product Demand</vt:lpstr>
      <vt:lpstr>Output</vt:lpstr>
      <vt:lpstr>Sheet1</vt:lpstr>
      <vt:lpstr>Sheet4</vt:lpstr>
      <vt:lpstr>Output!birds_requirement</vt:lpstr>
      <vt:lpstr>Output!imbalanced_inv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MFM</cp:lastModifiedBy>
  <dcterms:created xsi:type="dcterms:W3CDTF">2017-07-17T08:21:02Z</dcterms:created>
  <dcterms:modified xsi:type="dcterms:W3CDTF">2017-08-15T09:02:20Z</dcterms:modified>
</cp:coreProperties>
</file>